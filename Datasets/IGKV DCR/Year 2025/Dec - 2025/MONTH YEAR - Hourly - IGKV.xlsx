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Dec - 2025\"/>
    </mc:Choice>
  </mc:AlternateContent>
  <xr:revisionPtr revIDLastSave="0" documentId="13_ncr:1_{9A798DD4-8F27-4BF9-A59D-614E16D9A71B}" xr6:coauthVersionLast="47" xr6:coauthVersionMax="47" xr10:uidLastSave="{00000000-0000-0000-0000-000000000000}"/>
  <bookViews>
    <workbookView xWindow="-120" yWindow="-120" windowWidth="20730" windowHeight="11040" tabRatio="913" firstSheet="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C44" i="39" l="1"/>
  <c r="D44" i="39"/>
  <c r="E44" i="39"/>
  <c r="F44" i="39"/>
  <c r="G44" i="39"/>
  <c r="H44" i="39"/>
  <c r="I44" i="39"/>
  <c r="J44" i="39"/>
  <c r="K44" i="39"/>
  <c r="L44" i="39"/>
  <c r="M44" i="39"/>
  <c r="N44" i="39"/>
  <c r="O44" i="39"/>
  <c r="P44" i="39"/>
  <c r="Q44" i="39"/>
  <c r="B44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E39" i="39"/>
  <c r="D39" i="39"/>
  <c r="C39" i="39"/>
  <c r="B39" i="39"/>
  <c r="A39" i="39"/>
  <c r="A38" i="39"/>
  <c r="H38" i="32"/>
  <c r="G38" i="32"/>
  <c r="G39" i="32" s="1"/>
  <c r="B34" i="28"/>
  <c r="C34" i="28"/>
  <c r="D34" i="28"/>
  <c r="E34" i="28"/>
  <c r="F34" i="28"/>
  <c r="G34" i="28"/>
  <c r="H34" i="28"/>
  <c r="I34" i="28"/>
  <c r="J34" i="28"/>
  <c r="K34" i="28"/>
  <c r="L34" i="28"/>
  <c r="M34" i="28"/>
  <c r="N34" i="28"/>
  <c r="O34" i="28"/>
  <c r="P34" i="28"/>
  <c r="Q34" i="28"/>
  <c r="B35" i="28"/>
  <c r="C35" i="28"/>
  <c r="D35" i="28"/>
  <c r="E35" i="28"/>
  <c r="F35" i="28"/>
  <c r="G35" i="28"/>
  <c r="H35" i="28"/>
  <c r="I35" i="28"/>
  <c r="J35" i="28"/>
  <c r="K35" i="28"/>
  <c r="L35" i="28"/>
  <c r="M35" i="28"/>
  <c r="N35" i="28"/>
  <c r="O35" i="28"/>
  <c r="P35" i="28"/>
  <c r="Q35" i="28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H38" i="2"/>
  <c r="G38" i="2"/>
  <c r="M38" i="39"/>
  <c r="P21" i="39"/>
  <c r="O20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C40" i="40"/>
  <c r="O39" i="40"/>
  <c r="M39" i="40"/>
  <c r="I39" i="40"/>
  <c r="F39" i="40"/>
  <c r="Q38" i="40"/>
  <c r="Q39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39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I39" i="43"/>
  <c r="E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Q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E40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K40" i="32"/>
  <c r="I40" i="32"/>
  <c r="D40" i="32"/>
  <c r="B40" i="32"/>
  <c r="H39" i="32"/>
  <c r="D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40" i="32" s="1"/>
  <c r="I38" i="32"/>
  <c r="I39" i="32" s="1"/>
  <c r="H40" i="32"/>
  <c r="F38" i="32"/>
  <c r="F39" i="32" s="1"/>
  <c r="E38" i="32"/>
  <c r="E40" i="32" s="1"/>
  <c r="D38" i="32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G39" i="31"/>
  <c r="C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B40" i="30"/>
  <c r="L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D39" i="30" s="1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J40" i="29"/>
  <c r="I40" i="29"/>
  <c r="G40" i="29"/>
  <c r="F40" i="29"/>
  <c r="Q38" i="29"/>
  <c r="Q40" i="29" s="1"/>
  <c r="P38" i="29"/>
  <c r="P39" i="29" s="1"/>
  <c r="O38" i="29"/>
  <c r="O39" i="29" s="1"/>
  <c r="N38" i="29"/>
  <c r="N39" i="29" s="1"/>
  <c r="M38" i="29"/>
  <c r="M39" i="29" s="1"/>
  <c r="L38" i="29"/>
  <c r="L39" i="29" s="1"/>
  <c r="K38" i="29"/>
  <c r="K39" i="29" s="1"/>
  <c r="J38" i="29"/>
  <c r="J39" i="29" s="1"/>
  <c r="I38" i="29"/>
  <c r="I39" i="29" s="1"/>
  <c r="H38" i="29"/>
  <c r="H40" i="29" s="1"/>
  <c r="G38" i="29"/>
  <c r="G39" i="29" s="1"/>
  <c r="F38" i="29"/>
  <c r="F39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F39" i="28"/>
  <c r="D39" i="28"/>
  <c r="Q38" i="28"/>
  <c r="Q39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39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B2" i="28"/>
  <c r="A31" i="39" s="1"/>
  <c r="I40" i="27"/>
  <c r="O39" i="27"/>
  <c r="N39" i="27"/>
  <c r="Q38" i="27"/>
  <c r="Q39" i="27" s="1"/>
  <c r="P38" i="27"/>
  <c r="P39" i="27" s="1"/>
  <c r="O38" i="27"/>
  <c r="O40" i="27" s="1"/>
  <c r="N38" i="27"/>
  <c r="N40" i="27" s="1"/>
  <c r="M38" i="27"/>
  <c r="M40" i="27" s="1"/>
  <c r="L38" i="27"/>
  <c r="L39" i="27" s="1"/>
  <c r="K38" i="27"/>
  <c r="K40" i="27" s="1"/>
  <c r="J38" i="27"/>
  <c r="J40" i="27" s="1"/>
  <c r="I38" i="27"/>
  <c r="I39" i="27" s="1"/>
  <c r="H38" i="27"/>
  <c r="H39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H40" i="26"/>
  <c r="F40" i="26"/>
  <c r="C40" i="26"/>
  <c r="N39" i="26"/>
  <c r="F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39" i="26" s="1"/>
  <c r="H38" i="26"/>
  <c r="H39" i="26" s="1"/>
  <c r="G38" i="26"/>
  <c r="G40" i="26" s="1"/>
  <c r="F38" i="26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J40" i="25"/>
  <c r="Q39" i="25"/>
  <c r="P39" i="25"/>
  <c r="M39" i="25"/>
  <c r="Q38" i="25"/>
  <c r="Q40" i="25" s="1"/>
  <c r="P38" i="25"/>
  <c r="P40" i="25" s="1"/>
  <c r="O38" i="25"/>
  <c r="O39" i="25" s="1"/>
  <c r="N38" i="25"/>
  <c r="N39" i="25" s="1"/>
  <c r="M38" i="25"/>
  <c r="M40" i="25" s="1"/>
  <c r="L38" i="25"/>
  <c r="L40" i="25" s="1"/>
  <c r="K38" i="25"/>
  <c r="K39" i="25" s="1"/>
  <c r="J38" i="25"/>
  <c r="J39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C40" i="24"/>
  <c r="Q39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39" i="24" s="1"/>
  <c r="J38" i="24"/>
  <c r="J39" i="24" s="1"/>
  <c r="I38" i="24"/>
  <c r="I40" i="24" s="1"/>
  <c r="H38" i="24"/>
  <c r="H39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O39" i="23"/>
  <c r="M39" i="23"/>
  <c r="L39" i="23"/>
  <c r="K39" i="23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L40" i="22"/>
  <c r="D40" i="22"/>
  <c r="C40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39" i="22" s="1"/>
  <c r="K38" i="22"/>
  <c r="K40" i="22" s="1"/>
  <c r="J38" i="22"/>
  <c r="J39" i="22" s="1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K40" i="21"/>
  <c r="H40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E40" i="20"/>
  <c r="D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M40" i="19"/>
  <c r="F40" i="19"/>
  <c r="P39" i="19"/>
  <c r="O39" i="19"/>
  <c r="F39" i="19"/>
  <c r="Q38" i="19"/>
  <c r="Q40" i="19" s="1"/>
  <c r="P38" i="19"/>
  <c r="P40" i="19" s="1"/>
  <c r="O38" i="19"/>
  <c r="O40" i="19" s="1"/>
  <c r="N38" i="19"/>
  <c r="N40" i="19" s="1"/>
  <c r="M38" i="19"/>
  <c r="M39" i="19" s="1"/>
  <c r="L38" i="19"/>
  <c r="L40" i="19" s="1"/>
  <c r="K38" i="19"/>
  <c r="K39" i="19" s="1"/>
  <c r="J38" i="19"/>
  <c r="J39" i="19" s="1"/>
  <c r="I38" i="19"/>
  <c r="I40" i="19" s="1"/>
  <c r="H38" i="19"/>
  <c r="H40" i="19" s="1"/>
  <c r="G38" i="19"/>
  <c r="G39" i="19" s="1"/>
  <c r="F38" i="19"/>
  <c r="E38" i="19"/>
  <c r="E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G40" i="18"/>
  <c r="B40" i="18"/>
  <c r="Q38" i="18"/>
  <c r="Q39" i="18" s="1"/>
  <c r="P38" i="18"/>
  <c r="P39" i="18" s="1"/>
  <c r="O38" i="18"/>
  <c r="O40" i="18" s="1"/>
  <c r="N38" i="18"/>
  <c r="N39" i="18" s="1"/>
  <c r="M38" i="18"/>
  <c r="M40" i="18" s="1"/>
  <c r="L38" i="18"/>
  <c r="L39" i="18" s="1"/>
  <c r="K38" i="18"/>
  <c r="K39" i="18" s="1"/>
  <c r="J38" i="18"/>
  <c r="J39" i="18" s="1"/>
  <c r="I38" i="18"/>
  <c r="I40" i="18" s="1"/>
  <c r="H38" i="18"/>
  <c r="H39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N40" i="17"/>
  <c r="J40" i="17"/>
  <c r="G40" i="17"/>
  <c r="E40" i="17"/>
  <c r="N39" i="17"/>
  <c r="J39" i="17"/>
  <c r="I39" i="17"/>
  <c r="Q38" i="17"/>
  <c r="Q39" i="17" s="1"/>
  <c r="P38" i="17"/>
  <c r="P40" i="17" s="1"/>
  <c r="O38" i="17"/>
  <c r="O40" i="17" s="1"/>
  <c r="N38" i="17"/>
  <c r="M38" i="17"/>
  <c r="M39" i="17" s="1"/>
  <c r="L38" i="17"/>
  <c r="L39" i="17" s="1"/>
  <c r="K38" i="17"/>
  <c r="K39" i="17" s="1"/>
  <c r="J38" i="17"/>
  <c r="I38" i="17"/>
  <c r="I40" i="17" s="1"/>
  <c r="H38" i="17"/>
  <c r="H39" i="17" s="1"/>
  <c r="G38" i="17"/>
  <c r="G39" i="17" s="1"/>
  <c r="F38" i="17"/>
  <c r="F40" i="17" s="1"/>
  <c r="E38" i="17"/>
  <c r="E39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H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E40" i="15"/>
  <c r="O39" i="15"/>
  <c r="M39" i="15"/>
  <c r="Q38" i="15"/>
  <c r="Q39" i="15" s="1"/>
  <c r="P38" i="15"/>
  <c r="P40" i="15" s="1"/>
  <c r="O38" i="15"/>
  <c r="O40" i="15" s="1"/>
  <c r="N38" i="15"/>
  <c r="N39" i="15" s="1"/>
  <c r="M38" i="15"/>
  <c r="M40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39" i="15" s="1"/>
  <c r="F38" i="15"/>
  <c r="F39" i="15" s="1"/>
  <c r="E38" i="15"/>
  <c r="E39" i="15" s="1"/>
  <c r="D38" i="15"/>
  <c r="D39" i="15" s="1"/>
  <c r="C38" i="15"/>
  <c r="C39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G40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38" i="14"/>
  <c r="F39" i="14" s="1"/>
  <c r="E38" i="14"/>
  <c r="E39" i="14" s="1"/>
  <c r="D38" i="14"/>
  <c r="D40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9" i="2"/>
  <c r="G40" i="2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L39" i="41" l="1"/>
  <c r="H39" i="40"/>
  <c r="N39" i="43"/>
  <c r="P39" i="43"/>
  <c r="B40" i="43"/>
  <c r="I40" i="33"/>
  <c r="E39" i="33"/>
  <c r="J39" i="33"/>
  <c r="K39" i="33"/>
  <c r="C40" i="33"/>
  <c r="F40" i="33"/>
  <c r="J39" i="32"/>
  <c r="F40" i="32"/>
  <c r="G40" i="32"/>
  <c r="H39" i="31"/>
  <c r="I39" i="31"/>
  <c r="J39" i="31"/>
  <c r="K39" i="31"/>
  <c r="L39" i="31"/>
  <c r="M40" i="31"/>
  <c r="I39" i="30"/>
  <c r="J39" i="30"/>
  <c r="M39" i="30"/>
  <c r="N39" i="30"/>
  <c r="K40" i="29"/>
  <c r="L40" i="29"/>
  <c r="M40" i="29"/>
  <c r="C39" i="29"/>
  <c r="N40" i="29"/>
  <c r="E40" i="29"/>
  <c r="L39" i="28"/>
  <c r="P39" i="28"/>
  <c r="G40" i="28"/>
  <c r="Q40" i="28"/>
  <c r="M39" i="28"/>
  <c r="O39" i="28"/>
  <c r="H40" i="27"/>
  <c r="P40" i="27"/>
  <c r="G39" i="27"/>
  <c r="K39" i="27"/>
  <c r="L40" i="27"/>
  <c r="M39" i="27"/>
  <c r="I40" i="26"/>
  <c r="B40" i="26"/>
  <c r="L40" i="26"/>
  <c r="O39" i="26"/>
  <c r="Q39" i="26"/>
  <c r="N40" i="25"/>
  <c r="O40" i="25"/>
  <c r="K40" i="25"/>
  <c r="I39" i="25"/>
  <c r="P39" i="24"/>
  <c r="D40" i="24"/>
  <c r="E40" i="24"/>
  <c r="H40" i="24"/>
  <c r="J40" i="24"/>
  <c r="K40" i="24"/>
  <c r="N40" i="24"/>
  <c r="P39" i="23"/>
  <c r="Q39" i="23"/>
  <c r="B40" i="23"/>
  <c r="C40" i="23"/>
  <c r="I39" i="22"/>
  <c r="N39" i="22"/>
  <c r="F40" i="22"/>
  <c r="G40" i="22"/>
  <c r="J40" i="22"/>
  <c r="M40" i="22"/>
  <c r="G40" i="21"/>
  <c r="Q40" i="21"/>
  <c r="N39" i="21"/>
  <c r="O39" i="21"/>
  <c r="B40" i="21"/>
  <c r="D40" i="21"/>
  <c r="E40" i="21"/>
  <c r="F40" i="21"/>
  <c r="C40" i="20"/>
  <c r="H40" i="20"/>
  <c r="I40" i="20"/>
  <c r="L40" i="20"/>
  <c r="N40" i="20"/>
  <c r="P40" i="20"/>
  <c r="O39" i="20"/>
  <c r="B40" i="20"/>
  <c r="L39" i="19"/>
  <c r="Q39" i="19"/>
  <c r="D40" i="19"/>
  <c r="J40" i="19"/>
  <c r="K40" i="19"/>
  <c r="H39" i="19"/>
  <c r="I39" i="19"/>
  <c r="M39" i="18"/>
  <c r="H40" i="18"/>
  <c r="J40" i="18"/>
  <c r="K40" i="18"/>
  <c r="L40" i="18"/>
  <c r="N40" i="18"/>
  <c r="P40" i="18"/>
  <c r="E39" i="18"/>
  <c r="F39" i="18"/>
  <c r="I39" i="18"/>
  <c r="C40" i="17"/>
  <c r="H40" i="17"/>
  <c r="K40" i="17"/>
  <c r="L40" i="17"/>
  <c r="F39" i="17"/>
  <c r="O39" i="17"/>
  <c r="G40" i="16"/>
  <c r="F40" i="16"/>
  <c r="I40" i="16"/>
  <c r="J40" i="16"/>
  <c r="M40" i="16"/>
  <c r="N40" i="16"/>
  <c r="C40" i="16"/>
  <c r="D40" i="16"/>
  <c r="P39" i="15"/>
  <c r="C40" i="15"/>
  <c r="F40" i="15"/>
  <c r="G40" i="15"/>
  <c r="H40" i="15"/>
  <c r="I40" i="15"/>
  <c r="L40" i="15"/>
  <c r="Q40" i="15"/>
  <c r="K39" i="15"/>
  <c r="F40" i="14"/>
  <c r="E40" i="14"/>
  <c r="H40" i="14"/>
  <c r="D39" i="14"/>
  <c r="K40" i="14"/>
  <c r="L40" i="14"/>
  <c r="O40" i="14"/>
  <c r="P40" i="14"/>
  <c r="J39" i="14"/>
  <c r="O40" i="39"/>
  <c r="N39" i="14"/>
  <c r="Q39" i="14"/>
  <c r="B40" i="14"/>
  <c r="M41" i="39"/>
  <c r="D39" i="10"/>
  <c r="J43" i="39"/>
  <c r="J42" i="39"/>
  <c r="J41" i="39"/>
  <c r="J40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3" i="39"/>
  <c r="F42" i="39"/>
  <c r="F41" i="39"/>
  <c r="F40" i="39"/>
  <c r="E40" i="3"/>
  <c r="D39" i="8"/>
  <c r="B39" i="10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O39" i="8"/>
  <c r="N39" i="9"/>
  <c r="M39" i="10"/>
  <c r="L39" i="11"/>
  <c r="K39" i="12"/>
  <c r="J39" i="13"/>
  <c r="Q40" i="17"/>
  <c r="C40" i="25"/>
  <c r="M42" i="39"/>
  <c r="B39" i="9"/>
  <c r="G39" i="10"/>
  <c r="Q40" i="2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3" i="39"/>
  <c r="P42" i="39"/>
  <c r="P41" i="39"/>
  <c r="P40" i="39"/>
  <c r="Q43" i="39"/>
  <c r="Q42" i="39"/>
  <c r="Q41" i="39"/>
  <c r="Q40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<sst xmlns="http://schemas.openxmlformats.org/spreadsheetml/2006/main" count="2862" uniqueCount="805">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</sst>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2" fontId="1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21" activePane="bottomRight" state="frozen"/>
      <selection pane="topRight"/>
      <selection pane="bottomLeft"/>
      <selection pane="bottomRight" activeCell="I34" sqref="I34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</v>
      </c>
      <c r="B9" s="40">
        <v>11.09</v>
      </c>
      <c r="C9" s="40">
        <v>16.77</v>
      </c>
      <c r="D9" s="40">
        <v>17.63</v>
      </c>
      <c r="E9" s="40">
        <v>6.37</v>
      </c>
      <c r="F9" s="40">
        <v>0.46</v>
      </c>
      <c r="G9" s="40">
        <v>96.64</v>
      </c>
      <c r="H9" s="40">
        <v>43.93</v>
      </c>
      <c r="I9" s="40">
        <v>12.31</v>
      </c>
      <c r="J9" s="40">
        <v>0.31</v>
      </c>
      <c r="K9" s="40">
        <v>168.6</v>
      </c>
      <c r="L9" s="40">
        <v>22.73</v>
      </c>
      <c r="M9" s="40">
        <v>60.35</v>
      </c>
      <c r="N9" s="40">
        <v>2.2000000000000002</v>
      </c>
      <c r="O9" s="40">
        <v>0</v>
      </c>
      <c r="P9" s="40">
        <v>0.73</v>
      </c>
      <c r="Q9" s="40">
        <v>9.92</v>
      </c>
      <c r="R9" s="38"/>
      <c r="S9" s="38"/>
      <c r="T9" s="38"/>
      <c r="U9" s="38"/>
    </row>
    <row r="10" spans="1:21" customFormat="1">
      <c r="A10" s="39" t="s">
        <v>62</v>
      </c>
      <c r="B10" s="40">
        <v>8.7100000000000009</v>
      </c>
      <c r="C10" s="40">
        <v>16.3</v>
      </c>
      <c r="D10" s="40">
        <v>15.5</v>
      </c>
      <c r="E10" s="40">
        <v>6.11</v>
      </c>
      <c r="F10" s="40">
        <v>0.39</v>
      </c>
      <c r="G10" s="40">
        <v>93.44</v>
      </c>
      <c r="H10" s="40">
        <v>43.24</v>
      </c>
      <c r="I10" s="40">
        <v>12.01</v>
      </c>
      <c r="J10" s="40">
        <v>0.2</v>
      </c>
      <c r="K10" s="40">
        <v>228.9</v>
      </c>
      <c r="L10" s="40">
        <v>22.79</v>
      </c>
      <c r="M10" s="40">
        <v>67.540000000000006</v>
      </c>
      <c r="N10" s="40">
        <v>2.5</v>
      </c>
      <c r="O10" s="40">
        <v>0</v>
      </c>
      <c r="P10" s="40">
        <v>0.7</v>
      </c>
      <c r="Q10" s="40">
        <v>9.5399999999999991</v>
      </c>
      <c r="R10" s="38"/>
      <c r="S10" s="38"/>
      <c r="T10" s="38"/>
      <c r="U10" s="38"/>
    </row>
    <row r="11" spans="1:21" customFormat="1">
      <c r="A11" s="39" t="s">
        <v>63</v>
      </c>
      <c r="B11" s="40">
        <v>7.75</v>
      </c>
      <c r="C11" s="40">
        <v>15.69</v>
      </c>
      <c r="D11" s="40">
        <v>14.33</v>
      </c>
      <c r="E11" s="40">
        <v>6.07</v>
      </c>
      <c r="F11" s="40">
        <v>0.33</v>
      </c>
      <c r="G11" s="40">
        <v>89.33</v>
      </c>
      <c r="H11" s="40">
        <v>43.2</v>
      </c>
      <c r="I11" s="40">
        <v>10.91</v>
      </c>
      <c r="J11" s="40">
        <v>0.34</v>
      </c>
      <c r="K11" s="40">
        <v>291.58999999999997</v>
      </c>
      <c r="L11" s="40">
        <v>21.93</v>
      </c>
      <c r="M11" s="40">
        <v>69.2</v>
      </c>
      <c r="N11" s="40">
        <v>2.6</v>
      </c>
      <c r="O11" s="40">
        <v>0</v>
      </c>
      <c r="P11" s="40">
        <v>0.69</v>
      </c>
      <c r="Q11" s="40">
        <v>9.32</v>
      </c>
      <c r="R11" s="38"/>
      <c r="S11" s="38"/>
      <c r="T11" s="38"/>
      <c r="U11" s="38"/>
    </row>
    <row r="12" spans="1:21" customFormat="1">
      <c r="A12" s="39" t="s">
        <v>64</v>
      </c>
      <c r="B12" s="40">
        <v>8.69</v>
      </c>
      <c r="C12" s="40">
        <v>15.15</v>
      </c>
      <c r="D12" s="40">
        <v>14.69</v>
      </c>
      <c r="E12" s="40">
        <v>6.01</v>
      </c>
      <c r="F12" s="40">
        <v>0.18</v>
      </c>
      <c r="G12" s="40">
        <v>82.55</v>
      </c>
      <c r="H12" s="40">
        <v>41.16</v>
      </c>
      <c r="I12" s="40">
        <v>10.39</v>
      </c>
      <c r="J12" s="40">
        <v>0.33</v>
      </c>
      <c r="K12" s="40">
        <v>91.44</v>
      </c>
      <c r="L12" s="40">
        <v>21.07</v>
      </c>
      <c r="M12" s="40">
        <v>69.88</v>
      </c>
      <c r="N12" s="40">
        <v>2.1</v>
      </c>
      <c r="O12" s="40">
        <v>0</v>
      </c>
      <c r="P12" s="40">
        <v>0.66</v>
      </c>
      <c r="Q12" s="40">
        <v>9.32</v>
      </c>
      <c r="R12" s="38"/>
      <c r="S12" s="38"/>
      <c r="T12" s="38"/>
      <c r="U12" s="38"/>
    </row>
    <row r="13" spans="1:21" customFormat="1">
      <c r="A13" s="39" t="s">
        <v>65</v>
      </c>
      <c r="B13" s="40">
        <v>9.5</v>
      </c>
      <c r="C13" s="40">
        <v>14.75</v>
      </c>
      <c r="D13" s="40">
        <v>15.21</v>
      </c>
      <c r="E13" s="40">
        <v>6.11</v>
      </c>
      <c r="F13" s="40">
        <v>0.12</v>
      </c>
      <c r="G13" s="40">
        <v>73.400000000000006</v>
      </c>
      <c r="H13" s="40">
        <v>40.6</v>
      </c>
      <c r="I13" s="40">
        <v>10.09</v>
      </c>
      <c r="J13" s="40">
        <v>0.76</v>
      </c>
      <c r="K13" s="40">
        <v>50.42</v>
      </c>
      <c r="L13" s="40">
        <v>20.64</v>
      </c>
      <c r="M13" s="40">
        <v>70.61</v>
      </c>
      <c r="N13" s="40">
        <v>2.1</v>
      </c>
      <c r="O13" s="40">
        <v>0</v>
      </c>
      <c r="P13" s="40">
        <v>0.63</v>
      </c>
      <c r="Q13" s="40">
        <v>9.32</v>
      </c>
      <c r="R13" s="38"/>
      <c r="S13" s="38"/>
      <c r="T13" s="38"/>
      <c r="U13" s="38"/>
    </row>
    <row r="14" spans="1:21" customFormat="1">
      <c r="A14" s="39" t="s">
        <v>66</v>
      </c>
      <c r="B14" s="40">
        <v>10.25</v>
      </c>
      <c r="C14" s="40">
        <v>14.67</v>
      </c>
      <c r="D14" s="40">
        <v>15.82</v>
      </c>
      <c r="E14" s="40">
        <v>5.8</v>
      </c>
      <c r="F14" s="40">
        <v>0.14000000000000001</v>
      </c>
      <c r="G14" s="40">
        <v>74.790000000000006</v>
      </c>
      <c r="H14" s="40">
        <v>38.42</v>
      </c>
      <c r="I14" s="40">
        <v>10.48</v>
      </c>
      <c r="J14" s="40">
        <v>0.56000000000000005</v>
      </c>
      <c r="K14" s="40">
        <v>71.17</v>
      </c>
      <c r="L14" s="40">
        <v>20.52</v>
      </c>
      <c r="M14" s="40">
        <v>71.959999999999994</v>
      </c>
      <c r="N14" s="40">
        <v>2.1</v>
      </c>
      <c r="O14" s="40">
        <v>0</v>
      </c>
      <c r="P14" s="40">
        <v>0.62</v>
      </c>
      <c r="Q14" s="40">
        <v>9.32</v>
      </c>
      <c r="R14" s="38"/>
      <c r="S14" s="38"/>
      <c r="T14" s="38"/>
      <c r="U14" s="38"/>
    </row>
    <row r="15" spans="1:21" customFormat="1">
      <c r="A15" s="39" t="s">
        <v>67</v>
      </c>
      <c r="B15" s="40">
        <v>11.97</v>
      </c>
      <c r="C15" s="40">
        <v>14.8</v>
      </c>
      <c r="D15" s="40">
        <v>17.329999999999998</v>
      </c>
      <c r="E15" s="40">
        <v>6.09</v>
      </c>
      <c r="F15" s="40">
        <v>7.0000000000000007E-2</v>
      </c>
      <c r="G15" s="40">
        <v>82.69</v>
      </c>
      <c r="H15" s="40">
        <v>38.42</v>
      </c>
      <c r="I15" s="40">
        <v>10.59</v>
      </c>
      <c r="J15" s="40">
        <v>0.64</v>
      </c>
      <c r="K15" s="40">
        <v>37.58</v>
      </c>
      <c r="L15" s="40">
        <v>20.58</v>
      </c>
      <c r="M15" s="40">
        <v>74.98</v>
      </c>
      <c r="N15" s="40">
        <v>20.3</v>
      </c>
      <c r="O15" s="40">
        <v>0</v>
      </c>
      <c r="P15" s="40">
        <v>0.62</v>
      </c>
      <c r="Q15" s="40">
        <v>9.32</v>
      </c>
      <c r="R15" s="38"/>
      <c r="S15" s="38"/>
      <c r="T15" s="38"/>
      <c r="U15" s="38"/>
    </row>
    <row r="16" spans="1:21" customFormat="1">
      <c r="A16" s="39" t="s">
        <v>68</v>
      </c>
      <c r="B16" s="40">
        <v>14.03</v>
      </c>
      <c r="C16" s="40">
        <v>15.58</v>
      </c>
      <c r="D16" s="40">
        <v>19.39</v>
      </c>
      <c r="E16" s="40">
        <v>6.01</v>
      </c>
      <c r="F16" s="40">
        <v>0.13</v>
      </c>
      <c r="G16" s="40">
        <v>87.15</v>
      </c>
      <c r="H16" s="40">
        <v>40.47</v>
      </c>
      <c r="I16" s="40">
        <v>10.78</v>
      </c>
      <c r="J16" s="40">
        <v>0.48</v>
      </c>
      <c r="K16" s="40">
        <v>63.65</v>
      </c>
      <c r="L16" s="40">
        <v>21.27</v>
      </c>
      <c r="M16" s="40">
        <v>72.05</v>
      </c>
      <c r="N16" s="40">
        <v>67.8</v>
      </c>
      <c r="O16" s="40">
        <v>0</v>
      </c>
      <c r="P16" s="40">
        <v>0.64</v>
      </c>
      <c r="Q16" s="40">
        <v>9.32</v>
      </c>
      <c r="R16" s="38"/>
      <c r="S16" s="38"/>
      <c r="T16" s="38"/>
      <c r="U16" s="38"/>
    </row>
    <row r="17" spans="1:21" customFormat="1">
      <c r="A17" s="39" t="s">
        <v>69</v>
      </c>
      <c r="B17" s="40">
        <v>14.54</v>
      </c>
      <c r="C17" s="40">
        <v>16.27</v>
      </c>
      <c r="D17" s="40">
        <v>20.04</v>
      </c>
      <c r="E17" s="40">
        <v>6.17</v>
      </c>
      <c r="F17" s="40">
        <v>0.22</v>
      </c>
      <c r="G17" s="40">
        <v>88.72</v>
      </c>
      <c r="H17" s="40">
        <v>42.77</v>
      </c>
      <c r="I17" s="40">
        <v>11.6</v>
      </c>
      <c r="J17" s="40">
        <v>1.02</v>
      </c>
      <c r="K17" s="40">
        <v>51.52</v>
      </c>
      <c r="L17" s="40">
        <v>23.23</v>
      </c>
      <c r="M17" s="40">
        <v>68.92</v>
      </c>
      <c r="N17" s="40">
        <v>181.4</v>
      </c>
      <c r="O17" s="40">
        <v>0</v>
      </c>
      <c r="P17" s="40">
        <v>0.67</v>
      </c>
      <c r="Q17" s="40">
        <v>9.32</v>
      </c>
      <c r="R17" s="38"/>
      <c r="S17" s="38"/>
      <c r="T17" s="38"/>
      <c r="U17" s="38"/>
    </row>
    <row r="18" spans="1:21" customFormat="1">
      <c r="A18" s="39" t="s">
        <v>70</v>
      </c>
      <c r="B18" s="40">
        <v>13.35</v>
      </c>
      <c r="C18" s="40">
        <v>17.55</v>
      </c>
      <c r="D18" s="40">
        <v>19.48</v>
      </c>
      <c r="E18" s="40">
        <v>6.08</v>
      </c>
      <c r="F18" s="40">
        <v>0.35</v>
      </c>
      <c r="G18" s="40">
        <v>91.6</v>
      </c>
      <c r="H18" s="40">
        <v>42.77</v>
      </c>
      <c r="I18" s="40">
        <v>11.88</v>
      </c>
      <c r="J18" s="40">
        <v>1.05</v>
      </c>
      <c r="K18" s="40">
        <v>58.16</v>
      </c>
      <c r="L18" s="40">
        <v>25.22</v>
      </c>
      <c r="M18" s="40">
        <v>59.82</v>
      </c>
      <c r="N18" s="40">
        <v>245.7</v>
      </c>
      <c r="O18" s="40">
        <v>0</v>
      </c>
      <c r="P18" s="40">
        <v>0.69</v>
      </c>
      <c r="Q18" s="40">
        <v>9.32</v>
      </c>
      <c r="R18" s="38"/>
      <c r="S18" s="38"/>
      <c r="T18" s="38"/>
      <c r="U18" s="38"/>
    </row>
    <row r="19" spans="1:21" customFormat="1">
      <c r="A19" s="39" t="s">
        <v>71</v>
      </c>
      <c r="B19" s="40">
        <v>11.29</v>
      </c>
      <c r="C19" s="40">
        <v>18.46</v>
      </c>
      <c r="D19" s="40">
        <v>18.38</v>
      </c>
      <c r="E19" s="40">
        <v>5.67</v>
      </c>
      <c r="F19" s="40">
        <v>1.73</v>
      </c>
      <c r="G19" s="40">
        <v>95.67</v>
      </c>
      <c r="H19" s="40">
        <v>42.45</v>
      </c>
      <c r="I19" s="40">
        <v>12.08</v>
      </c>
      <c r="J19" s="40">
        <v>0.84</v>
      </c>
      <c r="K19" s="40">
        <v>94.99</v>
      </c>
      <c r="L19" s="40">
        <v>27.97</v>
      </c>
      <c r="M19" s="40">
        <v>52.5</v>
      </c>
      <c r="N19" s="40">
        <v>440.9</v>
      </c>
      <c r="O19" s="40">
        <v>0</v>
      </c>
      <c r="P19" s="40">
        <v>0.7</v>
      </c>
      <c r="Q19" s="40">
        <v>10.3</v>
      </c>
      <c r="R19" s="38"/>
      <c r="S19" s="38"/>
      <c r="T19" s="38"/>
      <c r="U19" s="38"/>
    </row>
    <row r="20" spans="1:21" customFormat="1">
      <c r="A20" s="39" t="s">
        <v>72</v>
      </c>
      <c r="B20" s="40">
        <v>6.57</v>
      </c>
      <c r="C20" s="40">
        <v>19.809999999999999</v>
      </c>
      <c r="D20" s="40">
        <v>15.53</v>
      </c>
      <c r="E20" s="40">
        <v>8.9700000000000006</v>
      </c>
      <c r="F20" s="40">
        <v>12.88</v>
      </c>
      <c r="G20" s="40">
        <v>95.67</v>
      </c>
      <c r="H20" s="40">
        <v>40.26</v>
      </c>
      <c r="I20" s="40">
        <v>12</v>
      </c>
      <c r="J20" s="40">
        <v>0.96</v>
      </c>
      <c r="K20" s="40">
        <v>83.2</v>
      </c>
      <c r="L20" s="40">
        <v>29.37</v>
      </c>
      <c r="M20" s="40">
        <v>43.46</v>
      </c>
      <c r="N20" s="40">
        <v>570.9</v>
      </c>
      <c r="O20" s="40">
        <v>0</v>
      </c>
      <c r="P20" s="40">
        <v>0.69</v>
      </c>
      <c r="Q20" s="40">
        <v>9.32</v>
      </c>
      <c r="R20" s="38"/>
      <c r="S20" s="38"/>
      <c r="T20" s="38"/>
      <c r="U20" s="38"/>
    </row>
    <row r="21" spans="1:21" customFormat="1">
      <c r="A21" s="39" t="s">
        <v>73</v>
      </c>
      <c r="B21" s="40">
        <v>3.29</v>
      </c>
      <c r="C21" s="40">
        <v>19.329999999999998</v>
      </c>
      <c r="D21" s="40">
        <v>12.7</v>
      </c>
      <c r="E21" s="40">
        <v>12.54</v>
      </c>
      <c r="F21" s="40">
        <v>16.5</v>
      </c>
      <c r="G21" s="40">
        <v>84.25</v>
      </c>
      <c r="H21" s="40">
        <v>39.299999999999997</v>
      </c>
      <c r="I21" s="40">
        <v>10.82</v>
      </c>
      <c r="J21" s="40">
        <v>0.84</v>
      </c>
      <c r="K21" s="40">
        <v>58.47</v>
      </c>
      <c r="L21" s="40">
        <v>29.95</v>
      </c>
      <c r="M21" s="40">
        <v>37.69</v>
      </c>
      <c r="N21" s="40">
        <v>569</v>
      </c>
      <c r="O21" s="40">
        <v>0</v>
      </c>
      <c r="P21" s="40">
        <v>0.67</v>
      </c>
      <c r="Q21" s="40">
        <v>9.32</v>
      </c>
      <c r="R21" s="38"/>
      <c r="S21" s="38"/>
      <c r="T21" s="38"/>
      <c r="U21" s="38"/>
    </row>
    <row r="22" spans="1:21" customFormat="1">
      <c r="A22" s="39" t="s">
        <v>74</v>
      </c>
      <c r="B22" s="40">
        <v>3.22</v>
      </c>
      <c r="C22" s="40">
        <v>19.7</v>
      </c>
      <c r="D22" s="40">
        <v>12.84</v>
      </c>
      <c r="E22" s="40">
        <v>13.37</v>
      </c>
      <c r="F22" s="40">
        <v>24.34</v>
      </c>
      <c r="G22" s="10" t="s">
        <v>12</v>
      </c>
      <c r="H22" s="10" t="s">
        <v>12</v>
      </c>
      <c r="I22" s="40">
        <v>9.15</v>
      </c>
      <c r="J22" s="40">
        <v>0.85</v>
      </c>
      <c r="K22" s="40">
        <v>56.65</v>
      </c>
      <c r="L22" s="40">
        <v>30.22</v>
      </c>
      <c r="M22" s="40">
        <v>36.5</v>
      </c>
      <c r="N22" s="40">
        <v>428.5</v>
      </c>
      <c r="O22" s="40">
        <v>0</v>
      </c>
      <c r="P22" s="40">
        <v>0.59</v>
      </c>
      <c r="Q22" s="40">
        <v>9.32</v>
      </c>
      <c r="R22" s="38"/>
      <c r="S22" s="38"/>
      <c r="T22" s="38"/>
      <c r="U22" s="38"/>
    </row>
    <row r="23" spans="1:21" customFormat="1">
      <c r="A23" s="39" t="s">
        <v>75</v>
      </c>
      <c r="B23" s="40">
        <v>3.02</v>
      </c>
      <c r="C23" s="40">
        <v>19.829999999999998</v>
      </c>
      <c r="D23" s="40">
        <v>12.78</v>
      </c>
      <c r="E23" s="40">
        <v>13.37</v>
      </c>
      <c r="F23" s="40">
        <v>28.11</v>
      </c>
      <c r="G23" s="10" t="s">
        <v>12</v>
      </c>
      <c r="H23" s="10" t="s">
        <v>12</v>
      </c>
      <c r="I23" s="40">
        <v>14.53</v>
      </c>
      <c r="J23" s="40">
        <v>0.63</v>
      </c>
      <c r="K23" s="40">
        <v>74.39</v>
      </c>
      <c r="L23" s="40">
        <v>29.91</v>
      </c>
      <c r="M23" s="40">
        <v>39.35</v>
      </c>
      <c r="N23" s="40">
        <v>166.2</v>
      </c>
      <c r="O23" s="40">
        <v>0</v>
      </c>
      <c r="P23" s="40">
        <v>0.49</v>
      </c>
      <c r="Q23" s="40">
        <v>9.32</v>
      </c>
      <c r="R23" s="38"/>
      <c r="S23" s="38"/>
      <c r="T23" s="38"/>
      <c r="U23" s="38"/>
    </row>
    <row r="24" spans="1:21" customFormat="1">
      <c r="A24" s="39" t="s">
        <v>76</v>
      </c>
      <c r="B24" s="40">
        <v>2.89</v>
      </c>
      <c r="C24" s="40">
        <v>16.989999999999998</v>
      </c>
      <c r="D24" s="40">
        <v>11.19</v>
      </c>
      <c r="E24" s="40">
        <v>5.31</v>
      </c>
      <c r="F24" s="40">
        <v>30.55</v>
      </c>
      <c r="G24" s="40">
        <v>32.380000000000003</v>
      </c>
      <c r="H24" s="40">
        <v>29.45</v>
      </c>
      <c r="I24" s="40">
        <v>16.649999999999999</v>
      </c>
      <c r="J24" s="40">
        <v>0.39</v>
      </c>
      <c r="K24" s="40">
        <v>150.09</v>
      </c>
      <c r="L24" s="40">
        <v>29.45</v>
      </c>
      <c r="M24" s="40">
        <v>40.659999999999997</v>
      </c>
      <c r="N24" s="40">
        <v>86.1</v>
      </c>
      <c r="O24" s="40">
        <v>0</v>
      </c>
      <c r="P24" s="40">
        <v>0.45</v>
      </c>
      <c r="Q24" s="40">
        <v>9.32</v>
      </c>
      <c r="R24" s="38"/>
      <c r="S24" s="38"/>
      <c r="T24" s="38"/>
      <c r="U24" s="38"/>
    </row>
    <row r="25" spans="1:21" customFormat="1">
      <c r="A25" s="39" t="s">
        <v>77</v>
      </c>
      <c r="B25" s="40">
        <v>3.01</v>
      </c>
      <c r="C25" s="40">
        <v>16.84</v>
      </c>
      <c r="D25" s="40">
        <v>11.21</v>
      </c>
      <c r="E25" s="40">
        <v>8.33</v>
      </c>
      <c r="F25" s="40">
        <v>27.28</v>
      </c>
      <c r="G25" s="40">
        <v>39.25</v>
      </c>
      <c r="H25" s="40">
        <v>29.45</v>
      </c>
      <c r="I25" s="40">
        <v>17.57</v>
      </c>
      <c r="J25" s="40">
        <v>0.46</v>
      </c>
      <c r="K25" s="40">
        <v>139.05000000000001</v>
      </c>
      <c r="L25" s="40">
        <v>29.1</v>
      </c>
      <c r="M25" s="40">
        <v>44.96</v>
      </c>
      <c r="N25" s="40">
        <v>55.1</v>
      </c>
      <c r="O25" s="40">
        <v>0</v>
      </c>
      <c r="P25" s="40">
        <v>0.45</v>
      </c>
      <c r="Q25" s="40">
        <v>9.32</v>
      </c>
      <c r="R25" s="38"/>
      <c r="S25" s="38"/>
      <c r="T25" s="38"/>
      <c r="U25" s="38"/>
    </row>
    <row r="26" spans="1:21" customFormat="1">
      <c r="A26" s="39" t="s">
        <v>78</v>
      </c>
      <c r="B26" s="40">
        <v>3.63</v>
      </c>
      <c r="C26" s="40">
        <v>18.36</v>
      </c>
      <c r="D26" s="40">
        <v>12.51</v>
      </c>
      <c r="E26" s="40">
        <v>3.85</v>
      </c>
      <c r="F26" s="40">
        <v>6.23</v>
      </c>
      <c r="G26" s="40">
        <v>48.25</v>
      </c>
      <c r="H26" s="40">
        <v>29.09</v>
      </c>
      <c r="I26" s="40">
        <v>15.79</v>
      </c>
      <c r="J26" s="40">
        <v>0.25</v>
      </c>
      <c r="K26" s="40">
        <v>164.25</v>
      </c>
      <c r="L26" s="40">
        <v>27.71</v>
      </c>
      <c r="M26" s="40">
        <v>60.82</v>
      </c>
      <c r="N26" s="40">
        <v>10.4</v>
      </c>
      <c r="O26" s="40">
        <v>0</v>
      </c>
      <c r="P26" s="40">
        <v>0.51</v>
      </c>
      <c r="Q26" s="40">
        <v>9.32</v>
      </c>
      <c r="R26" s="38"/>
      <c r="S26" s="38"/>
      <c r="T26" s="38"/>
      <c r="U26" s="38"/>
    </row>
    <row r="27" spans="1:21" customFormat="1">
      <c r="A27" s="39" t="s">
        <v>79</v>
      </c>
      <c r="B27" s="40">
        <v>4.9400000000000004</v>
      </c>
      <c r="C27" s="40">
        <v>18.88</v>
      </c>
      <c r="D27" s="40">
        <v>13.81</v>
      </c>
      <c r="E27" s="40">
        <v>3.07</v>
      </c>
      <c r="F27" s="40">
        <v>1.2</v>
      </c>
      <c r="G27" s="40">
        <v>68.58</v>
      </c>
      <c r="H27" s="40">
        <v>32.18</v>
      </c>
      <c r="I27" s="40">
        <v>13.12</v>
      </c>
      <c r="J27" s="40">
        <v>0.22</v>
      </c>
      <c r="K27" s="40">
        <v>140.41</v>
      </c>
      <c r="L27" s="40">
        <v>25.77</v>
      </c>
      <c r="M27" s="40">
        <v>54.49</v>
      </c>
      <c r="N27" s="40">
        <v>3.7</v>
      </c>
      <c r="O27" s="40">
        <v>0</v>
      </c>
      <c r="P27" s="40">
        <v>0.57999999999999996</v>
      </c>
      <c r="Q27" s="40">
        <v>9.32</v>
      </c>
      <c r="R27" s="38"/>
      <c r="S27" s="38"/>
      <c r="T27" s="38"/>
      <c r="U27" s="38"/>
    </row>
    <row r="28" spans="1:21" customFormat="1">
      <c r="A28" s="39" t="s">
        <v>80</v>
      </c>
      <c r="B28" s="40">
        <v>5.47</v>
      </c>
      <c r="C28" s="40">
        <v>18.79</v>
      </c>
      <c r="D28" s="40">
        <v>14.01</v>
      </c>
      <c r="E28" s="40">
        <v>3.31</v>
      </c>
      <c r="F28" s="40">
        <v>0.35</v>
      </c>
      <c r="G28" s="40">
        <v>92.71</v>
      </c>
      <c r="H28" s="40">
        <v>38.909999999999997</v>
      </c>
      <c r="I28" s="40">
        <v>13.8</v>
      </c>
      <c r="J28" s="40">
        <v>0.26</v>
      </c>
      <c r="K28" s="40">
        <v>147.94999999999999</v>
      </c>
      <c r="L28" s="40">
        <v>25.33</v>
      </c>
      <c r="M28" s="40">
        <v>57.74</v>
      </c>
      <c r="N28" s="40">
        <v>3.7</v>
      </c>
      <c r="O28" s="40">
        <v>0</v>
      </c>
      <c r="P28" s="40">
        <v>0.65</v>
      </c>
      <c r="Q28" s="40">
        <v>9.32</v>
      </c>
      <c r="R28" s="38"/>
      <c r="S28" s="38"/>
      <c r="T28" s="38"/>
      <c r="U28" s="38"/>
    </row>
    <row r="29" spans="1:21" customFormat="1">
      <c r="A29" s="39" t="s">
        <v>81</v>
      </c>
      <c r="B29" s="40">
        <v>5.64</v>
      </c>
      <c r="C29" s="40">
        <v>18.22</v>
      </c>
      <c r="D29" s="40">
        <v>14.04</v>
      </c>
      <c r="E29" s="40">
        <v>3.75</v>
      </c>
      <c r="F29" s="40">
        <v>0.56999999999999995</v>
      </c>
      <c r="G29" s="40">
        <v>92.71</v>
      </c>
      <c r="H29" s="40">
        <v>40.58</v>
      </c>
      <c r="I29" s="40">
        <v>12.21</v>
      </c>
      <c r="J29" s="40">
        <v>0.24</v>
      </c>
      <c r="K29" s="40">
        <v>192.45</v>
      </c>
      <c r="L29" s="40">
        <v>24.33</v>
      </c>
      <c r="M29" s="40">
        <v>72.38</v>
      </c>
      <c r="N29" s="40">
        <v>3.9</v>
      </c>
      <c r="O29" s="40">
        <v>0</v>
      </c>
      <c r="P29" s="40">
        <v>0.66</v>
      </c>
      <c r="Q29" s="40">
        <v>9.32</v>
      </c>
      <c r="R29" s="38"/>
      <c r="S29" s="38"/>
      <c r="T29" s="38"/>
      <c r="U29" s="38"/>
    </row>
    <row r="30" spans="1:21" customFormat="1">
      <c r="A30" s="39" t="s">
        <v>82</v>
      </c>
      <c r="B30" s="40">
        <v>5.36</v>
      </c>
      <c r="C30" s="40">
        <v>16.2</v>
      </c>
      <c r="D30" s="40">
        <v>12.62</v>
      </c>
      <c r="E30" s="40">
        <v>3.86</v>
      </c>
      <c r="F30" s="40">
        <v>0.63</v>
      </c>
      <c r="G30" s="40">
        <v>86.92</v>
      </c>
      <c r="H30" s="40">
        <v>40.58</v>
      </c>
      <c r="I30" s="40">
        <v>10.94</v>
      </c>
      <c r="J30" s="40">
        <v>0.17</v>
      </c>
      <c r="K30" s="40">
        <v>203.88</v>
      </c>
      <c r="L30" s="40">
        <v>22.68</v>
      </c>
      <c r="M30" s="40">
        <v>80.099999999999994</v>
      </c>
      <c r="N30" s="40">
        <v>3.8</v>
      </c>
      <c r="O30" s="40">
        <v>0</v>
      </c>
      <c r="P30" s="40">
        <v>0.65</v>
      </c>
      <c r="Q30" s="40">
        <v>9.32</v>
      </c>
      <c r="R30" s="38"/>
      <c r="S30" s="38"/>
      <c r="T30" s="38"/>
      <c r="U30" s="38"/>
    </row>
    <row r="31" spans="1:21" customFormat="1">
      <c r="A31" s="39" t="s">
        <v>83</v>
      </c>
      <c r="B31" s="40">
        <v>6.19</v>
      </c>
      <c r="C31" s="40">
        <v>14.02</v>
      </c>
      <c r="D31" s="40">
        <v>11.95</v>
      </c>
      <c r="E31" s="40">
        <v>3.86</v>
      </c>
      <c r="F31" s="40">
        <v>0.31</v>
      </c>
      <c r="G31" s="40">
        <v>75.680000000000007</v>
      </c>
      <c r="H31" s="40">
        <v>39.54</v>
      </c>
      <c r="I31" s="40">
        <v>12.12</v>
      </c>
      <c r="J31" s="40">
        <v>0.19</v>
      </c>
      <c r="K31" s="40">
        <v>229.58</v>
      </c>
      <c r="L31" s="40">
        <v>21.73</v>
      </c>
      <c r="M31" s="40">
        <v>84.42</v>
      </c>
      <c r="N31" s="40">
        <v>3.5</v>
      </c>
      <c r="O31" s="40">
        <v>0</v>
      </c>
      <c r="P31" s="40">
        <v>0.65</v>
      </c>
      <c r="Q31" s="40">
        <v>9.32</v>
      </c>
      <c r="R31" s="38"/>
      <c r="S31" s="38"/>
      <c r="T31" s="38"/>
      <c r="U31" s="38"/>
    </row>
    <row r="32" spans="1:21" customFormat="1">
      <c r="A32" s="39" t="s">
        <v>84</v>
      </c>
      <c r="B32" s="40">
        <v>6.8</v>
      </c>
      <c r="C32" s="40">
        <v>13.29</v>
      </c>
      <c r="D32" s="40">
        <v>12.1</v>
      </c>
      <c r="E32" s="40">
        <v>4.12</v>
      </c>
      <c r="F32" s="40">
        <v>0.31</v>
      </c>
      <c r="G32" s="40">
        <v>65.33</v>
      </c>
      <c r="H32" s="40">
        <v>39.54</v>
      </c>
      <c r="I32" s="40">
        <v>11.79</v>
      </c>
      <c r="J32" s="40">
        <v>0.19</v>
      </c>
      <c r="K32" s="40">
        <v>238.29</v>
      </c>
      <c r="L32" s="40">
        <v>21.04</v>
      </c>
      <c r="M32" s="40">
        <v>85.55</v>
      </c>
      <c r="N32" s="40">
        <v>3.5</v>
      </c>
      <c r="O32" s="40">
        <v>0</v>
      </c>
      <c r="P32" s="40">
        <v>0.64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2.89</v>
      </c>
      <c r="C34" s="18">
        <f t="shared" si="0"/>
        <v>13.29</v>
      </c>
      <c r="D34" s="18">
        <f t="shared" si="0"/>
        <v>11.19</v>
      </c>
      <c r="E34" s="18">
        <f t="shared" si="0"/>
        <v>3.07</v>
      </c>
      <c r="F34" s="18">
        <f t="shared" si="0"/>
        <v>7.0000000000000007E-2</v>
      </c>
      <c r="G34" s="18">
        <f t="shared" si="0"/>
        <v>32.380000000000003</v>
      </c>
      <c r="H34" s="18">
        <f t="shared" si="0"/>
        <v>29.09</v>
      </c>
      <c r="I34" s="18">
        <f t="shared" si="0"/>
        <v>9.15</v>
      </c>
      <c r="J34" s="18">
        <f t="shared" si="0"/>
        <v>0.17</v>
      </c>
      <c r="K34" s="18">
        <f t="shared" si="0"/>
        <v>37.58</v>
      </c>
      <c r="L34" s="18">
        <f t="shared" si="0"/>
        <v>20.52</v>
      </c>
      <c r="M34" s="18">
        <f t="shared" si="0"/>
        <v>36.5</v>
      </c>
      <c r="N34" s="18">
        <f t="shared" si="0"/>
        <v>2.1</v>
      </c>
      <c r="O34" s="18">
        <f t="shared" si="0"/>
        <v>0</v>
      </c>
      <c r="P34" s="18">
        <f t="shared" si="0"/>
        <v>0.45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14.54</v>
      </c>
      <c r="C35" s="3">
        <f t="shared" si="1"/>
        <v>19.829999999999998</v>
      </c>
      <c r="D35" s="3">
        <f t="shared" si="1"/>
        <v>20.04</v>
      </c>
      <c r="E35" s="3">
        <f t="shared" si="1"/>
        <v>13.37</v>
      </c>
      <c r="F35" s="3">
        <f t="shared" si="1"/>
        <v>30.55</v>
      </c>
      <c r="G35" s="3">
        <f t="shared" si="1"/>
        <v>96.64</v>
      </c>
      <c r="H35" s="3">
        <f t="shared" si="1"/>
        <v>43.93</v>
      </c>
      <c r="I35" s="3">
        <f t="shared" si="1"/>
        <v>17.57</v>
      </c>
      <c r="J35" s="3">
        <f t="shared" si="1"/>
        <v>1.05</v>
      </c>
      <c r="K35" s="3">
        <f t="shared" si="1"/>
        <v>291.58999999999997</v>
      </c>
      <c r="L35" s="3">
        <f t="shared" si="1"/>
        <v>30.22</v>
      </c>
      <c r="M35" s="3">
        <f t="shared" si="1"/>
        <v>85.55</v>
      </c>
      <c r="N35" s="3">
        <f t="shared" si="1"/>
        <v>570.9</v>
      </c>
      <c r="O35" s="3">
        <f t="shared" si="1"/>
        <v>0</v>
      </c>
      <c r="P35" s="3">
        <f t="shared" si="1"/>
        <v>0.73</v>
      </c>
      <c r="Q35" s="3">
        <f t="shared" si="1"/>
        <v>10.3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7.549999999999998</v>
      </c>
      <c r="C36" s="18">
        <f t="shared" si="2"/>
        <v>16.927083333333332</v>
      </c>
      <c r="D36" s="18">
        <f t="shared" si="2"/>
        <v>14.795416666666666</v>
      </c>
      <c r="E36" s="18">
        <f t="shared" si="2"/>
        <v>6.4250000000000016</v>
      </c>
      <c r="F36" s="18">
        <f t="shared" si="2"/>
        <v>6.3908333333333323</v>
      </c>
      <c r="G36" s="18">
        <f t="shared" si="2"/>
        <v>78.986818181818194</v>
      </c>
      <c r="H36" s="18">
        <f t="shared" si="2"/>
        <v>38.923181818181824</v>
      </c>
      <c r="I36" s="18">
        <f t="shared" si="2"/>
        <v>12.233750000000001</v>
      </c>
      <c r="J36" s="18">
        <f t="shared" si="2"/>
        <v>0.50750000000000006</v>
      </c>
      <c r="K36" s="18">
        <f t="shared" si="2"/>
        <v>128.61166666666665</v>
      </c>
      <c r="L36" s="18">
        <f t="shared" si="2"/>
        <v>24.772499999999997</v>
      </c>
      <c r="M36" s="18">
        <f t="shared" si="2"/>
        <v>61.497083333333336</v>
      </c>
      <c r="N36" s="18">
        <f t="shared" si="2"/>
        <v>119.91666666666664</v>
      </c>
      <c r="O36" s="18">
        <f t="shared" si="2"/>
        <v>0</v>
      </c>
      <c r="P36" s="18">
        <f t="shared" si="2"/>
        <v>0.62625000000000008</v>
      </c>
      <c r="Q36" s="18">
        <f t="shared" si="2"/>
        <v>9.394999999999996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3.743922611611938</v>
      </c>
      <c r="C37" s="18">
        <f t="shared" ref="C37:Q37" si="3">STDEV(C9:C32)</f>
        <v>1.9546966386821572</v>
      </c>
      <c r="D37" s="18">
        <f t="shared" si="3"/>
        <v>2.6862062777580342</v>
      </c>
      <c r="E37" s="18">
        <f t="shared" si="3"/>
        <v>2.9514506381718779</v>
      </c>
      <c r="F37" s="18">
        <f t="shared" si="3"/>
        <v>10.55635185529327</v>
      </c>
      <c r="G37" s="18">
        <f t="shared" si="3"/>
        <v>18.321031210934386</v>
      </c>
      <c r="H37" s="18">
        <f t="shared" si="3"/>
        <v>4.6010737736021952</v>
      </c>
      <c r="I37" s="18">
        <f t="shared" si="3"/>
        <v>2.0937667585312378</v>
      </c>
      <c r="J37" s="18">
        <f t="shared" si="3"/>
        <v>0.295359029863214</v>
      </c>
      <c r="K37" s="18">
        <f t="shared" si="3"/>
        <v>73.12181894480679</v>
      </c>
      <c r="L37" s="18">
        <f t="shared" si="3"/>
        <v>3.5509720041015402</v>
      </c>
      <c r="M37" s="18">
        <f t="shared" si="3"/>
        <v>14.948134238430686</v>
      </c>
      <c r="N37" s="18">
        <f t="shared" si="3"/>
        <v>188.7197730859784</v>
      </c>
      <c r="O37" s="18">
        <f t="shared" si="3"/>
        <v>0</v>
      </c>
      <c r="P37" s="18">
        <f t="shared" si="3"/>
        <v>7.7952744882925848E-2</v>
      </c>
      <c r="Q37" s="18">
        <f t="shared" si="3"/>
        <v>0.23161061776367153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COUNT(G9:G32)+2</f>
        <v>24</v>
      </c>
      <c r="H38" s="34">
        <f>COUNT(H9:H32)+2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H14" sqref="H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85</v>
      </c>
      <c r="B9" s="40">
        <v>7.12</v>
      </c>
      <c r="C9" s="40">
        <v>12.41</v>
      </c>
      <c r="D9" s="40">
        <v>12.12</v>
      </c>
      <c r="E9" s="40">
        <v>4.38</v>
      </c>
      <c r="F9" s="40">
        <v>0.24</v>
      </c>
      <c r="G9" s="40">
        <v>61.31</v>
      </c>
      <c r="H9" s="40">
        <v>36.15</v>
      </c>
      <c r="I9" s="40">
        <v>11.05</v>
      </c>
      <c r="J9" s="40">
        <v>0.16</v>
      </c>
      <c r="K9" s="40">
        <v>235.47</v>
      </c>
      <c r="L9" s="40">
        <v>20.329999999999998</v>
      </c>
      <c r="M9" s="40">
        <v>87.78</v>
      </c>
      <c r="N9" s="40">
        <v>3.5</v>
      </c>
      <c r="O9" s="40">
        <v>0</v>
      </c>
      <c r="P9" s="40">
        <v>0.62</v>
      </c>
      <c r="Q9" s="40">
        <v>9.32</v>
      </c>
      <c r="R9" s="38"/>
      <c r="S9" s="38"/>
      <c r="T9" s="38"/>
      <c r="U9" s="38"/>
    </row>
    <row r="10" spans="1:21" customFormat="1">
      <c r="A10" s="39" t="s">
        <v>86</v>
      </c>
      <c r="B10" s="40">
        <v>7.72</v>
      </c>
      <c r="C10" s="40">
        <v>12.1</v>
      </c>
      <c r="D10" s="40">
        <v>12.41</v>
      </c>
      <c r="E10" s="40">
        <v>4.18</v>
      </c>
      <c r="F10" s="40">
        <v>0.17</v>
      </c>
      <c r="G10" s="40">
        <v>50.06</v>
      </c>
      <c r="H10" s="40">
        <v>34.159999999999997</v>
      </c>
      <c r="I10" s="40">
        <v>10.65</v>
      </c>
      <c r="J10" s="40">
        <v>0.2</v>
      </c>
      <c r="K10" s="40">
        <v>237.48</v>
      </c>
      <c r="L10" s="40">
        <v>19.7</v>
      </c>
      <c r="M10" s="40">
        <v>90.42</v>
      </c>
      <c r="N10" s="40">
        <v>3.5</v>
      </c>
      <c r="O10" s="40">
        <v>0</v>
      </c>
      <c r="P10" s="40">
        <v>0.57999999999999996</v>
      </c>
      <c r="Q10" s="40">
        <v>9.32</v>
      </c>
      <c r="R10" s="38"/>
      <c r="S10" s="38"/>
      <c r="T10" s="38"/>
      <c r="U10" s="38"/>
    </row>
    <row r="11" spans="1:21" customFormat="1">
      <c r="A11" s="39" t="s">
        <v>87</v>
      </c>
      <c r="B11" s="40">
        <v>8.69</v>
      </c>
      <c r="C11" s="40">
        <v>12.41</v>
      </c>
      <c r="D11" s="40">
        <v>13.43</v>
      </c>
      <c r="E11" s="40">
        <v>5.31</v>
      </c>
      <c r="F11" s="40">
        <v>0.14000000000000001</v>
      </c>
      <c r="G11" s="40">
        <v>41.78</v>
      </c>
      <c r="H11" s="40">
        <v>31.16</v>
      </c>
      <c r="I11" s="40">
        <v>10.31</v>
      </c>
      <c r="J11" s="40">
        <v>0.14000000000000001</v>
      </c>
      <c r="K11" s="40">
        <v>198.56</v>
      </c>
      <c r="L11" s="40">
        <v>19.43</v>
      </c>
      <c r="M11" s="40">
        <v>90.71</v>
      </c>
      <c r="N11" s="40">
        <v>3.3</v>
      </c>
      <c r="O11" s="40">
        <v>0</v>
      </c>
      <c r="P11" s="40">
        <v>0.56999999999999995</v>
      </c>
      <c r="Q11" s="40">
        <v>9.4499999999999993</v>
      </c>
      <c r="R11" s="38"/>
      <c r="S11" s="38"/>
      <c r="T11" s="38"/>
      <c r="U11" s="38"/>
    </row>
    <row r="12" spans="1:21" customFormat="1">
      <c r="A12" s="39" t="s">
        <v>88</v>
      </c>
      <c r="B12" s="40">
        <v>11.14</v>
      </c>
      <c r="C12" s="40">
        <v>13.43</v>
      </c>
      <c r="D12" s="40">
        <v>15.95</v>
      </c>
      <c r="E12" s="40">
        <v>5.2</v>
      </c>
      <c r="F12" s="40">
        <v>0.21</v>
      </c>
      <c r="G12" s="40">
        <v>42.11</v>
      </c>
      <c r="H12" s="40">
        <v>28.63</v>
      </c>
      <c r="I12" s="40">
        <v>10.08</v>
      </c>
      <c r="J12" s="40">
        <v>0.18</v>
      </c>
      <c r="K12" s="40">
        <v>310.62</v>
      </c>
      <c r="L12" s="40">
        <v>19.14</v>
      </c>
      <c r="M12" s="40">
        <v>90.78</v>
      </c>
      <c r="N12" s="40">
        <v>3.4</v>
      </c>
      <c r="O12" s="40">
        <v>0</v>
      </c>
      <c r="P12" s="40">
        <v>0.55000000000000004</v>
      </c>
      <c r="Q12" s="40">
        <v>9.32</v>
      </c>
      <c r="R12" s="38"/>
      <c r="S12" s="38"/>
      <c r="T12" s="38"/>
      <c r="U12" s="38"/>
    </row>
    <row r="13" spans="1:21" customFormat="1">
      <c r="A13" s="39" t="s">
        <v>89</v>
      </c>
      <c r="B13" s="40">
        <v>12.26</v>
      </c>
      <c r="C13" s="40">
        <v>13.72</v>
      </c>
      <c r="D13" s="40">
        <v>16.97</v>
      </c>
      <c r="E13" s="40">
        <v>5.42</v>
      </c>
      <c r="F13" s="40">
        <v>0.09</v>
      </c>
      <c r="G13" s="40">
        <v>44.59</v>
      </c>
      <c r="H13" s="40">
        <v>27.98</v>
      </c>
      <c r="I13" s="40">
        <v>9.7200000000000006</v>
      </c>
      <c r="J13" s="40">
        <v>0.77</v>
      </c>
      <c r="K13" s="40">
        <v>45.42</v>
      </c>
      <c r="L13" s="40">
        <v>19.190000000000001</v>
      </c>
      <c r="M13" s="40">
        <v>89.96</v>
      </c>
      <c r="N13" s="40">
        <v>3.5</v>
      </c>
      <c r="O13" s="40">
        <v>0</v>
      </c>
      <c r="P13" s="40">
        <v>0.55000000000000004</v>
      </c>
      <c r="Q13" s="40">
        <v>9.32</v>
      </c>
      <c r="R13" s="38"/>
      <c r="S13" s="38"/>
      <c r="T13" s="38"/>
      <c r="U13" s="38"/>
    </row>
    <row r="14" spans="1:21" customFormat="1">
      <c r="A14" s="39" t="s">
        <v>90</v>
      </c>
      <c r="B14" s="40">
        <v>12.78</v>
      </c>
      <c r="C14" s="40">
        <v>13.96</v>
      </c>
      <c r="D14" s="40">
        <v>17.52</v>
      </c>
      <c r="E14" s="40">
        <v>5.37</v>
      </c>
      <c r="F14" s="40">
        <v>0.23</v>
      </c>
      <c r="G14" s="40">
        <v>59.55</v>
      </c>
      <c r="H14" s="40">
        <v>32.15</v>
      </c>
      <c r="I14" s="40">
        <v>10.02</v>
      </c>
      <c r="J14" s="40">
        <v>0.49</v>
      </c>
      <c r="K14" s="40">
        <v>46.46</v>
      </c>
      <c r="L14" s="40">
        <v>18.66</v>
      </c>
      <c r="M14" s="40">
        <v>90.51</v>
      </c>
      <c r="N14" s="40">
        <v>3.5</v>
      </c>
      <c r="O14" s="40">
        <v>0</v>
      </c>
      <c r="P14" s="40">
        <v>0.56999999999999995</v>
      </c>
      <c r="Q14" s="40">
        <v>9.32</v>
      </c>
      <c r="R14" s="38"/>
      <c r="S14" s="38"/>
      <c r="T14" s="38"/>
      <c r="U14" s="38"/>
    </row>
    <row r="15" spans="1:21" customFormat="1">
      <c r="A15" s="39" t="s">
        <v>91</v>
      </c>
      <c r="B15" s="40">
        <v>13.64</v>
      </c>
      <c r="C15" s="40">
        <v>14.21</v>
      </c>
      <c r="D15" s="40">
        <v>18.37</v>
      </c>
      <c r="E15" s="40">
        <v>5.35</v>
      </c>
      <c r="F15" s="40">
        <v>0.19</v>
      </c>
      <c r="G15" s="40">
        <v>70.569999999999993</v>
      </c>
      <c r="H15" s="40">
        <v>37.479999999999997</v>
      </c>
      <c r="I15" s="40">
        <v>10.42</v>
      </c>
      <c r="J15" s="40">
        <v>0.62</v>
      </c>
      <c r="K15" s="40">
        <v>72.7</v>
      </c>
      <c r="L15" s="40">
        <v>18.64</v>
      </c>
      <c r="M15" s="40">
        <v>91.23</v>
      </c>
      <c r="N15" s="40">
        <v>23.9</v>
      </c>
      <c r="O15" s="40">
        <v>0</v>
      </c>
      <c r="P15" s="40">
        <v>0.62</v>
      </c>
      <c r="Q15" s="40">
        <v>9.32</v>
      </c>
      <c r="R15" s="38"/>
      <c r="S15" s="38"/>
      <c r="T15" s="38"/>
      <c r="U15" s="38"/>
    </row>
    <row r="16" spans="1:21" customFormat="1">
      <c r="A16" s="39" t="s">
        <v>92</v>
      </c>
      <c r="B16" s="40">
        <v>14.46</v>
      </c>
      <c r="C16" s="40">
        <v>14.99</v>
      </c>
      <c r="D16" s="40">
        <v>19.43</v>
      </c>
      <c r="E16" s="40">
        <v>5.79</v>
      </c>
      <c r="F16" s="40">
        <v>0.16</v>
      </c>
      <c r="G16" s="40">
        <v>78.62</v>
      </c>
      <c r="H16" s="40">
        <v>38.56</v>
      </c>
      <c r="I16" s="40">
        <v>10.77</v>
      </c>
      <c r="J16" s="40">
        <v>0.5</v>
      </c>
      <c r="K16" s="40">
        <v>104.95</v>
      </c>
      <c r="L16" s="40">
        <v>20.36</v>
      </c>
      <c r="M16" s="40">
        <v>90.85</v>
      </c>
      <c r="N16" s="40">
        <v>95.6</v>
      </c>
      <c r="O16" s="40">
        <v>0</v>
      </c>
      <c r="P16" s="40">
        <v>0.67</v>
      </c>
      <c r="Q16" s="40">
        <v>9.32</v>
      </c>
      <c r="R16" s="38"/>
      <c r="S16" s="38"/>
      <c r="T16" s="38"/>
      <c r="U16" s="38"/>
    </row>
    <row r="17" spans="1:21" customFormat="1">
      <c r="A17" s="39" t="s">
        <v>93</v>
      </c>
      <c r="B17" s="40">
        <v>14.4</v>
      </c>
      <c r="C17" s="40">
        <v>15.57</v>
      </c>
      <c r="D17" s="40">
        <v>19.68</v>
      </c>
      <c r="E17" s="40">
        <v>5.95</v>
      </c>
      <c r="F17" s="40">
        <v>0.27</v>
      </c>
      <c r="G17" s="40">
        <v>99.32</v>
      </c>
      <c r="H17" s="40">
        <v>41.91</v>
      </c>
      <c r="I17" s="40">
        <v>11.44</v>
      </c>
      <c r="J17" s="40">
        <v>0.65</v>
      </c>
      <c r="K17" s="40">
        <v>114.94</v>
      </c>
      <c r="L17" s="40">
        <v>23.36</v>
      </c>
      <c r="M17" s="40">
        <v>79.66</v>
      </c>
      <c r="N17" s="40">
        <v>254.7</v>
      </c>
      <c r="O17" s="40">
        <v>0</v>
      </c>
      <c r="P17" s="40">
        <v>0.68</v>
      </c>
      <c r="Q17" s="40">
        <v>9.32</v>
      </c>
      <c r="R17" s="38"/>
      <c r="S17" s="38"/>
      <c r="T17" s="38"/>
      <c r="U17" s="38"/>
    </row>
    <row r="18" spans="1:21" customFormat="1">
      <c r="A18" s="39" t="s">
        <v>94</v>
      </c>
      <c r="B18" s="40">
        <v>13.98</v>
      </c>
      <c r="C18" s="40">
        <v>15.6</v>
      </c>
      <c r="D18" s="40">
        <v>19.29</v>
      </c>
      <c r="E18" s="40">
        <v>6.19</v>
      </c>
      <c r="F18" s="40">
        <v>0.31</v>
      </c>
      <c r="G18" s="40">
        <v>99.32</v>
      </c>
      <c r="H18" s="40">
        <v>41.91</v>
      </c>
      <c r="I18" s="40">
        <v>11.62</v>
      </c>
      <c r="J18" s="40">
        <v>0.64</v>
      </c>
      <c r="K18" s="40">
        <v>53.12</v>
      </c>
      <c r="L18" s="40">
        <v>26.12</v>
      </c>
      <c r="M18" s="40">
        <v>62.79</v>
      </c>
      <c r="N18" s="40">
        <v>330.8</v>
      </c>
      <c r="O18" s="40">
        <v>0</v>
      </c>
      <c r="P18" s="40">
        <v>0.68</v>
      </c>
      <c r="Q18" s="40">
        <v>9.32</v>
      </c>
      <c r="R18" s="38"/>
      <c r="S18" s="38"/>
      <c r="T18" s="38"/>
      <c r="U18" s="38"/>
    </row>
    <row r="19" spans="1:21" customFormat="1">
      <c r="A19" s="39" t="s">
        <v>95</v>
      </c>
      <c r="B19" s="40">
        <v>13.05</v>
      </c>
      <c r="C19" s="40">
        <v>15.95</v>
      </c>
      <c r="D19" s="40">
        <v>18.600000000000001</v>
      </c>
      <c r="E19" s="40">
        <v>6.6</v>
      </c>
      <c r="F19" s="40">
        <v>1.29</v>
      </c>
      <c r="G19" s="40">
        <v>92.92</v>
      </c>
      <c r="H19" s="40">
        <v>41.18</v>
      </c>
      <c r="I19" s="40">
        <v>11.65</v>
      </c>
      <c r="J19" s="40">
        <v>1.24</v>
      </c>
      <c r="K19" s="40">
        <v>53.69</v>
      </c>
      <c r="L19" s="40">
        <v>27.73</v>
      </c>
      <c r="M19" s="40">
        <v>52.88</v>
      </c>
      <c r="N19" s="40">
        <v>473.6</v>
      </c>
      <c r="O19" s="40">
        <v>0</v>
      </c>
      <c r="P19" s="40">
        <v>0.69</v>
      </c>
      <c r="Q19" s="40">
        <v>9.32</v>
      </c>
      <c r="R19" s="38"/>
      <c r="S19" s="38"/>
      <c r="T19" s="38"/>
      <c r="U19" s="38"/>
    </row>
    <row r="20" spans="1:21" customFormat="1">
      <c r="A20" s="39" t="s">
        <v>96</v>
      </c>
      <c r="B20" s="40">
        <v>10.72</v>
      </c>
      <c r="C20" s="40">
        <v>16.43</v>
      </c>
      <c r="D20" s="40">
        <v>17.05</v>
      </c>
      <c r="E20" s="40">
        <v>8.61</v>
      </c>
      <c r="F20" s="40">
        <v>2.12</v>
      </c>
      <c r="G20" s="40">
        <v>90.27</v>
      </c>
      <c r="H20" s="40">
        <v>38.86</v>
      </c>
      <c r="I20" s="40">
        <v>11.5</v>
      </c>
      <c r="J20" s="40">
        <v>1.08</v>
      </c>
      <c r="K20" s="40">
        <v>51.85</v>
      </c>
      <c r="L20" s="40">
        <v>28.93</v>
      </c>
      <c r="M20" s="40">
        <v>47.02</v>
      </c>
      <c r="N20" s="40">
        <v>502.3</v>
      </c>
      <c r="O20" s="40">
        <v>0</v>
      </c>
      <c r="P20" s="40">
        <v>0.69</v>
      </c>
      <c r="Q20" s="40">
        <v>9.32</v>
      </c>
      <c r="R20" s="38"/>
      <c r="S20" s="38"/>
      <c r="T20" s="38"/>
      <c r="U20" s="38"/>
    </row>
    <row r="21" spans="1:21" customFormat="1">
      <c r="A21" s="39" t="s">
        <v>97</v>
      </c>
      <c r="B21" s="40">
        <v>8.3000000000000007</v>
      </c>
      <c r="C21" s="40">
        <v>17.350000000000001</v>
      </c>
      <c r="D21" s="40">
        <v>15.26</v>
      </c>
      <c r="E21" s="40">
        <v>7.63</v>
      </c>
      <c r="F21" s="40">
        <v>3.4</v>
      </c>
      <c r="G21" s="40">
        <v>90.27</v>
      </c>
      <c r="H21" s="40">
        <v>36.85</v>
      </c>
      <c r="I21" s="40">
        <v>11.16</v>
      </c>
      <c r="J21" s="40">
        <v>1.1499999999999999</v>
      </c>
      <c r="K21" s="40">
        <v>49.67</v>
      </c>
      <c r="L21" s="40">
        <v>29.92</v>
      </c>
      <c r="M21" s="40">
        <v>41.78</v>
      </c>
      <c r="N21" s="40">
        <v>511.1</v>
      </c>
      <c r="O21" s="40">
        <v>0</v>
      </c>
      <c r="P21" s="40">
        <v>0.66</v>
      </c>
      <c r="Q21" s="40">
        <v>9.32</v>
      </c>
      <c r="R21" s="38"/>
      <c r="S21" s="38"/>
      <c r="T21" s="38"/>
      <c r="U21" s="38"/>
    </row>
    <row r="22" spans="1:21" customFormat="1">
      <c r="A22" s="39" t="s">
        <v>98</v>
      </c>
      <c r="B22" s="40">
        <v>4.83</v>
      </c>
      <c r="C22" s="40">
        <v>17.329999999999998</v>
      </c>
      <c r="D22" s="40">
        <v>12.92</v>
      </c>
      <c r="E22" s="40">
        <v>7.35</v>
      </c>
      <c r="F22" s="40">
        <v>3.13</v>
      </c>
      <c r="G22" s="40">
        <v>84.4</v>
      </c>
      <c r="H22" s="40">
        <v>37.28</v>
      </c>
      <c r="I22" s="40">
        <v>10.8</v>
      </c>
      <c r="J22" s="40">
        <v>0.45</v>
      </c>
      <c r="K22" s="40">
        <v>110.23</v>
      </c>
      <c r="L22" s="40">
        <v>30.06</v>
      </c>
      <c r="M22" s="40">
        <v>37.18</v>
      </c>
      <c r="N22" s="40">
        <v>438.9</v>
      </c>
      <c r="O22" s="40">
        <v>0</v>
      </c>
      <c r="P22" s="40">
        <v>0.64</v>
      </c>
      <c r="Q22" s="40">
        <v>9.32</v>
      </c>
      <c r="R22" s="38"/>
      <c r="S22" s="38"/>
      <c r="T22" s="38"/>
      <c r="U22" s="38"/>
    </row>
    <row r="23" spans="1:21" customFormat="1">
      <c r="A23" s="39" t="s">
        <v>99</v>
      </c>
      <c r="B23" s="40">
        <v>3.54</v>
      </c>
      <c r="C23" s="40">
        <v>16.5</v>
      </c>
      <c r="D23" s="40">
        <v>11.44</v>
      </c>
      <c r="E23" s="40">
        <v>7.65</v>
      </c>
      <c r="F23" s="40">
        <v>4.04</v>
      </c>
      <c r="G23" s="40">
        <v>72.36</v>
      </c>
      <c r="H23" s="40">
        <v>37.28</v>
      </c>
      <c r="I23" s="40">
        <v>10.19</v>
      </c>
      <c r="J23" s="40">
        <v>0.37</v>
      </c>
      <c r="K23" s="40">
        <v>84.1</v>
      </c>
      <c r="L23" s="40">
        <v>29.88</v>
      </c>
      <c r="M23" s="40">
        <v>37.869999999999997</v>
      </c>
      <c r="N23" s="40">
        <v>146.5</v>
      </c>
      <c r="O23" s="40">
        <v>0</v>
      </c>
      <c r="P23" s="40">
        <v>0.61</v>
      </c>
      <c r="Q23" s="40">
        <v>9.32</v>
      </c>
      <c r="R23" s="38"/>
      <c r="S23" s="38"/>
      <c r="T23" s="38"/>
      <c r="U23" s="38"/>
    </row>
    <row r="24" spans="1:21" customFormat="1">
      <c r="A24" s="39" t="s">
        <v>100</v>
      </c>
      <c r="B24" s="40">
        <v>3.54</v>
      </c>
      <c r="C24" s="40">
        <v>16.809999999999999</v>
      </c>
      <c r="D24" s="40">
        <v>11.62</v>
      </c>
      <c r="E24" s="40">
        <v>7.26</v>
      </c>
      <c r="F24" s="40">
        <v>2.61</v>
      </c>
      <c r="G24" s="40">
        <v>72.36</v>
      </c>
      <c r="H24" s="40">
        <v>35.950000000000003</v>
      </c>
      <c r="I24" s="40">
        <v>9.64</v>
      </c>
      <c r="J24" s="40">
        <v>0.56999999999999995</v>
      </c>
      <c r="K24" s="40">
        <v>84.61</v>
      </c>
      <c r="L24" s="40">
        <v>29.67</v>
      </c>
      <c r="M24" s="40">
        <v>38.56</v>
      </c>
      <c r="N24" s="40">
        <v>95.3</v>
      </c>
      <c r="O24" s="40">
        <v>0</v>
      </c>
      <c r="P24" s="40">
        <v>0.61</v>
      </c>
      <c r="Q24" s="40">
        <v>9.32</v>
      </c>
      <c r="R24" s="38"/>
      <c r="S24" s="38"/>
      <c r="T24" s="38"/>
      <c r="U24" s="38"/>
    </row>
    <row r="25" spans="1:21" customFormat="1">
      <c r="A25" s="39" t="s">
        <v>101</v>
      </c>
      <c r="B25" s="40">
        <v>3.75</v>
      </c>
      <c r="C25" s="40">
        <v>17.21</v>
      </c>
      <c r="D25" s="40">
        <v>11.97</v>
      </c>
      <c r="E25" s="40">
        <v>6.89</v>
      </c>
      <c r="F25" s="40">
        <v>2.29</v>
      </c>
      <c r="G25" s="40">
        <v>72.349999999999994</v>
      </c>
      <c r="H25" s="40">
        <v>35.950000000000003</v>
      </c>
      <c r="I25" s="40">
        <v>9.39</v>
      </c>
      <c r="J25" s="40">
        <v>0.21</v>
      </c>
      <c r="K25" s="40">
        <v>143.76</v>
      </c>
      <c r="L25" s="40">
        <v>29.04</v>
      </c>
      <c r="M25" s="40">
        <v>47.85</v>
      </c>
      <c r="N25" s="40">
        <v>47.6</v>
      </c>
      <c r="O25" s="40">
        <v>0</v>
      </c>
      <c r="P25" s="40">
        <v>0.61</v>
      </c>
      <c r="Q25" s="40">
        <v>9.32</v>
      </c>
      <c r="R25" s="38"/>
      <c r="S25" s="38"/>
      <c r="T25" s="38"/>
      <c r="U25" s="38"/>
    </row>
    <row r="26" spans="1:21" customFormat="1">
      <c r="A26" s="39" t="s">
        <v>102</v>
      </c>
      <c r="B26" s="40">
        <v>4.92</v>
      </c>
      <c r="C26" s="40">
        <v>17.239999999999998</v>
      </c>
      <c r="D26" s="40">
        <v>12.76</v>
      </c>
      <c r="E26" s="40">
        <v>6.78</v>
      </c>
      <c r="F26" s="40">
        <v>1.0900000000000001</v>
      </c>
      <c r="G26" s="40">
        <v>81.17</v>
      </c>
      <c r="H26" s="40">
        <v>40.770000000000003</v>
      </c>
      <c r="I26" s="40">
        <v>9.2899999999999991</v>
      </c>
      <c r="J26" s="40">
        <v>0.24</v>
      </c>
      <c r="K26" s="40">
        <v>156.71</v>
      </c>
      <c r="L26" s="40">
        <v>26.71</v>
      </c>
      <c r="M26" s="40">
        <v>59</v>
      </c>
      <c r="N26" s="40">
        <v>7.9</v>
      </c>
      <c r="O26" s="40">
        <v>0</v>
      </c>
      <c r="P26" s="40">
        <v>0.65</v>
      </c>
      <c r="Q26" s="40">
        <v>9.32</v>
      </c>
      <c r="R26" s="38"/>
      <c r="S26" s="38"/>
      <c r="T26" s="38"/>
      <c r="U26" s="38"/>
    </row>
    <row r="27" spans="1:21" customFormat="1">
      <c r="A27" s="39" t="s">
        <v>103</v>
      </c>
      <c r="B27" s="40">
        <v>6.87</v>
      </c>
      <c r="C27" s="40">
        <v>17.010000000000002</v>
      </c>
      <c r="D27" s="40">
        <v>14.33</v>
      </c>
      <c r="E27" s="40">
        <v>6.25</v>
      </c>
      <c r="F27" s="40">
        <v>0.28999999999999998</v>
      </c>
      <c r="G27" s="40">
        <v>100.56</v>
      </c>
      <c r="H27" s="40">
        <v>44.81</v>
      </c>
      <c r="I27" s="40">
        <v>9.81</v>
      </c>
      <c r="J27" s="40">
        <v>0.32</v>
      </c>
      <c r="K27" s="40">
        <v>174.39</v>
      </c>
      <c r="L27" s="40">
        <v>24.58</v>
      </c>
      <c r="M27" s="40">
        <v>75.81</v>
      </c>
      <c r="N27" s="40">
        <v>3.6</v>
      </c>
      <c r="O27" s="40">
        <v>0</v>
      </c>
      <c r="P27" s="40">
        <v>0.72</v>
      </c>
      <c r="Q27" s="40">
        <v>9.32</v>
      </c>
      <c r="R27" s="38"/>
      <c r="S27" s="38"/>
      <c r="T27" s="38"/>
      <c r="U27" s="38"/>
    </row>
    <row r="28" spans="1:21" customFormat="1">
      <c r="A28" s="39" t="s">
        <v>104</v>
      </c>
      <c r="B28" s="40">
        <v>7.93</v>
      </c>
      <c r="C28" s="40">
        <v>16.920000000000002</v>
      </c>
      <c r="D28" s="40">
        <v>14.88</v>
      </c>
      <c r="E28" s="40">
        <v>6.34</v>
      </c>
      <c r="F28" s="40">
        <v>0.14000000000000001</v>
      </c>
      <c r="G28" s="40">
        <v>112.77</v>
      </c>
      <c r="H28" s="40">
        <v>45.23</v>
      </c>
      <c r="I28" s="40">
        <v>10.29</v>
      </c>
      <c r="J28" s="40">
        <v>0.18</v>
      </c>
      <c r="K28" s="40">
        <v>185.07</v>
      </c>
      <c r="L28" s="40">
        <v>22.75</v>
      </c>
      <c r="M28" s="40">
        <v>78.47</v>
      </c>
      <c r="N28" s="40">
        <v>3.5</v>
      </c>
      <c r="O28" s="40">
        <v>0</v>
      </c>
      <c r="P28" s="40">
        <v>0.75</v>
      </c>
      <c r="Q28" s="40">
        <v>9.32</v>
      </c>
      <c r="R28" s="38"/>
      <c r="S28" s="38"/>
      <c r="T28" s="38"/>
      <c r="U28" s="38"/>
    </row>
    <row r="29" spans="1:21" customFormat="1">
      <c r="A29" s="39" t="s">
        <v>105</v>
      </c>
      <c r="B29" s="40">
        <v>8.73</v>
      </c>
      <c r="C29" s="40">
        <v>16.27</v>
      </c>
      <c r="D29" s="40">
        <v>15.22</v>
      </c>
      <c r="E29" s="40">
        <v>6.15</v>
      </c>
      <c r="F29" s="40">
        <v>0.15</v>
      </c>
      <c r="G29" s="40">
        <v>126.52</v>
      </c>
      <c r="H29" s="40">
        <v>46.8</v>
      </c>
      <c r="I29" s="40">
        <v>10.74</v>
      </c>
      <c r="J29" s="40">
        <v>0.2</v>
      </c>
      <c r="K29" s="40">
        <v>208</v>
      </c>
      <c r="L29" s="40">
        <v>22.05</v>
      </c>
      <c r="M29" s="40">
        <v>81.61</v>
      </c>
      <c r="N29" s="40">
        <v>3.3</v>
      </c>
      <c r="O29" s="40">
        <v>0</v>
      </c>
      <c r="P29" s="40">
        <v>0.77</v>
      </c>
      <c r="Q29" s="40">
        <v>9.32</v>
      </c>
      <c r="R29" s="38"/>
      <c r="S29" s="38"/>
      <c r="T29" s="38"/>
      <c r="U29" s="38"/>
    </row>
    <row r="30" spans="1:21" customFormat="1">
      <c r="A30" s="39" t="s">
        <v>106</v>
      </c>
      <c r="B30" s="40">
        <v>9.09</v>
      </c>
      <c r="C30" s="40">
        <v>15.64</v>
      </c>
      <c r="D30" s="40">
        <v>15.33</v>
      </c>
      <c r="E30" s="40">
        <v>5.97</v>
      </c>
      <c r="F30" s="40">
        <v>0.08</v>
      </c>
      <c r="G30" s="40">
        <v>126.52</v>
      </c>
      <c r="H30" s="40">
        <v>46.8</v>
      </c>
      <c r="I30" s="40">
        <v>11</v>
      </c>
      <c r="J30" s="40">
        <v>0.21</v>
      </c>
      <c r="K30" s="40">
        <v>206.33</v>
      </c>
      <c r="L30" s="40">
        <v>21.18</v>
      </c>
      <c r="M30" s="40">
        <v>83.92</v>
      </c>
      <c r="N30" s="40">
        <v>3.2</v>
      </c>
      <c r="O30" s="40">
        <v>0</v>
      </c>
      <c r="P30" s="40">
        <v>0.78</v>
      </c>
      <c r="Q30" s="40">
        <v>9.32</v>
      </c>
      <c r="R30" s="38"/>
      <c r="S30" s="38"/>
      <c r="T30" s="38"/>
      <c r="U30" s="38"/>
    </row>
    <row r="31" spans="1:21" customFormat="1">
      <c r="A31" s="39" t="s">
        <v>107</v>
      </c>
      <c r="B31" s="40">
        <v>10.93</v>
      </c>
      <c r="C31" s="40">
        <v>15.68</v>
      </c>
      <c r="D31" s="40">
        <v>16.96</v>
      </c>
      <c r="E31" s="40">
        <v>5.85</v>
      </c>
      <c r="F31" s="40">
        <v>0.08</v>
      </c>
      <c r="G31" s="40">
        <v>124.24</v>
      </c>
      <c r="H31" s="40">
        <v>47.64</v>
      </c>
      <c r="I31" s="40">
        <v>11.52</v>
      </c>
      <c r="J31" s="40">
        <v>0.28999999999999998</v>
      </c>
      <c r="K31" s="40">
        <v>214.8</v>
      </c>
      <c r="L31" s="40">
        <v>20.8</v>
      </c>
      <c r="M31" s="40">
        <v>84.59</v>
      </c>
      <c r="N31" s="40">
        <v>3.3</v>
      </c>
      <c r="O31" s="40">
        <v>0</v>
      </c>
      <c r="P31" s="40">
        <v>0.79</v>
      </c>
      <c r="Q31" s="40">
        <v>9.32</v>
      </c>
      <c r="R31" s="38"/>
      <c r="S31" s="38"/>
      <c r="T31" s="38"/>
      <c r="U31" s="38"/>
    </row>
    <row r="32" spans="1:21" customFormat="1">
      <c r="A32" s="39" t="s">
        <v>108</v>
      </c>
      <c r="B32" s="40">
        <v>10.89</v>
      </c>
      <c r="C32" s="40">
        <v>15.54</v>
      </c>
      <c r="D32" s="40">
        <v>16.850000000000001</v>
      </c>
      <c r="E32" s="40">
        <v>5.88</v>
      </c>
      <c r="F32" s="40">
        <v>0.11</v>
      </c>
      <c r="G32" s="40">
        <v>124.24</v>
      </c>
      <c r="H32" s="40">
        <v>47.64</v>
      </c>
      <c r="I32" s="40">
        <v>11.82</v>
      </c>
      <c r="J32" s="40">
        <v>0.18</v>
      </c>
      <c r="K32" s="40">
        <v>194.57</v>
      </c>
      <c r="L32" s="40">
        <v>20.32</v>
      </c>
      <c r="M32" s="40">
        <v>84.74</v>
      </c>
      <c r="N32" s="40">
        <v>3.4</v>
      </c>
      <c r="O32" s="40">
        <v>0</v>
      </c>
      <c r="P32" s="40">
        <v>0.79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3.54</v>
      </c>
      <c r="C34" s="18">
        <f t="shared" si="0"/>
        <v>12.1</v>
      </c>
      <c r="D34" s="18">
        <f t="shared" si="0"/>
        <v>11.44</v>
      </c>
      <c r="E34" s="18">
        <f t="shared" si="0"/>
        <v>4.18</v>
      </c>
      <c r="F34" s="18">
        <f t="shared" si="0"/>
        <v>0.08</v>
      </c>
      <c r="G34" s="18">
        <f t="shared" si="0"/>
        <v>41.78</v>
      </c>
      <c r="H34" s="18">
        <f t="shared" si="0"/>
        <v>27.98</v>
      </c>
      <c r="I34" s="18">
        <f t="shared" si="0"/>
        <v>9.2899999999999991</v>
      </c>
      <c r="J34" s="18">
        <f t="shared" si="0"/>
        <v>0.14000000000000001</v>
      </c>
      <c r="K34" s="18">
        <f t="shared" si="0"/>
        <v>45.42</v>
      </c>
      <c r="L34" s="18">
        <f t="shared" si="0"/>
        <v>18.64</v>
      </c>
      <c r="M34" s="18">
        <f t="shared" si="0"/>
        <v>37.18</v>
      </c>
      <c r="N34" s="18">
        <f t="shared" si="0"/>
        <v>3.2</v>
      </c>
      <c r="O34" s="18">
        <f t="shared" si="0"/>
        <v>0</v>
      </c>
      <c r="P34" s="18">
        <f t="shared" si="0"/>
        <v>0.55000000000000004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14.46</v>
      </c>
      <c r="C35" s="3">
        <f t="shared" si="1"/>
        <v>17.350000000000001</v>
      </c>
      <c r="D35" s="3">
        <f t="shared" si="1"/>
        <v>19.68</v>
      </c>
      <c r="E35" s="3">
        <f t="shared" si="1"/>
        <v>8.61</v>
      </c>
      <c r="F35" s="3">
        <f t="shared" si="1"/>
        <v>4.04</v>
      </c>
      <c r="G35" s="3">
        <f t="shared" si="1"/>
        <v>126.52</v>
      </c>
      <c r="H35" s="3">
        <f t="shared" si="1"/>
        <v>47.64</v>
      </c>
      <c r="I35" s="3">
        <f t="shared" si="1"/>
        <v>11.82</v>
      </c>
      <c r="J35" s="3">
        <f t="shared" si="1"/>
        <v>1.24</v>
      </c>
      <c r="K35" s="3">
        <f t="shared" si="1"/>
        <v>310.62</v>
      </c>
      <c r="L35" s="3">
        <f t="shared" si="1"/>
        <v>30.06</v>
      </c>
      <c r="M35" s="3">
        <f t="shared" si="1"/>
        <v>91.23</v>
      </c>
      <c r="N35" s="3">
        <f t="shared" si="1"/>
        <v>511.1</v>
      </c>
      <c r="O35" s="3">
        <f t="shared" si="1"/>
        <v>0</v>
      </c>
      <c r="P35" s="3">
        <f t="shared" si="1"/>
        <v>0.79</v>
      </c>
      <c r="Q35" s="3">
        <f t="shared" si="1"/>
        <v>9.4499999999999993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9.3033333333333346</v>
      </c>
      <c r="C36" s="18">
        <f t="shared" si="2"/>
        <v>15.428333333333333</v>
      </c>
      <c r="D36" s="18">
        <f t="shared" si="2"/>
        <v>15.431666666666665</v>
      </c>
      <c r="E36" s="18">
        <f t="shared" si="2"/>
        <v>6.1812499999999995</v>
      </c>
      <c r="F36" s="18">
        <f t="shared" si="2"/>
        <v>0.9512499999999996</v>
      </c>
      <c r="G36" s="18">
        <f t="shared" si="2"/>
        <v>84.090833333333322</v>
      </c>
      <c r="H36" s="18">
        <f t="shared" si="2"/>
        <v>38.880416666666662</v>
      </c>
      <c r="I36" s="18">
        <f t="shared" si="2"/>
        <v>10.620000000000001</v>
      </c>
      <c r="J36" s="18">
        <f t="shared" si="2"/>
        <v>0.45999999999999996</v>
      </c>
      <c r="K36" s="18">
        <f t="shared" si="2"/>
        <v>139.0625</v>
      </c>
      <c r="L36" s="18">
        <f t="shared" si="2"/>
        <v>23.689583333333331</v>
      </c>
      <c r="M36" s="18">
        <f t="shared" si="2"/>
        <v>71.498749999999987</v>
      </c>
      <c r="N36" s="18">
        <f t="shared" si="2"/>
        <v>123.7166666666667</v>
      </c>
      <c r="O36" s="18">
        <f t="shared" si="2"/>
        <v>0</v>
      </c>
      <c r="P36" s="18">
        <f t="shared" si="2"/>
        <v>0.66041666666666654</v>
      </c>
      <c r="Q36" s="18">
        <f t="shared" si="2"/>
        <v>9.325416666666662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3.5630320096021109</v>
      </c>
      <c r="C37" s="18">
        <f t="shared" ref="C37:Q37" si="3">STDEV(C9:C32)</f>
        <v>1.6648088195937472</v>
      </c>
      <c r="D37" s="18">
        <f t="shared" si="3"/>
        <v>2.6634003546735845</v>
      </c>
      <c r="E37" s="18">
        <f t="shared" si="3"/>
        <v>1.0447271851083142</v>
      </c>
      <c r="F37" s="18">
        <f t="shared" si="3"/>
        <v>1.2503436484144808</v>
      </c>
      <c r="G37" s="18">
        <f t="shared" si="3"/>
        <v>26.835207392474196</v>
      </c>
      <c r="H37" s="18">
        <f t="shared" si="3"/>
        <v>5.7808074350776888</v>
      </c>
      <c r="I37" s="18">
        <f t="shared" si="3"/>
        <v>0.7586773387599145</v>
      </c>
      <c r="J37" s="18">
        <f t="shared" si="3"/>
        <v>0.3274805005811332</v>
      </c>
      <c r="K37" s="18">
        <f t="shared" si="3"/>
        <v>76.422074278028617</v>
      </c>
      <c r="L37" s="18">
        <f t="shared" si="3"/>
        <v>4.2711300603884261</v>
      </c>
      <c r="M37" s="18">
        <f t="shared" si="3"/>
        <v>20.409954798855054</v>
      </c>
      <c r="N37" s="18">
        <f t="shared" si="3"/>
        <v>184.17184713023406</v>
      </c>
      <c r="O37" s="18">
        <f t="shared" si="3"/>
        <v>0</v>
      </c>
      <c r="P37" s="18">
        <f t="shared" si="3"/>
        <v>7.5956461594594807E-2</v>
      </c>
      <c r="Q37" s="18">
        <f t="shared" si="3"/>
        <v>2.653613888015088E-2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S17" sqref="S1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109</v>
      </c>
      <c r="B9" s="40">
        <v>13.43</v>
      </c>
      <c r="C9" s="40">
        <v>16.059999999999999</v>
      </c>
      <c r="D9" s="40">
        <v>19.16</v>
      </c>
      <c r="E9" s="40">
        <v>5.98</v>
      </c>
      <c r="F9" s="40">
        <v>0.16</v>
      </c>
      <c r="G9" s="40">
        <v>105.94</v>
      </c>
      <c r="H9" s="40">
        <v>46.64</v>
      </c>
      <c r="I9" s="40">
        <v>11.88</v>
      </c>
      <c r="J9" s="40">
        <v>0.25</v>
      </c>
      <c r="K9" s="40">
        <v>107.64</v>
      </c>
      <c r="L9" s="40">
        <v>20.22</v>
      </c>
      <c r="M9" s="40">
        <v>83.9</v>
      </c>
      <c r="N9" s="40">
        <v>3.1</v>
      </c>
      <c r="O9" s="40">
        <v>0</v>
      </c>
      <c r="P9" s="40">
        <v>0.79</v>
      </c>
      <c r="Q9" s="40">
        <v>9.32</v>
      </c>
      <c r="R9" s="38"/>
      <c r="S9" s="38"/>
      <c r="T9" s="38"/>
      <c r="U9" s="38"/>
    </row>
    <row r="10" spans="1:21" customFormat="1">
      <c r="A10" s="39" t="s">
        <v>110</v>
      </c>
      <c r="B10" s="40">
        <v>15.6</v>
      </c>
      <c r="C10" s="40">
        <v>17</v>
      </c>
      <c r="D10" s="40">
        <v>21.37</v>
      </c>
      <c r="E10" s="40">
        <v>6.13</v>
      </c>
      <c r="F10" s="40">
        <v>0.06</v>
      </c>
      <c r="G10" s="40">
        <v>101.56</v>
      </c>
      <c r="H10" s="40">
        <v>48.9</v>
      </c>
      <c r="I10" s="40">
        <v>12.04</v>
      </c>
      <c r="J10" s="40">
        <v>0.15</v>
      </c>
      <c r="K10" s="40">
        <v>196.16</v>
      </c>
      <c r="L10" s="40">
        <v>20.34</v>
      </c>
      <c r="M10" s="40">
        <v>82.65</v>
      </c>
      <c r="N10" s="40">
        <v>3.3</v>
      </c>
      <c r="O10" s="40">
        <v>0</v>
      </c>
      <c r="P10" s="40">
        <v>0.8</v>
      </c>
      <c r="Q10" s="40">
        <v>9.32</v>
      </c>
      <c r="R10" s="38"/>
      <c r="S10" s="38"/>
      <c r="T10" s="38"/>
      <c r="U10" s="38"/>
    </row>
    <row r="11" spans="1:21" customFormat="1">
      <c r="A11" s="39" t="s">
        <v>111</v>
      </c>
      <c r="B11" s="40">
        <v>15.61</v>
      </c>
      <c r="C11" s="40">
        <v>16.78</v>
      </c>
      <c r="D11" s="40">
        <v>21.18</v>
      </c>
      <c r="E11" s="40">
        <v>5.57</v>
      </c>
      <c r="F11" s="40">
        <v>0.09</v>
      </c>
      <c r="G11" s="40">
        <v>101.56</v>
      </c>
      <c r="H11" s="40">
        <v>51</v>
      </c>
      <c r="I11" s="40">
        <v>11.99</v>
      </c>
      <c r="J11" s="40">
        <v>0.21</v>
      </c>
      <c r="K11" s="40">
        <v>221.18</v>
      </c>
      <c r="L11" s="40">
        <v>19.440000000000001</v>
      </c>
      <c r="M11" s="40">
        <v>88.39</v>
      </c>
      <c r="N11" s="40">
        <v>3.4</v>
      </c>
      <c r="O11" s="40">
        <v>0</v>
      </c>
      <c r="P11" s="40">
        <v>0.78</v>
      </c>
      <c r="Q11" s="40">
        <v>9.32</v>
      </c>
      <c r="R11" s="38"/>
      <c r="S11" s="38"/>
      <c r="T11" s="38"/>
      <c r="U11" s="38"/>
    </row>
    <row r="12" spans="1:21" customFormat="1">
      <c r="A12" s="39" t="s">
        <v>112</v>
      </c>
      <c r="B12" s="40">
        <v>19.46</v>
      </c>
      <c r="C12" s="40">
        <v>16.36</v>
      </c>
      <c r="D12" s="40">
        <v>24.07</v>
      </c>
      <c r="E12" s="40">
        <v>5.43</v>
      </c>
      <c r="F12" s="40">
        <v>0.06</v>
      </c>
      <c r="G12" s="40">
        <v>92.47</v>
      </c>
      <c r="H12" s="40">
        <v>51</v>
      </c>
      <c r="I12" s="40">
        <v>11.74</v>
      </c>
      <c r="J12" s="40">
        <v>0.44</v>
      </c>
      <c r="K12" s="40">
        <v>185.42</v>
      </c>
      <c r="L12" s="40">
        <v>18.93</v>
      </c>
      <c r="M12" s="40">
        <v>88.97</v>
      </c>
      <c r="N12" s="40">
        <v>3.1</v>
      </c>
      <c r="O12" s="40">
        <v>0</v>
      </c>
      <c r="P12" s="40">
        <v>0.78</v>
      </c>
      <c r="Q12" s="40">
        <v>9.32</v>
      </c>
      <c r="R12" s="38"/>
      <c r="S12" s="38"/>
      <c r="T12" s="38"/>
      <c r="U12" s="38"/>
    </row>
    <row r="13" spans="1:21" customFormat="1">
      <c r="A13" s="39" t="s">
        <v>113</v>
      </c>
      <c r="B13" s="40">
        <v>19.57</v>
      </c>
      <c r="C13" s="40">
        <v>16.28</v>
      </c>
      <c r="D13" s="40">
        <v>24.2</v>
      </c>
      <c r="E13" s="40">
        <v>5.48</v>
      </c>
      <c r="F13" s="40">
        <v>0.1</v>
      </c>
      <c r="G13" s="40">
        <v>97.11</v>
      </c>
      <c r="H13" s="40">
        <v>51.39</v>
      </c>
      <c r="I13" s="40">
        <v>11.55</v>
      </c>
      <c r="J13" s="40">
        <v>0.35</v>
      </c>
      <c r="K13" s="40">
        <v>100.18</v>
      </c>
      <c r="L13" s="40">
        <v>18.829999999999998</v>
      </c>
      <c r="M13" s="40">
        <v>86.41</v>
      </c>
      <c r="N13" s="40">
        <v>3.3</v>
      </c>
      <c r="O13" s="40">
        <v>0</v>
      </c>
      <c r="P13" s="40">
        <v>0.81</v>
      </c>
      <c r="Q13" s="40">
        <v>9.32</v>
      </c>
      <c r="R13" s="38"/>
      <c r="S13" s="38"/>
      <c r="T13" s="38"/>
      <c r="U13" s="38"/>
    </row>
    <row r="14" spans="1:21" customFormat="1">
      <c r="A14" s="39" t="s">
        <v>114</v>
      </c>
      <c r="B14" s="40">
        <v>19.46</v>
      </c>
      <c r="C14" s="40">
        <v>16.29</v>
      </c>
      <c r="D14" s="40">
        <v>24.12</v>
      </c>
      <c r="E14" s="40">
        <v>5.34</v>
      </c>
      <c r="F14" s="40">
        <v>0.02</v>
      </c>
      <c r="G14" s="40">
        <v>101.36</v>
      </c>
      <c r="H14" s="40">
        <v>52.07</v>
      </c>
      <c r="I14" s="40">
        <v>13.46</v>
      </c>
      <c r="J14" s="40">
        <v>0.14000000000000001</v>
      </c>
      <c r="K14" s="40">
        <v>217.82</v>
      </c>
      <c r="L14" s="40">
        <v>18.46</v>
      </c>
      <c r="M14" s="40">
        <v>91.15</v>
      </c>
      <c r="N14" s="40">
        <v>3.5</v>
      </c>
      <c r="O14" s="40">
        <v>0</v>
      </c>
      <c r="P14" s="40">
        <v>0.86</v>
      </c>
      <c r="Q14" s="40">
        <v>9.32</v>
      </c>
      <c r="R14" s="38"/>
      <c r="S14" s="38"/>
      <c r="T14" s="38"/>
      <c r="U14" s="38"/>
    </row>
    <row r="15" spans="1:21" customFormat="1">
      <c r="A15" s="39" t="s">
        <v>115</v>
      </c>
      <c r="B15" s="40">
        <v>21.75</v>
      </c>
      <c r="C15" s="40">
        <v>16.36</v>
      </c>
      <c r="D15" s="40">
        <v>25.99</v>
      </c>
      <c r="E15" s="40">
        <v>5.16</v>
      </c>
      <c r="F15" s="40">
        <v>7.0000000000000007E-2</v>
      </c>
      <c r="G15" s="40">
        <v>101.36</v>
      </c>
      <c r="H15" s="40">
        <v>52.07</v>
      </c>
      <c r="I15" s="40">
        <v>14.99</v>
      </c>
      <c r="J15" s="40">
        <v>0.22</v>
      </c>
      <c r="K15" s="40">
        <v>233.04</v>
      </c>
      <c r="L15" s="40">
        <v>17.920000000000002</v>
      </c>
      <c r="M15" s="40">
        <v>92.63</v>
      </c>
      <c r="N15" s="40">
        <v>22.1</v>
      </c>
      <c r="O15" s="40">
        <v>0</v>
      </c>
      <c r="P15" s="40">
        <v>0.89</v>
      </c>
      <c r="Q15" s="40">
        <v>9.32</v>
      </c>
      <c r="R15" s="38"/>
      <c r="S15" s="38"/>
      <c r="T15" s="38"/>
      <c r="U15" s="38"/>
    </row>
    <row r="16" spans="1:21" customFormat="1">
      <c r="A16" s="39" t="s">
        <v>116</v>
      </c>
      <c r="B16" s="40">
        <v>21.01</v>
      </c>
      <c r="C16" s="40">
        <v>15.6</v>
      </c>
      <c r="D16" s="40">
        <v>25</v>
      </c>
      <c r="E16" s="40">
        <v>5.1100000000000003</v>
      </c>
      <c r="F16" s="40">
        <v>7.0000000000000007E-2</v>
      </c>
      <c r="G16" s="40">
        <v>98.75</v>
      </c>
      <c r="H16" s="40">
        <v>51.82</v>
      </c>
      <c r="I16" s="40">
        <v>15.07</v>
      </c>
      <c r="J16" s="40">
        <v>0.55000000000000004</v>
      </c>
      <c r="K16" s="40">
        <v>304.16000000000003</v>
      </c>
      <c r="L16" s="40">
        <v>20</v>
      </c>
      <c r="M16" s="40">
        <v>91.66</v>
      </c>
      <c r="N16" s="40">
        <v>93.9</v>
      </c>
      <c r="O16" s="40">
        <v>0</v>
      </c>
      <c r="P16" s="40">
        <v>0.89</v>
      </c>
      <c r="Q16" s="40">
        <v>9.32</v>
      </c>
      <c r="R16" s="38"/>
      <c r="S16" s="38"/>
      <c r="T16" s="38"/>
      <c r="U16" s="38"/>
    </row>
    <row r="17" spans="1:21" customFormat="1">
      <c r="A17" s="39" t="s">
        <v>117</v>
      </c>
      <c r="B17" s="40">
        <v>21.01</v>
      </c>
      <c r="C17" s="40">
        <v>17.2</v>
      </c>
      <c r="D17" s="40">
        <v>25.46</v>
      </c>
      <c r="E17" s="40">
        <v>5.2</v>
      </c>
      <c r="F17" s="40">
        <v>0.27</v>
      </c>
      <c r="G17" s="40">
        <v>94.5</v>
      </c>
      <c r="H17" s="40">
        <v>49.82</v>
      </c>
      <c r="I17" s="40">
        <v>15.06</v>
      </c>
      <c r="J17" s="40">
        <v>0.8</v>
      </c>
      <c r="K17" s="40">
        <v>32.96</v>
      </c>
      <c r="L17" s="40">
        <v>22.86</v>
      </c>
      <c r="M17" s="40">
        <v>74.400000000000006</v>
      </c>
      <c r="N17" s="40">
        <v>250.4</v>
      </c>
      <c r="O17" s="40">
        <v>0</v>
      </c>
      <c r="P17" s="40">
        <v>0.88</v>
      </c>
      <c r="Q17" s="40">
        <v>9.32</v>
      </c>
      <c r="R17" s="38"/>
      <c r="S17" s="38"/>
      <c r="T17" s="38"/>
      <c r="U17" s="38"/>
    </row>
    <row r="18" spans="1:21" customFormat="1">
      <c r="A18" s="39" t="s">
        <v>118</v>
      </c>
      <c r="B18" s="40">
        <v>19.63</v>
      </c>
      <c r="C18" s="40">
        <v>19.100000000000001</v>
      </c>
      <c r="D18" s="40">
        <v>25.02</v>
      </c>
      <c r="E18" s="40">
        <v>5.29</v>
      </c>
      <c r="F18" s="40">
        <v>0.24</v>
      </c>
      <c r="G18" s="40">
        <v>94.42</v>
      </c>
      <c r="H18" s="40">
        <v>49.82</v>
      </c>
      <c r="I18" s="40">
        <v>15.13</v>
      </c>
      <c r="J18" s="40">
        <v>0.98</v>
      </c>
      <c r="K18" s="40">
        <v>41.64</v>
      </c>
      <c r="L18" s="40">
        <v>25.38</v>
      </c>
      <c r="M18" s="40">
        <v>59.82</v>
      </c>
      <c r="N18" s="40">
        <v>331.1</v>
      </c>
      <c r="O18" s="40">
        <v>0</v>
      </c>
      <c r="P18" s="40">
        <v>0.86</v>
      </c>
      <c r="Q18" s="40">
        <v>9.32</v>
      </c>
      <c r="R18" s="38"/>
      <c r="S18" s="38"/>
      <c r="T18" s="38"/>
      <c r="U18" s="38"/>
    </row>
    <row r="19" spans="1:21" customFormat="1">
      <c r="A19" s="39" t="s">
        <v>119</v>
      </c>
      <c r="B19" s="40">
        <v>17.510000000000002</v>
      </c>
      <c r="C19" s="40">
        <v>20.010000000000002</v>
      </c>
      <c r="D19" s="40">
        <v>24.14</v>
      </c>
      <c r="E19" s="40">
        <v>6.57</v>
      </c>
      <c r="F19" s="40">
        <v>0.66</v>
      </c>
      <c r="G19" s="40">
        <v>89.92</v>
      </c>
      <c r="H19" s="40">
        <v>42.47</v>
      </c>
      <c r="I19" s="40">
        <v>14.01</v>
      </c>
      <c r="J19" s="40">
        <v>1.1599999999999999</v>
      </c>
      <c r="K19" s="40">
        <v>50.09</v>
      </c>
      <c r="L19" s="40">
        <v>27.93</v>
      </c>
      <c r="M19" s="40">
        <v>49.74</v>
      </c>
      <c r="N19" s="40">
        <v>492</v>
      </c>
      <c r="O19" s="40">
        <v>0</v>
      </c>
      <c r="P19" s="40">
        <v>0.82</v>
      </c>
      <c r="Q19" s="40">
        <v>9.42</v>
      </c>
      <c r="R19" s="38"/>
      <c r="S19" s="38"/>
      <c r="T19" s="38"/>
      <c r="U19" s="38"/>
    </row>
    <row r="20" spans="1:21" customFormat="1">
      <c r="A20" s="39" t="s">
        <v>120</v>
      </c>
      <c r="B20" s="40">
        <v>13.43</v>
      </c>
      <c r="C20" s="40">
        <v>20.9</v>
      </c>
      <c r="D20" s="40">
        <v>21.37</v>
      </c>
      <c r="E20" s="40">
        <v>6.89</v>
      </c>
      <c r="F20" s="40">
        <v>1.59</v>
      </c>
      <c r="G20" s="40">
        <v>82.12</v>
      </c>
      <c r="H20" s="40">
        <v>39.409999999999997</v>
      </c>
      <c r="I20" s="40">
        <v>12.74</v>
      </c>
      <c r="J20" s="40">
        <v>1.07</v>
      </c>
      <c r="K20" s="40">
        <v>53.69</v>
      </c>
      <c r="L20" s="40">
        <v>29.14</v>
      </c>
      <c r="M20" s="40">
        <v>36.229999999999997</v>
      </c>
      <c r="N20" s="40">
        <v>531.9</v>
      </c>
      <c r="O20" s="40">
        <v>0</v>
      </c>
      <c r="P20" s="40">
        <v>0.76</v>
      </c>
      <c r="Q20" s="40">
        <v>9.49</v>
      </c>
      <c r="R20" s="38"/>
      <c r="S20" s="38"/>
      <c r="T20" s="38"/>
      <c r="U20" s="38"/>
    </row>
    <row r="21" spans="1:21" customFormat="1">
      <c r="A21" s="39" t="s">
        <v>121</v>
      </c>
      <c r="B21" s="40">
        <v>9.0399999999999991</v>
      </c>
      <c r="C21" s="40">
        <v>21.34</v>
      </c>
      <c r="D21" s="40">
        <v>18.21</v>
      </c>
      <c r="E21" s="40">
        <v>7.63</v>
      </c>
      <c r="F21" s="40">
        <v>2.52</v>
      </c>
      <c r="G21" s="40">
        <v>72.84</v>
      </c>
      <c r="H21" s="40">
        <v>34.85</v>
      </c>
      <c r="I21" s="40">
        <v>11.68</v>
      </c>
      <c r="J21" s="40">
        <v>1.42</v>
      </c>
      <c r="K21" s="40">
        <v>36.08</v>
      </c>
      <c r="L21" s="40">
        <v>29.81</v>
      </c>
      <c r="M21" s="40">
        <v>33.76</v>
      </c>
      <c r="N21" s="40">
        <v>524.70000000000005</v>
      </c>
      <c r="O21" s="40">
        <v>0</v>
      </c>
      <c r="P21" s="40">
        <v>0.7</v>
      </c>
      <c r="Q21" s="40">
        <v>9.5500000000000007</v>
      </c>
      <c r="R21" s="38"/>
      <c r="S21" s="38"/>
      <c r="T21" s="38"/>
      <c r="U21" s="38"/>
    </row>
    <row r="22" spans="1:21" customFormat="1">
      <c r="A22" s="39" t="s">
        <v>122</v>
      </c>
      <c r="B22" s="40">
        <v>6.21</v>
      </c>
      <c r="C22" s="40">
        <v>21.1</v>
      </c>
      <c r="D22" s="40">
        <v>16</v>
      </c>
      <c r="E22" s="40">
        <v>8.19</v>
      </c>
      <c r="F22" s="40">
        <v>4.75</v>
      </c>
      <c r="G22" s="40">
        <v>67.8</v>
      </c>
      <c r="H22" s="40">
        <v>33.630000000000003</v>
      </c>
      <c r="I22" s="40">
        <v>10.65</v>
      </c>
      <c r="J22" s="40">
        <v>1.07</v>
      </c>
      <c r="K22" s="40">
        <v>59.27</v>
      </c>
      <c r="L22" s="40">
        <v>30.08</v>
      </c>
      <c r="M22" s="40">
        <v>32.39</v>
      </c>
      <c r="N22" s="40">
        <v>441.1</v>
      </c>
      <c r="O22" s="40">
        <v>0</v>
      </c>
      <c r="P22" s="40">
        <v>0.68</v>
      </c>
      <c r="Q22" s="40">
        <v>9.65</v>
      </c>
      <c r="R22" s="38"/>
      <c r="S22" s="38"/>
      <c r="T22" s="38"/>
      <c r="U22" s="38"/>
    </row>
    <row r="23" spans="1:21" customFormat="1">
      <c r="A23" s="39" t="s">
        <v>123</v>
      </c>
      <c r="B23" s="40">
        <v>4.91</v>
      </c>
      <c r="C23" s="40">
        <v>18.77</v>
      </c>
      <c r="D23" s="40">
        <v>13.74</v>
      </c>
      <c r="E23" s="40">
        <v>8.36</v>
      </c>
      <c r="F23" s="40">
        <v>7.35</v>
      </c>
      <c r="G23" s="40">
        <v>64.3</v>
      </c>
      <c r="H23" s="40">
        <v>33.130000000000003</v>
      </c>
      <c r="I23" s="40">
        <v>10.19</v>
      </c>
      <c r="J23" s="40">
        <v>0.81</v>
      </c>
      <c r="K23" s="40">
        <v>58.08</v>
      </c>
      <c r="L23" s="40">
        <v>29.74</v>
      </c>
      <c r="M23" s="40">
        <v>31.84</v>
      </c>
      <c r="N23" s="40">
        <v>129.9</v>
      </c>
      <c r="O23" s="40">
        <v>0</v>
      </c>
      <c r="P23" s="40">
        <v>0.55000000000000004</v>
      </c>
      <c r="Q23" s="40">
        <v>9.6300000000000008</v>
      </c>
      <c r="R23" s="38"/>
      <c r="S23" s="38"/>
      <c r="T23" s="38"/>
      <c r="U23" s="38"/>
    </row>
    <row r="24" spans="1:21" customFormat="1">
      <c r="A24" s="39" t="s">
        <v>124</v>
      </c>
      <c r="B24" s="40">
        <v>4.16</v>
      </c>
      <c r="C24" s="40">
        <v>17.45</v>
      </c>
      <c r="D24" s="40">
        <v>12.34</v>
      </c>
      <c r="E24" s="40">
        <v>8.1300000000000008</v>
      </c>
      <c r="F24" s="40">
        <v>7.39</v>
      </c>
      <c r="G24" s="40">
        <v>61.61</v>
      </c>
      <c r="H24" s="40">
        <v>33.130000000000003</v>
      </c>
      <c r="I24" s="40">
        <v>9.84</v>
      </c>
      <c r="J24" s="40">
        <v>1.03</v>
      </c>
      <c r="K24" s="40">
        <v>42.98</v>
      </c>
      <c r="L24" s="40">
        <v>29.59</v>
      </c>
      <c r="M24" s="40">
        <v>29.62</v>
      </c>
      <c r="N24" s="40">
        <v>79.7</v>
      </c>
      <c r="O24" s="40">
        <v>0</v>
      </c>
      <c r="P24" s="40">
        <v>0.53</v>
      </c>
      <c r="Q24" s="40">
        <v>9.65</v>
      </c>
      <c r="R24" s="38"/>
      <c r="S24" s="38"/>
      <c r="T24" s="38"/>
      <c r="U24" s="38"/>
    </row>
    <row r="25" spans="1:21" customFormat="1">
      <c r="A25" s="39" t="s">
        <v>125</v>
      </c>
      <c r="B25" s="40">
        <v>4.08</v>
      </c>
      <c r="C25" s="40">
        <v>16.63</v>
      </c>
      <c r="D25" s="40">
        <v>11.87</v>
      </c>
      <c r="E25" s="40">
        <v>7.54</v>
      </c>
      <c r="F25" s="40">
        <v>4.46</v>
      </c>
      <c r="G25" s="40">
        <v>56.78</v>
      </c>
      <c r="H25" s="40">
        <v>31.16</v>
      </c>
      <c r="I25" s="40">
        <v>9.7100000000000009</v>
      </c>
      <c r="J25" s="40">
        <v>0.62</v>
      </c>
      <c r="K25" s="40">
        <v>145.05000000000001</v>
      </c>
      <c r="L25" s="40">
        <v>29.12</v>
      </c>
      <c r="M25" s="40">
        <v>36.64</v>
      </c>
      <c r="N25" s="40">
        <v>43.5</v>
      </c>
      <c r="O25" s="40">
        <v>0</v>
      </c>
      <c r="P25" s="40">
        <v>0.53</v>
      </c>
      <c r="Q25" s="40">
        <v>9.81</v>
      </c>
      <c r="R25" s="38"/>
      <c r="S25" s="38"/>
      <c r="T25" s="38"/>
      <c r="U25" s="38"/>
    </row>
    <row r="26" spans="1:21" customFormat="1">
      <c r="A26" s="39" t="s">
        <v>126</v>
      </c>
      <c r="B26" s="40">
        <v>4.49</v>
      </c>
      <c r="C26" s="40">
        <v>15.67</v>
      </c>
      <c r="D26" s="40">
        <v>11.78</v>
      </c>
      <c r="E26" s="40">
        <v>6.73</v>
      </c>
      <c r="F26" s="40">
        <v>1.31</v>
      </c>
      <c r="G26" s="40">
        <v>63.43</v>
      </c>
      <c r="H26" s="40">
        <v>30.95</v>
      </c>
      <c r="I26" s="40">
        <v>11.53</v>
      </c>
      <c r="J26" s="40">
        <v>0.32</v>
      </c>
      <c r="K26" s="40">
        <v>165.02</v>
      </c>
      <c r="L26" s="40">
        <v>26.14</v>
      </c>
      <c r="M26" s="40">
        <v>52.13</v>
      </c>
      <c r="N26" s="40">
        <v>9.6999999999999993</v>
      </c>
      <c r="O26" s="40">
        <v>0</v>
      </c>
      <c r="P26" s="40">
        <v>0.53</v>
      </c>
      <c r="Q26" s="40">
        <v>9.74</v>
      </c>
      <c r="R26" s="38"/>
      <c r="S26" s="38"/>
      <c r="T26" s="38"/>
      <c r="U26" s="38"/>
    </row>
    <row r="27" spans="1:21" customFormat="1">
      <c r="A27" s="39" t="s">
        <v>127</v>
      </c>
      <c r="B27" s="40">
        <v>5.46</v>
      </c>
      <c r="C27" s="40">
        <v>17.649999999999999</v>
      </c>
      <c r="D27" s="40">
        <v>13.6</v>
      </c>
      <c r="E27" s="40">
        <v>6.48</v>
      </c>
      <c r="F27" s="40">
        <v>0.3</v>
      </c>
      <c r="G27" s="40">
        <v>87.66</v>
      </c>
      <c r="H27" s="40">
        <v>35.56</v>
      </c>
      <c r="I27" s="40">
        <v>14.64</v>
      </c>
      <c r="J27" s="40">
        <v>0.3</v>
      </c>
      <c r="K27" s="40">
        <v>177.91</v>
      </c>
      <c r="L27" s="40">
        <v>24.1</v>
      </c>
      <c r="M27" s="40">
        <v>65.19</v>
      </c>
      <c r="N27" s="40">
        <v>3.7</v>
      </c>
      <c r="O27" s="40">
        <v>0</v>
      </c>
      <c r="P27" s="40">
        <v>0.59</v>
      </c>
      <c r="Q27" s="40">
        <v>9.74</v>
      </c>
      <c r="R27" s="38"/>
      <c r="S27" s="38"/>
      <c r="T27" s="38"/>
      <c r="U27" s="38"/>
    </row>
    <row r="28" spans="1:21" customFormat="1">
      <c r="A28" s="39" t="s">
        <v>128</v>
      </c>
      <c r="B28" s="40">
        <v>8.89</v>
      </c>
      <c r="C28" s="40">
        <v>18.63</v>
      </c>
      <c r="D28" s="40">
        <v>16.86</v>
      </c>
      <c r="E28" s="40">
        <v>6.5</v>
      </c>
      <c r="F28" s="40">
        <v>7.0000000000000007E-2</v>
      </c>
      <c r="G28" s="40">
        <v>111.18</v>
      </c>
      <c r="H28" s="40">
        <v>37.5</v>
      </c>
      <c r="I28" s="40">
        <v>14.58</v>
      </c>
      <c r="J28" s="40">
        <v>0.21</v>
      </c>
      <c r="K28" s="40">
        <v>203.15</v>
      </c>
      <c r="L28" s="40">
        <v>22.36</v>
      </c>
      <c r="M28" s="40">
        <v>74.400000000000006</v>
      </c>
      <c r="N28" s="40">
        <v>3.5</v>
      </c>
      <c r="O28" s="40">
        <v>0</v>
      </c>
      <c r="P28" s="40">
        <v>0.67</v>
      </c>
      <c r="Q28" s="40">
        <v>9.81</v>
      </c>
      <c r="R28" s="38"/>
      <c r="S28" s="38"/>
      <c r="T28" s="38"/>
      <c r="U28" s="38"/>
    </row>
    <row r="29" spans="1:21" customFormat="1">
      <c r="A29" s="39" t="s">
        <v>129</v>
      </c>
      <c r="B29" s="40">
        <v>15.56</v>
      </c>
      <c r="C29" s="40">
        <v>20.010000000000002</v>
      </c>
      <c r="D29" s="40">
        <v>22.94</v>
      </c>
      <c r="E29" s="40">
        <v>6.71</v>
      </c>
      <c r="F29" s="40">
        <v>7.0000000000000007E-2</v>
      </c>
      <c r="G29" s="40">
        <v>129.84</v>
      </c>
      <c r="H29" s="40">
        <v>43.83</v>
      </c>
      <c r="I29" s="40">
        <v>15.77</v>
      </c>
      <c r="J29" s="40">
        <v>0.17</v>
      </c>
      <c r="K29" s="40">
        <v>174.63</v>
      </c>
      <c r="L29" s="40">
        <v>22</v>
      </c>
      <c r="M29" s="40">
        <v>72.88</v>
      </c>
      <c r="N29" s="40">
        <v>3.5</v>
      </c>
      <c r="O29" s="40">
        <v>0</v>
      </c>
      <c r="P29" s="40">
        <v>0.78</v>
      </c>
      <c r="Q29" s="40">
        <v>9.7899999999999991</v>
      </c>
      <c r="R29" s="38"/>
      <c r="S29" s="38"/>
      <c r="T29" s="38"/>
      <c r="U29" s="38"/>
    </row>
    <row r="30" spans="1:21" customFormat="1">
      <c r="A30" s="39" t="s">
        <v>130</v>
      </c>
      <c r="B30" s="40">
        <v>19.54</v>
      </c>
      <c r="C30" s="40">
        <v>20.58</v>
      </c>
      <c r="D30" s="40">
        <v>26.42</v>
      </c>
      <c r="E30" s="40">
        <v>6.87</v>
      </c>
      <c r="F30" s="40">
        <v>0.04</v>
      </c>
      <c r="G30" s="40">
        <v>146.63999999999999</v>
      </c>
      <c r="H30" s="40">
        <v>46.48</v>
      </c>
      <c r="I30" s="40">
        <v>16.98</v>
      </c>
      <c r="J30" s="40">
        <v>0.3</v>
      </c>
      <c r="K30" s="40">
        <v>174.04</v>
      </c>
      <c r="L30" s="40">
        <v>21.61</v>
      </c>
      <c r="M30" s="40">
        <v>78.69</v>
      </c>
      <c r="N30" s="40">
        <v>3.6</v>
      </c>
      <c r="O30" s="40">
        <v>0</v>
      </c>
      <c r="P30" s="40">
        <v>0.9</v>
      </c>
      <c r="Q30" s="40">
        <v>9.75</v>
      </c>
      <c r="R30" s="38"/>
      <c r="S30" s="38"/>
      <c r="T30" s="38"/>
      <c r="U30" s="38"/>
    </row>
    <row r="31" spans="1:21" customFormat="1">
      <c r="A31" s="39" t="s">
        <v>131</v>
      </c>
      <c r="B31" s="40">
        <v>20.75</v>
      </c>
      <c r="C31" s="40">
        <v>20.48</v>
      </c>
      <c r="D31" s="40">
        <v>27.07</v>
      </c>
      <c r="E31" s="40">
        <v>6.7</v>
      </c>
      <c r="F31" s="40">
        <v>0.32</v>
      </c>
      <c r="G31" s="40">
        <v>146.63999999999999</v>
      </c>
      <c r="H31" s="40">
        <v>51.13</v>
      </c>
      <c r="I31" s="40">
        <v>17.79</v>
      </c>
      <c r="J31" s="40">
        <v>0.2</v>
      </c>
      <c r="K31" s="40">
        <v>167.63</v>
      </c>
      <c r="L31" s="40">
        <v>21.1</v>
      </c>
      <c r="M31" s="40">
        <v>77.489999999999995</v>
      </c>
      <c r="N31" s="40">
        <v>3.6</v>
      </c>
      <c r="O31" s="40">
        <v>0</v>
      </c>
      <c r="P31" s="40">
        <v>0.94</v>
      </c>
      <c r="Q31" s="40">
        <v>9.77</v>
      </c>
      <c r="R31" s="38"/>
      <c r="S31" s="38"/>
      <c r="T31" s="38"/>
      <c r="U31" s="38"/>
    </row>
    <row r="32" spans="1:21" customFormat="1">
      <c r="A32" s="39" t="s">
        <v>132</v>
      </c>
      <c r="B32" s="40">
        <v>21.02</v>
      </c>
      <c r="C32" s="40">
        <v>19.72</v>
      </c>
      <c r="D32" s="40">
        <v>27.02</v>
      </c>
      <c r="E32" s="40">
        <v>6.52</v>
      </c>
      <c r="F32" s="40">
        <v>0.2</v>
      </c>
      <c r="G32" s="40">
        <v>144.02000000000001</v>
      </c>
      <c r="H32" s="40">
        <v>51.13</v>
      </c>
      <c r="I32" s="40">
        <v>17.77</v>
      </c>
      <c r="J32" s="40">
        <v>0.21</v>
      </c>
      <c r="K32" s="40">
        <v>229.81</v>
      </c>
      <c r="L32" s="40">
        <v>21.07</v>
      </c>
      <c r="M32" s="40">
        <v>69.319999999999993</v>
      </c>
      <c r="N32" s="40">
        <v>3.9</v>
      </c>
      <c r="O32" s="40">
        <v>0</v>
      </c>
      <c r="P32" s="40">
        <v>0.94</v>
      </c>
      <c r="Q32" s="40">
        <v>9.77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4.08</v>
      </c>
      <c r="C34" s="18">
        <f t="shared" si="0"/>
        <v>15.6</v>
      </c>
      <c r="D34" s="18">
        <f t="shared" si="0"/>
        <v>11.78</v>
      </c>
      <c r="E34" s="18">
        <f t="shared" si="0"/>
        <v>5.1100000000000003</v>
      </c>
      <c r="F34" s="18">
        <f t="shared" si="0"/>
        <v>0.02</v>
      </c>
      <c r="G34" s="18">
        <f t="shared" si="0"/>
        <v>56.78</v>
      </c>
      <c r="H34" s="18">
        <f t="shared" si="0"/>
        <v>30.95</v>
      </c>
      <c r="I34" s="18">
        <f t="shared" si="0"/>
        <v>9.7100000000000009</v>
      </c>
      <c r="J34" s="18">
        <f t="shared" si="0"/>
        <v>0.14000000000000001</v>
      </c>
      <c r="K34" s="18">
        <f t="shared" si="0"/>
        <v>32.96</v>
      </c>
      <c r="L34" s="18">
        <f t="shared" si="0"/>
        <v>17.920000000000002</v>
      </c>
      <c r="M34" s="18">
        <f t="shared" si="0"/>
        <v>29.62</v>
      </c>
      <c r="N34" s="18">
        <f t="shared" si="0"/>
        <v>3.1</v>
      </c>
      <c r="O34" s="18">
        <f t="shared" si="0"/>
        <v>0</v>
      </c>
      <c r="P34" s="18">
        <f t="shared" si="0"/>
        <v>0.53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21.75</v>
      </c>
      <c r="C35" s="3">
        <f t="shared" si="1"/>
        <v>21.34</v>
      </c>
      <c r="D35" s="3">
        <f t="shared" si="1"/>
        <v>27.07</v>
      </c>
      <c r="E35" s="3">
        <f t="shared" si="1"/>
        <v>8.36</v>
      </c>
      <c r="F35" s="3">
        <f t="shared" si="1"/>
        <v>7.39</v>
      </c>
      <c r="G35" s="3">
        <f t="shared" si="1"/>
        <v>146.63999999999999</v>
      </c>
      <c r="H35" s="3">
        <f t="shared" si="1"/>
        <v>52.07</v>
      </c>
      <c r="I35" s="3">
        <f t="shared" si="1"/>
        <v>17.79</v>
      </c>
      <c r="J35" s="3">
        <f t="shared" si="1"/>
        <v>1.42</v>
      </c>
      <c r="K35" s="3">
        <f t="shared" si="1"/>
        <v>304.16000000000003</v>
      </c>
      <c r="L35" s="3">
        <f t="shared" si="1"/>
        <v>30.08</v>
      </c>
      <c r="M35" s="3">
        <f t="shared" si="1"/>
        <v>92.63</v>
      </c>
      <c r="N35" s="3">
        <f t="shared" si="1"/>
        <v>531.9</v>
      </c>
      <c r="O35" s="3">
        <f t="shared" si="1"/>
        <v>0</v>
      </c>
      <c r="P35" s="3">
        <f t="shared" si="1"/>
        <v>0.94</v>
      </c>
      <c r="Q35" s="3">
        <f t="shared" si="1"/>
        <v>9.81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14.2325</v>
      </c>
      <c r="C36" s="18">
        <f t="shared" si="2"/>
        <v>18.165416666666662</v>
      </c>
      <c r="D36" s="18">
        <f t="shared" si="2"/>
        <v>20.78875</v>
      </c>
      <c r="E36" s="18">
        <f t="shared" si="2"/>
        <v>6.4379166666666672</v>
      </c>
      <c r="F36" s="18">
        <f t="shared" si="2"/>
        <v>1.3404166666666668</v>
      </c>
      <c r="G36" s="18">
        <f t="shared" si="2"/>
        <v>96.408749999999998</v>
      </c>
      <c r="H36" s="18">
        <f t="shared" si="2"/>
        <v>43.703750000000007</v>
      </c>
      <c r="I36" s="18">
        <f t="shared" si="2"/>
        <v>13.366250000000003</v>
      </c>
      <c r="J36" s="18">
        <f t="shared" si="2"/>
        <v>0.54083333333333339</v>
      </c>
      <c r="K36" s="18">
        <f t="shared" si="2"/>
        <v>140.73458333333335</v>
      </c>
      <c r="L36" s="18">
        <f t="shared" si="2"/>
        <v>23.59041666666667</v>
      </c>
      <c r="M36" s="18">
        <f t="shared" si="2"/>
        <v>65.845833333333346</v>
      </c>
      <c r="N36" s="18">
        <f t="shared" si="2"/>
        <v>124.64583333333331</v>
      </c>
      <c r="O36" s="18">
        <f t="shared" si="2"/>
        <v>0</v>
      </c>
      <c r="P36" s="18">
        <f t="shared" si="2"/>
        <v>0.76083333333333325</v>
      </c>
      <c r="Q36" s="18">
        <f t="shared" si="2"/>
        <v>9.5320833333333344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6.5212363791725485</v>
      </c>
      <c r="C37" s="18">
        <f t="shared" ref="C37:Q37" si="3">STDEV(C9:C32)</f>
        <v>1.9360268125314366</v>
      </c>
      <c r="D37" s="18">
        <f t="shared" si="3"/>
        <v>5.2162341175953033</v>
      </c>
      <c r="E37" s="18">
        <f t="shared" si="3"/>
        <v>1.0076920646216487</v>
      </c>
      <c r="F37" s="18">
        <f t="shared" si="3"/>
        <v>2.2787591573269537</v>
      </c>
      <c r="G37" s="18">
        <f t="shared" si="3"/>
        <v>25.932837218392681</v>
      </c>
      <c r="H37" s="18">
        <f t="shared" si="3"/>
        <v>7.93484161234755</v>
      </c>
      <c r="I37" s="18">
        <f t="shared" si="3"/>
        <v>2.4184037360281034</v>
      </c>
      <c r="J37" s="18">
        <f t="shared" si="3"/>
        <v>0.39501146561968842</v>
      </c>
      <c r="K37" s="18">
        <f t="shared" si="3"/>
        <v>78.976499475375903</v>
      </c>
      <c r="L37" s="18">
        <f t="shared" si="3"/>
        <v>4.276988456101213</v>
      </c>
      <c r="M37" s="18">
        <f t="shared" si="3"/>
        <v>22.300854324962216</v>
      </c>
      <c r="N37" s="18">
        <f t="shared" si="3"/>
        <v>189.8480467412011</v>
      </c>
      <c r="O37" s="18">
        <f t="shared" si="3"/>
        <v>0</v>
      </c>
      <c r="P37" s="18">
        <f t="shared" si="3"/>
        <v>0.13386939341296025</v>
      </c>
      <c r="Q37" s="18">
        <f t="shared" si="3"/>
        <v>0.20536244029534204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D10" sqref="D10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133</v>
      </c>
      <c r="B9" s="40">
        <v>21.74</v>
      </c>
      <c r="C9" s="40">
        <v>19</v>
      </c>
      <c r="D9" s="40">
        <v>27.36</v>
      </c>
      <c r="E9" s="40">
        <v>6.56</v>
      </c>
      <c r="F9" s="40">
        <v>0.12</v>
      </c>
      <c r="G9" s="40">
        <v>124.64</v>
      </c>
      <c r="H9" s="40">
        <v>48.63</v>
      </c>
      <c r="I9" s="40">
        <v>16.93</v>
      </c>
      <c r="J9" s="40">
        <v>0.46</v>
      </c>
      <c r="K9" s="40">
        <v>236.61</v>
      </c>
      <c r="L9" s="40">
        <v>20.29</v>
      </c>
      <c r="M9" s="40">
        <v>70.290000000000006</v>
      </c>
      <c r="N9" s="40">
        <v>3.6</v>
      </c>
      <c r="O9" s="40">
        <v>0</v>
      </c>
      <c r="P9" s="40">
        <v>0.9</v>
      </c>
      <c r="Q9" s="40">
        <v>9.86</v>
      </c>
      <c r="R9" s="38"/>
      <c r="S9" s="38"/>
      <c r="T9" s="38"/>
      <c r="U9" s="38"/>
    </row>
    <row r="10" spans="1:21" customFormat="1">
      <c r="A10" s="39" t="s">
        <v>134</v>
      </c>
      <c r="B10" s="40">
        <v>21.64</v>
      </c>
      <c r="C10" s="40">
        <v>19</v>
      </c>
      <c r="D10" s="40">
        <v>27.28</v>
      </c>
      <c r="E10" s="40">
        <v>6.22</v>
      </c>
      <c r="F10" s="40">
        <v>0.11</v>
      </c>
      <c r="G10" s="40">
        <v>97.84</v>
      </c>
      <c r="H10" s="40">
        <v>43.78</v>
      </c>
      <c r="I10" s="40">
        <v>15.87</v>
      </c>
      <c r="J10" s="40">
        <v>0.43</v>
      </c>
      <c r="K10" s="40">
        <v>44.15</v>
      </c>
      <c r="L10" s="40">
        <v>20.059999999999999</v>
      </c>
      <c r="M10" s="40">
        <v>57.18</v>
      </c>
      <c r="N10" s="40">
        <v>3.4</v>
      </c>
      <c r="O10" s="40">
        <v>0</v>
      </c>
      <c r="P10" s="40">
        <v>0.85</v>
      </c>
      <c r="Q10" s="40">
        <v>11</v>
      </c>
      <c r="R10" s="38"/>
      <c r="S10" s="38"/>
      <c r="T10" s="38"/>
      <c r="U10" s="38"/>
    </row>
    <row r="11" spans="1:21" customFormat="1">
      <c r="A11" s="39" t="s">
        <v>135</v>
      </c>
      <c r="B11" s="40">
        <v>20.94</v>
      </c>
      <c r="C11" s="40">
        <v>18.3</v>
      </c>
      <c r="D11" s="40">
        <v>26.36</v>
      </c>
      <c r="E11" s="40">
        <v>6.33</v>
      </c>
      <c r="F11" s="40">
        <v>0.03</v>
      </c>
      <c r="G11" s="40">
        <v>85.72</v>
      </c>
      <c r="H11" s="40">
        <v>41.91</v>
      </c>
      <c r="I11" s="40">
        <v>14.8</v>
      </c>
      <c r="J11" s="40">
        <v>0.45</v>
      </c>
      <c r="K11" s="40">
        <v>39.58</v>
      </c>
      <c r="L11" s="40">
        <v>19.29</v>
      </c>
      <c r="M11" s="40">
        <v>61.51</v>
      </c>
      <c r="N11" s="40">
        <v>3.5</v>
      </c>
      <c r="O11" s="40">
        <v>0</v>
      </c>
      <c r="P11" s="40">
        <v>0.8</v>
      </c>
      <c r="Q11" s="40">
        <v>9.91</v>
      </c>
      <c r="R11" s="38"/>
      <c r="S11" s="38"/>
      <c r="T11" s="38"/>
      <c r="U11" s="38"/>
    </row>
    <row r="12" spans="1:21" customFormat="1">
      <c r="A12" s="39" t="s">
        <v>136</v>
      </c>
      <c r="B12" s="40">
        <v>19.77</v>
      </c>
      <c r="C12" s="40">
        <v>17.75</v>
      </c>
      <c r="D12" s="40">
        <v>25.13</v>
      </c>
      <c r="E12" s="40">
        <v>6.06</v>
      </c>
      <c r="F12" s="40">
        <v>0.04</v>
      </c>
      <c r="G12" s="40">
        <v>85.72</v>
      </c>
      <c r="H12" s="40">
        <v>39.909999999999997</v>
      </c>
      <c r="I12" s="40">
        <v>13.98</v>
      </c>
      <c r="J12" s="40">
        <v>0.28000000000000003</v>
      </c>
      <c r="K12" s="40">
        <v>169.87</v>
      </c>
      <c r="L12" s="40">
        <v>18.71</v>
      </c>
      <c r="M12" s="40">
        <v>71.540000000000006</v>
      </c>
      <c r="N12" s="40">
        <v>3.5</v>
      </c>
      <c r="O12" s="40">
        <v>0</v>
      </c>
      <c r="P12" s="40">
        <v>0.75</v>
      </c>
      <c r="Q12" s="40">
        <v>9.86</v>
      </c>
      <c r="R12" s="38"/>
      <c r="S12" s="38"/>
      <c r="T12" s="38"/>
      <c r="U12" s="38"/>
    </row>
    <row r="13" spans="1:21" customFormat="1">
      <c r="A13" s="39" t="s">
        <v>137</v>
      </c>
      <c r="B13" s="40">
        <v>18.809999999999999</v>
      </c>
      <c r="C13" s="40">
        <v>17.309999999999999</v>
      </c>
      <c r="D13" s="40">
        <v>24.13</v>
      </c>
      <c r="E13" s="40">
        <v>5.95</v>
      </c>
      <c r="F13" s="40">
        <v>0.15</v>
      </c>
      <c r="G13" s="40">
        <v>82.22</v>
      </c>
      <c r="H13" s="40">
        <v>35.24</v>
      </c>
      <c r="I13" s="40">
        <v>12.74</v>
      </c>
      <c r="J13" s="40">
        <v>0.19</v>
      </c>
      <c r="K13" s="40">
        <v>244.49</v>
      </c>
      <c r="L13" s="40">
        <v>17.55</v>
      </c>
      <c r="M13" s="40">
        <v>82.77</v>
      </c>
      <c r="N13" s="40">
        <v>3.4</v>
      </c>
      <c r="O13" s="40">
        <v>0</v>
      </c>
      <c r="P13" s="40">
        <v>0.69</v>
      </c>
      <c r="Q13" s="40">
        <v>9.76</v>
      </c>
      <c r="R13" s="38"/>
      <c r="S13" s="38"/>
      <c r="T13" s="38"/>
      <c r="U13" s="38"/>
    </row>
    <row r="14" spans="1:21" customFormat="1">
      <c r="A14" s="39" t="s">
        <v>138</v>
      </c>
      <c r="B14" s="40">
        <v>19.329999999999998</v>
      </c>
      <c r="C14" s="40">
        <v>16.72</v>
      </c>
      <c r="D14" s="40">
        <v>24.16</v>
      </c>
      <c r="E14" s="40">
        <v>6.01</v>
      </c>
      <c r="F14" s="40">
        <v>0.03</v>
      </c>
      <c r="G14" s="40">
        <v>66.27</v>
      </c>
      <c r="H14" s="40">
        <v>32.22</v>
      </c>
      <c r="I14" s="40">
        <v>12.1</v>
      </c>
      <c r="J14" s="40">
        <v>0.18</v>
      </c>
      <c r="K14" s="40">
        <v>146.49</v>
      </c>
      <c r="L14" s="40">
        <v>17.04</v>
      </c>
      <c r="M14" s="40">
        <v>81.64</v>
      </c>
      <c r="N14" s="40">
        <v>3.2</v>
      </c>
      <c r="O14" s="40">
        <v>0</v>
      </c>
      <c r="P14" s="40">
        <v>0.66</v>
      </c>
      <c r="Q14" s="40">
        <v>9.68</v>
      </c>
      <c r="R14" s="38"/>
      <c r="S14" s="38"/>
      <c r="T14" s="38"/>
      <c r="U14" s="38"/>
    </row>
    <row r="15" spans="1:21" customFormat="1">
      <c r="A15" s="39" t="s">
        <v>139</v>
      </c>
      <c r="B15" s="40">
        <v>21.08</v>
      </c>
      <c r="C15" s="40">
        <v>16.72</v>
      </c>
      <c r="D15" s="40">
        <v>25.64</v>
      </c>
      <c r="E15" s="40">
        <v>5.73</v>
      </c>
      <c r="F15" s="40">
        <v>7.0000000000000007E-2</v>
      </c>
      <c r="G15" s="40">
        <v>74.61</v>
      </c>
      <c r="H15" s="40">
        <v>33.82</v>
      </c>
      <c r="I15" s="40">
        <v>11.72</v>
      </c>
      <c r="J15" s="40">
        <v>0.15</v>
      </c>
      <c r="K15" s="40">
        <v>191.1</v>
      </c>
      <c r="L15" s="40">
        <v>16.5</v>
      </c>
      <c r="M15" s="40">
        <v>83.76</v>
      </c>
      <c r="N15" s="40">
        <v>17</v>
      </c>
      <c r="O15" s="40">
        <v>0</v>
      </c>
      <c r="P15" s="40">
        <v>0.65</v>
      </c>
      <c r="Q15" s="40">
        <v>9.68</v>
      </c>
      <c r="R15" s="38"/>
      <c r="S15" s="38"/>
      <c r="T15" s="38"/>
      <c r="U15" s="38"/>
    </row>
    <row r="16" spans="1:21" customFormat="1">
      <c r="A16" s="39" t="s">
        <v>140</v>
      </c>
      <c r="B16" s="40">
        <v>23.82</v>
      </c>
      <c r="C16" s="40">
        <v>17.61</v>
      </c>
      <c r="D16" s="40">
        <v>28.25</v>
      </c>
      <c r="E16" s="40">
        <v>6.18</v>
      </c>
      <c r="F16" s="40">
        <v>0.14000000000000001</v>
      </c>
      <c r="G16" s="40">
        <v>74.61</v>
      </c>
      <c r="H16" s="40">
        <v>34.74</v>
      </c>
      <c r="I16" s="40">
        <v>11.71</v>
      </c>
      <c r="J16" s="40">
        <v>0.87</v>
      </c>
      <c r="K16" s="40">
        <v>68.36</v>
      </c>
      <c r="L16" s="40">
        <v>18.82</v>
      </c>
      <c r="M16" s="40">
        <v>78.930000000000007</v>
      </c>
      <c r="N16" s="40">
        <v>84.7</v>
      </c>
      <c r="O16" s="40">
        <v>0</v>
      </c>
      <c r="P16" s="40">
        <v>0.64</v>
      </c>
      <c r="Q16" s="40">
        <v>9.6199999999999992</v>
      </c>
      <c r="R16" s="38"/>
      <c r="S16" s="38"/>
      <c r="T16" s="38"/>
      <c r="U16" s="38"/>
    </row>
    <row r="17" spans="1:21" customFormat="1">
      <c r="A17" s="39" t="s">
        <v>141</v>
      </c>
      <c r="B17" s="40">
        <v>23.32</v>
      </c>
      <c r="C17" s="40">
        <v>18.739999999999998</v>
      </c>
      <c r="D17" s="40">
        <v>28.08</v>
      </c>
      <c r="E17" s="40">
        <v>5.99</v>
      </c>
      <c r="F17" s="40">
        <v>0.14000000000000001</v>
      </c>
      <c r="G17" s="40">
        <v>78.14</v>
      </c>
      <c r="H17" s="40">
        <v>35.97</v>
      </c>
      <c r="I17" s="40">
        <v>11.69</v>
      </c>
      <c r="J17" s="40">
        <v>0.83</v>
      </c>
      <c r="K17" s="40">
        <v>51.84</v>
      </c>
      <c r="L17" s="40">
        <v>22.59</v>
      </c>
      <c r="M17" s="40">
        <v>64.010000000000005</v>
      </c>
      <c r="N17" s="40">
        <v>300.5</v>
      </c>
      <c r="O17" s="40">
        <v>0</v>
      </c>
      <c r="P17" s="40">
        <v>0.64</v>
      </c>
      <c r="Q17" s="40">
        <v>9.5</v>
      </c>
      <c r="R17" s="38"/>
      <c r="S17" s="38"/>
      <c r="T17" s="38"/>
      <c r="U17" s="38"/>
    </row>
    <row r="18" spans="1:21" customFormat="1">
      <c r="A18" s="39" t="s">
        <v>142</v>
      </c>
      <c r="B18" s="40">
        <v>21.8</v>
      </c>
      <c r="C18" s="40">
        <v>19.02</v>
      </c>
      <c r="D18" s="40">
        <v>27.34</v>
      </c>
      <c r="E18" s="40">
        <v>6.55</v>
      </c>
      <c r="F18" s="40">
        <v>0.21</v>
      </c>
      <c r="G18" s="40">
        <v>78.14</v>
      </c>
      <c r="H18" s="40">
        <v>35.97</v>
      </c>
      <c r="I18" s="40">
        <v>11.6</v>
      </c>
      <c r="J18" s="40">
        <v>1.1499999999999999</v>
      </c>
      <c r="K18" s="40">
        <v>51.4</v>
      </c>
      <c r="L18" s="40">
        <v>25.26</v>
      </c>
      <c r="M18" s="40">
        <v>47.91</v>
      </c>
      <c r="N18" s="40">
        <v>340.8</v>
      </c>
      <c r="O18" s="40">
        <v>0</v>
      </c>
      <c r="P18" s="40">
        <v>0.64</v>
      </c>
      <c r="Q18" s="40">
        <v>9.44</v>
      </c>
      <c r="R18" s="38"/>
      <c r="S18" s="38"/>
      <c r="T18" s="38"/>
      <c r="U18" s="38"/>
    </row>
    <row r="19" spans="1:21" customFormat="1">
      <c r="A19" s="39" t="s">
        <v>143</v>
      </c>
      <c r="B19" s="40">
        <v>20.89</v>
      </c>
      <c r="C19" s="40">
        <v>19.260000000000002</v>
      </c>
      <c r="D19" s="40">
        <v>26.73</v>
      </c>
      <c r="E19" s="40">
        <v>7.26</v>
      </c>
      <c r="F19" s="40">
        <v>0.57999999999999996</v>
      </c>
      <c r="G19" s="40">
        <v>72.45</v>
      </c>
      <c r="H19" s="40">
        <v>32.94</v>
      </c>
      <c r="I19" s="40">
        <v>11.31</v>
      </c>
      <c r="J19" s="40">
        <v>1.19</v>
      </c>
      <c r="K19" s="40">
        <v>69.98</v>
      </c>
      <c r="L19" s="40">
        <v>27.54</v>
      </c>
      <c r="M19" s="40">
        <v>39.130000000000003</v>
      </c>
      <c r="N19" s="40">
        <v>542</v>
      </c>
      <c r="O19" s="40">
        <v>0</v>
      </c>
      <c r="P19" s="40">
        <v>0.61</v>
      </c>
      <c r="Q19" s="40">
        <v>9.36</v>
      </c>
      <c r="R19" s="38"/>
      <c r="S19" s="38"/>
      <c r="T19" s="38"/>
      <c r="U19" s="38"/>
    </row>
    <row r="20" spans="1:21" customFormat="1">
      <c r="A20" s="39" t="s">
        <v>144</v>
      </c>
      <c r="B20" s="40">
        <v>17.52</v>
      </c>
      <c r="C20" s="40">
        <v>19.11</v>
      </c>
      <c r="D20" s="40">
        <v>24.03</v>
      </c>
      <c r="E20" s="40">
        <v>7.19</v>
      </c>
      <c r="F20" s="40">
        <v>2.46</v>
      </c>
      <c r="G20" s="40">
        <v>70.02</v>
      </c>
      <c r="H20" s="40">
        <v>32.07</v>
      </c>
      <c r="I20" s="40">
        <v>10.97</v>
      </c>
      <c r="J20" s="40">
        <v>0.95</v>
      </c>
      <c r="K20" s="40">
        <v>60.67</v>
      </c>
      <c r="L20" s="40">
        <v>28.98</v>
      </c>
      <c r="M20" s="40">
        <v>32.65</v>
      </c>
      <c r="N20" s="40">
        <v>606.20000000000005</v>
      </c>
      <c r="O20" s="40">
        <v>0</v>
      </c>
      <c r="P20" s="40">
        <v>0.57999999999999996</v>
      </c>
      <c r="Q20" s="40">
        <v>9.32</v>
      </c>
      <c r="R20" s="38"/>
      <c r="S20" s="38"/>
      <c r="T20" s="38"/>
      <c r="U20" s="38"/>
    </row>
    <row r="21" spans="1:21" customFormat="1">
      <c r="A21" s="39" t="s">
        <v>145</v>
      </c>
      <c r="B21" s="40">
        <v>12.44</v>
      </c>
      <c r="C21" s="40">
        <v>18.920000000000002</v>
      </c>
      <c r="D21" s="40">
        <v>19.86</v>
      </c>
      <c r="E21" s="40">
        <v>7.01</v>
      </c>
      <c r="F21" s="40">
        <v>2.48</v>
      </c>
      <c r="G21" s="40">
        <v>70.02</v>
      </c>
      <c r="H21" s="40">
        <v>30.96</v>
      </c>
      <c r="I21" s="40">
        <v>10.48</v>
      </c>
      <c r="J21" s="40">
        <v>0.89</v>
      </c>
      <c r="K21" s="40">
        <v>46.14</v>
      </c>
      <c r="L21" s="40">
        <v>29.74</v>
      </c>
      <c r="M21" s="40">
        <v>28.65</v>
      </c>
      <c r="N21" s="40">
        <v>609</v>
      </c>
      <c r="O21" s="40">
        <v>0</v>
      </c>
      <c r="P21" s="40">
        <v>0.54</v>
      </c>
      <c r="Q21" s="40">
        <v>9.32</v>
      </c>
      <c r="R21" s="38"/>
      <c r="S21" s="38"/>
      <c r="T21" s="38"/>
      <c r="U21" s="38"/>
    </row>
    <row r="22" spans="1:21" customFormat="1">
      <c r="A22" s="39" t="s">
        <v>146</v>
      </c>
      <c r="B22" s="40">
        <v>8.35</v>
      </c>
      <c r="C22" s="40">
        <v>18.2</v>
      </c>
      <c r="D22" s="40">
        <v>16.21</v>
      </c>
      <c r="E22" s="40">
        <v>6.84</v>
      </c>
      <c r="F22" s="40">
        <v>1.88</v>
      </c>
      <c r="G22" s="40">
        <v>64.430000000000007</v>
      </c>
      <c r="H22" s="40">
        <v>28.19</v>
      </c>
      <c r="I22" s="40">
        <v>10.039999999999999</v>
      </c>
      <c r="J22" s="40">
        <v>0.73</v>
      </c>
      <c r="K22" s="40">
        <v>95.53</v>
      </c>
      <c r="L22" s="40">
        <v>29.96</v>
      </c>
      <c r="M22" s="40">
        <v>24.93</v>
      </c>
      <c r="N22" s="40">
        <v>538.20000000000005</v>
      </c>
      <c r="O22" s="40">
        <v>0</v>
      </c>
      <c r="P22" s="40">
        <v>0.5</v>
      </c>
      <c r="Q22" s="40">
        <v>9.32</v>
      </c>
      <c r="R22" s="38"/>
      <c r="S22" s="38"/>
      <c r="T22" s="38"/>
      <c r="U22" s="38"/>
    </row>
    <row r="23" spans="1:21" customFormat="1">
      <c r="A23" s="39" t="s">
        <v>147</v>
      </c>
      <c r="B23" s="40">
        <v>4.4400000000000004</v>
      </c>
      <c r="C23" s="40">
        <v>17.940000000000001</v>
      </c>
      <c r="D23" s="40">
        <v>12.93</v>
      </c>
      <c r="E23" s="40">
        <v>7.2</v>
      </c>
      <c r="F23" s="40">
        <v>6.24</v>
      </c>
      <c r="G23" s="40">
        <v>57.46</v>
      </c>
      <c r="H23" s="40">
        <v>27.13</v>
      </c>
      <c r="I23" s="40">
        <v>9.51</v>
      </c>
      <c r="J23" s="40">
        <v>0.66</v>
      </c>
      <c r="K23" s="40">
        <v>58.51</v>
      </c>
      <c r="L23" s="40">
        <v>29.56</v>
      </c>
      <c r="M23" s="40">
        <v>25.44</v>
      </c>
      <c r="N23" s="40">
        <v>129.80000000000001</v>
      </c>
      <c r="O23" s="40">
        <v>0</v>
      </c>
      <c r="P23" s="40">
        <v>0.47</v>
      </c>
      <c r="Q23" s="40">
        <v>9.32</v>
      </c>
      <c r="R23" s="38"/>
      <c r="S23" s="38"/>
      <c r="T23" s="38"/>
      <c r="U23" s="38"/>
    </row>
    <row r="24" spans="1:21" customFormat="1">
      <c r="A24" s="39" t="s">
        <v>148</v>
      </c>
      <c r="B24" s="40">
        <v>3.21</v>
      </c>
      <c r="C24" s="40">
        <v>17.64</v>
      </c>
      <c r="D24" s="40">
        <v>11.78</v>
      </c>
      <c r="E24" s="40">
        <v>7.64</v>
      </c>
      <c r="F24" s="40">
        <v>4.8899999999999997</v>
      </c>
      <c r="G24" s="40">
        <v>53.59</v>
      </c>
      <c r="H24" s="40">
        <v>26.45</v>
      </c>
      <c r="I24" s="40">
        <v>8.8699999999999992</v>
      </c>
      <c r="J24" s="40">
        <v>0.73</v>
      </c>
      <c r="K24" s="40">
        <v>78.2</v>
      </c>
      <c r="L24" s="40">
        <v>29.44</v>
      </c>
      <c r="M24" s="40">
        <v>25.97</v>
      </c>
      <c r="N24" s="40">
        <v>81.599999999999994</v>
      </c>
      <c r="O24" s="40">
        <v>0</v>
      </c>
      <c r="P24" s="40">
        <v>0.46</v>
      </c>
      <c r="Q24" s="40">
        <v>9.32</v>
      </c>
      <c r="R24" s="38"/>
      <c r="S24" s="38"/>
      <c r="T24" s="38"/>
      <c r="U24" s="38"/>
    </row>
    <row r="25" spans="1:21" customFormat="1">
      <c r="A25" s="39" t="s">
        <v>149</v>
      </c>
      <c r="B25" s="40">
        <v>3.41</v>
      </c>
      <c r="C25" s="40">
        <v>17.690000000000001</v>
      </c>
      <c r="D25" s="40">
        <v>11.85</v>
      </c>
      <c r="E25" s="40">
        <v>7.4</v>
      </c>
      <c r="F25" s="40">
        <v>2.29</v>
      </c>
      <c r="G25" s="40">
        <v>55.41</v>
      </c>
      <c r="H25" s="40">
        <v>27.29</v>
      </c>
      <c r="I25" s="40">
        <v>8.49</v>
      </c>
      <c r="J25" s="40">
        <v>0.27</v>
      </c>
      <c r="K25" s="40">
        <v>160.78</v>
      </c>
      <c r="L25" s="40">
        <v>28.86</v>
      </c>
      <c r="M25" s="40">
        <v>40.08</v>
      </c>
      <c r="N25" s="40">
        <v>49.9</v>
      </c>
      <c r="O25" s="40">
        <v>0</v>
      </c>
      <c r="P25" s="40">
        <v>0.46</v>
      </c>
      <c r="Q25" s="40">
        <v>9.32</v>
      </c>
      <c r="R25" s="38"/>
      <c r="S25" s="38"/>
      <c r="T25" s="38"/>
      <c r="U25" s="38"/>
    </row>
    <row r="26" spans="1:21" customFormat="1">
      <c r="A26" s="39" t="s">
        <v>150</v>
      </c>
      <c r="B26" s="40">
        <v>5.41</v>
      </c>
      <c r="C26" s="40">
        <v>18.87</v>
      </c>
      <c r="D26" s="40">
        <v>14.19</v>
      </c>
      <c r="E26" s="40">
        <v>6.69</v>
      </c>
      <c r="F26" s="40">
        <v>0.52</v>
      </c>
      <c r="G26" s="40">
        <v>69.33</v>
      </c>
      <c r="H26" s="40">
        <v>30.38</v>
      </c>
      <c r="I26" s="40">
        <v>8.31</v>
      </c>
      <c r="J26" s="40">
        <v>0.31</v>
      </c>
      <c r="K26" s="40">
        <v>158.11000000000001</v>
      </c>
      <c r="L26" s="40">
        <v>25.89</v>
      </c>
      <c r="M26" s="40">
        <v>47.84</v>
      </c>
      <c r="N26" s="40">
        <v>16.3</v>
      </c>
      <c r="O26" s="40">
        <v>0</v>
      </c>
      <c r="P26" s="40">
        <v>0.49</v>
      </c>
      <c r="Q26" s="40">
        <v>9.32</v>
      </c>
      <c r="R26" s="38"/>
      <c r="S26" s="38"/>
      <c r="T26" s="38"/>
      <c r="U26" s="38"/>
    </row>
    <row r="27" spans="1:21" customFormat="1">
      <c r="A27" s="39" t="s">
        <v>151</v>
      </c>
      <c r="B27" s="40">
        <v>10.94</v>
      </c>
      <c r="C27" s="40">
        <v>20.89</v>
      </c>
      <c r="D27" s="40">
        <v>19.36</v>
      </c>
      <c r="E27" s="40">
        <v>6.19</v>
      </c>
      <c r="F27" s="40">
        <v>0.17</v>
      </c>
      <c r="G27" s="40">
        <v>91.44</v>
      </c>
      <c r="H27" s="40">
        <v>36.340000000000003</v>
      </c>
      <c r="I27" s="40">
        <v>9.2200000000000006</v>
      </c>
      <c r="J27" s="40">
        <v>0.22</v>
      </c>
      <c r="K27" s="40">
        <v>145.46</v>
      </c>
      <c r="L27" s="40">
        <v>24.07</v>
      </c>
      <c r="M27" s="40">
        <v>52.9</v>
      </c>
      <c r="N27" s="40">
        <v>10.8</v>
      </c>
      <c r="O27" s="40">
        <v>0</v>
      </c>
      <c r="P27" s="40">
        <v>0.57999999999999996</v>
      </c>
      <c r="Q27" s="40">
        <v>9.32</v>
      </c>
      <c r="R27" s="38"/>
      <c r="S27" s="38"/>
      <c r="T27" s="38"/>
      <c r="U27" s="38"/>
    </row>
    <row r="28" spans="1:21" customFormat="1">
      <c r="A28" s="39" t="s">
        <v>152</v>
      </c>
      <c r="B28" s="40">
        <v>14.63</v>
      </c>
      <c r="C28" s="40">
        <v>20.13</v>
      </c>
      <c r="D28" s="40">
        <v>22.23</v>
      </c>
      <c r="E28" s="40">
        <v>6.27</v>
      </c>
      <c r="F28" s="40">
        <v>0.16</v>
      </c>
      <c r="G28" s="40">
        <v>104.4</v>
      </c>
      <c r="H28" s="40">
        <v>41.97</v>
      </c>
      <c r="I28" s="40">
        <v>11.11</v>
      </c>
      <c r="J28" s="40">
        <v>0.24</v>
      </c>
      <c r="K28" s="40">
        <v>187.83</v>
      </c>
      <c r="L28" s="40">
        <v>22.5</v>
      </c>
      <c r="M28" s="40">
        <v>60.55</v>
      </c>
      <c r="N28" s="40">
        <v>10.5</v>
      </c>
      <c r="O28" s="40">
        <v>0</v>
      </c>
      <c r="P28" s="40">
        <v>0.66</v>
      </c>
      <c r="Q28" s="40">
        <v>9.32</v>
      </c>
      <c r="R28" s="38"/>
      <c r="S28" s="38"/>
      <c r="T28" s="38"/>
      <c r="U28" s="38"/>
    </row>
    <row r="29" spans="1:21" customFormat="1">
      <c r="A29" s="39" t="s">
        <v>153</v>
      </c>
      <c r="B29" s="40">
        <v>15.9</v>
      </c>
      <c r="C29" s="40">
        <v>20</v>
      </c>
      <c r="D29" s="40">
        <v>23.03</v>
      </c>
      <c r="E29" s="40">
        <v>6.12</v>
      </c>
      <c r="F29" s="40">
        <v>0.1</v>
      </c>
      <c r="G29" s="40">
        <v>108.85</v>
      </c>
      <c r="H29" s="40">
        <v>44.45</v>
      </c>
      <c r="I29" s="40">
        <v>12.79</v>
      </c>
      <c r="J29" s="40">
        <v>0.2</v>
      </c>
      <c r="K29" s="40">
        <v>203.08</v>
      </c>
      <c r="L29" s="40">
        <v>20.85</v>
      </c>
      <c r="M29" s="40">
        <v>74.47</v>
      </c>
      <c r="N29" s="40">
        <v>10.7</v>
      </c>
      <c r="O29" s="40">
        <v>0</v>
      </c>
      <c r="P29" s="40">
        <v>0.74</v>
      </c>
      <c r="Q29" s="40">
        <v>9.32</v>
      </c>
      <c r="R29" s="38"/>
      <c r="S29" s="38"/>
      <c r="T29" s="38"/>
      <c r="U29" s="38"/>
    </row>
    <row r="30" spans="1:21" customFormat="1">
      <c r="A30" s="39" t="s">
        <v>154</v>
      </c>
      <c r="B30" s="40">
        <v>17.53</v>
      </c>
      <c r="C30" s="40">
        <v>19.600000000000001</v>
      </c>
      <c r="D30" s="40">
        <v>24.07</v>
      </c>
      <c r="E30" s="40">
        <v>6.19</v>
      </c>
      <c r="F30" s="40">
        <v>0.02</v>
      </c>
      <c r="G30" s="40">
        <v>111.86</v>
      </c>
      <c r="H30" s="40">
        <v>46.86</v>
      </c>
      <c r="I30" s="40">
        <v>13.57</v>
      </c>
      <c r="J30" s="40">
        <v>0.2</v>
      </c>
      <c r="K30" s="40">
        <v>180.43</v>
      </c>
      <c r="L30" s="40">
        <v>21.56</v>
      </c>
      <c r="M30" s="40">
        <v>80.91</v>
      </c>
      <c r="N30" s="40">
        <v>10.1</v>
      </c>
      <c r="O30" s="40">
        <v>0</v>
      </c>
      <c r="P30" s="40">
        <v>0.77</v>
      </c>
      <c r="Q30" s="40">
        <v>9.36</v>
      </c>
      <c r="R30" s="38"/>
      <c r="S30" s="38"/>
      <c r="T30" s="38"/>
      <c r="U30" s="38"/>
    </row>
    <row r="31" spans="1:21" customFormat="1">
      <c r="A31" s="39" t="s">
        <v>155</v>
      </c>
      <c r="B31" s="40">
        <v>17.420000000000002</v>
      </c>
      <c r="C31" s="40">
        <v>19.38</v>
      </c>
      <c r="D31" s="40">
        <v>24.06</v>
      </c>
      <c r="E31" s="40">
        <v>6.19</v>
      </c>
      <c r="F31" s="40">
        <v>0.16</v>
      </c>
      <c r="G31" s="40">
        <v>111.86</v>
      </c>
      <c r="H31" s="40">
        <v>46.86</v>
      </c>
      <c r="I31" s="40">
        <v>13.6</v>
      </c>
      <c r="J31" s="40">
        <v>0.22</v>
      </c>
      <c r="K31" s="40">
        <v>208.77</v>
      </c>
      <c r="L31" s="40">
        <v>21.71</v>
      </c>
      <c r="M31" s="40">
        <v>56.02</v>
      </c>
      <c r="N31" s="40">
        <v>10.8</v>
      </c>
      <c r="O31" s="40">
        <v>0</v>
      </c>
      <c r="P31" s="40">
        <v>0.77</v>
      </c>
      <c r="Q31" s="40">
        <v>9.35</v>
      </c>
      <c r="R31" s="38"/>
      <c r="S31" s="38"/>
      <c r="T31" s="38"/>
      <c r="U31" s="38"/>
    </row>
    <row r="32" spans="1:21" customFormat="1">
      <c r="A32" s="39" t="s">
        <v>156</v>
      </c>
      <c r="B32" s="40">
        <v>15.68</v>
      </c>
      <c r="C32" s="40">
        <v>19.02</v>
      </c>
      <c r="D32" s="40">
        <v>22.49</v>
      </c>
      <c r="E32" s="40">
        <v>5.94</v>
      </c>
      <c r="F32" s="40">
        <v>0.16</v>
      </c>
      <c r="G32" s="40">
        <v>93.61</v>
      </c>
      <c r="H32" s="40">
        <v>41.72</v>
      </c>
      <c r="I32" s="40">
        <v>12.52</v>
      </c>
      <c r="J32" s="40">
        <v>0.19</v>
      </c>
      <c r="K32" s="40">
        <v>227.88</v>
      </c>
      <c r="L32" s="40">
        <v>19.850000000000001</v>
      </c>
      <c r="M32" s="40">
        <v>69.959999999999994</v>
      </c>
      <c r="N32" s="40">
        <v>10.8</v>
      </c>
      <c r="O32" s="40">
        <v>0</v>
      </c>
      <c r="P32" s="40">
        <v>0.72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3.21</v>
      </c>
      <c r="C34" s="18">
        <f t="shared" si="0"/>
        <v>16.72</v>
      </c>
      <c r="D34" s="18">
        <f t="shared" si="0"/>
        <v>11.78</v>
      </c>
      <c r="E34" s="18">
        <f t="shared" si="0"/>
        <v>5.73</v>
      </c>
      <c r="F34" s="18">
        <f t="shared" si="0"/>
        <v>0.02</v>
      </c>
      <c r="G34" s="18">
        <f t="shared" si="0"/>
        <v>53.59</v>
      </c>
      <c r="H34" s="18">
        <f t="shared" si="0"/>
        <v>26.45</v>
      </c>
      <c r="I34" s="18">
        <f t="shared" si="0"/>
        <v>8.31</v>
      </c>
      <c r="J34" s="18">
        <f t="shared" si="0"/>
        <v>0.15</v>
      </c>
      <c r="K34" s="18">
        <f t="shared" si="0"/>
        <v>39.58</v>
      </c>
      <c r="L34" s="18">
        <f t="shared" si="0"/>
        <v>16.5</v>
      </c>
      <c r="M34" s="18">
        <f t="shared" si="0"/>
        <v>24.93</v>
      </c>
      <c r="N34" s="18">
        <f t="shared" si="0"/>
        <v>3.2</v>
      </c>
      <c r="O34" s="18">
        <f t="shared" si="0"/>
        <v>0</v>
      </c>
      <c r="P34" s="18">
        <f t="shared" si="0"/>
        <v>0.46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23.82</v>
      </c>
      <c r="C35" s="3">
        <f t="shared" si="1"/>
        <v>20.89</v>
      </c>
      <c r="D35" s="3">
        <f t="shared" si="1"/>
        <v>28.25</v>
      </c>
      <c r="E35" s="3">
        <f t="shared" si="1"/>
        <v>7.64</v>
      </c>
      <c r="F35" s="3">
        <f t="shared" si="1"/>
        <v>6.24</v>
      </c>
      <c r="G35" s="3">
        <f t="shared" si="1"/>
        <v>124.64</v>
      </c>
      <c r="H35" s="3">
        <f t="shared" si="1"/>
        <v>48.63</v>
      </c>
      <c r="I35" s="3">
        <f t="shared" si="1"/>
        <v>16.93</v>
      </c>
      <c r="J35" s="3">
        <f t="shared" si="1"/>
        <v>1.19</v>
      </c>
      <c r="K35" s="3">
        <f t="shared" si="1"/>
        <v>244.49</v>
      </c>
      <c r="L35" s="3">
        <f t="shared" si="1"/>
        <v>29.96</v>
      </c>
      <c r="M35" s="3">
        <f t="shared" si="1"/>
        <v>83.76</v>
      </c>
      <c r="N35" s="3">
        <f t="shared" si="1"/>
        <v>609</v>
      </c>
      <c r="O35" s="3">
        <f t="shared" si="1"/>
        <v>0</v>
      </c>
      <c r="P35" s="3">
        <f t="shared" si="1"/>
        <v>0.9</v>
      </c>
      <c r="Q35" s="3">
        <f t="shared" si="1"/>
        <v>11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15.83416666666667</v>
      </c>
      <c r="C36" s="18">
        <f t="shared" si="2"/>
        <v>18.6175</v>
      </c>
      <c r="D36" s="18">
        <f t="shared" si="2"/>
        <v>22.356250000000003</v>
      </c>
      <c r="E36" s="18">
        <f t="shared" si="2"/>
        <v>6.487916666666667</v>
      </c>
      <c r="F36" s="18">
        <f t="shared" si="2"/>
        <v>0.96458333333333346</v>
      </c>
      <c r="G36" s="18">
        <f t="shared" si="2"/>
        <v>82.61</v>
      </c>
      <c r="H36" s="18">
        <f t="shared" si="2"/>
        <v>36.491666666666674</v>
      </c>
      <c r="I36" s="18">
        <f t="shared" si="2"/>
        <v>11.830416666666666</v>
      </c>
      <c r="J36" s="18">
        <f t="shared" si="2"/>
        <v>0.49958333333333332</v>
      </c>
      <c r="K36" s="18">
        <f t="shared" si="2"/>
        <v>130.21916666666667</v>
      </c>
      <c r="L36" s="18">
        <f t="shared" si="2"/>
        <v>23.192499999999999</v>
      </c>
      <c r="M36" s="18">
        <f t="shared" si="2"/>
        <v>56.626666666666665</v>
      </c>
      <c r="N36" s="18">
        <f t="shared" si="2"/>
        <v>141.6791666666667</v>
      </c>
      <c r="O36" s="18">
        <f t="shared" si="2"/>
        <v>0</v>
      </c>
      <c r="P36" s="18">
        <f t="shared" si="2"/>
        <v>0.64875000000000005</v>
      </c>
      <c r="Q36" s="18">
        <f t="shared" si="2"/>
        <v>9.5374999999999979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6.5710914431031267</v>
      </c>
      <c r="C37" s="18">
        <f t="shared" ref="C37:Q37" si="3">STDEV(C9:C32)</f>
        <v>1.0546017175259561</v>
      </c>
      <c r="D37" s="18">
        <f t="shared" si="3"/>
        <v>5.2814135233238213</v>
      </c>
      <c r="E37" s="18">
        <f t="shared" si="3"/>
        <v>0.53834673784181841</v>
      </c>
      <c r="F37" s="18">
        <f t="shared" si="3"/>
        <v>1.646651356057437</v>
      </c>
      <c r="G37" s="18">
        <f t="shared" si="3"/>
        <v>19.413127114090241</v>
      </c>
      <c r="H37" s="18">
        <f t="shared" si="3"/>
        <v>6.7565051852892033</v>
      </c>
      <c r="I37" s="18">
        <f t="shared" si="3"/>
        <v>2.2398592330898723</v>
      </c>
      <c r="J37" s="18">
        <f t="shared" si="3"/>
        <v>0.33610918472718204</v>
      </c>
      <c r="K37" s="18">
        <f t="shared" si="3"/>
        <v>70.74554832617396</v>
      </c>
      <c r="L37" s="18">
        <f t="shared" si="3"/>
        <v>4.5425833006647567</v>
      </c>
      <c r="M37" s="18">
        <f t="shared" si="3"/>
        <v>19.949777304339875</v>
      </c>
      <c r="N37" s="18">
        <f t="shared" si="3"/>
        <v>216.78969769193901</v>
      </c>
      <c r="O37" s="18">
        <f t="shared" si="3"/>
        <v>0</v>
      </c>
      <c r="P37" s="18">
        <f t="shared" si="3"/>
        <v>0.12424773639789159</v>
      </c>
      <c r="Q37" s="18">
        <f t="shared" si="3"/>
        <v>0.37370355607899541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E9" sqref="E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157</v>
      </c>
      <c r="B9" s="40">
        <v>19.25</v>
      </c>
      <c r="C9" s="40">
        <v>19.87</v>
      </c>
      <c r="D9" s="40">
        <v>25.82</v>
      </c>
      <c r="E9" s="40">
        <v>5.96</v>
      </c>
      <c r="F9" s="40">
        <v>0.09</v>
      </c>
      <c r="G9" s="40">
        <v>87.18</v>
      </c>
      <c r="H9" s="40">
        <v>36.69</v>
      </c>
      <c r="I9" s="40">
        <v>12.08</v>
      </c>
      <c r="J9" s="40">
        <v>0.41</v>
      </c>
      <c r="K9" s="40">
        <v>206.51</v>
      </c>
      <c r="L9" s="40">
        <v>19.36</v>
      </c>
      <c r="M9" s="40">
        <v>69.819999999999993</v>
      </c>
      <c r="N9" s="40">
        <v>10.199999999999999</v>
      </c>
      <c r="O9" s="40">
        <v>0</v>
      </c>
      <c r="P9" s="40">
        <v>0.69</v>
      </c>
      <c r="Q9" s="40">
        <v>9.32</v>
      </c>
      <c r="R9" s="38"/>
      <c r="S9" s="38"/>
      <c r="T9" s="38"/>
      <c r="U9" s="38"/>
    </row>
    <row r="10" spans="1:21" customFormat="1">
      <c r="A10" s="39" t="s">
        <v>158</v>
      </c>
      <c r="B10" s="40">
        <v>18.899999999999999</v>
      </c>
      <c r="C10" s="40">
        <v>19.73</v>
      </c>
      <c r="D10" s="40">
        <v>25.46</v>
      </c>
      <c r="E10" s="40">
        <v>5.98</v>
      </c>
      <c r="F10" s="40">
        <v>7.0000000000000007E-2</v>
      </c>
      <c r="G10" s="40">
        <v>87.18</v>
      </c>
      <c r="H10" s="40">
        <v>36.69</v>
      </c>
      <c r="I10" s="40">
        <v>12.13</v>
      </c>
      <c r="J10" s="40">
        <v>0.16</v>
      </c>
      <c r="K10" s="40">
        <v>195.7</v>
      </c>
      <c r="L10" s="40">
        <v>18.73</v>
      </c>
      <c r="M10" s="40">
        <v>71.989999999999995</v>
      </c>
      <c r="N10" s="40">
        <v>10.4</v>
      </c>
      <c r="O10" s="40">
        <v>0</v>
      </c>
      <c r="P10" s="40">
        <v>0.67</v>
      </c>
      <c r="Q10" s="40">
        <v>9.32</v>
      </c>
      <c r="R10" s="38"/>
      <c r="S10" s="38"/>
      <c r="T10" s="38"/>
      <c r="U10" s="38"/>
    </row>
    <row r="11" spans="1:21" customFormat="1">
      <c r="A11" s="39" t="s">
        <v>159</v>
      </c>
      <c r="B11" s="40">
        <v>18.32</v>
      </c>
      <c r="C11" s="40">
        <v>18.89</v>
      </c>
      <c r="D11" s="40">
        <v>24.47</v>
      </c>
      <c r="E11" s="40">
        <v>5.91</v>
      </c>
      <c r="F11" s="40">
        <v>0.18</v>
      </c>
      <c r="G11" s="40">
        <v>81.650000000000006</v>
      </c>
      <c r="H11" s="40">
        <v>36.090000000000003</v>
      </c>
      <c r="I11" s="40">
        <v>11.7</v>
      </c>
      <c r="J11" s="40">
        <v>0.24</v>
      </c>
      <c r="K11" s="40">
        <v>181.83</v>
      </c>
      <c r="L11" s="40">
        <v>18.559999999999999</v>
      </c>
      <c r="M11" s="40">
        <v>73.8</v>
      </c>
      <c r="N11" s="40">
        <v>10.3</v>
      </c>
      <c r="O11" s="40">
        <v>0</v>
      </c>
      <c r="P11" s="40">
        <v>0.66</v>
      </c>
      <c r="Q11" s="40">
        <v>9.32</v>
      </c>
      <c r="R11" s="38"/>
      <c r="S11" s="38"/>
      <c r="T11" s="38"/>
      <c r="U11" s="38"/>
    </row>
    <row r="12" spans="1:21" customFormat="1">
      <c r="A12" s="39" t="s">
        <v>160</v>
      </c>
      <c r="B12" s="40">
        <v>17.61</v>
      </c>
      <c r="C12" s="40">
        <v>17.809999999999999</v>
      </c>
      <c r="D12" s="40">
        <v>23.43</v>
      </c>
      <c r="E12" s="40">
        <v>5.68</v>
      </c>
      <c r="F12" s="40">
        <v>7.0000000000000007E-2</v>
      </c>
      <c r="G12" s="40">
        <v>81.650000000000006</v>
      </c>
      <c r="H12" s="40">
        <v>34.99</v>
      </c>
      <c r="I12" s="40">
        <v>11.59</v>
      </c>
      <c r="J12" s="40">
        <v>0.21</v>
      </c>
      <c r="K12" s="40">
        <v>233.43</v>
      </c>
      <c r="L12" s="40">
        <v>17.73</v>
      </c>
      <c r="M12" s="40">
        <v>81.81</v>
      </c>
      <c r="N12" s="40">
        <v>10.4</v>
      </c>
      <c r="O12" s="40">
        <v>0</v>
      </c>
      <c r="P12" s="40">
        <v>0.64</v>
      </c>
      <c r="Q12" s="40">
        <v>9.32</v>
      </c>
      <c r="R12" s="38"/>
      <c r="S12" s="38"/>
      <c r="T12" s="38"/>
      <c r="U12" s="38"/>
    </row>
    <row r="13" spans="1:21" customFormat="1">
      <c r="A13" s="39" t="s">
        <v>161</v>
      </c>
      <c r="B13" s="40">
        <v>16.82</v>
      </c>
      <c r="C13" s="40">
        <v>16.64</v>
      </c>
      <c r="D13" s="40">
        <v>22.18</v>
      </c>
      <c r="E13" s="40">
        <v>5.65</v>
      </c>
      <c r="F13" s="40">
        <v>0.1</v>
      </c>
      <c r="G13" s="40">
        <v>77.11</v>
      </c>
      <c r="H13" s="40">
        <v>34.04</v>
      </c>
      <c r="I13" s="40">
        <v>11.7</v>
      </c>
      <c r="J13" s="40">
        <v>0.23</v>
      </c>
      <c r="K13" s="40">
        <v>194.77</v>
      </c>
      <c r="L13" s="40">
        <v>17.3</v>
      </c>
      <c r="M13" s="40">
        <v>86.11</v>
      </c>
      <c r="N13" s="40">
        <v>10.3</v>
      </c>
      <c r="O13" s="40">
        <v>0</v>
      </c>
      <c r="P13" s="40">
        <v>0.63</v>
      </c>
      <c r="Q13" s="40">
        <v>9.32</v>
      </c>
      <c r="R13" s="38"/>
      <c r="S13" s="38"/>
      <c r="T13" s="38"/>
      <c r="U13" s="38"/>
    </row>
    <row r="14" spans="1:21" customFormat="1">
      <c r="A14" s="39" t="s">
        <v>162</v>
      </c>
      <c r="B14" s="40">
        <v>18.149999999999999</v>
      </c>
      <c r="C14" s="40">
        <v>15.87</v>
      </c>
      <c r="D14" s="40">
        <v>22.84</v>
      </c>
      <c r="E14" s="40">
        <v>5.42</v>
      </c>
      <c r="F14" s="40">
        <v>0.06</v>
      </c>
      <c r="G14" s="40">
        <v>76.260000000000005</v>
      </c>
      <c r="H14" s="40">
        <v>32.9</v>
      </c>
      <c r="I14" s="40">
        <v>11.7</v>
      </c>
      <c r="J14" s="40">
        <v>0.24</v>
      </c>
      <c r="K14" s="40">
        <v>179.39</v>
      </c>
      <c r="L14" s="40">
        <v>16.79</v>
      </c>
      <c r="M14" s="40">
        <v>86.91</v>
      </c>
      <c r="N14" s="40">
        <v>10.1</v>
      </c>
      <c r="O14" s="40">
        <v>0</v>
      </c>
      <c r="P14" s="40">
        <v>0.63</v>
      </c>
      <c r="Q14" s="40">
        <v>9.32</v>
      </c>
      <c r="R14" s="38"/>
      <c r="S14" s="38"/>
      <c r="T14" s="38"/>
      <c r="U14" s="38"/>
    </row>
    <row r="15" spans="1:21" customFormat="1">
      <c r="A15" s="39" t="s">
        <v>163</v>
      </c>
      <c r="B15" s="40">
        <v>19.18</v>
      </c>
      <c r="C15" s="40">
        <v>16.34</v>
      </c>
      <c r="D15" s="40">
        <v>23.92</v>
      </c>
      <c r="E15" s="40">
        <v>5.48</v>
      </c>
      <c r="F15" s="40">
        <v>7.0000000000000007E-2</v>
      </c>
      <c r="G15" s="40">
        <v>76.17</v>
      </c>
      <c r="H15" s="40">
        <v>32.9</v>
      </c>
      <c r="I15" s="40">
        <v>11.43</v>
      </c>
      <c r="J15" s="40">
        <v>0.22</v>
      </c>
      <c r="K15" s="40">
        <v>185.64</v>
      </c>
      <c r="L15" s="40">
        <v>16.95</v>
      </c>
      <c r="M15" s="40">
        <v>89.71</v>
      </c>
      <c r="N15" s="40">
        <v>30.1</v>
      </c>
      <c r="O15" s="40">
        <v>0</v>
      </c>
      <c r="P15" s="40">
        <v>0.61</v>
      </c>
      <c r="Q15" s="40">
        <v>9.32</v>
      </c>
      <c r="R15" s="38"/>
      <c r="S15" s="38"/>
      <c r="T15" s="38"/>
      <c r="U15" s="38"/>
    </row>
    <row r="16" spans="1:21" customFormat="1">
      <c r="A16" s="39" t="s">
        <v>164</v>
      </c>
      <c r="B16" s="40">
        <v>19.55</v>
      </c>
      <c r="C16" s="40">
        <v>16.45</v>
      </c>
      <c r="D16" s="40">
        <v>24.28</v>
      </c>
      <c r="E16" s="40">
        <v>5.32</v>
      </c>
      <c r="F16" s="40">
        <v>0.02</v>
      </c>
      <c r="G16" s="40">
        <v>76.17</v>
      </c>
      <c r="H16" s="40">
        <v>34.549999999999997</v>
      </c>
      <c r="I16" s="40">
        <v>11.57</v>
      </c>
      <c r="J16" s="40">
        <v>0.68</v>
      </c>
      <c r="K16" s="40">
        <v>203.84</v>
      </c>
      <c r="L16" s="40">
        <v>18.64</v>
      </c>
      <c r="M16" s="40">
        <v>88.88</v>
      </c>
      <c r="N16" s="40">
        <v>93.9</v>
      </c>
      <c r="O16" s="40">
        <v>0</v>
      </c>
      <c r="P16" s="40">
        <v>0.63</v>
      </c>
      <c r="Q16" s="40">
        <v>9.32</v>
      </c>
      <c r="R16" s="38"/>
      <c r="S16" s="38"/>
      <c r="T16" s="38"/>
      <c r="U16" s="38"/>
    </row>
    <row r="17" spans="1:21" customFormat="1">
      <c r="A17" s="39" t="s">
        <v>165</v>
      </c>
      <c r="B17" s="40">
        <v>19.96</v>
      </c>
      <c r="C17" s="40">
        <v>18</v>
      </c>
      <c r="D17" s="40">
        <v>25.18</v>
      </c>
      <c r="E17" s="40">
        <v>5.49</v>
      </c>
      <c r="F17" s="40">
        <v>0.02</v>
      </c>
      <c r="G17" s="40">
        <v>76.84</v>
      </c>
      <c r="H17" s="40">
        <v>40.090000000000003</v>
      </c>
      <c r="I17" s="40">
        <v>12.01</v>
      </c>
      <c r="J17" s="40">
        <v>1.22</v>
      </c>
      <c r="K17" s="40">
        <v>48.24</v>
      </c>
      <c r="L17" s="40">
        <v>21.7</v>
      </c>
      <c r="M17" s="40">
        <v>72.63</v>
      </c>
      <c r="N17" s="40">
        <v>277.7</v>
      </c>
      <c r="O17" s="40">
        <v>0</v>
      </c>
      <c r="P17" s="40">
        <v>0.64</v>
      </c>
      <c r="Q17" s="40">
        <v>9.32</v>
      </c>
      <c r="R17" s="38"/>
      <c r="S17" s="38"/>
      <c r="T17" s="38"/>
      <c r="U17" s="38"/>
    </row>
    <row r="18" spans="1:21" customFormat="1">
      <c r="A18" s="39" t="s">
        <v>166</v>
      </c>
      <c r="B18" s="40">
        <v>19.350000000000001</v>
      </c>
      <c r="C18" s="40">
        <v>19.68</v>
      </c>
      <c r="D18" s="40">
        <v>25.07</v>
      </c>
      <c r="E18" s="40">
        <v>5.77</v>
      </c>
      <c r="F18" s="40">
        <v>0.23</v>
      </c>
      <c r="G18" s="40">
        <v>80.53</v>
      </c>
      <c r="H18" s="40">
        <v>40.090000000000003</v>
      </c>
      <c r="I18" s="40">
        <v>12.01</v>
      </c>
      <c r="J18" s="40">
        <v>1.43</v>
      </c>
      <c r="K18" s="40">
        <v>45.18</v>
      </c>
      <c r="L18" s="40">
        <v>24.31</v>
      </c>
      <c r="M18" s="40">
        <v>57.78</v>
      </c>
      <c r="N18" s="40">
        <v>322.7</v>
      </c>
      <c r="O18" s="40">
        <v>0</v>
      </c>
      <c r="P18" s="40">
        <v>0.63</v>
      </c>
      <c r="Q18" s="40">
        <v>9.32</v>
      </c>
      <c r="R18" s="38"/>
      <c r="S18" s="38"/>
      <c r="T18" s="38"/>
      <c r="U18" s="38"/>
    </row>
    <row r="19" spans="1:21" customFormat="1">
      <c r="A19" s="39" t="s">
        <v>167</v>
      </c>
      <c r="B19" s="40">
        <v>17.71</v>
      </c>
      <c r="C19" s="40">
        <v>20.69</v>
      </c>
      <c r="D19" s="40">
        <v>24.75</v>
      </c>
      <c r="E19" s="40">
        <v>6.55</v>
      </c>
      <c r="F19" s="40">
        <v>0.6</v>
      </c>
      <c r="G19" s="40">
        <v>80.53</v>
      </c>
      <c r="H19" s="40">
        <v>39.36</v>
      </c>
      <c r="I19" s="40">
        <v>11.74</v>
      </c>
      <c r="J19" s="40">
        <v>1.31</v>
      </c>
      <c r="K19" s="40">
        <v>63.96</v>
      </c>
      <c r="L19" s="40">
        <v>26.8</v>
      </c>
      <c r="M19" s="40">
        <v>46.17</v>
      </c>
      <c r="N19" s="40">
        <v>519.4</v>
      </c>
      <c r="O19" s="40">
        <v>0</v>
      </c>
      <c r="P19" s="40">
        <v>0.61</v>
      </c>
      <c r="Q19" s="40">
        <v>9.32</v>
      </c>
      <c r="R19" s="38"/>
      <c r="S19" s="38"/>
      <c r="T19" s="38"/>
      <c r="U19" s="38"/>
    </row>
    <row r="20" spans="1:21" customFormat="1">
      <c r="A20" s="39" t="s">
        <v>168</v>
      </c>
      <c r="B20" s="40">
        <v>12.81</v>
      </c>
      <c r="C20" s="40">
        <v>21.43</v>
      </c>
      <c r="D20" s="40">
        <v>21.22</v>
      </c>
      <c r="E20" s="40">
        <v>6.83</v>
      </c>
      <c r="F20" s="40">
        <v>1.49</v>
      </c>
      <c r="G20" s="40">
        <v>80.48</v>
      </c>
      <c r="H20" s="40">
        <v>39.36</v>
      </c>
      <c r="I20" s="40">
        <v>11.15</v>
      </c>
      <c r="J20" s="40">
        <v>1.2</v>
      </c>
      <c r="K20" s="40">
        <v>46.95</v>
      </c>
      <c r="L20" s="40">
        <v>28.35</v>
      </c>
      <c r="M20" s="40">
        <v>38.14</v>
      </c>
      <c r="N20" s="40">
        <v>552.9</v>
      </c>
      <c r="O20" s="40">
        <v>0</v>
      </c>
      <c r="P20" s="40">
        <v>0.59</v>
      </c>
      <c r="Q20" s="40">
        <v>9.32</v>
      </c>
      <c r="R20" s="38"/>
      <c r="S20" s="38"/>
      <c r="T20" s="38"/>
      <c r="U20" s="38"/>
    </row>
    <row r="21" spans="1:21" customFormat="1">
      <c r="A21" s="39" t="s">
        <v>169</v>
      </c>
      <c r="B21" s="40">
        <v>8.17</v>
      </c>
      <c r="C21" s="40">
        <v>21.38</v>
      </c>
      <c r="D21" s="40">
        <v>17.72</v>
      </c>
      <c r="E21" s="40">
        <v>6.53</v>
      </c>
      <c r="F21" s="40">
        <v>1.92</v>
      </c>
      <c r="G21" s="40">
        <v>76.62</v>
      </c>
      <c r="H21" s="40">
        <v>35.79</v>
      </c>
      <c r="I21" s="40">
        <v>10.63</v>
      </c>
      <c r="J21" s="40">
        <v>0.93</v>
      </c>
      <c r="K21" s="40">
        <v>81.05</v>
      </c>
      <c r="L21" s="40">
        <v>29.15</v>
      </c>
      <c r="M21" s="40">
        <v>32.86</v>
      </c>
      <c r="N21" s="40">
        <v>548.4</v>
      </c>
      <c r="O21" s="40">
        <v>0</v>
      </c>
      <c r="P21" s="40">
        <v>0.56999999999999995</v>
      </c>
      <c r="Q21" s="40">
        <v>9.32</v>
      </c>
      <c r="R21" s="38"/>
      <c r="S21" s="38"/>
      <c r="T21" s="38"/>
      <c r="U21" s="38"/>
    </row>
    <row r="22" spans="1:21" customFormat="1">
      <c r="A22" s="39" t="s">
        <v>170</v>
      </c>
      <c r="B22" s="40">
        <v>4.45</v>
      </c>
      <c r="C22" s="40">
        <v>20.29</v>
      </c>
      <c r="D22" s="40">
        <v>14.17</v>
      </c>
      <c r="E22" s="40">
        <v>6.69</v>
      </c>
      <c r="F22" s="40">
        <v>2.36</v>
      </c>
      <c r="G22" s="40">
        <v>74.8</v>
      </c>
      <c r="H22" s="40">
        <v>34.46</v>
      </c>
      <c r="I22" s="40">
        <v>10.1</v>
      </c>
      <c r="J22" s="40">
        <v>0.77</v>
      </c>
      <c r="K22" s="40">
        <v>83.41</v>
      </c>
      <c r="L22" s="40">
        <v>29.31</v>
      </c>
      <c r="M22" s="40">
        <v>32.479999999999997</v>
      </c>
      <c r="N22" s="40">
        <v>459.5</v>
      </c>
      <c r="O22" s="40">
        <v>0</v>
      </c>
      <c r="P22" s="40">
        <v>0.54</v>
      </c>
      <c r="Q22" s="40">
        <v>9.32</v>
      </c>
      <c r="R22" s="38"/>
      <c r="S22" s="38"/>
      <c r="T22" s="38"/>
      <c r="U22" s="38"/>
    </row>
    <row r="23" spans="1:21" customFormat="1">
      <c r="A23" s="39" t="s">
        <v>171</v>
      </c>
      <c r="B23" s="40">
        <v>4.08</v>
      </c>
      <c r="C23" s="40">
        <v>19.399999999999999</v>
      </c>
      <c r="D23" s="40">
        <v>13.25</v>
      </c>
      <c r="E23" s="40">
        <v>8.81</v>
      </c>
      <c r="F23" s="40">
        <v>4.5199999999999996</v>
      </c>
      <c r="G23" s="40">
        <v>69.930000000000007</v>
      </c>
      <c r="H23" s="40">
        <v>31.52</v>
      </c>
      <c r="I23" s="40">
        <v>9.52</v>
      </c>
      <c r="J23" s="40">
        <v>0.93</v>
      </c>
      <c r="K23" s="40">
        <v>49.14</v>
      </c>
      <c r="L23" s="40">
        <v>28.95</v>
      </c>
      <c r="M23" s="40">
        <v>31.2</v>
      </c>
      <c r="N23" s="40">
        <v>126.1</v>
      </c>
      <c r="O23" s="40">
        <v>0</v>
      </c>
      <c r="P23" s="40">
        <v>0.53</v>
      </c>
      <c r="Q23" s="40">
        <v>9.32</v>
      </c>
      <c r="R23" s="38"/>
      <c r="S23" s="38"/>
      <c r="T23" s="38"/>
      <c r="U23" s="38"/>
    </row>
    <row r="24" spans="1:21" customFormat="1">
      <c r="A24" s="39" t="s">
        <v>172</v>
      </c>
      <c r="B24" s="40">
        <v>4.28</v>
      </c>
      <c r="C24" s="40">
        <v>18.62</v>
      </c>
      <c r="D24" s="40">
        <v>13.16</v>
      </c>
      <c r="E24" s="40">
        <v>8.19</v>
      </c>
      <c r="F24" s="40">
        <v>5.12</v>
      </c>
      <c r="G24" s="40">
        <v>65.42</v>
      </c>
      <c r="H24" s="40">
        <v>30.68</v>
      </c>
      <c r="I24" s="40">
        <v>8.93</v>
      </c>
      <c r="J24" s="40">
        <v>1.04</v>
      </c>
      <c r="K24" s="40">
        <v>40.64</v>
      </c>
      <c r="L24" s="40">
        <v>28.89</v>
      </c>
      <c r="M24" s="40">
        <v>30.37</v>
      </c>
      <c r="N24" s="40">
        <v>83.8</v>
      </c>
      <c r="O24" s="40">
        <v>0</v>
      </c>
      <c r="P24" s="40">
        <v>0.5</v>
      </c>
      <c r="Q24" s="40">
        <v>9.32</v>
      </c>
      <c r="R24" s="38"/>
      <c r="S24" s="38"/>
      <c r="T24" s="38"/>
      <c r="U24" s="38"/>
    </row>
    <row r="25" spans="1:21" customFormat="1">
      <c r="A25" s="39" t="s">
        <v>173</v>
      </c>
      <c r="B25" s="40">
        <v>4.46</v>
      </c>
      <c r="C25" s="40">
        <v>16.899999999999999</v>
      </c>
      <c r="D25" s="40">
        <v>12.26</v>
      </c>
      <c r="E25" s="40">
        <v>7.12</v>
      </c>
      <c r="F25" s="40">
        <v>4.1100000000000003</v>
      </c>
      <c r="G25" s="40">
        <v>63.07</v>
      </c>
      <c r="H25" s="40">
        <v>29.06</v>
      </c>
      <c r="I25" s="40">
        <v>8.73</v>
      </c>
      <c r="J25" s="40">
        <v>0.85</v>
      </c>
      <c r="K25" s="40">
        <v>62.1</v>
      </c>
      <c r="L25" s="40">
        <v>28.24</v>
      </c>
      <c r="M25" s="40">
        <v>38.08</v>
      </c>
      <c r="N25" s="40">
        <v>51.7</v>
      </c>
      <c r="O25" s="40">
        <v>0</v>
      </c>
      <c r="P25" s="40">
        <v>0.51</v>
      </c>
      <c r="Q25" s="40">
        <v>9.32</v>
      </c>
      <c r="R25" s="38"/>
      <c r="S25" s="38"/>
      <c r="T25" s="38"/>
      <c r="U25" s="38"/>
    </row>
    <row r="26" spans="1:21" customFormat="1">
      <c r="A26" s="39" t="s">
        <v>174</v>
      </c>
      <c r="B26" s="40">
        <v>5.28</v>
      </c>
      <c r="C26" s="40">
        <v>16.68</v>
      </c>
      <c r="D26" s="40">
        <v>12.95</v>
      </c>
      <c r="E26" s="40">
        <v>6.71</v>
      </c>
      <c r="F26" s="40">
        <v>0.92</v>
      </c>
      <c r="G26" s="40">
        <v>66.989999999999995</v>
      </c>
      <c r="H26" s="40">
        <v>32.090000000000003</v>
      </c>
      <c r="I26" s="40">
        <v>8.7200000000000006</v>
      </c>
      <c r="J26" s="40">
        <v>0.3</v>
      </c>
      <c r="K26" s="40">
        <v>168.62</v>
      </c>
      <c r="L26" s="40">
        <v>25.54</v>
      </c>
      <c r="M26" s="40">
        <v>52.73</v>
      </c>
      <c r="N26" s="40">
        <v>16</v>
      </c>
      <c r="O26" s="40">
        <v>0</v>
      </c>
      <c r="P26" s="40">
        <v>0.54</v>
      </c>
      <c r="Q26" s="40">
        <v>9.32</v>
      </c>
      <c r="R26" s="38"/>
      <c r="S26" s="38"/>
      <c r="T26" s="38"/>
      <c r="U26" s="38"/>
    </row>
    <row r="27" spans="1:21" customFormat="1">
      <c r="A27" s="39" t="s">
        <v>175</v>
      </c>
      <c r="B27" s="40">
        <v>8.3699999999999992</v>
      </c>
      <c r="C27" s="40">
        <v>18.61</v>
      </c>
      <c r="D27" s="40">
        <v>16.440000000000001</v>
      </c>
      <c r="E27" s="40">
        <v>6.56</v>
      </c>
      <c r="F27" s="40">
        <v>0.12</v>
      </c>
      <c r="G27" s="40">
        <v>143.53</v>
      </c>
      <c r="H27" s="40">
        <v>39.520000000000003</v>
      </c>
      <c r="I27" s="40">
        <v>9.56</v>
      </c>
      <c r="J27" s="40">
        <v>0.22</v>
      </c>
      <c r="K27" s="40">
        <v>167.6</v>
      </c>
      <c r="L27" s="40">
        <v>23.4</v>
      </c>
      <c r="M27" s="40">
        <v>55.92</v>
      </c>
      <c r="N27" s="40">
        <v>9.6999999999999993</v>
      </c>
      <c r="O27" s="40">
        <v>0</v>
      </c>
      <c r="P27" s="40">
        <v>0.61</v>
      </c>
      <c r="Q27" s="40">
        <v>9.32</v>
      </c>
      <c r="R27" s="38"/>
      <c r="S27" s="38"/>
      <c r="T27" s="38"/>
      <c r="U27" s="38"/>
    </row>
    <row r="28" spans="1:21" customFormat="1">
      <c r="A28" s="39" t="s">
        <v>176</v>
      </c>
      <c r="B28" s="40">
        <v>9.73</v>
      </c>
      <c r="C28" s="40">
        <v>19.489999999999998</v>
      </c>
      <c r="D28" s="40">
        <v>17.989999999999998</v>
      </c>
      <c r="E28" s="40">
        <v>6.63</v>
      </c>
      <c r="F28" s="40">
        <v>0.03</v>
      </c>
      <c r="G28" s="40">
        <v>143.53</v>
      </c>
      <c r="H28" s="40">
        <v>41.22</v>
      </c>
      <c r="I28" s="40">
        <v>10.56</v>
      </c>
      <c r="J28" s="40">
        <v>0.32</v>
      </c>
      <c r="K28" s="40">
        <v>100.8</v>
      </c>
      <c r="L28" s="40">
        <v>22.86</v>
      </c>
      <c r="M28" s="40">
        <v>55.96</v>
      </c>
      <c r="N28" s="40">
        <v>9.4</v>
      </c>
      <c r="O28" s="40">
        <v>0</v>
      </c>
      <c r="P28" s="40">
        <v>0.68</v>
      </c>
      <c r="Q28" s="40">
        <v>9.32</v>
      </c>
      <c r="R28" s="38"/>
      <c r="S28" s="38"/>
      <c r="T28" s="38"/>
      <c r="U28" s="38"/>
    </row>
    <row r="29" spans="1:21" customFormat="1">
      <c r="A29" s="39" t="s">
        <v>177</v>
      </c>
      <c r="B29" s="40">
        <v>10.07</v>
      </c>
      <c r="C29" s="40">
        <v>19.559999999999999</v>
      </c>
      <c r="D29" s="40">
        <v>18.3</v>
      </c>
      <c r="E29" s="40">
        <v>6.1</v>
      </c>
      <c r="F29" s="40">
        <v>0.11</v>
      </c>
      <c r="G29" s="40">
        <v>124.35</v>
      </c>
      <c r="H29" s="40">
        <v>42.46</v>
      </c>
      <c r="I29" s="40">
        <v>11.35</v>
      </c>
      <c r="J29" s="40">
        <v>0.21</v>
      </c>
      <c r="K29" s="40">
        <v>160.4</v>
      </c>
      <c r="L29" s="40">
        <v>22.3</v>
      </c>
      <c r="M29" s="40">
        <v>56.87</v>
      </c>
      <c r="N29" s="40">
        <v>9.6999999999999993</v>
      </c>
      <c r="O29" s="40">
        <v>0</v>
      </c>
      <c r="P29" s="40">
        <v>0.72</v>
      </c>
      <c r="Q29" s="40">
        <v>9.32</v>
      </c>
      <c r="R29" s="38"/>
      <c r="S29" s="38"/>
      <c r="T29" s="38"/>
      <c r="U29" s="38"/>
    </row>
    <row r="30" spans="1:21" customFormat="1">
      <c r="A30" s="39" t="s">
        <v>178</v>
      </c>
      <c r="B30" s="40">
        <v>10.3</v>
      </c>
      <c r="C30" s="40">
        <v>18.96</v>
      </c>
      <c r="D30" s="40">
        <v>17.920000000000002</v>
      </c>
      <c r="E30" s="40">
        <v>6.31</v>
      </c>
      <c r="F30" s="40">
        <v>0.17</v>
      </c>
      <c r="G30" s="40">
        <v>107.95</v>
      </c>
      <c r="H30" s="40">
        <v>42.46</v>
      </c>
      <c r="I30" s="40">
        <v>11.61</v>
      </c>
      <c r="J30" s="40">
        <v>0.24</v>
      </c>
      <c r="K30" s="40">
        <v>180.36</v>
      </c>
      <c r="L30" s="40">
        <v>20.75</v>
      </c>
      <c r="M30" s="40">
        <v>69.84</v>
      </c>
      <c r="N30" s="40">
        <v>9.6999999999999993</v>
      </c>
      <c r="O30" s="40">
        <v>0</v>
      </c>
      <c r="P30" s="40">
        <v>0.75</v>
      </c>
      <c r="Q30" s="40">
        <v>9.32</v>
      </c>
      <c r="R30" s="38"/>
      <c r="S30" s="38"/>
      <c r="T30" s="38"/>
      <c r="U30" s="38"/>
    </row>
    <row r="31" spans="1:21" customFormat="1">
      <c r="A31" s="39" t="s">
        <v>179</v>
      </c>
      <c r="B31" s="40">
        <v>12.22</v>
      </c>
      <c r="C31" s="40">
        <v>18.649999999999999</v>
      </c>
      <c r="D31" s="40">
        <v>19.52</v>
      </c>
      <c r="E31" s="40">
        <v>6.34</v>
      </c>
      <c r="F31" s="40">
        <v>0.1</v>
      </c>
      <c r="G31" s="40">
        <v>95.69</v>
      </c>
      <c r="H31" s="40">
        <v>42.32</v>
      </c>
      <c r="I31" s="40">
        <v>12.11</v>
      </c>
      <c r="J31" s="40">
        <v>0.25</v>
      </c>
      <c r="K31" s="40">
        <v>221.73</v>
      </c>
      <c r="L31" s="40">
        <v>19.77</v>
      </c>
      <c r="M31" s="40">
        <v>77.260000000000005</v>
      </c>
      <c r="N31" s="40">
        <v>9.5</v>
      </c>
      <c r="O31" s="40">
        <v>0</v>
      </c>
      <c r="P31" s="40">
        <v>0.77</v>
      </c>
      <c r="Q31" s="40">
        <v>9.32</v>
      </c>
      <c r="R31" s="38"/>
      <c r="S31" s="38"/>
      <c r="T31" s="38"/>
      <c r="U31" s="38"/>
    </row>
    <row r="32" spans="1:21" customFormat="1">
      <c r="A32" s="39" t="s">
        <v>180</v>
      </c>
      <c r="B32" s="40">
        <v>12.96</v>
      </c>
      <c r="C32" s="40">
        <v>18.23</v>
      </c>
      <c r="D32" s="40">
        <v>19.88</v>
      </c>
      <c r="E32" s="40">
        <v>6.2</v>
      </c>
      <c r="F32" s="40">
        <v>0.08</v>
      </c>
      <c r="G32" s="40">
        <v>95.46</v>
      </c>
      <c r="H32" s="40">
        <v>41.89</v>
      </c>
      <c r="I32" s="40">
        <v>12.57</v>
      </c>
      <c r="J32" s="40">
        <v>0.2</v>
      </c>
      <c r="K32" s="40">
        <v>207.63</v>
      </c>
      <c r="L32" s="40">
        <v>18.63</v>
      </c>
      <c r="M32" s="40">
        <v>80.63</v>
      </c>
      <c r="N32" s="40">
        <v>9.4</v>
      </c>
      <c r="O32" s="40">
        <v>0</v>
      </c>
      <c r="P32" s="40">
        <v>0.78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4.08</v>
      </c>
      <c r="C34" s="18">
        <f t="shared" si="0"/>
        <v>15.87</v>
      </c>
      <c r="D34" s="18">
        <f t="shared" si="0"/>
        <v>12.26</v>
      </c>
      <c r="E34" s="18">
        <f t="shared" si="0"/>
        <v>5.32</v>
      </c>
      <c r="F34" s="18">
        <f t="shared" si="0"/>
        <v>0.02</v>
      </c>
      <c r="G34" s="18">
        <f t="shared" si="0"/>
        <v>63.07</v>
      </c>
      <c r="H34" s="18">
        <f t="shared" si="0"/>
        <v>29.06</v>
      </c>
      <c r="I34" s="18">
        <f t="shared" si="0"/>
        <v>8.7200000000000006</v>
      </c>
      <c r="J34" s="18">
        <f t="shared" si="0"/>
        <v>0.16</v>
      </c>
      <c r="K34" s="18">
        <f t="shared" si="0"/>
        <v>40.64</v>
      </c>
      <c r="L34" s="18">
        <f t="shared" si="0"/>
        <v>16.79</v>
      </c>
      <c r="M34" s="18">
        <f t="shared" si="0"/>
        <v>30.37</v>
      </c>
      <c r="N34" s="18">
        <f t="shared" si="0"/>
        <v>9.4</v>
      </c>
      <c r="O34" s="18">
        <f t="shared" si="0"/>
        <v>0</v>
      </c>
      <c r="P34" s="18">
        <f t="shared" si="0"/>
        <v>0.5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19.96</v>
      </c>
      <c r="C35" s="3">
        <f t="shared" si="1"/>
        <v>21.43</v>
      </c>
      <c r="D35" s="3">
        <f t="shared" si="1"/>
        <v>25.82</v>
      </c>
      <c r="E35" s="3">
        <f t="shared" si="1"/>
        <v>8.81</v>
      </c>
      <c r="F35" s="3">
        <f t="shared" si="1"/>
        <v>5.12</v>
      </c>
      <c r="G35" s="3">
        <f t="shared" si="1"/>
        <v>143.53</v>
      </c>
      <c r="H35" s="3">
        <f t="shared" si="1"/>
        <v>42.46</v>
      </c>
      <c r="I35" s="3">
        <f t="shared" si="1"/>
        <v>12.57</v>
      </c>
      <c r="J35" s="3">
        <f t="shared" si="1"/>
        <v>1.43</v>
      </c>
      <c r="K35" s="3">
        <f t="shared" si="1"/>
        <v>233.43</v>
      </c>
      <c r="L35" s="3">
        <f t="shared" si="1"/>
        <v>29.31</v>
      </c>
      <c r="M35" s="3">
        <f t="shared" si="1"/>
        <v>89.71</v>
      </c>
      <c r="N35" s="3">
        <f t="shared" si="1"/>
        <v>552.9</v>
      </c>
      <c r="O35" s="3">
        <f t="shared" si="1"/>
        <v>0</v>
      </c>
      <c r="P35" s="3">
        <f t="shared" si="1"/>
        <v>0.78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12.999166666666669</v>
      </c>
      <c r="C36" s="18">
        <f t="shared" si="2"/>
        <v>18.673749999999998</v>
      </c>
      <c r="D36" s="18">
        <f t="shared" si="2"/>
        <v>20.090833333333336</v>
      </c>
      <c r="E36" s="18">
        <f t="shared" si="2"/>
        <v>6.3429166666666665</v>
      </c>
      <c r="F36" s="18">
        <f t="shared" si="2"/>
        <v>0.94000000000000006</v>
      </c>
      <c r="G36" s="18">
        <f t="shared" si="2"/>
        <v>87.045416666666654</v>
      </c>
      <c r="H36" s="18">
        <f t="shared" si="2"/>
        <v>36.717500000000008</v>
      </c>
      <c r="I36" s="18">
        <f t="shared" si="2"/>
        <v>11.050000000000002</v>
      </c>
      <c r="J36" s="18">
        <f t="shared" si="2"/>
        <v>0.57541666666666669</v>
      </c>
      <c r="K36" s="18">
        <f t="shared" si="2"/>
        <v>137.8716666666667</v>
      </c>
      <c r="L36" s="18">
        <f t="shared" si="2"/>
        <v>22.625416666666666</v>
      </c>
      <c r="M36" s="18">
        <f t="shared" si="2"/>
        <v>61.58124999999999</v>
      </c>
      <c r="N36" s="18">
        <f t="shared" si="2"/>
        <v>133.38749999999999</v>
      </c>
      <c r="O36" s="18">
        <f t="shared" si="2"/>
        <v>0</v>
      </c>
      <c r="P36" s="18">
        <f t="shared" si="2"/>
        <v>0.63041666666666651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5.8599672922864121</v>
      </c>
      <c r="C37" s="18">
        <f t="shared" ref="C37:Q37" si="3">STDEV(C9:C32)</f>
        <v>1.5904547134867357</v>
      </c>
      <c r="D37" s="18">
        <f t="shared" si="3"/>
        <v>4.5856258561676704</v>
      </c>
      <c r="E37" s="18">
        <f t="shared" si="3"/>
        <v>0.83317871754043782</v>
      </c>
      <c r="F37" s="18">
        <f t="shared" si="3"/>
        <v>1.5493084011064842</v>
      </c>
      <c r="G37" s="18">
        <f t="shared" si="3"/>
        <v>21.961884764918022</v>
      </c>
      <c r="H37" s="18">
        <f t="shared" si="3"/>
        <v>4.0796485888732512</v>
      </c>
      <c r="I37" s="18">
        <f t="shared" si="3"/>
        <v>1.1712832056450027</v>
      </c>
      <c r="J37" s="18">
        <f t="shared" si="3"/>
        <v>0.42892159176714106</v>
      </c>
      <c r="K37" s="18">
        <f t="shared" si="3"/>
        <v>68.444632188085507</v>
      </c>
      <c r="L37" s="18">
        <f t="shared" si="3"/>
        <v>4.4994714464147334</v>
      </c>
      <c r="M37" s="18">
        <f t="shared" si="3"/>
        <v>20.216473978137142</v>
      </c>
      <c r="N37" s="18">
        <f t="shared" si="3"/>
        <v>195.42109563597589</v>
      </c>
      <c r="O37" s="18">
        <f t="shared" si="3"/>
        <v>0</v>
      </c>
      <c r="P37" s="18">
        <f t="shared" si="3"/>
        <v>7.7261789119662208E-2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181</v>
      </c>
      <c r="B9" s="40">
        <v>15.46</v>
      </c>
      <c r="C9" s="40">
        <v>17.940000000000001</v>
      </c>
      <c r="D9" s="40">
        <v>21.77</v>
      </c>
      <c r="E9" s="40">
        <v>6.34</v>
      </c>
      <c r="F9" s="40">
        <v>0.12</v>
      </c>
      <c r="G9" s="40">
        <v>83.08</v>
      </c>
      <c r="H9" s="40">
        <v>41.06</v>
      </c>
      <c r="I9" s="40">
        <v>12.55</v>
      </c>
      <c r="J9" s="40">
        <v>0.38</v>
      </c>
      <c r="K9" s="40">
        <v>177.7</v>
      </c>
      <c r="L9" s="40">
        <v>18.61</v>
      </c>
      <c r="M9" s="40">
        <v>78.819999999999993</v>
      </c>
      <c r="N9" s="40">
        <v>9.3000000000000007</v>
      </c>
      <c r="O9" s="40">
        <v>0</v>
      </c>
      <c r="P9" s="40">
        <v>0.77</v>
      </c>
      <c r="Q9" s="40">
        <v>9.32</v>
      </c>
      <c r="R9" s="38"/>
      <c r="S9" s="38"/>
      <c r="T9" s="38"/>
      <c r="U9" s="38"/>
    </row>
    <row r="10" spans="1:21" customFormat="1">
      <c r="A10" s="39" t="s">
        <v>182</v>
      </c>
      <c r="B10" s="40">
        <v>15.66</v>
      </c>
      <c r="C10" s="40">
        <v>18.11</v>
      </c>
      <c r="D10" s="40">
        <v>22.02</v>
      </c>
      <c r="E10" s="40">
        <v>6.07</v>
      </c>
      <c r="F10" s="40">
        <v>7.0000000000000007E-2</v>
      </c>
      <c r="G10" s="40">
        <v>78.19</v>
      </c>
      <c r="H10" s="40">
        <v>41.06</v>
      </c>
      <c r="I10" s="40">
        <v>12.35</v>
      </c>
      <c r="J10" s="40">
        <v>0.2</v>
      </c>
      <c r="K10" s="40">
        <v>230.05</v>
      </c>
      <c r="L10" s="40">
        <v>17.73</v>
      </c>
      <c r="M10" s="40">
        <v>83.79</v>
      </c>
      <c r="N10" s="40">
        <v>9.3000000000000007</v>
      </c>
      <c r="O10" s="40">
        <v>0</v>
      </c>
      <c r="P10" s="40">
        <v>0.76</v>
      </c>
      <c r="Q10" s="40">
        <v>9.32</v>
      </c>
      <c r="R10" s="38"/>
      <c r="S10" s="38"/>
      <c r="T10" s="38"/>
      <c r="U10" s="38"/>
    </row>
    <row r="11" spans="1:21" customFormat="1">
      <c r="A11" s="39" t="s">
        <v>183</v>
      </c>
      <c r="B11" s="40">
        <v>17.88</v>
      </c>
      <c r="C11" s="40">
        <v>18.16</v>
      </c>
      <c r="D11" s="40">
        <v>23.83</v>
      </c>
      <c r="E11" s="40">
        <v>6.15</v>
      </c>
      <c r="F11" s="40">
        <v>0.03</v>
      </c>
      <c r="G11" s="40">
        <v>78.19</v>
      </c>
      <c r="H11" s="40">
        <v>40.450000000000003</v>
      </c>
      <c r="I11" s="40">
        <v>12.21</v>
      </c>
      <c r="J11" s="40">
        <v>0.67</v>
      </c>
      <c r="K11" s="40">
        <v>137.11000000000001</v>
      </c>
      <c r="L11" s="40">
        <v>18.2</v>
      </c>
      <c r="M11" s="40">
        <v>79.44</v>
      </c>
      <c r="N11" s="40">
        <v>9</v>
      </c>
      <c r="O11" s="40">
        <v>0</v>
      </c>
      <c r="P11" s="40">
        <v>0.74</v>
      </c>
      <c r="Q11" s="40">
        <v>9.32</v>
      </c>
      <c r="R11" s="38"/>
      <c r="S11" s="38"/>
      <c r="T11" s="38"/>
      <c r="U11" s="38"/>
    </row>
    <row r="12" spans="1:21" customFormat="1">
      <c r="A12" s="39" t="s">
        <v>184</v>
      </c>
      <c r="B12" s="40">
        <v>17.690000000000001</v>
      </c>
      <c r="C12" s="40">
        <v>18.22</v>
      </c>
      <c r="D12" s="40">
        <v>23.67</v>
      </c>
      <c r="E12" s="40">
        <v>5.65</v>
      </c>
      <c r="F12" s="40">
        <v>0.14000000000000001</v>
      </c>
      <c r="G12" s="40">
        <v>62.04</v>
      </c>
      <c r="H12" s="40">
        <v>38.950000000000003</v>
      </c>
      <c r="I12" s="40">
        <v>11.92</v>
      </c>
      <c r="J12" s="40">
        <v>0.36</v>
      </c>
      <c r="K12" s="40">
        <v>170.43</v>
      </c>
      <c r="L12" s="40">
        <v>18.22</v>
      </c>
      <c r="M12" s="40">
        <v>76.28</v>
      </c>
      <c r="N12" s="40">
        <v>9.6</v>
      </c>
      <c r="O12" s="40">
        <v>0</v>
      </c>
      <c r="P12" s="40">
        <v>0.69</v>
      </c>
      <c r="Q12" s="40">
        <v>9.32</v>
      </c>
      <c r="R12" s="38"/>
      <c r="S12" s="38"/>
      <c r="T12" s="38"/>
      <c r="U12" s="38"/>
    </row>
    <row r="13" spans="1:21" customFormat="1">
      <c r="A13" s="39" t="s">
        <v>185</v>
      </c>
      <c r="B13" s="40">
        <v>16.12</v>
      </c>
      <c r="C13" s="40">
        <v>17.489999999999998</v>
      </c>
      <c r="D13" s="40">
        <v>22.06</v>
      </c>
      <c r="E13" s="40">
        <v>5.62</v>
      </c>
      <c r="F13" s="40">
        <v>0.08</v>
      </c>
      <c r="G13" s="40">
        <v>54.94</v>
      </c>
      <c r="H13" s="40">
        <v>33.54</v>
      </c>
      <c r="I13" s="40">
        <v>11.22</v>
      </c>
      <c r="J13" s="40">
        <v>0.54</v>
      </c>
      <c r="K13" s="40">
        <v>42.6</v>
      </c>
      <c r="L13" s="40">
        <v>17.440000000000001</v>
      </c>
      <c r="M13" s="40">
        <v>69.77</v>
      </c>
      <c r="N13" s="40">
        <v>9.1</v>
      </c>
      <c r="O13" s="40">
        <v>0</v>
      </c>
      <c r="P13" s="40">
        <v>0.63</v>
      </c>
      <c r="Q13" s="40">
        <v>9.32</v>
      </c>
      <c r="R13" s="38"/>
      <c r="S13" s="38"/>
      <c r="T13" s="38"/>
      <c r="U13" s="38"/>
    </row>
    <row r="14" spans="1:21" customFormat="1">
      <c r="A14" s="39" t="s">
        <v>186</v>
      </c>
      <c r="B14" s="40">
        <v>15.22</v>
      </c>
      <c r="C14" s="40">
        <v>17.190000000000001</v>
      </c>
      <c r="D14" s="40">
        <v>21.19</v>
      </c>
      <c r="E14" s="40">
        <v>5.43</v>
      </c>
      <c r="F14" s="40">
        <v>0.22</v>
      </c>
      <c r="G14" s="40">
        <v>52.5</v>
      </c>
      <c r="H14" s="40">
        <v>29.39</v>
      </c>
      <c r="I14" s="40">
        <v>10.5</v>
      </c>
      <c r="J14" s="40">
        <v>0.2</v>
      </c>
      <c r="K14" s="40">
        <v>187.25</v>
      </c>
      <c r="L14" s="40">
        <v>17.05</v>
      </c>
      <c r="M14" s="40">
        <v>80.72</v>
      </c>
      <c r="N14" s="40">
        <v>9.5</v>
      </c>
      <c r="O14" s="40">
        <v>0</v>
      </c>
      <c r="P14" s="40">
        <v>0.57999999999999996</v>
      </c>
      <c r="Q14" s="40">
        <v>9.32</v>
      </c>
      <c r="R14" s="38"/>
      <c r="S14" s="38"/>
      <c r="T14" s="38"/>
      <c r="U14" s="38"/>
    </row>
    <row r="15" spans="1:21" customFormat="1">
      <c r="A15" s="39" t="s">
        <v>187</v>
      </c>
      <c r="B15" s="40">
        <v>15.46</v>
      </c>
      <c r="C15" s="40">
        <v>16.64</v>
      </c>
      <c r="D15" s="40">
        <v>21.09</v>
      </c>
      <c r="E15" s="40">
        <v>5.58</v>
      </c>
      <c r="F15" s="40">
        <v>0.05</v>
      </c>
      <c r="G15" s="40">
        <v>52.5</v>
      </c>
      <c r="H15" s="40">
        <v>29.39</v>
      </c>
      <c r="I15" s="40">
        <v>10.050000000000001</v>
      </c>
      <c r="J15" s="40">
        <v>0.19</v>
      </c>
      <c r="K15" s="40">
        <v>217.96</v>
      </c>
      <c r="L15" s="40">
        <v>15.65</v>
      </c>
      <c r="M15" s="40">
        <v>84.99</v>
      </c>
      <c r="N15" s="40">
        <v>26.4</v>
      </c>
      <c r="O15" s="40">
        <v>0</v>
      </c>
      <c r="P15" s="40">
        <v>0.55000000000000004</v>
      </c>
      <c r="Q15" s="40">
        <v>9.32</v>
      </c>
      <c r="R15" s="38"/>
      <c r="S15" s="38"/>
      <c r="T15" s="38"/>
      <c r="U15" s="38"/>
    </row>
    <row r="16" spans="1:21" customFormat="1">
      <c r="A16" s="39" t="s">
        <v>188</v>
      </c>
      <c r="B16" s="40">
        <v>16.07</v>
      </c>
      <c r="C16" s="40">
        <v>16.16</v>
      </c>
      <c r="D16" s="40">
        <v>21.3</v>
      </c>
      <c r="E16" s="40">
        <v>5.36</v>
      </c>
      <c r="F16" s="40">
        <v>0.05</v>
      </c>
      <c r="G16" s="40">
        <v>55.81</v>
      </c>
      <c r="H16" s="40">
        <v>27.25</v>
      </c>
      <c r="I16" s="40">
        <v>10.25</v>
      </c>
      <c r="J16" s="40">
        <v>0.48</v>
      </c>
      <c r="K16" s="40">
        <v>170.9</v>
      </c>
      <c r="L16" s="40">
        <v>17.98</v>
      </c>
      <c r="M16" s="40">
        <v>82.63</v>
      </c>
      <c r="N16" s="40">
        <v>89</v>
      </c>
      <c r="O16" s="40">
        <v>0</v>
      </c>
      <c r="P16" s="40">
        <v>0.56000000000000005</v>
      </c>
      <c r="Q16" s="40">
        <v>9.32</v>
      </c>
      <c r="R16" s="38"/>
      <c r="S16" s="38"/>
      <c r="T16" s="38"/>
      <c r="U16" s="38"/>
    </row>
    <row r="17" spans="1:21" customFormat="1">
      <c r="A17" s="39" t="s">
        <v>189</v>
      </c>
      <c r="B17" s="40">
        <v>16.11</v>
      </c>
      <c r="C17" s="40">
        <v>18.12</v>
      </c>
      <c r="D17" s="40">
        <v>22.01</v>
      </c>
      <c r="E17" s="40">
        <v>5.68</v>
      </c>
      <c r="F17" s="40">
        <v>0.1</v>
      </c>
      <c r="G17" s="40">
        <v>69.319999999999993</v>
      </c>
      <c r="H17" s="40">
        <v>29.35</v>
      </c>
      <c r="I17" s="40">
        <v>10.83</v>
      </c>
      <c r="J17" s="40">
        <v>0.89</v>
      </c>
      <c r="K17" s="40">
        <v>48.47</v>
      </c>
      <c r="L17" s="40">
        <v>21.26</v>
      </c>
      <c r="M17" s="40">
        <v>55.07</v>
      </c>
      <c r="N17" s="40">
        <v>313.7</v>
      </c>
      <c r="O17" s="40">
        <v>0</v>
      </c>
      <c r="P17" s="40">
        <v>0.56999999999999995</v>
      </c>
      <c r="Q17" s="40">
        <v>9.32</v>
      </c>
      <c r="R17" s="38"/>
      <c r="S17" s="38"/>
      <c r="T17" s="38"/>
      <c r="U17" s="38"/>
    </row>
    <row r="18" spans="1:21" customFormat="1">
      <c r="A18" s="39" t="s">
        <v>190</v>
      </c>
      <c r="B18" s="40">
        <v>14.89</v>
      </c>
      <c r="C18" s="40">
        <v>19.55</v>
      </c>
      <c r="D18" s="40">
        <v>21.6</v>
      </c>
      <c r="E18" s="40">
        <v>5.8</v>
      </c>
      <c r="F18" s="40">
        <v>0.14000000000000001</v>
      </c>
      <c r="G18" s="40">
        <v>69.319999999999993</v>
      </c>
      <c r="H18" s="40">
        <v>29.35</v>
      </c>
      <c r="I18" s="40">
        <v>10.86</v>
      </c>
      <c r="J18" s="40">
        <v>1.1499999999999999</v>
      </c>
      <c r="K18" s="40">
        <v>44.36</v>
      </c>
      <c r="L18" s="40">
        <v>23.59</v>
      </c>
      <c r="M18" s="40">
        <v>39.42</v>
      </c>
      <c r="N18" s="40">
        <v>322.8</v>
      </c>
      <c r="O18" s="40">
        <v>0</v>
      </c>
      <c r="P18" s="40">
        <v>0.56999999999999995</v>
      </c>
      <c r="Q18" s="40">
        <v>9.32</v>
      </c>
      <c r="R18" s="38"/>
      <c r="S18" s="38"/>
      <c r="T18" s="38"/>
      <c r="U18" s="38"/>
    </row>
    <row r="19" spans="1:21" customFormat="1">
      <c r="A19" s="39" t="s">
        <v>191</v>
      </c>
      <c r="B19" s="40">
        <v>13.3</v>
      </c>
      <c r="C19" s="40">
        <v>25.01</v>
      </c>
      <c r="D19" s="40">
        <v>20.96</v>
      </c>
      <c r="E19" s="40">
        <v>6</v>
      </c>
      <c r="F19" s="40">
        <v>2.27</v>
      </c>
      <c r="G19" s="40">
        <v>66.61</v>
      </c>
      <c r="H19" s="40">
        <v>28.74</v>
      </c>
      <c r="I19" s="40">
        <v>10.51</v>
      </c>
      <c r="J19" s="40">
        <v>1.01</v>
      </c>
      <c r="K19" s="40">
        <v>70.349999999999994</v>
      </c>
      <c r="L19" s="40">
        <v>26.55</v>
      </c>
      <c r="M19" s="40">
        <v>32.92</v>
      </c>
      <c r="N19" s="40">
        <v>610.6</v>
      </c>
      <c r="O19" s="40">
        <v>0</v>
      </c>
      <c r="P19" s="40">
        <v>0.56000000000000005</v>
      </c>
      <c r="Q19" s="40">
        <v>9.32</v>
      </c>
      <c r="R19" s="38"/>
      <c r="S19" s="38"/>
      <c r="T19" s="38"/>
      <c r="U19" s="38"/>
    </row>
    <row r="20" spans="1:21" customFormat="1">
      <c r="A20" s="39" t="s">
        <v>192</v>
      </c>
      <c r="B20" s="40">
        <v>6.74</v>
      </c>
      <c r="C20" s="40">
        <v>29.34</v>
      </c>
      <c r="D20" s="40">
        <v>19.82</v>
      </c>
      <c r="E20" s="40">
        <v>7.01</v>
      </c>
      <c r="F20" s="40">
        <v>13.32</v>
      </c>
      <c r="G20" s="40">
        <v>70.599999999999994</v>
      </c>
      <c r="H20" s="40">
        <v>28.13</v>
      </c>
      <c r="I20" s="40">
        <v>9.6999999999999993</v>
      </c>
      <c r="J20" s="40">
        <v>0.66</v>
      </c>
      <c r="K20" s="40">
        <v>61.44</v>
      </c>
      <c r="L20" s="40">
        <v>27.91</v>
      </c>
      <c r="M20" s="40">
        <v>25.37</v>
      </c>
      <c r="N20" s="40">
        <v>646.29999999999995</v>
      </c>
      <c r="O20" s="40">
        <v>0</v>
      </c>
      <c r="P20" s="40">
        <v>0.46</v>
      </c>
      <c r="Q20" s="40">
        <v>9.32</v>
      </c>
      <c r="R20" s="38"/>
      <c r="S20" s="38"/>
      <c r="T20" s="38"/>
      <c r="U20" s="38"/>
    </row>
    <row r="21" spans="1:21" customFormat="1">
      <c r="A21" s="39" t="s">
        <v>193</v>
      </c>
      <c r="B21" s="40">
        <v>3.37</v>
      </c>
      <c r="C21" s="40">
        <v>26.33</v>
      </c>
      <c r="D21" s="40">
        <v>16.46</v>
      </c>
      <c r="E21" s="40">
        <v>5.01</v>
      </c>
      <c r="F21" s="40">
        <v>10.87</v>
      </c>
      <c r="G21" s="40">
        <v>70.599999999999994</v>
      </c>
      <c r="H21" s="40">
        <v>28.13</v>
      </c>
      <c r="I21" s="40">
        <v>6.41</v>
      </c>
      <c r="J21" s="40">
        <v>0.5</v>
      </c>
      <c r="K21" s="40">
        <v>354.37</v>
      </c>
      <c r="L21" s="40">
        <v>28.71</v>
      </c>
      <c r="M21" s="40">
        <v>24.12</v>
      </c>
      <c r="N21" s="40">
        <v>640.1</v>
      </c>
      <c r="O21" s="40">
        <v>0</v>
      </c>
      <c r="P21" s="40">
        <v>0.41</v>
      </c>
      <c r="Q21" s="40">
        <v>9.32</v>
      </c>
      <c r="R21" s="38"/>
      <c r="S21" s="38"/>
      <c r="T21" s="38"/>
      <c r="U21" s="38"/>
    </row>
    <row r="22" spans="1:21" customFormat="1">
      <c r="A22" s="39" t="s">
        <v>194</v>
      </c>
      <c r="B22" s="40">
        <v>3.69</v>
      </c>
      <c r="C22" s="40">
        <v>26.46</v>
      </c>
      <c r="D22" s="40">
        <v>16.78</v>
      </c>
      <c r="E22" s="40">
        <v>8.6999999999999993</v>
      </c>
      <c r="F22" s="40">
        <v>14.33</v>
      </c>
      <c r="G22" s="40">
        <v>64.739999999999995</v>
      </c>
      <c r="H22" s="40">
        <v>27.78</v>
      </c>
      <c r="I22" s="40">
        <v>7.24</v>
      </c>
      <c r="J22" s="40">
        <v>0.65</v>
      </c>
      <c r="K22" s="40">
        <v>51.99</v>
      </c>
      <c r="L22" s="40">
        <v>28.68</v>
      </c>
      <c r="M22" s="40">
        <v>21.59</v>
      </c>
      <c r="N22" s="40">
        <v>525</v>
      </c>
      <c r="O22" s="40">
        <v>0</v>
      </c>
      <c r="P22" s="40">
        <v>0.41</v>
      </c>
      <c r="Q22" s="40">
        <v>9.32</v>
      </c>
      <c r="R22" s="38"/>
      <c r="S22" s="38"/>
      <c r="T22" s="38"/>
      <c r="U22" s="38"/>
    </row>
    <row r="23" spans="1:21" customFormat="1">
      <c r="A23" s="39" t="s">
        <v>195</v>
      </c>
      <c r="B23" s="40">
        <v>3.52</v>
      </c>
      <c r="C23" s="40">
        <v>26.8</v>
      </c>
      <c r="D23" s="40">
        <v>16.82</v>
      </c>
      <c r="E23" s="40">
        <v>13.73</v>
      </c>
      <c r="F23" s="40">
        <v>21.84</v>
      </c>
      <c r="G23" s="40">
        <v>55.45</v>
      </c>
      <c r="H23" s="40">
        <v>27.78</v>
      </c>
      <c r="I23" s="40">
        <v>7.13</v>
      </c>
      <c r="J23" s="40">
        <v>0.59</v>
      </c>
      <c r="K23" s="40">
        <v>324.82</v>
      </c>
      <c r="L23" s="40">
        <v>29.02</v>
      </c>
      <c r="M23" s="40">
        <v>21.41</v>
      </c>
      <c r="N23" s="40">
        <v>131.9</v>
      </c>
      <c r="O23" s="40">
        <v>0</v>
      </c>
      <c r="P23" s="40">
        <v>0.41</v>
      </c>
      <c r="Q23" s="40">
        <v>9.32</v>
      </c>
      <c r="R23" s="38"/>
      <c r="S23" s="38"/>
      <c r="T23" s="38"/>
      <c r="U23" s="38"/>
    </row>
    <row r="24" spans="1:21" customFormat="1">
      <c r="A24" s="39" t="s">
        <v>196</v>
      </c>
      <c r="B24" s="40">
        <v>3.21</v>
      </c>
      <c r="C24" s="40">
        <v>25.99</v>
      </c>
      <c r="D24" s="40">
        <v>16.149999999999999</v>
      </c>
      <c r="E24" s="40">
        <v>6.95</v>
      </c>
      <c r="F24" s="40">
        <v>11.97</v>
      </c>
      <c r="G24" s="40">
        <v>66.05</v>
      </c>
      <c r="H24" s="40">
        <v>26.39</v>
      </c>
      <c r="I24" s="40">
        <v>7.57</v>
      </c>
      <c r="J24" s="40">
        <v>0.49</v>
      </c>
      <c r="K24" s="40">
        <v>357.11</v>
      </c>
      <c r="L24" s="40">
        <v>28.93</v>
      </c>
      <c r="M24" s="40">
        <v>24.21</v>
      </c>
      <c r="N24" s="40">
        <v>85.2</v>
      </c>
      <c r="O24" s="40">
        <v>0</v>
      </c>
      <c r="P24" s="40">
        <v>0.47</v>
      </c>
      <c r="Q24" s="40">
        <v>9.32</v>
      </c>
      <c r="R24" s="38"/>
      <c r="S24" s="38"/>
      <c r="T24" s="38"/>
      <c r="U24" s="38"/>
    </row>
    <row r="25" spans="1:21" customFormat="1">
      <c r="A25" s="39" t="s">
        <v>197</v>
      </c>
      <c r="B25" s="40">
        <v>3.41</v>
      </c>
      <c r="C25" s="40">
        <v>24.09</v>
      </c>
      <c r="D25" s="40">
        <v>15.03</v>
      </c>
      <c r="E25" s="40">
        <v>4.25</v>
      </c>
      <c r="F25" s="40">
        <v>5.0599999999999996</v>
      </c>
      <c r="G25" s="40">
        <v>85.15</v>
      </c>
      <c r="H25" s="40">
        <v>34.659999999999997</v>
      </c>
      <c r="I25" s="40">
        <v>7.81</v>
      </c>
      <c r="J25" s="40">
        <v>0.51</v>
      </c>
      <c r="K25" s="40">
        <v>88.14</v>
      </c>
      <c r="L25" s="40">
        <v>28.13</v>
      </c>
      <c r="M25" s="40">
        <v>28.06</v>
      </c>
      <c r="N25" s="40">
        <v>65.2</v>
      </c>
      <c r="O25" s="40">
        <v>0</v>
      </c>
      <c r="P25" s="40">
        <v>0.49</v>
      </c>
      <c r="Q25" s="40">
        <v>9.32</v>
      </c>
      <c r="R25" s="38"/>
      <c r="S25" s="38"/>
      <c r="T25" s="38"/>
      <c r="U25" s="38"/>
    </row>
    <row r="26" spans="1:21" customFormat="1">
      <c r="A26" s="39" t="s">
        <v>198</v>
      </c>
      <c r="B26" s="40">
        <v>3.85</v>
      </c>
      <c r="C26" s="40">
        <v>22.73</v>
      </c>
      <c r="D26" s="40">
        <v>14.96</v>
      </c>
      <c r="E26" s="40">
        <v>3.93</v>
      </c>
      <c r="F26" s="40">
        <v>1.56</v>
      </c>
      <c r="G26" s="40">
        <v>92.95</v>
      </c>
      <c r="H26" s="40">
        <v>39.979999999999997</v>
      </c>
      <c r="I26" s="40">
        <v>8.27</v>
      </c>
      <c r="J26" s="40">
        <v>0.24</v>
      </c>
      <c r="K26" s="40">
        <v>151.08000000000001</v>
      </c>
      <c r="L26" s="40">
        <v>25.81</v>
      </c>
      <c r="M26" s="40">
        <v>38.090000000000003</v>
      </c>
      <c r="N26" s="40">
        <v>25.1</v>
      </c>
      <c r="O26" s="40">
        <v>0</v>
      </c>
      <c r="P26" s="40">
        <v>0.56000000000000005</v>
      </c>
      <c r="Q26" s="40">
        <v>9.32</v>
      </c>
      <c r="R26" s="38"/>
      <c r="S26" s="38"/>
      <c r="T26" s="38"/>
      <c r="U26" s="38"/>
    </row>
    <row r="27" spans="1:21" customFormat="1">
      <c r="A27" s="39" t="s">
        <v>199</v>
      </c>
      <c r="B27" s="40">
        <v>4.6900000000000004</v>
      </c>
      <c r="C27" s="40">
        <v>23.24</v>
      </c>
      <c r="D27" s="40">
        <v>15.9</v>
      </c>
      <c r="E27" s="40">
        <v>4.72</v>
      </c>
      <c r="F27" s="40">
        <v>0.65</v>
      </c>
      <c r="G27" s="40">
        <v>108.2</v>
      </c>
      <c r="H27" s="40">
        <v>50.96</v>
      </c>
      <c r="I27" s="40">
        <v>9.61</v>
      </c>
      <c r="J27" s="40">
        <v>0.34</v>
      </c>
      <c r="K27" s="40">
        <v>165.85</v>
      </c>
      <c r="L27" s="40">
        <v>22.98</v>
      </c>
      <c r="M27" s="40">
        <v>47.87</v>
      </c>
      <c r="N27" s="40">
        <v>17.3</v>
      </c>
      <c r="O27" s="40">
        <v>0</v>
      </c>
      <c r="P27" s="40">
        <v>0.67</v>
      </c>
      <c r="Q27" s="40">
        <v>9.32</v>
      </c>
      <c r="R27" s="38"/>
      <c r="S27" s="38"/>
      <c r="T27" s="38"/>
      <c r="U27" s="38"/>
    </row>
    <row r="28" spans="1:21" customFormat="1">
      <c r="A28" s="39" t="s">
        <v>200</v>
      </c>
      <c r="B28" s="40">
        <v>5.08</v>
      </c>
      <c r="C28" s="40">
        <v>23.44</v>
      </c>
      <c r="D28" s="40">
        <v>16.149999999999999</v>
      </c>
      <c r="E28" s="40">
        <v>4.79</v>
      </c>
      <c r="F28" s="40">
        <v>0.27</v>
      </c>
      <c r="G28" s="40">
        <v>136.5</v>
      </c>
      <c r="H28" s="40">
        <v>66.69</v>
      </c>
      <c r="I28" s="40">
        <v>12.44</v>
      </c>
      <c r="J28" s="40">
        <v>0.22</v>
      </c>
      <c r="K28" s="40">
        <v>223.57</v>
      </c>
      <c r="L28" s="40">
        <v>20.85</v>
      </c>
      <c r="M28" s="40">
        <v>63.74</v>
      </c>
      <c r="N28" s="40">
        <v>17</v>
      </c>
      <c r="O28" s="40">
        <v>0</v>
      </c>
      <c r="P28" s="40">
        <v>0.79</v>
      </c>
      <c r="Q28" s="40">
        <v>9.32</v>
      </c>
      <c r="R28" s="38"/>
      <c r="S28" s="38"/>
      <c r="T28" s="38"/>
      <c r="U28" s="38"/>
    </row>
    <row r="29" spans="1:21" customFormat="1">
      <c r="A29" s="39" t="s">
        <v>201</v>
      </c>
      <c r="B29" s="40">
        <v>5.73</v>
      </c>
      <c r="C29" s="40">
        <v>21.65</v>
      </c>
      <c r="D29" s="40">
        <v>15.53</v>
      </c>
      <c r="E29" s="40">
        <v>4.79</v>
      </c>
      <c r="F29" s="40">
        <v>0.25</v>
      </c>
      <c r="G29" s="40">
        <v>136.5</v>
      </c>
      <c r="H29" s="40">
        <v>66.69</v>
      </c>
      <c r="I29" s="40">
        <v>13.07</v>
      </c>
      <c r="J29" s="40">
        <v>0.21</v>
      </c>
      <c r="K29" s="40">
        <v>229.21</v>
      </c>
      <c r="L29" s="40">
        <v>19.260000000000002</v>
      </c>
      <c r="M29" s="40">
        <v>72.900000000000006</v>
      </c>
      <c r="N29" s="40">
        <v>16.8</v>
      </c>
      <c r="O29" s="40">
        <v>0</v>
      </c>
      <c r="P29" s="40">
        <v>0.81</v>
      </c>
      <c r="Q29" s="40">
        <v>9.32</v>
      </c>
      <c r="R29" s="38"/>
      <c r="S29" s="38"/>
      <c r="T29" s="38"/>
      <c r="U29" s="38"/>
    </row>
    <row r="30" spans="1:21" customFormat="1">
      <c r="A30" s="39" t="s">
        <v>202</v>
      </c>
      <c r="B30" s="40">
        <v>6.07</v>
      </c>
      <c r="C30" s="40">
        <v>19.239999999999998</v>
      </c>
      <c r="D30" s="40">
        <v>14.7</v>
      </c>
      <c r="E30" s="40">
        <v>4.8099999999999996</v>
      </c>
      <c r="F30" s="40">
        <v>0.27</v>
      </c>
      <c r="G30" s="40">
        <v>133.63</v>
      </c>
      <c r="H30" s="40">
        <v>59.24</v>
      </c>
      <c r="I30" s="40">
        <v>13.63</v>
      </c>
      <c r="J30" s="40">
        <v>0.14000000000000001</v>
      </c>
      <c r="K30" s="40">
        <v>192.85</v>
      </c>
      <c r="L30" s="40">
        <v>18.22</v>
      </c>
      <c r="M30" s="40">
        <v>79</v>
      </c>
      <c r="N30" s="40">
        <v>16.7</v>
      </c>
      <c r="O30" s="40">
        <v>0</v>
      </c>
      <c r="P30" s="40">
        <v>0.86</v>
      </c>
      <c r="Q30" s="40">
        <v>9.32</v>
      </c>
      <c r="R30" s="38"/>
      <c r="S30" s="38"/>
      <c r="T30" s="38"/>
      <c r="U30" s="38"/>
    </row>
    <row r="31" spans="1:21" customFormat="1">
      <c r="A31" s="39" t="s">
        <v>203</v>
      </c>
      <c r="B31" s="40">
        <v>8.3000000000000007</v>
      </c>
      <c r="C31" s="40">
        <v>17.829999999999998</v>
      </c>
      <c r="D31" s="40">
        <v>15.97</v>
      </c>
      <c r="E31" s="40">
        <v>5.24</v>
      </c>
      <c r="F31" s="40">
        <v>0.22</v>
      </c>
      <c r="G31" s="40">
        <v>126.23</v>
      </c>
      <c r="H31" s="40">
        <v>62.7</v>
      </c>
      <c r="I31" s="40">
        <v>14.44</v>
      </c>
      <c r="J31" s="40">
        <v>0.17</v>
      </c>
      <c r="K31" s="40">
        <v>183.09</v>
      </c>
      <c r="L31" s="40">
        <v>18.02</v>
      </c>
      <c r="M31" s="40">
        <v>81.900000000000006</v>
      </c>
      <c r="N31" s="40">
        <v>16.600000000000001</v>
      </c>
      <c r="O31" s="40">
        <v>0</v>
      </c>
      <c r="P31" s="40">
        <v>0.93</v>
      </c>
      <c r="Q31" s="40">
        <v>9.32</v>
      </c>
      <c r="R31" s="38"/>
      <c r="S31" s="38"/>
      <c r="T31" s="38"/>
      <c r="U31" s="38"/>
    </row>
    <row r="32" spans="1:21" customFormat="1">
      <c r="A32" s="39" t="s">
        <v>204</v>
      </c>
      <c r="B32" s="40">
        <v>15.1</v>
      </c>
      <c r="C32" s="40">
        <v>19.59</v>
      </c>
      <c r="D32" s="40">
        <v>22.34</v>
      </c>
      <c r="E32" s="40">
        <v>5.2</v>
      </c>
      <c r="F32" s="40">
        <v>0.1</v>
      </c>
      <c r="G32" s="40">
        <v>126.59</v>
      </c>
      <c r="H32" s="40">
        <v>70.09</v>
      </c>
      <c r="I32" s="40">
        <v>14.86</v>
      </c>
      <c r="J32" s="40">
        <v>0.24</v>
      </c>
      <c r="K32" s="40">
        <v>218.66</v>
      </c>
      <c r="L32" s="40">
        <v>17.899999999999999</v>
      </c>
      <c r="M32" s="40">
        <v>85.43</v>
      </c>
      <c r="N32" s="40">
        <v>16.8</v>
      </c>
      <c r="O32" s="40">
        <v>0</v>
      </c>
      <c r="P32" s="40">
        <v>1.02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3.21</v>
      </c>
      <c r="C34" s="18">
        <f t="shared" si="0"/>
        <v>16.16</v>
      </c>
      <c r="D34" s="18">
        <f t="shared" si="0"/>
        <v>14.7</v>
      </c>
      <c r="E34" s="18">
        <f t="shared" si="0"/>
        <v>3.93</v>
      </c>
      <c r="F34" s="18">
        <f t="shared" si="0"/>
        <v>0.03</v>
      </c>
      <c r="G34" s="18">
        <f t="shared" si="0"/>
        <v>52.5</v>
      </c>
      <c r="H34" s="18">
        <f t="shared" si="0"/>
        <v>26.39</v>
      </c>
      <c r="I34" s="18">
        <f t="shared" si="0"/>
        <v>6.41</v>
      </c>
      <c r="J34" s="18">
        <f t="shared" si="0"/>
        <v>0.14000000000000001</v>
      </c>
      <c r="K34" s="18">
        <f t="shared" si="0"/>
        <v>42.6</v>
      </c>
      <c r="L34" s="18">
        <f t="shared" si="0"/>
        <v>15.65</v>
      </c>
      <c r="M34" s="18">
        <f t="shared" si="0"/>
        <v>21.41</v>
      </c>
      <c r="N34" s="18">
        <f t="shared" si="0"/>
        <v>9</v>
      </c>
      <c r="O34" s="18">
        <f t="shared" si="0"/>
        <v>0</v>
      </c>
      <c r="P34" s="18">
        <f t="shared" si="0"/>
        <v>0.41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17.88</v>
      </c>
      <c r="C35" s="3">
        <f t="shared" si="1"/>
        <v>29.34</v>
      </c>
      <c r="D35" s="3">
        <f t="shared" si="1"/>
        <v>23.83</v>
      </c>
      <c r="E35" s="3">
        <f t="shared" si="1"/>
        <v>13.73</v>
      </c>
      <c r="F35" s="3">
        <f t="shared" si="1"/>
        <v>21.84</v>
      </c>
      <c r="G35" s="3">
        <f t="shared" si="1"/>
        <v>136.5</v>
      </c>
      <c r="H35" s="3">
        <f t="shared" si="1"/>
        <v>70.09</v>
      </c>
      <c r="I35" s="3">
        <f t="shared" si="1"/>
        <v>14.86</v>
      </c>
      <c r="J35" s="3">
        <f t="shared" si="1"/>
        <v>1.1499999999999999</v>
      </c>
      <c r="K35" s="3">
        <f t="shared" si="1"/>
        <v>357.11</v>
      </c>
      <c r="L35" s="3">
        <f t="shared" si="1"/>
        <v>29.02</v>
      </c>
      <c r="M35" s="3">
        <f t="shared" si="1"/>
        <v>85.43</v>
      </c>
      <c r="N35" s="3">
        <f t="shared" si="1"/>
        <v>646.29999999999995</v>
      </c>
      <c r="O35" s="3">
        <f t="shared" si="1"/>
        <v>0</v>
      </c>
      <c r="P35" s="3">
        <f t="shared" si="1"/>
        <v>1.02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10.275833333333335</v>
      </c>
      <c r="C36" s="18">
        <f t="shared" si="2"/>
        <v>21.221666666666664</v>
      </c>
      <c r="D36" s="18">
        <f t="shared" si="2"/>
        <v>19.087916666666661</v>
      </c>
      <c r="E36" s="18">
        <f t="shared" si="2"/>
        <v>5.9504166666666682</v>
      </c>
      <c r="F36" s="18">
        <f t="shared" si="2"/>
        <v>3.4991666666666661</v>
      </c>
      <c r="G36" s="18">
        <f t="shared" si="2"/>
        <v>83.153750000000016</v>
      </c>
      <c r="H36" s="18">
        <f t="shared" si="2"/>
        <v>39.906250000000007</v>
      </c>
      <c r="I36" s="18">
        <f t="shared" si="2"/>
        <v>10.642916666666666</v>
      </c>
      <c r="J36" s="18">
        <f t="shared" si="2"/>
        <v>0.45958333333333345</v>
      </c>
      <c r="K36" s="18">
        <f t="shared" si="2"/>
        <v>170.80666666666664</v>
      </c>
      <c r="L36" s="18">
        <f t="shared" si="2"/>
        <v>21.945833333333329</v>
      </c>
      <c r="M36" s="18">
        <f t="shared" si="2"/>
        <v>57.397500000000008</v>
      </c>
      <c r="N36" s="18">
        <f t="shared" si="2"/>
        <v>151.59583333333333</v>
      </c>
      <c r="O36" s="18">
        <f t="shared" si="2"/>
        <v>0</v>
      </c>
      <c r="P36" s="18">
        <f t="shared" si="2"/>
        <v>0.63625000000000009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5.7614580858808884</v>
      </c>
      <c r="C37" s="18">
        <f t="shared" ref="C37:Q37" si="3">STDEV(C9:C32)</f>
        <v>3.920205924789363</v>
      </c>
      <c r="D37" s="18">
        <f t="shared" si="3"/>
        <v>3.1680112801274509</v>
      </c>
      <c r="E37" s="18">
        <f t="shared" si="3"/>
        <v>1.932530396108697</v>
      </c>
      <c r="F37" s="18">
        <f t="shared" si="3"/>
        <v>6.1196162970555914</v>
      </c>
      <c r="G37" s="18">
        <f t="shared" si="3"/>
        <v>28.740098455626907</v>
      </c>
      <c r="H37" s="18">
        <f t="shared" si="3"/>
        <v>14.620296140609803</v>
      </c>
      <c r="I37" s="18">
        <f t="shared" si="3"/>
        <v>2.3658300853513556</v>
      </c>
      <c r="J37" s="18">
        <f t="shared" si="3"/>
        <v>0.27620847776345608</v>
      </c>
      <c r="K37" s="18">
        <f t="shared" si="3"/>
        <v>93.073691779413636</v>
      </c>
      <c r="L37" s="18">
        <f t="shared" si="3"/>
        <v>4.7303018716675522</v>
      </c>
      <c r="M37" s="18">
        <f t="shared" si="3"/>
        <v>24.926156202741673</v>
      </c>
      <c r="N37" s="18">
        <f t="shared" si="3"/>
        <v>225.28508987728083</v>
      </c>
      <c r="O37" s="18">
        <f t="shared" si="3"/>
        <v>0</v>
      </c>
      <c r="P37" s="18">
        <f t="shared" si="3"/>
        <v>0.16887897647620956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G17" sqref="G1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205</v>
      </c>
      <c r="B9" s="40">
        <v>23.63</v>
      </c>
      <c r="C9" s="40">
        <v>20.91</v>
      </c>
      <c r="D9" s="40">
        <v>29.88</v>
      </c>
      <c r="E9" s="40">
        <v>5.26</v>
      </c>
      <c r="F9" s="40">
        <v>0.02</v>
      </c>
      <c r="G9" s="40">
        <v>129.16999999999999</v>
      </c>
      <c r="H9" s="40">
        <v>71.27</v>
      </c>
      <c r="I9" s="40">
        <v>15.98</v>
      </c>
      <c r="J9" s="40">
        <v>0.2</v>
      </c>
      <c r="K9" s="40">
        <v>226.92</v>
      </c>
      <c r="L9" s="40">
        <v>17.03</v>
      </c>
      <c r="M9" s="40">
        <v>81.91</v>
      </c>
      <c r="N9" s="40">
        <v>16.399999999999999</v>
      </c>
      <c r="O9" s="40">
        <v>0</v>
      </c>
      <c r="P9" s="40">
        <v>1.1399999999999999</v>
      </c>
      <c r="Q9" s="40">
        <v>9.32</v>
      </c>
      <c r="R9" s="38"/>
      <c r="S9" s="38"/>
      <c r="T9" s="38"/>
      <c r="U9" s="38"/>
    </row>
    <row r="10" spans="1:21" customFormat="1">
      <c r="A10" s="39" t="s">
        <v>206</v>
      </c>
      <c r="B10" s="40">
        <v>26.29</v>
      </c>
      <c r="C10" s="40">
        <v>21.07</v>
      </c>
      <c r="D10" s="40">
        <v>31.72</v>
      </c>
      <c r="E10" s="40">
        <v>5.5</v>
      </c>
      <c r="F10" s="40">
        <v>0.04</v>
      </c>
      <c r="G10" s="40">
        <v>130.16999999999999</v>
      </c>
      <c r="H10" s="40">
        <v>72.06</v>
      </c>
      <c r="I10" s="40">
        <v>22.65</v>
      </c>
      <c r="J10" s="40">
        <v>0.19</v>
      </c>
      <c r="K10" s="40">
        <v>198.16</v>
      </c>
      <c r="L10" s="40">
        <v>16.91</v>
      </c>
      <c r="M10" s="40">
        <v>87.35</v>
      </c>
      <c r="N10" s="40">
        <v>16.3</v>
      </c>
      <c r="O10" s="40">
        <v>0</v>
      </c>
      <c r="P10" s="40">
        <v>1.24</v>
      </c>
      <c r="Q10" s="40">
        <v>9.32</v>
      </c>
      <c r="R10" s="38"/>
      <c r="S10" s="38"/>
      <c r="T10" s="38"/>
      <c r="U10" s="38"/>
    </row>
    <row r="11" spans="1:21" customFormat="1">
      <c r="A11" s="39" t="s">
        <v>207</v>
      </c>
      <c r="B11" s="40">
        <v>28.25</v>
      </c>
      <c r="C11" s="40">
        <v>20.440000000000001</v>
      </c>
      <c r="D11" s="40">
        <v>33.270000000000003</v>
      </c>
      <c r="E11" s="40">
        <v>4.87</v>
      </c>
      <c r="F11" s="40">
        <v>0.08</v>
      </c>
      <c r="G11" s="40">
        <v>134.19</v>
      </c>
      <c r="H11" s="40">
        <v>79.760000000000005</v>
      </c>
      <c r="I11" s="40">
        <v>24.11</v>
      </c>
      <c r="J11" s="40">
        <v>0.21</v>
      </c>
      <c r="K11" s="40">
        <v>234.74</v>
      </c>
      <c r="L11" s="40">
        <v>16.41</v>
      </c>
      <c r="M11" s="40">
        <v>89.01</v>
      </c>
      <c r="N11" s="40">
        <v>16.2</v>
      </c>
      <c r="O11" s="40">
        <v>0</v>
      </c>
      <c r="P11" s="40">
        <v>1.3</v>
      </c>
      <c r="Q11" s="40">
        <v>9.32</v>
      </c>
      <c r="R11" s="38"/>
      <c r="S11" s="38"/>
      <c r="T11" s="38"/>
      <c r="U11" s="38"/>
    </row>
    <row r="12" spans="1:21" customFormat="1">
      <c r="A12" s="39" t="s">
        <v>208</v>
      </c>
      <c r="B12" s="40">
        <v>27.41</v>
      </c>
      <c r="C12" s="40">
        <v>19.25</v>
      </c>
      <c r="D12" s="40">
        <v>32.04</v>
      </c>
      <c r="E12" s="40">
        <v>4.7300000000000004</v>
      </c>
      <c r="F12" s="40">
        <v>0.14000000000000001</v>
      </c>
      <c r="G12" s="40">
        <v>134.19</v>
      </c>
      <c r="H12" s="40">
        <v>79.760000000000005</v>
      </c>
      <c r="I12" s="40">
        <v>24.41</v>
      </c>
      <c r="J12" s="40">
        <v>0.23</v>
      </c>
      <c r="K12" s="40">
        <v>243.15</v>
      </c>
      <c r="L12" s="40">
        <v>15.4</v>
      </c>
      <c r="M12" s="40">
        <v>89.93</v>
      </c>
      <c r="N12" s="40">
        <v>16.100000000000001</v>
      </c>
      <c r="O12" s="40">
        <v>0</v>
      </c>
      <c r="P12" s="40">
        <v>1.31</v>
      </c>
      <c r="Q12" s="40">
        <v>9.32</v>
      </c>
      <c r="R12" s="38"/>
      <c r="S12" s="38"/>
      <c r="T12" s="38"/>
      <c r="U12" s="38"/>
    </row>
    <row r="13" spans="1:21" customFormat="1">
      <c r="A13" s="39" t="s">
        <v>209</v>
      </c>
      <c r="B13" s="40">
        <v>24.73</v>
      </c>
      <c r="C13" s="40">
        <v>18.05</v>
      </c>
      <c r="D13" s="40">
        <v>29.26</v>
      </c>
      <c r="E13" s="40">
        <v>4.83</v>
      </c>
      <c r="F13" s="40">
        <v>0.08</v>
      </c>
      <c r="G13" s="40">
        <v>126.34</v>
      </c>
      <c r="H13" s="40">
        <v>71.87</v>
      </c>
      <c r="I13" s="40">
        <v>24.32</v>
      </c>
      <c r="J13" s="40">
        <v>0.17</v>
      </c>
      <c r="K13" s="40">
        <v>215.84</v>
      </c>
      <c r="L13" s="40">
        <v>14.98</v>
      </c>
      <c r="M13" s="40">
        <v>88.39</v>
      </c>
      <c r="N13" s="40">
        <v>16</v>
      </c>
      <c r="O13" s="40">
        <v>0</v>
      </c>
      <c r="P13" s="40">
        <v>1.31</v>
      </c>
      <c r="Q13" s="40">
        <v>9.32</v>
      </c>
      <c r="R13" s="38"/>
      <c r="S13" s="38"/>
      <c r="T13" s="38"/>
      <c r="U13" s="38"/>
    </row>
    <row r="14" spans="1:21" customFormat="1">
      <c r="A14" s="39" t="s">
        <v>210</v>
      </c>
      <c r="B14" s="40">
        <v>23.8</v>
      </c>
      <c r="C14" s="40">
        <v>18.05</v>
      </c>
      <c r="D14" s="40">
        <v>28.51</v>
      </c>
      <c r="E14" s="40">
        <v>4.84</v>
      </c>
      <c r="F14" s="40">
        <v>0.2</v>
      </c>
      <c r="G14" s="40">
        <v>121.73</v>
      </c>
      <c r="H14" s="40">
        <v>70.31</v>
      </c>
      <c r="I14" s="40">
        <v>24.14</v>
      </c>
      <c r="J14" s="40">
        <v>0.18</v>
      </c>
      <c r="K14" s="40">
        <v>244.3</v>
      </c>
      <c r="L14" s="40">
        <v>14.9</v>
      </c>
      <c r="M14" s="40">
        <v>89.17</v>
      </c>
      <c r="N14" s="40">
        <v>16.3</v>
      </c>
      <c r="O14" s="40">
        <v>0</v>
      </c>
      <c r="P14" s="40">
        <v>1.29</v>
      </c>
      <c r="Q14" s="40">
        <v>9.32</v>
      </c>
      <c r="R14" s="38"/>
      <c r="S14" s="38"/>
      <c r="T14" s="38"/>
      <c r="U14" s="38"/>
    </row>
    <row r="15" spans="1:21" customFormat="1">
      <c r="A15" s="39" t="s">
        <v>211</v>
      </c>
      <c r="B15" s="40">
        <v>22.5</v>
      </c>
      <c r="C15" s="40">
        <v>17.39</v>
      </c>
      <c r="D15" s="40">
        <v>27.13</v>
      </c>
      <c r="E15" s="40">
        <v>4.6399999999999997</v>
      </c>
      <c r="F15" s="40">
        <v>0.12</v>
      </c>
      <c r="G15" s="40">
        <v>118.48</v>
      </c>
      <c r="H15" s="40">
        <v>70.48</v>
      </c>
      <c r="I15" s="40">
        <v>23.54</v>
      </c>
      <c r="J15" s="40">
        <v>0.18</v>
      </c>
      <c r="K15" s="40">
        <v>223.64</v>
      </c>
      <c r="L15" s="40">
        <v>14.73</v>
      </c>
      <c r="M15" s="40">
        <v>90.84</v>
      </c>
      <c r="N15" s="40">
        <v>38.299999999999997</v>
      </c>
      <c r="O15" s="40">
        <v>0</v>
      </c>
      <c r="P15" s="40">
        <v>1.26</v>
      </c>
      <c r="Q15" s="40">
        <v>9.32</v>
      </c>
      <c r="R15" s="38"/>
      <c r="S15" s="38"/>
      <c r="T15" s="38"/>
      <c r="U15" s="38"/>
    </row>
    <row r="16" spans="1:21" customFormat="1">
      <c r="A16" s="39" t="s">
        <v>212</v>
      </c>
      <c r="B16" s="40">
        <v>20.34</v>
      </c>
      <c r="C16" s="40">
        <v>16.510000000000002</v>
      </c>
      <c r="D16" s="40">
        <v>24.94</v>
      </c>
      <c r="E16" s="40">
        <v>4.57</v>
      </c>
      <c r="F16" s="40">
        <v>0.08</v>
      </c>
      <c r="G16" s="40">
        <v>117.5</v>
      </c>
      <c r="H16" s="40">
        <v>72.3</v>
      </c>
      <c r="I16" s="40">
        <v>23.61</v>
      </c>
      <c r="J16" s="40">
        <v>0.12</v>
      </c>
      <c r="K16" s="40">
        <v>260.8</v>
      </c>
      <c r="L16" s="40">
        <v>17.13</v>
      </c>
      <c r="M16" s="40">
        <v>90.6</v>
      </c>
      <c r="N16" s="40">
        <v>90.3</v>
      </c>
      <c r="O16" s="40">
        <v>0</v>
      </c>
      <c r="P16" s="40">
        <v>1.26</v>
      </c>
      <c r="Q16" s="40">
        <v>9.32</v>
      </c>
      <c r="R16" s="38"/>
      <c r="S16" s="38"/>
      <c r="T16" s="38"/>
      <c r="U16" s="38"/>
    </row>
    <row r="17" spans="1:21" customFormat="1">
      <c r="A17" s="39" t="s">
        <v>213</v>
      </c>
      <c r="B17" s="40">
        <v>18.440000000000001</v>
      </c>
      <c r="C17" s="40">
        <v>18.22</v>
      </c>
      <c r="D17" s="40">
        <v>23.88</v>
      </c>
      <c r="E17" s="40">
        <v>4.6500000000000004</v>
      </c>
      <c r="F17" s="40">
        <v>0.16</v>
      </c>
      <c r="G17" s="40">
        <v>117.5</v>
      </c>
      <c r="H17" s="40">
        <v>72.3</v>
      </c>
      <c r="I17" s="40">
        <v>23.37</v>
      </c>
      <c r="J17" s="40">
        <v>0.74</v>
      </c>
      <c r="K17" s="40">
        <v>47.85</v>
      </c>
      <c r="L17" s="40">
        <v>21.98</v>
      </c>
      <c r="M17" s="40">
        <v>64.62</v>
      </c>
      <c r="N17" s="40">
        <v>331.5</v>
      </c>
      <c r="O17" s="40">
        <v>0</v>
      </c>
      <c r="P17" s="40">
        <v>1.24</v>
      </c>
      <c r="Q17" s="40">
        <v>9.32</v>
      </c>
      <c r="R17" s="38"/>
      <c r="S17" s="38"/>
      <c r="T17" s="38"/>
      <c r="U17" s="38"/>
    </row>
    <row r="18" spans="1:21" customFormat="1">
      <c r="A18" s="39" t="s">
        <v>214</v>
      </c>
      <c r="B18" s="40">
        <v>16.739999999999998</v>
      </c>
      <c r="C18" s="40">
        <v>18.690000000000001</v>
      </c>
      <c r="D18" s="40">
        <v>23.09</v>
      </c>
      <c r="E18" s="40">
        <v>4.97</v>
      </c>
      <c r="F18" s="40">
        <v>0.31</v>
      </c>
      <c r="G18" s="40">
        <v>110.35</v>
      </c>
      <c r="H18" s="40">
        <v>70.86</v>
      </c>
      <c r="I18" s="40">
        <v>22.61</v>
      </c>
      <c r="J18" s="40">
        <v>1.2</v>
      </c>
      <c r="K18" s="40">
        <v>61.79</v>
      </c>
      <c r="L18" s="40">
        <v>24.71</v>
      </c>
      <c r="M18" s="40">
        <v>41.58</v>
      </c>
      <c r="N18" s="40">
        <v>319.89999999999998</v>
      </c>
      <c r="O18" s="40">
        <v>0</v>
      </c>
      <c r="P18" s="40">
        <v>1.1599999999999999</v>
      </c>
      <c r="Q18" s="40">
        <v>9.32</v>
      </c>
      <c r="R18" s="38"/>
      <c r="S18" s="38"/>
      <c r="T18" s="38"/>
      <c r="U18" s="38"/>
    </row>
    <row r="19" spans="1:21" customFormat="1">
      <c r="A19" s="39" t="s">
        <v>215</v>
      </c>
      <c r="B19" s="40">
        <v>14.37</v>
      </c>
      <c r="C19" s="40">
        <v>20.34</v>
      </c>
      <c r="D19" s="40">
        <v>21.36</v>
      </c>
      <c r="E19" s="40">
        <v>6.19</v>
      </c>
      <c r="F19" s="40">
        <v>0.57999999999999996</v>
      </c>
      <c r="G19" s="40">
        <v>99.49</v>
      </c>
      <c r="H19" s="40">
        <v>56.97</v>
      </c>
      <c r="I19" s="40">
        <v>16.45</v>
      </c>
      <c r="J19" s="40">
        <v>0.86</v>
      </c>
      <c r="K19" s="40">
        <v>55.2</v>
      </c>
      <c r="L19" s="40">
        <v>27.3</v>
      </c>
      <c r="M19" s="40">
        <v>33.950000000000003</v>
      </c>
      <c r="N19" s="40">
        <v>571.29999999999995</v>
      </c>
      <c r="O19" s="40">
        <v>0</v>
      </c>
      <c r="P19" s="40">
        <v>1.07</v>
      </c>
      <c r="Q19" s="40">
        <v>9.32</v>
      </c>
      <c r="R19" s="38"/>
      <c r="S19" s="38"/>
      <c r="T19" s="38"/>
      <c r="U19" s="38"/>
    </row>
    <row r="20" spans="1:21" customFormat="1">
      <c r="A20" s="39" t="s">
        <v>216</v>
      </c>
      <c r="B20" s="40">
        <v>10.94</v>
      </c>
      <c r="C20" s="40">
        <v>22.63</v>
      </c>
      <c r="D20" s="40">
        <v>19.75</v>
      </c>
      <c r="E20" s="40">
        <v>6.25</v>
      </c>
      <c r="F20" s="40">
        <v>1.35</v>
      </c>
      <c r="G20" s="40">
        <v>87.28</v>
      </c>
      <c r="H20" s="40">
        <v>49.68</v>
      </c>
      <c r="I20" s="40">
        <v>15.25</v>
      </c>
      <c r="J20" s="40">
        <v>0.86</v>
      </c>
      <c r="K20" s="40">
        <v>31.6</v>
      </c>
      <c r="L20" s="40">
        <v>28.6</v>
      </c>
      <c r="M20" s="40">
        <v>27.52</v>
      </c>
      <c r="N20" s="40">
        <v>597.6</v>
      </c>
      <c r="O20" s="40">
        <v>0</v>
      </c>
      <c r="P20" s="40">
        <v>0.97</v>
      </c>
      <c r="Q20" s="40">
        <v>9.32</v>
      </c>
      <c r="R20" s="38"/>
      <c r="S20" s="38"/>
      <c r="T20" s="38"/>
      <c r="U20" s="38"/>
    </row>
    <row r="21" spans="1:21" customFormat="1">
      <c r="A21" s="39" t="s">
        <v>217</v>
      </c>
      <c r="B21" s="40">
        <v>5.69</v>
      </c>
      <c r="C21" s="40">
        <v>22.8</v>
      </c>
      <c r="D21" s="40">
        <v>16.48</v>
      </c>
      <c r="E21" s="40">
        <v>6.35</v>
      </c>
      <c r="F21" s="40">
        <v>3.57</v>
      </c>
      <c r="G21" s="40">
        <v>80.87</v>
      </c>
      <c r="H21" s="40">
        <v>45.35</v>
      </c>
      <c r="I21" s="40">
        <v>14.26</v>
      </c>
      <c r="J21" s="40">
        <v>1.01</v>
      </c>
      <c r="K21" s="40">
        <v>32.75</v>
      </c>
      <c r="L21" s="40">
        <v>30.42</v>
      </c>
      <c r="M21" s="40">
        <v>20.47</v>
      </c>
      <c r="N21" s="40">
        <v>629.5</v>
      </c>
      <c r="O21" s="40">
        <v>0</v>
      </c>
      <c r="P21" s="40">
        <v>0.89</v>
      </c>
      <c r="Q21" s="40">
        <v>9.32</v>
      </c>
      <c r="R21" s="38"/>
      <c r="S21" s="38"/>
      <c r="T21" s="38"/>
      <c r="U21" s="38"/>
    </row>
    <row r="22" spans="1:21" customFormat="1">
      <c r="A22" s="39" t="s">
        <v>218</v>
      </c>
      <c r="B22" s="40">
        <v>3.67</v>
      </c>
      <c r="C22" s="40">
        <v>21.58</v>
      </c>
      <c r="D22" s="40">
        <v>14.17</v>
      </c>
      <c r="E22" s="40">
        <v>7.3</v>
      </c>
      <c r="F22" s="40">
        <v>3.84</v>
      </c>
      <c r="G22" s="40">
        <v>77.44</v>
      </c>
      <c r="H22" s="40">
        <v>42.41</v>
      </c>
      <c r="I22" s="40">
        <v>15.44</v>
      </c>
      <c r="J22" s="40">
        <v>1.17</v>
      </c>
      <c r="K22" s="40">
        <v>49.54</v>
      </c>
      <c r="L22" s="40">
        <v>30.46</v>
      </c>
      <c r="M22" s="40">
        <v>15.88</v>
      </c>
      <c r="N22" s="40">
        <v>534.5</v>
      </c>
      <c r="O22" s="40">
        <v>0</v>
      </c>
      <c r="P22" s="40">
        <v>0.8</v>
      </c>
      <c r="Q22" s="40">
        <v>9.32</v>
      </c>
      <c r="R22" s="38"/>
      <c r="S22" s="38"/>
      <c r="T22" s="38"/>
      <c r="U22" s="38"/>
    </row>
    <row r="23" spans="1:21" customFormat="1">
      <c r="A23" s="39" t="s">
        <v>219</v>
      </c>
      <c r="B23" s="40">
        <v>3.61</v>
      </c>
      <c r="C23" s="40">
        <v>20.65</v>
      </c>
      <c r="D23" s="40">
        <v>13.68</v>
      </c>
      <c r="E23" s="40">
        <v>7.26</v>
      </c>
      <c r="F23" s="40">
        <v>5.29</v>
      </c>
      <c r="G23" s="40">
        <v>71.73</v>
      </c>
      <c r="H23" s="40">
        <v>37.68</v>
      </c>
      <c r="I23" s="40">
        <v>13.99</v>
      </c>
      <c r="J23" s="40">
        <v>1.1200000000000001</v>
      </c>
      <c r="K23" s="40">
        <v>42.96</v>
      </c>
      <c r="L23" s="40">
        <v>30.57</v>
      </c>
      <c r="M23" s="40">
        <v>14.84</v>
      </c>
      <c r="N23" s="40">
        <v>95.4</v>
      </c>
      <c r="O23" s="40">
        <v>0</v>
      </c>
      <c r="P23" s="40">
        <v>0.64</v>
      </c>
      <c r="Q23" s="40">
        <v>9.32</v>
      </c>
      <c r="R23" s="38"/>
      <c r="S23" s="38"/>
      <c r="T23" s="38"/>
      <c r="U23" s="38"/>
    </row>
    <row r="24" spans="1:21" customFormat="1">
      <c r="A24" s="39" t="s">
        <v>220</v>
      </c>
      <c r="B24" s="40">
        <v>3.75</v>
      </c>
      <c r="C24" s="40">
        <v>22.27</v>
      </c>
      <c r="D24" s="40">
        <v>14.64</v>
      </c>
      <c r="E24" s="40">
        <v>9.4</v>
      </c>
      <c r="F24" s="40">
        <v>5.25</v>
      </c>
      <c r="G24" s="40">
        <v>59.24</v>
      </c>
      <c r="H24" s="40">
        <v>32.44</v>
      </c>
      <c r="I24" s="40">
        <v>12.36</v>
      </c>
      <c r="J24" s="40">
        <v>0.78</v>
      </c>
      <c r="K24" s="40">
        <v>70.930000000000007</v>
      </c>
      <c r="L24" s="40">
        <v>30.55</v>
      </c>
      <c r="M24" s="40">
        <v>15.89</v>
      </c>
      <c r="N24" s="40">
        <v>93.1</v>
      </c>
      <c r="O24" s="40">
        <v>0</v>
      </c>
      <c r="P24" s="40">
        <v>0.57999999999999996</v>
      </c>
      <c r="Q24" s="40">
        <v>9.32</v>
      </c>
      <c r="R24" s="38"/>
      <c r="S24" s="38"/>
      <c r="T24" s="38"/>
      <c r="U24" s="38"/>
    </row>
    <row r="25" spans="1:21" customFormat="1">
      <c r="A25" s="39" t="s">
        <v>221</v>
      </c>
      <c r="B25" s="40">
        <v>4.13</v>
      </c>
      <c r="C25" s="40">
        <v>18.66</v>
      </c>
      <c r="D25" s="40">
        <v>12.78</v>
      </c>
      <c r="E25" s="40">
        <v>8.43</v>
      </c>
      <c r="F25" s="40">
        <v>3.79</v>
      </c>
      <c r="G25" s="40">
        <v>53.93</v>
      </c>
      <c r="H25" s="40">
        <v>28.48</v>
      </c>
      <c r="I25" s="40">
        <v>11.27</v>
      </c>
      <c r="J25" s="40">
        <v>0.32</v>
      </c>
      <c r="K25" s="40">
        <v>150.31</v>
      </c>
      <c r="L25" s="40">
        <v>29.52</v>
      </c>
      <c r="M25" s="40">
        <v>26.71</v>
      </c>
      <c r="N25" s="40">
        <v>85.3</v>
      </c>
      <c r="O25" s="40">
        <v>0</v>
      </c>
      <c r="P25" s="40">
        <v>0.55000000000000004</v>
      </c>
      <c r="Q25" s="40">
        <v>9.32</v>
      </c>
      <c r="R25" s="38"/>
      <c r="S25" s="38"/>
      <c r="T25" s="38"/>
      <c r="U25" s="38"/>
    </row>
    <row r="26" spans="1:21" customFormat="1">
      <c r="A26" s="39" t="s">
        <v>222</v>
      </c>
      <c r="B26" s="40">
        <v>5.18</v>
      </c>
      <c r="C26" s="40">
        <v>17.829999999999998</v>
      </c>
      <c r="D26" s="40">
        <v>13.36</v>
      </c>
      <c r="E26" s="40">
        <v>6.43</v>
      </c>
      <c r="F26" s="40">
        <v>1.06</v>
      </c>
      <c r="G26" s="40">
        <v>73.569999999999993</v>
      </c>
      <c r="H26" s="40">
        <v>31.44</v>
      </c>
      <c r="I26" s="40">
        <v>11.07</v>
      </c>
      <c r="J26" s="40">
        <v>0.24</v>
      </c>
      <c r="K26" s="40">
        <v>160.16</v>
      </c>
      <c r="L26" s="40">
        <v>25.89</v>
      </c>
      <c r="M26" s="40">
        <v>37.96</v>
      </c>
      <c r="N26" s="40">
        <v>53</v>
      </c>
      <c r="O26" s="40">
        <v>0</v>
      </c>
      <c r="P26" s="40">
        <v>0.56999999999999995</v>
      </c>
      <c r="Q26" s="40">
        <v>9.32</v>
      </c>
      <c r="R26" s="38"/>
      <c r="S26" s="38"/>
      <c r="T26" s="38"/>
      <c r="U26" s="38"/>
    </row>
    <row r="27" spans="1:21" customFormat="1">
      <c r="A27" s="39" t="s">
        <v>223</v>
      </c>
      <c r="B27" s="40">
        <v>8.4600000000000009</v>
      </c>
      <c r="C27" s="40">
        <v>19.53</v>
      </c>
      <c r="D27" s="40">
        <v>16.98</v>
      </c>
      <c r="E27" s="40">
        <v>6.09</v>
      </c>
      <c r="F27" s="40">
        <v>0.2</v>
      </c>
      <c r="G27" s="40">
        <v>186.55</v>
      </c>
      <c r="H27" s="40">
        <v>37.31</v>
      </c>
      <c r="I27" s="40">
        <v>11.24</v>
      </c>
      <c r="J27" s="40">
        <v>0.26</v>
      </c>
      <c r="K27" s="40">
        <v>169.74</v>
      </c>
      <c r="L27" s="40">
        <v>23.26</v>
      </c>
      <c r="M27" s="40">
        <v>50.52</v>
      </c>
      <c r="N27" s="40">
        <v>43.2</v>
      </c>
      <c r="O27" s="40">
        <v>0</v>
      </c>
      <c r="P27" s="40">
        <v>0.64</v>
      </c>
      <c r="Q27" s="40">
        <v>9.32</v>
      </c>
      <c r="R27" s="38"/>
      <c r="S27" s="38"/>
      <c r="T27" s="38"/>
      <c r="U27" s="38"/>
    </row>
    <row r="28" spans="1:21" customFormat="1">
      <c r="A28" s="39" t="s">
        <v>224</v>
      </c>
      <c r="B28" s="40">
        <v>10.7</v>
      </c>
      <c r="C28" s="40">
        <v>20.46</v>
      </c>
      <c r="D28" s="40">
        <v>19.25</v>
      </c>
      <c r="E28" s="40">
        <v>5.98</v>
      </c>
      <c r="F28" s="40">
        <v>0.06</v>
      </c>
      <c r="G28" s="40">
        <v>211.18</v>
      </c>
      <c r="H28" s="40">
        <v>48.66</v>
      </c>
      <c r="I28" s="40">
        <v>12.7</v>
      </c>
      <c r="J28" s="40">
        <v>0.22</v>
      </c>
      <c r="K28" s="40">
        <v>216.5</v>
      </c>
      <c r="L28" s="40">
        <v>21.01</v>
      </c>
      <c r="M28" s="40">
        <v>66.849999999999994</v>
      </c>
      <c r="N28" s="40">
        <v>43</v>
      </c>
      <c r="O28" s="40">
        <v>0</v>
      </c>
      <c r="P28" s="40">
        <v>0.7</v>
      </c>
      <c r="Q28" s="40">
        <v>9.32</v>
      </c>
      <c r="R28" s="38"/>
      <c r="S28" s="38"/>
      <c r="T28" s="38"/>
      <c r="U28" s="38"/>
    </row>
    <row r="29" spans="1:21" customFormat="1">
      <c r="A29" s="39" t="s">
        <v>225</v>
      </c>
      <c r="B29" s="40">
        <v>10.85</v>
      </c>
      <c r="C29" s="40">
        <v>20.260000000000002</v>
      </c>
      <c r="D29" s="40">
        <v>19.28</v>
      </c>
      <c r="E29" s="40">
        <v>5.74</v>
      </c>
      <c r="F29" s="40">
        <v>0.05</v>
      </c>
      <c r="G29" s="40">
        <v>211.18</v>
      </c>
      <c r="H29" s="40">
        <v>48.66</v>
      </c>
      <c r="I29" s="40">
        <v>13.33</v>
      </c>
      <c r="J29" s="40">
        <v>0.18</v>
      </c>
      <c r="K29" s="40">
        <v>216.68</v>
      </c>
      <c r="L29" s="40">
        <v>19.350000000000001</v>
      </c>
      <c r="M29" s="40">
        <v>68.97</v>
      </c>
      <c r="N29" s="40">
        <v>41.5</v>
      </c>
      <c r="O29" s="40">
        <v>0</v>
      </c>
      <c r="P29" s="40">
        <v>0.71</v>
      </c>
      <c r="Q29" s="40">
        <v>9.32</v>
      </c>
      <c r="R29" s="38"/>
      <c r="S29" s="38"/>
      <c r="T29" s="38"/>
      <c r="U29" s="38"/>
    </row>
    <row r="30" spans="1:21" customFormat="1">
      <c r="A30" s="39" t="s">
        <v>226</v>
      </c>
      <c r="B30" s="40">
        <v>12.12</v>
      </c>
      <c r="C30" s="40">
        <v>19.100000000000001</v>
      </c>
      <c r="D30" s="40">
        <v>19.39</v>
      </c>
      <c r="E30" s="40">
        <v>5.79</v>
      </c>
      <c r="F30" s="40">
        <v>0.04</v>
      </c>
      <c r="G30" s="40">
        <v>180.42</v>
      </c>
      <c r="H30" s="40">
        <v>44.34</v>
      </c>
      <c r="I30" s="40">
        <v>13.58</v>
      </c>
      <c r="J30" s="40">
        <v>0.19</v>
      </c>
      <c r="K30" s="40">
        <v>202.88</v>
      </c>
      <c r="L30" s="40">
        <v>18.850000000000001</v>
      </c>
      <c r="M30" s="40">
        <v>77.599999999999994</v>
      </c>
      <c r="N30" s="40">
        <v>37.4</v>
      </c>
      <c r="O30" s="40">
        <v>0</v>
      </c>
      <c r="P30" s="40">
        <v>0.74</v>
      </c>
      <c r="Q30" s="40">
        <v>9.32</v>
      </c>
      <c r="R30" s="38"/>
      <c r="S30" s="38"/>
      <c r="T30" s="38"/>
      <c r="U30" s="38"/>
    </row>
    <row r="31" spans="1:21" customFormat="1">
      <c r="A31" s="39" t="s">
        <v>227</v>
      </c>
      <c r="B31" s="40">
        <v>17.2</v>
      </c>
      <c r="C31" s="40">
        <v>19.02</v>
      </c>
      <c r="D31" s="40">
        <v>23.73</v>
      </c>
      <c r="E31" s="40">
        <v>6.19</v>
      </c>
      <c r="F31" s="40">
        <v>0.09</v>
      </c>
      <c r="G31" s="40">
        <v>112.02</v>
      </c>
      <c r="H31" s="40">
        <v>43.88</v>
      </c>
      <c r="I31" s="40">
        <v>14.37</v>
      </c>
      <c r="J31" s="40">
        <v>0.22</v>
      </c>
      <c r="K31" s="40">
        <v>199.21</v>
      </c>
      <c r="L31" s="40">
        <v>18.78</v>
      </c>
      <c r="M31" s="40">
        <v>80.28</v>
      </c>
      <c r="N31" s="40">
        <v>36.700000000000003</v>
      </c>
      <c r="O31" s="40">
        <v>0</v>
      </c>
      <c r="P31" s="40">
        <v>0.81</v>
      </c>
      <c r="Q31" s="40">
        <v>9.32</v>
      </c>
      <c r="R31" s="38"/>
      <c r="S31" s="38"/>
      <c r="T31" s="38"/>
      <c r="U31" s="38"/>
    </row>
    <row r="32" spans="1:21" customFormat="1">
      <c r="A32" s="39" t="s">
        <v>228</v>
      </c>
      <c r="B32" s="40">
        <v>27.21</v>
      </c>
      <c r="C32" s="40">
        <v>20.48</v>
      </c>
      <c r="D32" s="40">
        <v>32.520000000000003</v>
      </c>
      <c r="E32" s="40">
        <v>6.28</v>
      </c>
      <c r="F32" s="40">
        <v>0.05</v>
      </c>
      <c r="G32" s="40">
        <v>116.58</v>
      </c>
      <c r="H32" s="40">
        <v>47.45</v>
      </c>
      <c r="I32" s="40">
        <v>15.49</v>
      </c>
      <c r="J32" s="40">
        <v>0.25</v>
      </c>
      <c r="K32" s="40">
        <v>205.39</v>
      </c>
      <c r="L32" s="40">
        <v>18.190000000000001</v>
      </c>
      <c r="M32" s="40">
        <v>84.27</v>
      </c>
      <c r="N32" s="40">
        <v>36.4</v>
      </c>
      <c r="O32" s="40">
        <v>0</v>
      </c>
      <c r="P32" s="40">
        <v>0.9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3.61</v>
      </c>
      <c r="C34" s="18">
        <f t="shared" si="0"/>
        <v>16.510000000000002</v>
      </c>
      <c r="D34" s="18">
        <f t="shared" si="0"/>
        <v>12.78</v>
      </c>
      <c r="E34" s="18">
        <f t="shared" si="0"/>
        <v>4.57</v>
      </c>
      <c r="F34" s="18">
        <f t="shared" si="0"/>
        <v>0.02</v>
      </c>
      <c r="G34" s="18">
        <f t="shared" si="0"/>
        <v>53.93</v>
      </c>
      <c r="H34" s="18">
        <f t="shared" si="0"/>
        <v>28.48</v>
      </c>
      <c r="I34" s="18">
        <f t="shared" si="0"/>
        <v>11.07</v>
      </c>
      <c r="J34" s="18">
        <f t="shared" si="0"/>
        <v>0.12</v>
      </c>
      <c r="K34" s="18">
        <f t="shared" si="0"/>
        <v>31.6</v>
      </c>
      <c r="L34" s="18">
        <f t="shared" si="0"/>
        <v>14.73</v>
      </c>
      <c r="M34" s="18">
        <f t="shared" si="0"/>
        <v>14.84</v>
      </c>
      <c r="N34" s="18">
        <f t="shared" si="0"/>
        <v>16</v>
      </c>
      <c r="O34" s="18">
        <f t="shared" si="0"/>
        <v>0</v>
      </c>
      <c r="P34" s="18">
        <f t="shared" si="0"/>
        <v>0.55000000000000004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28.25</v>
      </c>
      <c r="C35" s="3">
        <f t="shared" si="1"/>
        <v>22.8</v>
      </c>
      <c r="D35" s="3">
        <f t="shared" si="1"/>
        <v>33.270000000000003</v>
      </c>
      <c r="E35" s="3">
        <f t="shared" si="1"/>
        <v>9.4</v>
      </c>
      <c r="F35" s="3">
        <f t="shared" si="1"/>
        <v>5.29</v>
      </c>
      <c r="G35" s="3">
        <f t="shared" si="1"/>
        <v>211.18</v>
      </c>
      <c r="H35" s="3">
        <f t="shared" si="1"/>
        <v>79.760000000000005</v>
      </c>
      <c r="I35" s="3">
        <f t="shared" si="1"/>
        <v>24.41</v>
      </c>
      <c r="J35" s="3">
        <f t="shared" si="1"/>
        <v>1.2</v>
      </c>
      <c r="K35" s="3">
        <f t="shared" si="1"/>
        <v>260.8</v>
      </c>
      <c r="L35" s="3">
        <f t="shared" si="1"/>
        <v>30.57</v>
      </c>
      <c r="M35" s="3">
        <f t="shared" si="1"/>
        <v>90.84</v>
      </c>
      <c r="N35" s="3">
        <f t="shared" si="1"/>
        <v>629.5</v>
      </c>
      <c r="O35" s="3">
        <f t="shared" si="1"/>
        <v>0</v>
      </c>
      <c r="P35" s="3">
        <f t="shared" si="1"/>
        <v>1.31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15.417083333333336</v>
      </c>
      <c r="C36" s="18">
        <f t="shared" si="2"/>
        <v>19.757916666666667</v>
      </c>
      <c r="D36" s="18">
        <f t="shared" si="2"/>
        <v>22.545416666666668</v>
      </c>
      <c r="E36" s="18">
        <f t="shared" si="2"/>
        <v>5.939166666666666</v>
      </c>
      <c r="F36" s="18">
        <f t="shared" si="2"/>
        <v>1.1020833333333331</v>
      </c>
      <c r="G36" s="18">
        <f t="shared" si="2"/>
        <v>119.21249999999998</v>
      </c>
      <c r="H36" s="18">
        <f t="shared" si="2"/>
        <v>55.238333333333337</v>
      </c>
      <c r="I36" s="18">
        <f t="shared" si="2"/>
        <v>17.480833333333333</v>
      </c>
      <c r="J36" s="18">
        <f t="shared" si="2"/>
        <v>0.46250000000000008</v>
      </c>
      <c r="K36" s="18">
        <f t="shared" si="2"/>
        <v>156.70999999999995</v>
      </c>
      <c r="L36" s="18">
        <f t="shared" si="2"/>
        <v>21.955416666666668</v>
      </c>
      <c r="M36" s="18">
        <f t="shared" si="2"/>
        <v>59.796250000000008</v>
      </c>
      <c r="N36" s="18">
        <f t="shared" si="2"/>
        <v>157.29999999999998</v>
      </c>
      <c r="O36" s="18">
        <f t="shared" si="2"/>
        <v>0</v>
      </c>
      <c r="P36" s="18">
        <f t="shared" si="2"/>
        <v>0.96166666666666656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8.7042925338302357</v>
      </c>
      <c r="C37" s="18">
        <f t="shared" ref="C37:Q37" si="3">STDEV(C9:C32)</f>
        <v>1.6779127281203885</v>
      </c>
      <c r="D37" s="18">
        <f t="shared" si="3"/>
        <v>6.7661452510252165</v>
      </c>
      <c r="E37" s="18">
        <f t="shared" si="3"/>
        <v>1.2242865417180269</v>
      </c>
      <c r="F37" s="18">
        <f t="shared" si="3"/>
        <v>1.7669526190509512</v>
      </c>
      <c r="G37" s="18">
        <f t="shared" si="3"/>
        <v>43.180831823351063</v>
      </c>
      <c r="H37" s="18">
        <f t="shared" si="3"/>
        <v>16.71760999838105</v>
      </c>
      <c r="I37" s="18">
        <f t="shared" si="3"/>
        <v>5.0813922404641483</v>
      </c>
      <c r="J37" s="18">
        <f t="shared" si="3"/>
        <v>0.38001430179036338</v>
      </c>
      <c r="K37" s="18">
        <f t="shared" si="3"/>
        <v>81.922080794735351</v>
      </c>
      <c r="L37" s="18">
        <f t="shared" si="3"/>
        <v>5.8448014651197955</v>
      </c>
      <c r="M37" s="18">
        <f t="shared" si="3"/>
        <v>28.906613777969472</v>
      </c>
      <c r="N37" s="18">
        <f t="shared" si="3"/>
        <v>211.86749140215795</v>
      </c>
      <c r="O37" s="18">
        <f t="shared" si="3"/>
        <v>0</v>
      </c>
      <c r="P37" s="18">
        <f t="shared" si="3"/>
        <v>0.27938856636321519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I13" sqref="I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229</v>
      </c>
      <c r="B9" s="40">
        <v>28.44</v>
      </c>
      <c r="C9" s="40">
        <v>20.22</v>
      </c>
      <c r="D9" s="40">
        <v>33.33</v>
      </c>
      <c r="E9" s="40">
        <v>6.55</v>
      </c>
      <c r="F9" s="40">
        <v>0.11</v>
      </c>
      <c r="G9" s="40">
        <v>116.58</v>
      </c>
      <c r="H9" s="40">
        <v>48.59</v>
      </c>
      <c r="I9" s="40">
        <v>16.48</v>
      </c>
      <c r="J9" s="40">
        <v>0.21</v>
      </c>
      <c r="K9" s="40">
        <v>212.46</v>
      </c>
      <c r="L9" s="40">
        <v>17.190000000000001</v>
      </c>
      <c r="M9" s="40">
        <v>84.44</v>
      </c>
      <c r="N9" s="40">
        <v>36.5</v>
      </c>
      <c r="O9" s="40">
        <v>0</v>
      </c>
      <c r="P9" s="40">
        <v>0.95</v>
      </c>
      <c r="Q9" s="40">
        <v>9.32</v>
      </c>
      <c r="R9" s="38"/>
      <c r="S9" s="38"/>
      <c r="T9" s="38"/>
      <c r="U9" s="38"/>
    </row>
    <row r="10" spans="1:21" customFormat="1">
      <c r="A10" s="39" t="s">
        <v>230</v>
      </c>
      <c r="B10" s="40">
        <v>28.58</v>
      </c>
      <c r="C10" s="40">
        <v>19.670000000000002</v>
      </c>
      <c r="D10" s="40">
        <v>33.19</v>
      </c>
      <c r="E10" s="40">
        <v>6.62</v>
      </c>
      <c r="F10" s="40">
        <v>0.08</v>
      </c>
      <c r="G10" s="40">
        <v>100.78</v>
      </c>
      <c r="H10" s="40">
        <v>49.14</v>
      </c>
      <c r="I10" s="40">
        <v>18.88</v>
      </c>
      <c r="J10" s="40">
        <v>0.22</v>
      </c>
      <c r="K10" s="40">
        <v>233.55</v>
      </c>
      <c r="L10" s="40">
        <v>16.73</v>
      </c>
      <c r="M10" s="40">
        <v>85.35</v>
      </c>
      <c r="N10" s="40">
        <v>36.1</v>
      </c>
      <c r="O10" s="40">
        <v>0</v>
      </c>
      <c r="P10" s="40">
        <v>0.96</v>
      </c>
      <c r="Q10" s="40">
        <v>9.32</v>
      </c>
      <c r="R10" s="38"/>
      <c r="S10" s="38"/>
      <c r="T10" s="38"/>
      <c r="U10" s="38"/>
    </row>
    <row r="11" spans="1:21" customFormat="1">
      <c r="A11" s="39" t="s">
        <v>231</v>
      </c>
      <c r="B11" s="40">
        <v>27.87</v>
      </c>
      <c r="C11" s="40">
        <v>18.899999999999999</v>
      </c>
      <c r="D11" s="40">
        <v>32.1</v>
      </c>
      <c r="E11" s="40">
        <v>6.16</v>
      </c>
      <c r="F11" s="40">
        <v>0.06</v>
      </c>
      <c r="G11" s="40">
        <v>85.16</v>
      </c>
      <c r="H11" s="40">
        <v>49.14</v>
      </c>
      <c r="I11" s="40">
        <v>19.27</v>
      </c>
      <c r="J11" s="40">
        <v>0.15</v>
      </c>
      <c r="K11" s="40">
        <v>245.97</v>
      </c>
      <c r="L11" s="40">
        <v>16.07</v>
      </c>
      <c r="M11" s="40">
        <v>83.81</v>
      </c>
      <c r="N11" s="40">
        <v>35.799999999999997</v>
      </c>
      <c r="O11" s="40">
        <v>0</v>
      </c>
      <c r="P11" s="40">
        <v>0.95</v>
      </c>
      <c r="Q11" s="40">
        <v>9.32</v>
      </c>
      <c r="R11" s="38"/>
      <c r="S11" s="38"/>
      <c r="T11" s="38"/>
      <c r="U11" s="38"/>
    </row>
    <row r="12" spans="1:21" customFormat="1">
      <c r="A12" s="39" t="s">
        <v>232</v>
      </c>
      <c r="B12" s="40">
        <v>32.479999999999997</v>
      </c>
      <c r="C12" s="40">
        <v>19.55</v>
      </c>
      <c r="D12" s="40">
        <v>36.26</v>
      </c>
      <c r="E12" s="40">
        <v>6.37</v>
      </c>
      <c r="F12" s="40">
        <v>0.02</v>
      </c>
      <c r="G12" s="40">
        <v>107.24</v>
      </c>
      <c r="H12" s="40">
        <v>49.41</v>
      </c>
      <c r="I12" s="40">
        <v>19.75</v>
      </c>
      <c r="J12" s="40">
        <v>0.16</v>
      </c>
      <c r="K12" s="40">
        <v>207.14</v>
      </c>
      <c r="L12" s="40">
        <v>16.25</v>
      </c>
      <c r="M12" s="40">
        <v>80.069999999999993</v>
      </c>
      <c r="N12" s="40">
        <v>30.7</v>
      </c>
      <c r="O12" s="40">
        <v>0</v>
      </c>
      <c r="P12" s="40">
        <v>0.99</v>
      </c>
      <c r="Q12" s="40">
        <v>9.32</v>
      </c>
      <c r="R12" s="38"/>
      <c r="S12" s="38"/>
      <c r="T12" s="38"/>
      <c r="U12" s="38"/>
    </row>
    <row r="13" spans="1:21" customFormat="1">
      <c r="A13" s="39" t="s">
        <v>233</v>
      </c>
      <c r="B13" s="40">
        <v>32.32</v>
      </c>
      <c r="C13" s="40">
        <v>19.510000000000002</v>
      </c>
      <c r="D13" s="40">
        <v>36.11</v>
      </c>
      <c r="E13" s="40">
        <v>6.02</v>
      </c>
      <c r="F13" s="40">
        <v>0.12</v>
      </c>
      <c r="G13" s="40">
        <v>116.09</v>
      </c>
      <c r="H13" s="40">
        <v>52.56</v>
      </c>
      <c r="I13" s="40">
        <v>16.54</v>
      </c>
      <c r="J13" s="40">
        <v>0.18</v>
      </c>
      <c r="K13" s="40">
        <v>220.1</v>
      </c>
      <c r="L13" s="40">
        <v>15.67</v>
      </c>
      <c r="M13" s="40">
        <v>87.79</v>
      </c>
      <c r="N13" s="40">
        <v>30</v>
      </c>
      <c r="O13" s="40">
        <v>0</v>
      </c>
      <c r="P13" s="40">
        <v>1</v>
      </c>
      <c r="Q13" s="40">
        <v>9.32</v>
      </c>
      <c r="R13" s="38"/>
      <c r="S13" s="38"/>
      <c r="T13" s="38"/>
      <c r="U13" s="38"/>
    </row>
    <row r="14" spans="1:21" customFormat="1">
      <c r="A14" s="39" t="s">
        <v>234</v>
      </c>
      <c r="B14" s="40">
        <v>33.04</v>
      </c>
      <c r="C14" s="40">
        <v>18.8</v>
      </c>
      <c r="D14" s="40">
        <v>36.31</v>
      </c>
      <c r="E14" s="40">
        <v>6.09</v>
      </c>
      <c r="F14" s="40">
        <v>0.06</v>
      </c>
      <c r="G14" s="40">
        <v>116.09</v>
      </c>
      <c r="H14" s="40">
        <v>53.77</v>
      </c>
      <c r="I14" s="40">
        <v>16.600000000000001</v>
      </c>
      <c r="J14" s="40">
        <v>0.21</v>
      </c>
      <c r="K14" s="40">
        <v>230.97</v>
      </c>
      <c r="L14" s="40">
        <v>14.86</v>
      </c>
      <c r="M14" s="40">
        <v>90.57</v>
      </c>
      <c r="N14" s="40">
        <v>30.1</v>
      </c>
      <c r="O14" s="40">
        <v>0</v>
      </c>
      <c r="P14" s="40">
        <v>1.02</v>
      </c>
      <c r="Q14" s="40">
        <v>9.32</v>
      </c>
      <c r="R14" s="38"/>
      <c r="S14" s="38"/>
      <c r="T14" s="38"/>
      <c r="U14" s="38"/>
    </row>
    <row r="15" spans="1:21" customFormat="1">
      <c r="A15" s="39" t="s">
        <v>235</v>
      </c>
      <c r="B15" s="40">
        <v>30.69</v>
      </c>
      <c r="C15" s="40">
        <v>17.670000000000002</v>
      </c>
      <c r="D15" s="40">
        <v>33.840000000000003</v>
      </c>
      <c r="E15" s="40">
        <v>5.71</v>
      </c>
      <c r="F15" s="40">
        <v>0.05</v>
      </c>
      <c r="G15" s="40">
        <v>102.25</v>
      </c>
      <c r="H15" s="40">
        <v>53.77</v>
      </c>
      <c r="I15" s="40">
        <v>16.62</v>
      </c>
      <c r="J15" s="40">
        <v>0.16</v>
      </c>
      <c r="K15" s="40">
        <v>240.82</v>
      </c>
      <c r="L15" s="40">
        <v>14.24</v>
      </c>
      <c r="M15" s="40">
        <v>91.25</v>
      </c>
      <c r="N15" s="40">
        <v>44.4</v>
      </c>
      <c r="O15" s="40">
        <v>0</v>
      </c>
      <c r="P15" s="40">
        <v>0.99</v>
      </c>
      <c r="Q15" s="40">
        <v>9.32</v>
      </c>
      <c r="R15" s="38"/>
      <c r="S15" s="38"/>
      <c r="T15" s="38"/>
      <c r="U15" s="38"/>
    </row>
    <row r="16" spans="1:21" customFormat="1">
      <c r="A16" s="39" t="s">
        <v>236</v>
      </c>
      <c r="B16" s="40">
        <v>26.72</v>
      </c>
      <c r="C16" s="40">
        <v>16.53</v>
      </c>
      <c r="D16" s="40">
        <v>30.06</v>
      </c>
      <c r="E16" s="40">
        <v>5.76</v>
      </c>
      <c r="F16" s="40">
        <v>0.15</v>
      </c>
      <c r="G16" s="40">
        <v>95.02</v>
      </c>
      <c r="H16" s="40">
        <v>52.46</v>
      </c>
      <c r="I16" s="40">
        <v>16.48</v>
      </c>
      <c r="J16" s="40">
        <v>0.17</v>
      </c>
      <c r="K16" s="40">
        <v>233.7</v>
      </c>
      <c r="L16" s="40">
        <v>17.149999999999999</v>
      </c>
      <c r="M16" s="40">
        <v>91.74</v>
      </c>
      <c r="N16" s="40">
        <v>98.4</v>
      </c>
      <c r="O16" s="40">
        <v>0</v>
      </c>
      <c r="P16" s="40">
        <v>0.99</v>
      </c>
      <c r="Q16" s="40">
        <v>9.32</v>
      </c>
      <c r="R16" s="38"/>
      <c r="S16" s="38"/>
      <c r="T16" s="38"/>
      <c r="U16" s="38"/>
    </row>
    <row r="17" spans="1:21" customFormat="1">
      <c r="A17" s="39" t="s">
        <v>237</v>
      </c>
      <c r="B17" s="40">
        <v>23.68</v>
      </c>
      <c r="C17" s="40">
        <v>17.350000000000001</v>
      </c>
      <c r="D17" s="40">
        <v>27.69</v>
      </c>
      <c r="E17" s="40">
        <v>6.13</v>
      </c>
      <c r="F17" s="40">
        <v>7.0000000000000007E-2</v>
      </c>
      <c r="G17" s="40">
        <v>94.53</v>
      </c>
      <c r="H17" s="40">
        <v>52.46</v>
      </c>
      <c r="I17" s="40">
        <v>16.510000000000002</v>
      </c>
      <c r="J17" s="40">
        <v>0.56000000000000005</v>
      </c>
      <c r="K17" s="40">
        <v>242.68</v>
      </c>
      <c r="L17" s="40">
        <v>22.76</v>
      </c>
      <c r="M17" s="40">
        <v>65.489999999999995</v>
      </c>
      <c r="N17" s="40">
        <v>351.3</v>
      </c>
      <c r="O17" s="40">
        <v>0</v>
      </c>
      <c r="P17" s="40">
        <v>0.99</v>
      </c>
      <c r="Q17" s="40">
        <v>9.32</v>
      </c>
      <c r="R17" s="38"/>
      <c r="S17" s="38"/>
      <c r="T17" s="38"/>
      <c r="U17" s="38"/>
    </row>
    <row r="18" spans="1:21" customFormat="1">
      <c r="A18" s="39" t="s">
        <v>238</v>
      </c>
      <c r="B18" s="40">
        <v>20.190000000000001</v>
      </c>
      <c r="C18" s="40">
        <v>20.5</v>
      </c>
      <c r="D18" s="40">
        <v>26.06</v>
      </c>
      <c r="E18" s="40">
        <v>6.13</v>
      </c>
      <c r="F18" s="40">
        <v>0.13</v>
      </c>
      <c r="G18" s="40">
        <v>85.25</v>
      </c>
      <c r="H18" s="40">
        <v>51.38</v>
      </c>
      <c r="I18" s="40">
        <v>15.97</v>
      </c>
      <c r="J18" s="40">
        <v>1.1499999999999999</v>
      </c>
      <c r="K18" s="40">
        <v>53.41</v>
      </c>
      <c r="L18" s="40">
        <v>25.86</v>
      </c>
      <c r="M18" s="40">
        <v>40.49</v>
      </c>
      <c r="N18" s="40">
        <v>317.7</v>
      </c>
      <c r="O18" s="40">
        <v>0</v>
      </c>
      <c r="P18" s="40">
        <v>0.94</v>
      </c>
      <c r="Q18" s="40">
        <v>9.32</v>
      </c>
      <c r="R18" s="38"/>
      <c r="S18" s="38"/>
      <c r="T18" s="38"/>
      <c r="U18" s="38"/>
    </row>
    <row r="19" spans="1:21" customFormat="1">
      <c r="A19" s="39" t="s">
        <v>239</v>
      </c>
      <c r="B19" s="40">
        <v>18.940000000000001</v>
      </c>
      <c r="C19" s="40">
        <v>21.82</v>
      </c>
      <c r="D19" s="40">
        <v>26.24</v>
      </c>
      <c r="E19" s="40">
        <v>6.7</v>
      </c>
      <c r="F19" s="40">
        <v>0.4</v>
      </c>
      <c r="G19" s="40">
        <v>70.2</v>
      </c>
      <c r="H19" s="40">
        <v>44</v>
      </c>
      <c r="I19" s="40">
        <v>14.61</v>
      </c>
      <c r="J19" s="40">
        <v>0.9</v>
      </c>
      <c r="K19" s="40">
        <v>84.7</v>
      </c>
      <c r="L19" s="40">
        <v>28.4</v>
      </c>
      <c r="M19" s="40">
        <v>26.47</v>
      </c>
      <c r="N19" s="40">
        <v>613.70000000000005</v>
      </c>
      <c r="O19" s="40">
        <v>0</v>
      </c>
      <c r="P19" s="40">
        <v>0.84</v>
      </c>
      <c r="Q19" s="40">
        <v>9.32</v>
      </c>
      <c r="R19" s="38"/>
      <c r="S19" s="38"/>
      <c r="T19" s="38"/>
      <c r="U19" s="38"/>
    </row>
    <row r="20" spans="1:21" customFormat="1">
      <c r="A20" s="39" t="s">
        <v>240</v>
      </c>
      <c r="B20" s="40">
        <v>15.16</v>
      </c>
      <c r="C20" s="40">
        <v>21.87</v>
      </c>
      <c r="D20" s="40">
        <v>23.58</v>
      </c>
      <c r="E20" s="40">
        <v>7.86</v>
      </c>
      <c r="F20" s="40">
        <v>3.13</v>
      </c>
      <c r="G20" s="40">
        <v>59.15</v>
      </c>
      <c r="H20" s="40">
        <v>36.229999999999997</v>
      </c>
      <c r="I20" s="40">
        <v>15.83</v>
      </c>
      <c r="J20" s="40">
        <v>0.81</v>
      </c>
      <c r="K20" s="40">
        <v>47.35</v>
      </c>
      <c r="L20" s="40">
        <v>30.88</v>
      </c>
      <c r="M20" s="40">
        <v>22.02</v>
      </c>
      <c r="N20" s="40">
        <v>721.5</v>
      </c>
      <c r="O20" s="40">
        <v>0</v>
      </c>
      <c r="P20" s="40">
        <v>0.75</v>
      </c>
      <c r="Q20" s="40">
        <v>9.32</v>
      </c>
      <c r="R20" s="38"/>
      <c r="S20" s="38"/>
      <c r="T20" s="38"/>
      <c r="U20" s="38"/>
    </row>
    <row r="21" spans="1:21" customFormat="1">
      <c r="A21" s="39" t="s">
        <v>241</v>
      </c>
      <c r="B21" s="40">
        <v>12.78</v>
      </c>
      <c r="C21" s="40">
        <v>20.32</v>
      </c>
      <c r="D21" s="40">
        <v>20.86</v>
      </c>
      <c r="E21" s="40">
        <v>7.96</v>
      </c>
      <c r="F21" s="40">
        <v>2.7</v>
      </c>
      <c r="G21" s="40">
        <v>59.15</v>
      </c>
      <c r="H21" s="40">
        <v>32.54</v>
      </c>
      <c r="I21" s="40">
        <v>14.43</v>
      </c>
      <c r="J21" s="40">
        <v>1.07</v>
      </c>
      <c r="K21" s="40">
        <v>48.51</v>
      </c>
      <c r="L21" s="40">
        <v>31.35</v>
      </c>
      <c r="M21" s="40">
        <v>10.9</v>
      </c>
      <c r="N21" s="40">
        <v>729.2</v>
      </c>
      <c r="O21" s="40">
        <v>0</v>
      </c>
      <c r="P21" s="40">
        <v>0.67</v>
      </c>
      <c r="Q21" s="40">
        <v>9.32</v>
      </c>
      <c r="R21" s="38"/>
      <c r="S21" s="38"/>
      <c r="T21" s="38"/>
      <c r="U21" s="38"/>
    </row>
    <row r="22" spans="1:21" customFormat="1">
      <c r="A22" s="39" t="s">
        <v>242</v>
      </c>
      <c r="B22" s="40">
        <v>9.41</v>
      </c>
      <c r="C22" s="40">
        <v>18.34</v>
      </c>
      <c r="D22" s="40">
        <v>17.13</v>
      </c>
      <c r="E22" s="40">
        <v>7.05</v>
      </c>
      <c r="F22" s="40">
        <v>5.16</v>
      </c>
      <c r="G22" s="40">
        <v>44.98</v>
      </c>
      <c r="H22" s="40">
        <v>26.03</v>
      </c>
      <c r="I22" s="40">
        <v>12.75</v>
      </c>
      <c r="J22" s="40">
        <v>0.88</v>
      </c>
      <c r="K22" s="40">
        <v>45.1</v>
      </c>
      <c r="L22" s="40">
        <v>31.65</v>
      </c>
      <c r="M22" s="40">
        <v>9.51</v>
      </c>
      <c r="N22" s="40">
        <v>550.4</v>
      </c>
      <c r="O22" s="40">
        <v>0</v>
      </c>
      <c r="P22" s="40">
        <v>0.6</v>
      </c>
      <c r="Q22" s="40">
        <v>9.32</v>
      </c>
      <c r="R22" s="38"/>
      <c r="S22" s="38"/>
      <c r="T22" s="38"/>
      <c r="U22" s="38"/>
    </row>
    <row r="23" spans="1:21" customFormat="1">
      <c r="A23" s="39" t="s">
        <v>243</v>
      </c>
      <c r="B23" s="40">
        <v>6.93</v>
      </c>
      <c r="C23" s="40">
        <v>17.13</v>
      </c>
      <c r="D23" s="40">
        <v>14.49</v>
      </c>
      <c r="E23" s="40">
        <v>7.55</v>
      </c>
      <c r="F23" s="40">
        <v>8.0399999999999991</v>
      </c>
      <c r="G23" s="40">
        <v>38.89</v>
      </c>
      <c r="H23" s="40">
        <v>23.14</v>
      </c>
      <c r="I23" s="40">
        <v>11.69</v>
      </c>
      <c r="J23" s="40">
        <v>0.85</v>
      </c>
      <c r="K23" s="40">
        <v>40.18</v>
      </c>
      <c r="L23" s="40">
        <v>31.2</v>
      </c>
      <c r="M23" s="40">
        <v>8.11</v>
      </c>
      <c r="N23" s="40">
        <v>92.2</v>
      </c>
      <c r="O23" s="40">
        <v>0</v>
      </c>
      <c r="P23" s="40">
        <v>0.52</v>
      </c>
      <c r="Q23" s="40">
        <v>9.32</v>
      </c>
      <c r="R23" s="38"/>
      <c r="S23" s="38"/>
      <c r="T23" s="38"/>
      <c r="U23" s="38"/>
    </row>
    <row r="24" spans="1:21" customFormat="1">
      <c r="A24" s="39" t="s">
        <v>244</v>
      </c>
      <c r="B24" s="40">
        <v>5.53</v>
      </c>
      <c r="C24" s="40">
        <v>16.28</v>
      </c>
      <c r="D24" s="40">
        <v>12.94</v>
      </c>
      <c r="E24" s="40">
        <v>6.96</v>
      </c>
      <c r="F24" s="40">
        <v>6.1</v>
      </c>
      <c r="G24" s="40">
        <v>33.78</v>
      </c>
      <c r="H24" s="40">
        <v>17.989999999999998</v>
      </c>
      <c r="I24" s="40">
        <v>10.63</v>
      </c>
      <c r="J24" s="40">
        <v>0.78</v>
      </c>
      <c r="K24" s="40">
        <v>84.34</v>
      </c>
      <c r="L24" s="40">
        <v>31.11</v>
      </c>
      <c r="M24" s="40">
        <v>11.46</v>
      </c>
      <c r="N24" s="40">
        <v>76</v>
      </c>
      <c r="O24" s="40">
        <v>0</v>
      </c>
      <c r="P24" s="40">
        <v>0.5</v>
      </c>
      <c r="Q24" s="40">
        <v>9.32</v>
      </c>
      <c r="R24" s="38"/>
      <c r="S24" s="38"/>
      <c r="T24" s="38"/>
      <c r="U24" s="38"/>
    </row>
    <row r="25" spans="1:21" customFormat="1">
      <c r="A25" s="39" t="s">
        <v>245</v>
      </c>
      <c r="B25" s="40">
        <v>4.63</v>
      </c>
      <c r="C25" s="40">
        <v>16.04</v>
      </c>
      <c r="D25" s="40">
        <v>11.85</v>
      </c>
      <c r="E25" s="40">
        <v>6.48</v>
      </c>
      <c r="F25" s="40">
        <v>1.35</v>
      </c>
      <c r="G25" s="40">
        <v>42.41</v>
      </c>
      <c r="H25" s="40">
        <v>18.54</v>
      </c>
      <c r="I25" s="40">
        <v>10.73</v>
      </c>
      <c r="J25" s="40">
        <v>0.2</v>
      </c>
      <c r="K25" s="40">
        <v>153.79</v>
      </c>
      <c r="L25" s="40">
        <v>29.35</v>
      </c>
      <c r="M25" s="40">
        <v>25.02</v>
      </c>
      <c r="N25" s="40">
        <v>69.599999999999994</v>
      </c>
      <c r="O25" s="40">
        <v>0</v>
      </c>
      <c r="P25" s="40">
        <v>0.49</v>
      </c>
      <c r="Q25" s="40">
        <v>9.32</v>
      </c>
      <c r="R25" s="38"/>
      <c r="S25" s="38"/>
      <c r="T25" s="38"/>
      <c r="U25" s="38"/>
    </row>
    <row r="26" spans="1:21" customFormat="1">
      <c r="A26" s="39" t="s">
        <v>246</v>
      </c>
      <c r="B26" s="40">
        <v>4.67</v>
      </c>
      <c r="C26" s="40">
        <v>17.05</v>
      </c>
      <c r="D26" s="40">
        <v>12.65</v>
      </c>
      <c r="E26" s="40">
        <v>6.22</v>
      </c>
      <c r="F26" s="40">
        <v>0.54</v>
      </c>
      <c r="G26" s="40">
        <v>73.55</v>
      </c>
      <c r="H26" s="40">
        <v>22.02</v>
      </c>
      <c r="I26" s="40">
        <v>10.87</v>
      </c>
      <c r="J26" s="40">
        <v>0.4</v>
      </c>
      <c r="K26" s="40">
        <v>170.27</v>
      </c>
      <c r="L26" s="40">
        <v>26.3</v>
      </c>
      <c r="M26" s="40">
        <v>38.72</v>
      </c>
      <c r="N26" s="40">
        <v>24.8</v>
      </c>
      <c r="O26" s="40">
        <v>0</v>
      </c>
      <c r="P26" s="40">
        <v>0.5</v>
      </c>
      <c r="Q26" s="40">
        <v>9.32</v>
      </c>
      <c r="R26" s="38"/>
      <c r="S26" s="38"/>
      <c r="T26" s="38"/>
      <c r="U26" s="38"/>
    </row>
    <row r="27" spans="1:21" customFormat="1">
      <c r="A27" s="39" t="s">
        <v>247</v>
      </c>
      <c r="B27" s="40">
        <v>5.19</v>
      </c>
      <c r="C27" s="40">
        <v>17.399999999999999</v>
      </c>
      <c r="D27" s="40">
        <v>13.25</v>
      </c>
      <c r="E27" s="40">
        <v>5.41</v>
      </c>
      <c r="F27" s="40">
        <v>0.3</v>
      </c>
      <c r="G27" s="40">
        <v>100.05</v>
      </c>
      <c r="H27" s="40">
        <v>25.84</v>
      </c>
      <c r="I27" s="40">
        <v>11.34</v>
      </c>
      <c r="J27" s="40">
        <v>0.25</v>
      </c>
      <c r="K27" s="40">
        <v>184.76</v>
      </c>
      <c r="L27" s="40">
        <v>23.16</v>
      </c>
      <c r="M27" s="40">
        <v>62.01</v>
      </c>
      <c r="N27" s="40">
        <v>16.7</v>
      </c>
      <c r="O27" s="40">
        <v>0</v>
      </c>
      <c r="P27" s="40">
        <v>0.55000000000000004</v>
      </c>
      <c r="Q27" s="40">
        <v>9.32</v>
      </c>
      <c r="R27" s="38"/>
      <c r="S27" s="38"/>
      <c r="T27" s="38"/>
      <c r="U27" s="38"/>
    </row>
    <row r="28" spans="1:21" customFormat="1">
      <c r="A28" s="39" t="s">
        <v>248</v>
      </c>
      <c r="B28" s="40">
        <v>5.83</v>
      </c>
      <c r="C28" s="40">
        <v>17.48</v>
      </c>
      <c r="D28" s="40">
        <v>13.58</v>
      </c>
      <c r="E28" s="40">
        <v>5.54</v>
      </c>
      <c r="F28" s="40">
        <v>0.28999999999999998</v>
      </c>
      <c r="G28" s="40">
        <v>100.05</v>
      </c>
      <c r="H28" s="40">
        <v>26.92</v>
      </c>
      <c r="I28" s="40">
        <v>11.43</v>
      </c>
      <c r="J28" s="40">
        <v>0.25</v>
      </c>
      <c r="K28" s="40">
        <v>201.45</v>
      </c>
      <c r="L28" s="40">
        <v>21.04</v>
      </c>
      <c r="M28" s="40">
        <v>67.69</v>
      </c>
      <c r="N28" s="40">
        <v>16</v>
      </c>
      <c r="O28" s="40">
        <v>0</v>
      </c>
      <c r="P28" s="40">
        <v>0.56999999999999995</v>
      </c>
      <c r="Q28" s="40">
        <v>9.32</v>
      </c>
      <c r="R28" s="38"/>
      <c r="S28" s="38"/>
      <c r="T28" s="38"/>
      <c r="U28" s="38"/>
    </row>
    <row r="29" spans="1:21" customFormat="1">
      <c r="A29" s="39" t="s">
        <v>249</v>
      </c>
      <c r="B29" s="40">
        <v>6.8</v>
      </c>
      <c r="C29" s="40">
        <v>16.8</v>
      </c>
      <c r="D29" s="40">
        <v>13.82</v>
      </c>
      <c r="E29" s="40">
        <v>5.42</v>
      </c>
      <c r="F29" s="40">
        <v>0.03</v>
      </c>
      <c r="G29" s="40">
        <v>88.83</v>
      </c>
      <c r="H29" s="40">
        <v>29.32</v>
      </c>
      <c r="I29" s="40">
        <v>16.850000000000001</v>
      </c>
      <c r="J29" s="40">
        <v>0.19</v>
      </c>
      <c r="K29" s="40">
        <v>201.93</v>
      </c>
      <c r="L29" s="40">
        <v>19.97</v>
      </c>
      <c r="M29" s="40">
        <v>71.680000000000007</v>
      </c>
      <c r="N29" s="40">
        <v>15.9</v>
      </c>
      <c r="O29" s="40">
        <v>0</v>
      </c>
      <c r="P29" s="40">
        <v>0.59</v>
      </c>
      <c r="Q29" s="40">
        <v>9.32</v>
      </c>
      <c r="R29" s="38"/>
      <c r="S29" s="38"/>
      <c r="T29" s="38"/>
      <c r="U29" s="38"/>
    </row>
    <row r="30" spans="1:21" customFormat="1">
      <c r="A30" s="39" t="s">
        <v>250</v>
      </c>
      <c r="B30" s="40">
        <v>9.8800000000000008</v>
      </c>
      <c r="C30" s="40">
        <v>16.28</v>
      </c>
      <c r="D30" s="40">
        <v>16.43</v>
      </c>
      <c r="E30" s="40">
        <v>5.71</v>
      </c>
      <c r="F30" s="40">
        <v>0.14000000000000001</v>
      </c>
      <c r="G30" s="40">
        <v>94.76</v>
      </c>
      <c r="H30" s="40">
        <v>31.23</v>
      </c>
      <c r="I30" s="40">
        <v>12.5</v>
      </c>
      <c r="J30" s="40">
        <v>0.19</v>
      </c>
      <c r="K30" s="40">
        <v>212.81</v>
      </c>
      <c r="L30" s="40">
        <v>19.38</v>
      </c>
      <c r="M30" s="40">
        <v>77.11</v>
      </c>
      <c r="N30" s="40">
        <v>15.8</v>
      </c>
      <c r="O30" s="40">
        <v>0</v>
      </c>
      <c r="P30" s="40">
        <v>0.65</v>
      </c>
      <c r="Q30" s="40">
        <v>9.32</v>
      </c>
      <c r="R30" s="38"/>
      <c r="S30" s="38"/>
      <c r="T30" s="38"/>
      <c r="U30" s="38"/>
    </row>
    <row r="31" spans="1:21" customFormat="1">
      <c r="A31" s="39" t="s">
        <v>251</v>
      </c>
      <c r="B31" s="40">
        <v>15.17</v>
      </c>
      <c r="C31" s="40">
        <v>17.38</v>
      </c>
      <c r="D31" s="40">
        <v>21.24</v>
      </c>
      <c r="E31" s="40">
        <v>5.68</v>
      </c>
      <c r="F31" s="40">
        <v>0.08</v>
      </c>
      <c r="G31" s="40">
        <v>100.82</v>
      </c>
      <c r="H31" s="40">
        <v>32.07</v>
      </c>
      <c r="I31" s="40">
        <v>13.31</v>
      </c>
      <c r="J31" s="40">
        <v>0.25</v>
      </c>
      <c r="K31" s="40">
        <v>218.51</v>
      </c>
      <c r="L31" s="40">
        <v>18.54</v>
      </c>
      <c r="M31" s="40">
        <v>75.61</v>
      </c>
      <c r="N31" s="40">
        <v>15.5</v>
      </c>
      <c r="O31" s="40">
        <v>0</v>
      </c>
      <c r="P31" s="40">
        <v>0.71</v>
      </c>
      <c r="Q31" s="40">
        <v>9.32</v>
      </c>
      <c r="R31" s="38"/>
      <c r="S31" s="38"/>
      <c r="T31" s="38"/>
      <c r="U31" s="38"/>
    </row>
    <row r="32" spans="1:21" customFormat="1">
      <c r="A32" s="39" t="s">
        <v>252</v>
      </c>
      <c r="B32" s="40">
        <v>17.47</v>
      </c>
      <c r="C32" s="40">
        <v>17.600000000000001</v>
      </c>
      <c r="D32" s="40">
        <v>22.98</v>
      </c>
      <c r="E32" s="40">
        <v>5.6</v>
      </c>
      <c r="F32" s="40">
        <v>0.11</v>
      </c>
      <c r="G32" s="40">
        <v>100.82</v>
      </c>
      <c r="H32" s="40">
        <v>41.09</v>
      </c>
      <c r="I32" s="40">
        <v>14.36</v>
      </c>
      <c r="J32" s="40">
        <v>0.19</v>
      </c>
      <c r="K32" s="40">
        <v>212.59</v>
      </c>
      <c r="L32" s="40">
        <v>17.88</v>
      </c>
      <c r="M32" s="40">
        <v>81.430000000000007</v>
      </c>
      <c r="N32" s="40">
        <v>15.7</v>
      </c>
      <c r="O32" s="40">
        <v>0</v>
      </c>
      <c r="P32" s="40">
        <v>0.76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4.63</v>
      </c>
      <c r="C34" s="18">
        <f t="shared" si="0"/>
        <v>16.04</v>
      </c>
      <c r="D34" s="18">
        <f t="shared" si="0"/>
        <v>11.85</v>
      </c>
      <c r="E34" s="18">
        <f t="shared" si="0"/>
        <v>5.41</v>
      </c>
      <c r="F34" s="18">
        <f t="shared" si="0"/>
        <v>0.02</v>
      </c>
      <c r="G34" s="18">
        <f t="shared" si="0"/>
        <v>33.78</v>
      </c>
      <c r="H34" s="18">
        <f t="shared" si="0"/>
        <v>17.989999999999998</v>
      </c>
      <c r="I34" s="18">
        <f t="shared" si="0"/>
        <v>10.63</v>
      </c>
      <c r="J34" s="18">
        <f t="shared" si="0"/>
        <v>0.15</v>
      </c>
      <c r="K34" s="18">
        <f t="shared" si="0"/>
        <v>40.18</v>
      </c>
      <c r="L34" s="18">
        <f t="shared" si="0"/>
        <v>14.24</v>
      </c>
      <c r="M34" s="18">
        <f t="shared" si="0"/>
        <v>8.11</v>
      </c>
      <c r="N34" s="18">
        <f t="shared" si="0"/>
        <v>15.5</v>
      </c>
      <c r="O34" s="18">
        <f t="shared" si="0"/>
        <v>0</v>
      </c>
      <c r="P34" s="18">
        <f t="shared" si="0"/>
        <v>0.49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33.04</v>
      </c>
      <c r="C35" s="3">
        <f t="shared" si="1"/>
        <v>21.87</v>
      </c>
      <c r="D35" s="3">
        <f t="shared" si="1"/>
        <v>36.31</v>
      </c>
      <c r="E35" s="3">
        <f t="shared" si="1"/>
        <v>7.96</v>
      </c>
      <c r="F35" s="3">
        <f t="shared" si="1"/>
        <v>8.0399999999999991</v>
      </c>
      <c r="G35" s="3">
        <f t="shared" si="1"/>
        <v>116.58</v>
      </c>
      <c r="H35" s="3">
        <f t="shared" si="1"/>
        <v>53.77</v>
      </c>
      <c r="I35" s="3">
        <f t="shared" si="1"/>
        <v>19.75</v>
      </c>
      <c r="J35" s="3">
        <f t="shared" si="1"/>
        <v>1.1499999999999999</v>
      </c>
      <c r="K35" s="3">
        <f t="shared" si="1"/>
        <v>245.97</v>
      </c>
      <c r="L35" s="3">
        <f t="shared" si="1"/>
        <v>31.65</v>
      </c>
      <c r="M35" s="3">
        <f t="shared" si="1"/>
        <v>91.74</v>
      </c>
      <c r="N35" s="3">
        <f t="shared" si="1"/>
        <v>729.2</v>
      </c>
      <c r="O35" s="3">
        <f t="shared" si="1"/>
        <v>0</v>
      </c>
      <c r="P35" s="3">
        <f t="shared" si="1"/>
        <v>1.02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17.599999999999998</v>
      </c>
      <c r="C36" s="18">
        <f t="shared" si="2"/>
        <v>18.353750000000002</v>
      </c>
      <c r="D36" s="18">
        <f t="shared" si="2"/>
        <v>23.582916666666666</v>
      </c>
      <c r="E36" s="18">
        <f t="shared" si="2"/>
        <v>6.3199999999999994</v>
      </c>
      <c r="F36" s="18">
        <f t="shared" si="2"/>
        <v>1.2175</v>
      </c>
      <c r="G36" s="18">
        <f t="shared" si="2"/>
        <v>84.434583333333336</v>
      </c>
      <c r="H36" s="18">
        <f t="shared" si="2"/>
        <v>38.318333333333335</v>
      </c>
      <c r="I36" s="18">
        <f t="shared" si="2"/>
        <v>14.767916666666666</v>
      </c>
      <c r="J36" s="18">
        <f t="shared" si="2"/>
        <v>0.43249999999999988</v>
      </c>
      <c r="K36" s="18">
        <f t="shared" si="2"/>
        <v>167.79541666666663</v>
      </c>
      <c r="L36" s="18">
        <f t="shared" si="2"/>
        <v>22.374583333333334</v>
      </c>
      <c r="M36" s="18">
        <f t="shared" si="2"/>
        <v>57.864166666666669</v>
      </c>
      <c r="N36" s="18">
        <f t="shared" si="2"/>
        <v>165.99999999999997</v>
      </c>
      <c r="O36" s="18">
        <f t="shared" si="2"/>
        <v>0</v>
      </c>
      <c r="P36" s="18">
        <f t="shared" si="2"/>
        <v>0.77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10.396322092138087</v>
      </c>
      <c r="C37" s="18">
        <f t="shared" ref="C37:Q37" si="3">STDEV(C9:C32)</f>
        <v>1.7306540922311777</v>
      </c>
      <c r="D37" s="18">
        <f t="shared" si="3"/>
        <v>8.7923833041256092</v>
      </c>
      <c r="E37" s="18">
        <f t="shared" si="3"/>
        <v>0.73173409282929602</v>
      </c>
      <c r="F37" s="18">
        <f t="shared" si="3"/>
        <v>2.2122509685445015</v>
      </c>
      <c r="G37" s="18">
        <f t="shared" si="3"/>
        <v>25.59763117083239</v>
      </c>
      <c r="H37" s="18">
        <f t="shared" si="3"/>
        <v>12.681221538564207</v>
      </c>
      <c r="I37" s="18">
        <f t="shared" si="3"/>
        <v>2.8003477721396544</v>
      </c>
      <c r="J37" s="18">
        <f t="shared" si="3"/>
        <v>0.33818248225528774</v>
      </c>
      <c r="K37" s="18">
        <f t="shared" si="3"/>
        <v>75.874814173781047</v>
      </c>
      <c r="L37" s="18">
        <f t="shared" si="3"/>
        <v>6.2161682445802136</v>
      </c>
      <c r="M37" s="18">
        <f t="shared" si="3"/>
        <v>30.6799433020091</v>
      </c>
      <c r="N37" s="18">
        <f t="shared" si="3"/>
        <v>240.87190895108364</v>
      </c>
      <c r="O37" s="18">
        <f t="shared" si="3"/>
        <v>0</v>
      </c>
      <c r="P37" s="18">
        <f t="shared" si="3"/>
        <v>0.1987570069861361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I17" sqref="I1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253</v>
      </c>
      <c r="B9" s="40">
        <v>17.28</v>
      </c>
      <c r="C9" s="40">
        <v>16.829999999999998</v>
      </c>
      <c r="D9" s="40">
        <v>22.65</v>
      </c>
      <c r="E9" s="40">
        <v>5.68</v>
      </c>
      <c r="F9" s="40">
        <v>7.0000000000000007E-2</v>
      </c>
      <c r="G9" s="40">
        <v>97.71</v>
      </c>
      <c r="H9" s="40">
        <v>41.09</v>
      </c>
      <c r="I9" s="40">
        <v>15.19</v>
      </c>
      <c r="J9" s="40">
        <v>0.19</v>
      </c>
      <c r="K9" s="40">
        <v>208.19</v>
      </c>
      <c r="L9" s="40">
        <v>17.12</v>
      </c>
      <c r="M9" s="40">
        <v>85.87</v>
      </c>
      <c r="N9" s="40">
        <v>15.5</v>
      </c>
      <c r="O9" s="40">
        <v>0</v>
      </c>
      <c r="P9" s="40">
        <v>0.8</v>
      </c>
      <c r="Q9" s="40">
        <v>9.32</v>
      </c>
      <c r="R9" s="38"/>
      <c r="S9" s="38"/>
      <c r="T9" s="38"/>
      <c r="U9" s="38"/>
    </row>
    <row r="10" spans="1:21" customFormat="1">
      <c r="A10" s="39" t="s">
        <v>254</v>
      </c>
      <c r="B10" s="40">
        <v>16.86</v>
      </c>
      <c r="C10" s="40">
        <v>15.93</v>
      </c>
      <c r="D10" s="40">
        <v>21.84</v>
      </c>
      <c r="E10" s="40">
        <v>5.44</v>
      </c>
      <c r="F10" s="40">
        <v>0.03</v>
      </c>
      <c r="G10" s="40">
        <v>91.37</v>
      </c>
      <c r="H10" s="40">
        <v>39.380000000000003</v>
      </c>
      <c r="I10" s="40">
        <v>16.04</v>
      </c>
      <c r="J10" s="40">
        <v>0.15</v>
      </c>
      <c r="K10" s="40">
        <v>230.75</v>
      </c>
      <c r="L10" s="40">
        <v>16.440000000000001</v>
      </c>
      <c r="M10" s="40">
        <v>86.91</v>
      </c>
      <c r="N10" s="40">
        <v>15.2</v>
      </c>
      <c r="O10" s="40">
        <v>0</v>
      </c>
      <c r="P10" s="40">
        <v>0.84</v>
      </c>
      <c r="Q10" s="40">
        <v>9.32</v>
      </c>
      <c r="R10" s="38"/>
      <c r="S10" s="38"/>
      <c r="T10" s="38"/>
      <c r="U10" s="38"/>
    </row>
    <row r="11" spans="1:21" customFormat="1">
      <c r="A11" s="39" t="s">
        <v>255</v>
      </c>
      <c r="B11" s="40">
        <v>16.38</v>
      </c>
      <c r="C11" s="40">
        <v>15.34</v>
      </c>
      <c r="D11" s="40">
        <v>21.15</v>
      </c>
      <c r="E11" s="40">
        <v>5.37</v>
      </c>
      <c r="F11" s="40">
        <v>0.12</v>
      </c>
      <c r="G11" s="40">
        <v>82.34</v>
      </c>
      <c r="H11" s="40">
        <v>39.85</v>
      </c>
      <c r="I11" s="40">
        <v>16.79</v>
      </c>
      <c r="J11" s="40">
        <v>0.16</v>
      </c>
      <c r="K11" s="40">
        <v>216.5</v>
      </c>
      <c r="L11" s="40">
        <v>15.7</v>
      </c>
      <c r="M11" s="40">
        <v>86.79</v>
      </c>
      <c r="N11" s="40">
        <v>14.3</v>
      </c>
      <c r="O11" s="40">
        <v>0</v>
      </c>
      <c r="P11" s="40">
        <v>0.86</v>
      </c>
      <c r="Q11" s="40">
        <v>9.32</v>
      </c>
      <c r="R11" s="38"/>
      <c r="S11" s="38"/>
      <c r="T11" s="38"/>
      <c r="U11" s="38"/>
    </row>
    <row r="12" spans="1:21" customFormat="1">
      <c r="A12" s="39" t="s">
        <v>256</v>
      </c>
      <c r="B12" s="40">
        <v>15.18</v>
      </c>
      <c r="C12" s="40">
        <v>14.81</v>
      </c>
      <c r="D12" s="40">
        <v>19.91</v>
      </c>
      <c r="E12" s="40">
        <v>5.36</v>
      </c>
      <c r="F12" s="40">
        <v>0.02</v>
      </c>
      <c r="G12" s="40">
        <v>76.38</v>
      </c>
      <c r="H12" s="40">
        <v>39.85</v>
      </c>
      <c r="I12" s="40">
        <v>17.190000000000001</v>
      </c>
      <c r="J12" s="40">
        <v>0.13</v>
      </c>
      <c r="K12" s="40">
        <v>227.1</v>
      </c>
      <c r="L12" s="40">
        <v>15.4</v>
      </c>
      <c r="M12" s="40">
        <v>88.68</v>
      </c>
      <c r="N12" s="40">
        <v>14.1</v>
      </c>
      <c r="O12" s="40">
        <v>0</v>
      </c>
      <c r="P12" s="40">
        <v>0.86</v>
      </c>
      <c r="Q12" s="40">
        <v>9.32</v>
      </c>
      <c r="R12" s="38"/>
      <c r="S12" s="38"/>
      <c r="T12" s="38"/>
      <c r="U12" s="38"/>
    </row>
    <row r="13" spans="1:21" customFormat="1">
      <c r="A13" s="39" t="s">
        <v>257</v>
      </c>
      <c r="B13" s="40">
        <v>13.97</v>
      </c>
      <c r="C13" s="40">
        <v>14.15</v>
      </c>
      <c r="D13" s="40">
        <v>18.59</v>
      </c>
      <c r="E13" s="40">
        <v>5.3</v>
      </c>
      <c r="F13" s="40">
        <v>0.01</v>
      </c>
      <c r="G13" s="40">
        <v>75.06</v>
      </c>
      <c r="H13" s="40">
        <v>37.200000000000003</v>
      </c>
      <c r="I13" s="40">
        <v>17.239999999999998</v>
      </c>
      <c r="J13" s="40">
        <v>0.32</v>
      </c>
      <c r="K13" s="40">
        <v>212.18</v>
      </c>
      <c r="L13" s="40">
        <v>15.39</v>
      </c>
      <c r="M13" s="40">
        <v>85.98</v>
      </c>
      <c r="N13" s="40">
        <v>14</v>
      </c>
      <c r="O13" s="40">
        <v>0</v>
      </c>
      <c r="P13" s="40">
        <v>0.86</v>
      </c>
      <c r="Q13" s="40">
        <v>9.33</v>
      </c>
      <c r="R13" s="38"/>
      <c r="S13" s="38"/>
      <c r="T13" s="38"/>
      <c r="U13" s="38"/>
    </row>
    <row r="14" spans="1:21" customFormat="1">
      <c r="A14" s="39" t="s">
        <v>258</v>
      </c>
      <c r="B14" s="40">
        <v>12.84</v>
      </c>
      <c r="C14" s="40">
        <v>13.92</v>
      </c>
      <c r="D14" s="40">
        <v>17.54</v>
      </c>
      <c r="E14" s="40">
        <v>5.2</v>
      </c>
      <c r="F14" s="40">
        <v>0.01</v>
      </c>
      <c r="G14" s="40">
        <v>69.680000000000007</v>
      </c>
      <c r="H14" s="40">
        <v>36.83</v>
      </c>
      <c r="I14" s="40">
        <v>16.97</v>
      </c>
      <c r="J14" s="40">
        <v>0.19</v>
      </c>
      <c r="K14" s="40">
        <v>211.48</v>
      </c>
      <c r="L14" s="40">
        <v>14.95</v>
      </c>
      <c r="M14" s="40">
        <v>87.19</v>
      </c>
      <c r="N14" s="40">
        <v>14.1</v>
      </c>
      <c r="O14" s="40">
        <v>0</v>
      </c>
      <c r="P14" s="40">
        <v>0.83</v>
      </c>
      <c r="Q14" s="40">
        <v>9.32</v>
      </c>
      <c r="R14" s="38"/>
      <c r="S14" s="38"/>
      <c r="T14" s="38"/>
      <c r="U14" s="38"/>
    </row>
    <row r="15" spans="1:21" customFormat="1">
      <c r="A15" s="39" t="s">
        <v>259</v>
      </c>
      <c r="B15" s="40">
        <v>12.25</v>
      </c>
      <c r="C15" s="40">
        <v>13.87</v>
      </c>
      <c r="D15" s="40">
        <v>17.079999999999998</v>
      </c>
      <c r="E15" s="40">
        <v>5.52</v>
      </c>
      <c r="F15" s="40">
        <v>7.0000000000000007E-2</v>
      </c>
      <c r="G15" s="40">
        <v>73.069999999999993</v>
      </c>
      <c r="H15" s="40">
        <v>39.619999999999997</v>
      </c>
      <c r="I15" s="40">
        <v>17.03</v>
      </c>
      <c r="J15" s="40">
        <v>0.14000000000000001</v>
      </c>
      <c r="K15" s="40">
        <v>185.12</v>
      </c>
      <c r="L15" s="40">
        <v>14.37</v>
      </c>
      <c r="M15" s="40">
        <v>89.61</v>
      </c>
      <c r="N15" s="40">
        <v>28.9</v>
      </c>
      <c r="O15" s="40">
        <v>0</v>
      </c>
      <c r="P15" s="40">
        <v>0.86</v>
      </c>
      <c r="Q15" s="40">
        <v>9.32</v>
      </c>
      <c r="R15" s="38"/>
      <c r="S15" s="38"/>
      <c r="T15" s="38"/>
      <c r="U15" s="38"/>
    </row>
    <row r="16" spans="1:21" customFormat="1">
      <c r="A16" s="39" t="s">
        <v>260</v>
      </c>
      <c r="B16" s="40">
        <v>13.09</v>
      </c>
      <c r="C16" s="40">
        <v>14.22</v>
      </c>
      <c r="D16" s="40">
        <v>17.93</v>
      </c>
      <c r="E16" s="40">
        <v>5.5</v>
      </c>
      <c r="F16" s="40">
        <v>0.16</v>
      </c>
      <c r="G16" s="40">
        <v>76.180000000000007</v>
      </c>
      <c r="H16" s="40">
        <v>41.92</v>
      </c>
      <c r="I16" s="40">
        <v>17.09</v>
      </c>
      <c r="J16" s="40">
        <v>0.56000000000000005</v>
      </c>
      <c r="K16" s="40">
        <v>182.28</v>
      </c>
      <c r="L16" s="40">
        <v>18.079999999999998</v>
      </c>
      <c r="M16" s="40">
        <v>88.2</v>
      </c>
      <c r="N16" s="40">
        <v>74.5</v>
      </c>
      <c r="O16" s="40">
        <v>0</v>
      </c>
      <c r="P16" s="40">
        <v>0.92</v>
      </c>
      <c r="Q16" s="40">
        <v>9.32</v>
      </c>
      <c r="R16" s="38"/>
      <c r="S16" s="38"/>
      <c r="T16" s="38"/>
      <c r="U16" s="38"/>
    </row>
    <row r="17" spans="1:21" customFormat="1">
      <c r="A17" s="39" t="s">
        <v>261</v>
      </c>
      <c r="B17" s="40">
        <v>15.33</v>
      </c>
      <c r="C17" s="40">
        <v>18.37</v>
      </c>
      <c r="D17" s="40">
        <v>21.71</v>
      </c>
      <c r="E17" s="40">
        <v>5.6</v>
      </c>
      <c r="F17" s="40">
        <v>0.11</v>
      </c>
      <c r="G17" s="40">
        <v>101.87</v>
      </c>
      <c r="H17" s="40">
        <v>51.38</v>
      </c>
      <c r="I17" s="40">
        <v>14.99</v>
      </c>
      <c r="J17" s="40">
        <v>0.68</v>
      </c>
      <c r="K17" s="40">
        <v>53.76</v>
      </c>
      <c r="L17" s="40">
        <v>22.94</v>
      </c>
      <c r="M17" s="40">
        <v>55.4</v>
      </c>
      <c r="N17" s="40">
        <v>328.1</v>
      </c>
      <c r="O17" s="40">
        <v>0</v>
      </c>
      <c r="P17" s="40">
        <v>0.99</v>
      </c>
      <c r="Q17" s="40">
        <v>9.33</v>
      </c>
      <c r="R17" s="38"/>
      <c r="S17" s="38"/>
      <c r="T17" s="38"/>
      <c r="U17" s="38"/>
    </row>
    <row r="18" spans="1:21" customFormat="1">
      <c r="A18" s="39" t="s">
        <v>262</v>
      </c>
      <c r="B18" s="40">
        <v>14.73</v>
      </c>
      <c r="C18" s="40">
        <v>18.670000000000002</v>
      </c>
      <c r="D18" s="40">
        <v>21.57</v>
      </c>
      <c r="E18" s="40">
        <v>5.79</v>
      </c>
      <c r="F18" s="40">
        <v>0.28999999999999998</v>
      </c>
      <c r="G18" s="40">
        <v>102.56</v>
      </c>
      <c r="H18" s="40">
        <v>51.38</v>
      </c>
      <c r="I18" s="40">
        <v>15.15</v>
      </c>
      <c r="J18" s="40">
        <v>1.03</v>
      </c>
      <c r="K18" s="40">
        <v>50.02</v>
      </c>
      <c r="L18" s="40">
        <v>26.41</v>
      </c>
      <c r="M18" s="40">
        <v>36.479999999999997</v>
      </c>
      <c r="N18" s="40">
        <v>265.2</v>
      </c>
      <c r="O18" s="40">
        <v>0</v>
      </c>
      <c r="P18" s="40">
        <v>0.98</v>
      </c>
      <c r="Q18" s="40">
        <v>9.36</v>
      </c>
      <c r="R18" s="38"/>
      <c r="S18" s="38"/>
      <c r="T18" s="38"/>
      <c r="U18" s="38"/>
    </row>
    <row r="19" spans="1:21" customFormat="1">
      <c r="A19" s="39" t="s">
        <v>263</v>
      </c>
      <c r="B19" s="40">
        <v>12.95</v>
      </c>
      <c r="C19" s="40">
        <v>18.170000000000002</v>
      </c>
      <c r="D19" s="40">
        <v>19.88</v>
      </c>
      <c r="E19" s="40">
        <v>7.2</v>
      </c>
      <c r="F19" s="40">
        <v>1.85</v>
      </c>
      <c r="G19" s="40">
        <v>102.56</v>
      </c>
      <c r="H19" s="40">
        <v>47.79</v>
      </c>
      <c r="I19" s="40">
        <v>16.79</v>
      </c>
      <c r="J19" s="40">
        <v>1.19</v>
      </c>
      <c r="K19" s="40">
        <v>45.69</v>
      </c>
      <c r="L19" s="40">
        <v>28.75</v>
      </c>
      <c r="M19" s="40">
        <v>26.87</v>
      </c>
      <c r="N19" s="40">
        <v>629.1</v>
      </c>
      <c r="O19" s="40">
        <v>0</v>
      </c>
      <c r="P19" s="40">
        <v>0.92</v>
      </c>
      <c r="Q19" s="40">
        <v>9.32</v>
      </c>
      <c r="R19" s="38"/>
      <c r="S19" s="38"/>
      <c r="T19" s="38"/>
      <c r="U19" s="38"/>
    </row>
    <row r="20" spans="1:21" customFormat="1">
      <c r="A20" s="39" t="s">
        <v>264</v>
      </c>
      <c r="B20" s="40">
        <v>10.44</v>
      </c>
      <c r="C20" s="40">
        <v>18.399999999999999</v>
      </c>
      <c r="D20" s="40">
        <v>17.77</v>
      </c>
      <c r="E20" s="40">
        <v>7.83</v>
      </c>
      <c r="F20" s="40">
        <v>2.2200000000000002</v>
      </c>
      <c r="G20" s="40">
        <v>89.3</v>
      </c>
      <c r="H20" s="40">
        <v>38.76</v>
      </c>
      <c r="I20" s="40">
        <v>16.41</v>
      </c>
      <c r="J20" s="40">
        <v>1.58</v>
      </c>
      <c r="K20" s="40">
        <v>53.82</v>
      </c>
      <c r="L20" s="40">
        <v>30.1</v>
      </c>
      <c r="M20" s="40">
        <v>16.68</v>
      </c>
      <c r="N20" s="40">
        <v>679.7</v>
      </c>
      <c r="O20" s="40">
        <v>0</v>
      </c>
      <c r="P20" s="40">
        <v>0.81</v>
      </c>
      <c r="Q20" s="40">
        <v>9.32</v>
      </c>
      <c r="R20" s="38"/>
      <c r="S20" s="38"/>
      <c r="T20" s="38"/>
      <c r="U20" s="38"/>
    </row>
    <row r="21" spans="1:21" customFormat="1">
      <c r="A21" s="39" t="s">
        <v>265</v>
      </c>
      <c r="B21" s="40">
        <v>8.57</v>
      </c>
      <c r="C21" s="40">
        <v>19.8</v>
      </c>
      <c r="D21" s="40">
        <v>16.82</v>
      </c>
      <c r="E21" s="40">
        <v>7.18</v>
      </c>
      <c r="F21" s="40">
        <v>1.74</v>
      </c>
      <c r="G21" s="40">
        <v>72.45</v>
      </c>
      <c r="H21" s="40">
        <v>31.56</v>
      </c>
      <c r="I21" s="40">
        <v>14.73</v>
      </c>
      <c r="J21" s="40">
        <v>0.95</v>
      </c>
      <c r="K21" s="40">
        <v>73.739999999999995</v>
      </c>
      <c r="L21" s="40">
        <v>31.11</v>
      </c>
      <c r="M21" s="40">
        <v>15.24</v>
      </c>
      <c r="N21" s="40">
        <v>684.3</v>
      </c>
      <c r="O21" s="40">
        <v>0</v>
      </c>
      <c r="P21" s="40">
        <v>0.7</v>
      </c>
      <c r="Q21" s="40">
        <v>9.32</v>
      </c>
      <c r="R21" s="38"/>
      <c r="S21" s="38"/>
      <c r="T21" s="38"/>
      <c r="U21" s="38"/>
    </row>
    <row r="22" spans="1:21" customFormat="1">
      <c r="A22" s="39" t="s">
        <v>266</v>
      </c>
      <c r="B22" s="40">
        <v>7.16</v>
      </c>
      <c r="C22" s="40">
        <v>20.02</v>
      </c>
      <c r="D22" s="40">
        <v>16.18</v>
      </c>
      <c r="E22" s="40">
        <v>7.29</v>
      </c>
      <c r="F22" s="40">
        <v>3.81</v>
      </c>
      <c r="G22" s="40">
        <v>62.67</v>
      </c>
      <c r="H22" s="40">
        <v>27.97</v>
      </c>
      <c r="I22" s="40">
        <v>13.03</v>
      </c>
      <c r="J22" s="40">
        <v>1.38</v>
      </c>
      <c r="K22" s="40">
        <v>44.15</v>
      </c>
      <c r="L22" s="40">
        <v>31.05</v>
      </c>
      <c r="M22" s="40">
        <v>14.53</v>
      </c>
      <c r="N22" s="40">
        <v>563.70000000000005</v>
      </c>
      <c r="O22" s="40">
        <v>0</v>
      </c>
      <c r="P22" s="40">
        <v>0.61</v>
      </c>
      <c r="Q22" s="40">
        <v>9.35</v>
      </c>
      <c r="R22" s="38"/>
      <c r="S22" s="38"/>
      <c r="T22" s="38"/>
      <c r="U22" s="38"/>
    </row>
    <row r="23" spans="1:21" customFormat="1">
      <c r="A23" s="39" t="s">
        <v>267</v>
      </c>
      <c r="B23" s="40">
        <v>5.04</v>
      </c>
      <c r="C23" s="40">
        <v>19.8</v>
      </c>
      <c r="D23" s="40">
        <v>14.38</v>
      </c>
      <c r="E23" s="40">
        <v>6.88</v>
      </c>
      <c r="F23" s="40">
        <v>5.12</v>
      </c>
      <c r="G23" s="40">
        <v>51.77</v>
      </c>
      <c r="H23" s="40">
        <v>24.09</v>
      </c>
      <c r="I23" s="40">
        <v>11.08</v>
      </c>
      <c r="J23" s="40">
        <v>1.06</v>
      </c>
      <c r="K23" s="40">
        <v>66.02</v>
      </c>
      <c r="L23" s="40">
        <v>30.78</v>
      </c>
      <c r="M23" s="40">
        <v>15.66</v>
      </c>
      <c r="N23" s="40">
        <v>123.7</v>
      </c>
      <c r="O23" s="40">
        <v>0</v>
      </c>
      <c r="P23" s="40">
        <v>0.52</v>
      </c>
      <c r="Q23" s="40">
        <v>9.36</v>
      </c>
      <c r="R23" s="38"/>
      <c r="S23" s="38"/>
      <c r="T23" s="38"/>
      <c r="U23" s="38"/>
    </row>
    <row r="24" spans="1:21" customFormat="1">
      <c r="A24" s="39" t="s">
        <v>268</v>
      </c>
      <c r="B24" s="40">
        <v>4.3600000000000003</v>
      </c>
      <c r="C24" s="40">
        <v>20.54</v>
      </c>
      <c r="D24" s="40">
        <v>14.23</v>
      </c>
      <c r="E24" s="40">
        <v>6.77</v>
      </c>
      <c r="F24" s="40">
        <v>5.41</v>
      </c>
      <c r="G24" s="40">
        <v>48.06</v>
      </c>
      <c r="H24" s="40">
        <v>19.93</v>
      </c>
      <c r="I24" s="40">
        <v>10.32</v>
      </c>
      <c r="J24" s="40">
        <v>0.65</v>
      </c>
      <c r="K24" s="40">
        <v>122.93</v>
      </c>
      <c r="L24" s="40">
        <v>30.45</v>
      </c>
      <c r="M24" s="40">
        <v>17.71</v>
      </c>
      <c r="N24" s="40">
        <v>109.1</v>
      </c>
      <c r="O24" s="40">
        <v>0</v>
      </c>
      <c r="P24" s="40">
        <v>0.5</v>
      </c>
      <c r="Q24" s="40">
        <v>9.33</v>
      </c>
      <c r="R24" s="38"/>
      <c r="S24" s="38"/>
      <c r="T24" s="38"/>
      <c r="U24" s="38"/>
    </row>
    <row r="25" spans="1:21" customFormat="1">
      <c r="A25" s="39" t="s">
        <v>269</v>
      </c>
      <c r="B25" s="40">
        <v>4.12</v>
      </c>
      <c r="C25" s="40">
        <v>18.899999999999999</v>
      </c>
      <c r="D25" s="40">
        <v>13.18</v>
      </c>
      <c r="E25" s="40">
        <v>6.55</v>
      </c>
      <c r="F25" s="40">
        <v>4.08</v>
      </c>
      <c r="G25" s="40">
        <v>49.97</v>
      </c>
      <c r="H25" s="40">
        <v>21.16</v>
      </c>
      <c r="I25" s="40">
        <v>10</v>
      </c>
      <c r="J25" s="40">
        <v>0.3</v>
      </c>
      <c r="K25" s="40">
        <v>147.28</v>
      </c>
      <c r="L25" s="40">
        <v>29.71</v>
      </c>
      <c r="M25" s="40">
        <v>24.31</v>
      </c>
      <c r="N25" s="40">
        <v>80.599999999999994</v>
      </c>
      <c r="O25" s="40">
        <v>0</v>
      </c>
      <c r="P25" s="40">
        <v>0.47</v>
      </c>
      <c r="Q25" s="40">
        <v>9.4499999999999993</v>
      </c>
      <c r="R25" s="38"/>
      <c r="S25" s="38"/>
      <c r="T25" s="38"/>
      <c r="U25" s="38"/>
    </row>
    <row r="26" spans="1:21" customFormat="1">
      <c r="A26" s="39" t="s">
        <v>270</v>
      </c>
      <c r="B26" s="40">
        <v>5.05</v>
      </c>
      <c r="C26" s="40">
        <v>17.36</v>
      </c>
      <c r="D26" s="40">
        <v>12.82</v>
      </c>
      <c r="E26" s="40">
        <v>6.22</v>
      </c>
      <c r="F26" s="40">
        <v>1.05</v>
      </c>
      <c r="G26" s="40">
        <v>61.75</v>
      </c>
      <c r="H26" s="40">
        <v>21.16</v>
      </c>
      <c r="I26" s="40">
        <v>9.5500000000000007</v>
      </c>
      <c r="J26" s="40">
        <v>0.3</v>
      </c>
      <c r="K26" s="40">
        <v>161.87</v>
      </c>
      <c r="L26" s="40">
        <v>26.22</v>
      </c>
      <c r="M26" s="40">
        <v>37.85</v>
      </c>
      <c r="N26" s="40">
        <v>55.9</v>
      </c>
      <c r="O26" s="40">
        <v>0</v>
      </c>
      <c r="P26" s="40">
        <v>0.47</v>
      </c>
      <c r="Q26" s="40">
        <v>9.4700000000000006</v>
      </c>
      <c r="R26" s="38"/>
      <c r="S26" s="38"/>
      <c r="T26" s="38"/>
      <c r="U26" s="38"/>
    </row>
    <row r="27" spans="1:21" customFormat="1">
      <c r="A27" s="39" t="s">
        <v>271</v>
      </c>
      <c r="B27" s="40">
        <v>7.86</v>
      </c>
      <c r="C27" s="40">
        <v>17.52</v>
      </c>
      <c r="D27" s="40">
        <v>15.42</v>
      </c>
      <c r="E27" s="40">
        <v>4.78</v>
      </c>
      <c r="F27" s="40">
        <v>0.32</v>
      </c>
      <c r="G27" s="40">
        <v>62.08</v>
      </c>
      <c r="H27" s="40">
        <v>21.06</v>
      </c>
      <c r="I27" s="40">
        <v>11.38</v>
      </c>
      <c r="J27" s="40">
        <v>0.21</v>
      </c>
      <c r="K27" s="40">
        <v>198.99</v>
      </c>
      <c r="L27" s="40">
        <v>23.01</v>
      </c>
      <c r="M27" s="40">
        <v>63.81</v>
      </c>
      <c r="N27" s="40">
        <v>23.7</v>
      </c>
      <c r="O27" s="40">
        <v>0</v>
      </c>
      <c r="P27" s="40">
        <v>0.8</v>
      </c>
      <c r="Q27" s="40">
        <v>9.35</v>
      </c>
      <c r="R27" s="38"/>
      <c r="S27" s="38"/>
      <c r="T27" s="38"/>
      <c r="U27" s="38"/>
    </row>
    <row r="28" spans="1:21" customFormat="1">
      <c r="A28" s="39" t="s">
        <v>272</v>
      </c>
      <c r="B28" s="40">
        <v>8.59</v>
      </c>
      <c r="C28" s="40">
        <v>17.260000000000002</v>
      </c>
      <c r="D28" s="40">
        <v>15.57</v>
      </c>
      <c r="E28" s="40">
        <v>4.6900000000000004</v>
      </c>
      <c r="F28" s="40">
        <v>0.14000000000000001</v>
      </c>
      <c r="G28" s="40">
        <v>176.12</v>
      </c>
      <c r="H28" s="40">
        <v>70.11</v>
      </c>
      <c r="I28" s="40">
        <v>14.33</v>
      </c>
      <c r="J28" s="40">
        <v>0.17</v>
      </c>
      <c r="K28" s="40">
        <v>197.24</v>
      </c>
      <c r="L28" s="40">
        <v>20.43</v>
      </c>
      <c r="M28" s="40">
        <v>65.44</v>
      </c>
      <c r="N28" s="40">
        <v>23.7</v>
      </c>
      <c r="O28" s="40">
        <v>0</v>
      </c>
      <c r="P28" s="40">
        <v>0.84</v>
      </c>
      <c r="Q28" s="40">
        <v>9.32</v>
      </c>
      <c r="R28" s="38"/>
      <c r="S28" s="38"/>
      <c r="T28" s="38"/>
      <c r="U28" s="38"/>
    </row>
    <row r="29" spans="1:21" customFormat="1">
      <c r="A29" s="39" t="s">
        <v>273</v>
      </c>
      <c r="B29" s="40">
        <v>8.9700000000000006</v>
      </c>
      <c r="C29" s="40">
        <v>16.260000000000002</v>
      </c>
      <c r="D29" s="40">
        <v>15.44</v>
      </c>
      <c r="E29" s="40">
        <v>4.62</v>
      </c>
      <c r="F29" s="40">
        <v>0.14000000000000001</v>
      </c>
      <c r="G29" s="40">
        <v>176.12</v>
      </c>
      <c r="H29" s="40">
        <v>70.11</v>
      </c>
      <c r="I29" s="40">
        <v>14.29</v>
      </c>
      <c r="J29" s="40">
        <v>0.2</v>
      </c>
      <c r="K29" s="40">
        <v>204.45</v>
      </c>
      <c r="L29" s="40">
        <v>19.670000000000002</v>
      </c>
      <c r="M29" s="40">
        <v>71.25</v>
      </c>
      <c r="N29" s="40">
        <v>23.9</v>
      </c>
      <c r="O29" s="40">
        <v>0</v>
      </c>
      <c r="P29" s="40">
        <v>0.84</v>
      </c>
      <c r="Q29" s="40">
        <v>9.32</v>
      </c>
      <c r="R29" s="38"/>
      <c r="S29" s="38"/>
      <c r="T29" s="38"/>
      <c r="U29" s="38"/>
    </row>
    <row r="30" spans="1:21" customFormat="1">
      <c r="A30" s="39" t="s">
        <v>274</v>
      </c>
      <c r="B30" s="40">
        <v>12.26</v>
      </c>
      <c r="C30" s="40">
        <v>16.760000000000002</v>
      </c>
      <c r="D30" s="40">
        <v>18.59</v>
      </c>
      <c r="E30" s="40">
        <v>4.84</v>
      </c>
      <c r="F30" s="40">
        <v>0.03</v>
      </c>
      <c r="G30" s="40">
        <v>105.22</v>
      </c>
      <c r="H30" s="40">
        <v>31.19</v>
      </c>
      <c r="I30" s="40">
        <v>14.41</v>
      </c>
      <c r="J30" s="40">
        <v>0.21</v>
      </c>
      <c r="K30" s="40">
        <v>191.24</v>
      </c>
      <c r="L30" s="40">
        <v>18.98</v>
      </c>
      <c r="M30" s="40">
        <v>68.89</v>
      </c>
      <c r="N30" s="40">
        <v>25.2</v>
      </c>
      <c r="O30" s="40">
        <v>0</v>
      </c>
      <c r="P30" s="40">
        <v>0.87</v>
      </c>
      <c r="Q30" s="40">
        <v>9.48</v>
      </c>
      <c r="R30" s="38"/>
      <c r="S30" s="38"/>
      <c r="T30" s="38"/>
      <c r="U30" s="38"/>
    </row>
    <row r="31" spans="1:21" customFormat="1">
      <c r="A31" s="39" t="s">
        <v>275</v>
      </c>
      <c r="B31" s="40">
        <v>26.51</v>
      </c>
      <c r="C31" s="40">
        <v>20.059999999999999</v>
      </c>
      <c r="D31" s="40">
        <v>31.74</v>
      </c>
      <c r="E31" s="40">
        <v>4.9800000000000004</v>
      </c>
      <c r="F31" s="40">
        <v>7.0000000000000007E-2</v>
      </c>
      <c r="G31" s="40">
        <v>133.03</v>
      </c>
      <c r="H31" s="40">
        <v>60.46</v>
      </c>
      <c r="I31" s="40">
        <v>15.81</v>
      </c>
      <c r="J31" s="40">
        <v>0.28999999999999998</v>
      </c>
      <c r="K31" s="40">
        <v>200.7</v>
      </c>
      <c r="L31" s="40">
        <v>18.84</v>
      </c>
      <c r="M31" s="40">
        <v>77.7</v>
      </c>
      <c r="N31" s="40">
        <v>27.3</v>
      </c>
      <c r="O31" s="40">
        <v>0</v>
      </c>
      <c r="P31" s="40">
        <v>1.02</v>
      </c>
      <c r="Q31" s="40">
        <v>9.57</v>
      </c>
      <c r="R31" s="38"/>
      <c r="S31" s="38"/>
      <c r="T31" s="38"/>
      <c r="U31" s="38"/>
    </row>
    <row r="32" spans="1:21" customFormat="1">
      <c r="A32" s="39" t="s">
        <v>276</v>
      </c>
      <c r="B32" s="40">
        <v>32.869999999999997</v>
      </c>
      <c r="C32" s="40">
        <v>20.48</v>
      </c>
      <c r="D32" s="40">
        <v>36.979999999999997</v>
      </c>
      <c r="E32" s="40">
        <v>5.13</v>
      </c>
      <c r="F32" s="40">
        <v>0.03</v>
      </c>
      <c r="G32" s="40">
        <v>133.03</v>
      </c>
      <c r="H32" s="40">
        <v>60.46</v>
      </c>
      <c r="I32" s="40">
        <v>17.64</v>
      </c>
      <c r="J32" s="40">
        <v>0.19</v>
      </c>
      <c r="K32" s="40">
        <v>201.17</v>
      </c>
      <c r="L32" s="40">
        <v>18.05</v>
      </c>
      <c r="M32" s="40">
        <v>81.95</v>
      </c>
      <c r="N32" s="40">
        <v>28</v>
      </c>
      <c r="O32" s="40">
        <v>0</v>
      </c>
      <c r="P32" s="40">
        <v>1.1200000000000001</v>
      </c>
      <c r="Q32" s="40">
        <v>9.56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4.12</v>
      </c>
      <c r="C34" s="18">
        <f t="shared" si="0"/>
        <v>13.87</v>
      </c>
      <c r="D34" s="18">
        <f t="shared" si="0"/>
        <v>12.82</v>
      </c>
      <c r="E34" s="18">
        <f t="shared" si="0"/>
        <v>4.62</v>
      </c>
      <c r="F34" s="18">
        <f t="shared" si="0"/>
        <v>0.01</v>
      </c>
      <c r="G34" s="18">
        <f t="shared" si="0"/>
        <v>48.06</v>
      </c>
      <c r="H34" s="18">
        <f t="shared" si="0"/>
        <v>19.93</v>
      </c>
      <c r="I34" s="18">
        <f t="shared" si="0"/>
        <v>9.5500000000000007</v>
      </c>
      <c r="J34" s="18">
        <f t="shared" si="0"/>
        <v>0.13</v>
      </c>
      <c r="K34" s="18">
        <f t="shared" si="0"/>
        <v>44.15</v>
      </c>
      <c r="L34" s="18">
        <f t="shared" si="0"/>
        <v>14.37</v>
      </c>
      <c r="M34" s="18">
        <f t="shared" si="0"/>
        <v>14.53</v>
      </c>
      <c r="N34" s="18">
        <f t="shared" si="0"/>
        <v>14</v>
      </c>
      <c r="O34" s="18">
        <f t="shared" si="0"/>
        <v>0</v>
      </c>
      <c r="P34" s="18">
        <f t="shared" si="0"/>
        <v>0.47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32.869999999999997</v>
      </c>
      <c r="C35" s="3">
        <f t="shared" si="1"/>
        <v>20.54</v>
      </c>
      <c r="D35" s="3">
        <f t="shared" si="1"/>
        <v>36.979999999999997</v>
      </c>
      <c r="E35" s="3">
        <f t="shared" si="1"/>
        <v>7.83</v>
      </c>
      <c r="F35" s="3">
        <f t="shared" si="1"/>
        <v>5.41</v>
      </c>
      <c r="G35" s="3">
        <f t="shared" si="1"/>
        <v>176.12</v>
      </c>
      <c r="H35" s="3">
        <f t="shared" si="1"/>
        <v>70.11</v>
      </c>
      <c r="I35" s="3">
        <f t="shared" si="1"/>
        <v>17.64</v>
      </c>
      <c r="J35" s="3">
        <f t="shared" si="1"/>
        <v>1.58</v>
      </c>
      <c r="K35" s="3">
        <f t="shared" si="1"/>
        <v>230.75</v>
      </c>
      <c r="L35" s="3">
        <f t="shared" si="1"/>
        <v>31.11</v>
      </c>
      <c r="M35" s="3">
        <f t="shared" si="1"/>
        <v>89.61</v>
      </c>
      <c r="N35" s="3">
        <f t="shared" si="1"/>
        <v>684.3</v>
      </c>
      <c r="O35" s="3">
        <f t="shared" si="1"/>
        <v>0</v>
      </c>
      <c r="P35" s="3">
        <f t="shared" si="1"/>
        <v>1.1200000000000001</v>
      </c>
      <c r="Q35" s="3">
        <f t="shared" si="1"/>
        <v>9.57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12.610833333333334</v>
      </c>
      <c r="C36" s="18">
        <f t="shared" si="2"/>
        <v>17.393333333333334</v>
      </c>
      <c r="D36" s="18">
        <f t="shared" si="2"/>
        <v>19.123750000000001</v>
      </c>
      <c r="E36" s="18">
        <f t="shared" si="2"/>
        <v>5.8216666666666654</v>
      </c>
      <c r="F36" s="18">
        <f t="shared" si="2"/>
        <v>1.1208333333333338</v>
      </c>
      <c r="G36" s="18">
        <f t="shared" si="2"/>
        <v>90.431249999999991</v>
      </c>
      <c r="H36" s="18">
        <f t="shared" si="2"/>
        <v>40.179583333333333</v>
      </c>
      <c r="I36" s="18">
        <f t="shared" si="2"/>
        <v>14.727083333333333</v>
      </c>
      <c r="J36" s="18">
        <f t="shared" si="2"/>
        <v>0.50958333333333339</v>
      </c>
      <c r="K36" s="18">
        <f t="shared" si="2"/>
        <v>153.61124999999996</v>
      </c>
      <c r="L36" s="18">
        <f t="shared" si="2"/>
        <v>22.247916666666669</v>
      </c>
      <c r="M36" s="18">
        <f t="shared" si="2"/>
        <v>57.875000000000007</v>
      </c>
      <c r="N36" s="18">
        <f t="shared" si="2"/>
        <v>160.9083333333333</v>
      </c>
      <c r="O36" s="18">
        <f t="shared" si="2"/>
        <v>0</v>
      </c>
      <c r="P36" s="18">
        <f t="shared" si="2"/>
        <v>0.80375000000000008</v>
      </c>
      <c r="Q36" s="18">
        <f t="shared" si="2"/>
        <v>9.3658333333333292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6.7116601436647523</v>
      </c>
      <c r="C37" s="18">
        <f t="shared" ref="C37:Q37" si="3">STDEV(C9:C32)</f>
        <v>2.2030624271615467</v>
      </c>
      <c r="D37" s="18">
        <f t="shared" si="3"/>
        <v>5.5235321186010466</v>
      </c>
      <c r="E37" s="18">
        <f t="shared" si="3"/>
        <v>0.93458042977057487</v>
      </c>
      <c r="F37" s="18">
        <f t="shared" si="3"/>
        <v>1.7354536223599635</v>
      </c>
      <c r="G37" s="18">
        <f t="shared" si="3"/>
        <v>34.950394451030306</v>
      </c>
      <c r="H37" s="18">
        <f t="shared" si="3"/>
        <v>14.76240745040875</v>
      </c>
      <c r="I37" s="18">
        <f t="shared" si="3"/>
        <v>2.5357350004986006</v>
      </c>
      <c r="J37" s="18">
        <f t="shared" si="3"/>
        <v>0.44656640936261011</v>
      </c>
      <c r="K37" s="18">
        <f t="shared" si="3"/>
        <v>68.749937885347521</v>
      </c>
      <c r="L37" s="18">
        <f t="shared" si="3"/>
        <v>6.1476237750622049</v>
      </c>
      <c r="M37" s="18">
        <f t="shared" si="3"/>
        <v>29.55815814700701</v>
      </c>
      <c r="N37" s="18">
        <f t="shared" si="3"/>
        <v>233.00563329011501</v>
      </c>
      <c r="O37" s="18">
        <f t="shared" si="3"/>
        <v>0</v>
      </c>
      <c r="P37" s="18">
        <f t="shared" si="3"/>
        <v>0.17509779875953504</v>
      </c>
      <c r="Q37" s="18">
        <f t="shared" si="3"/>
        <v>7.8014305637222559E-2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F14" sqref="F14:F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277</v>
      </c>
      <c r="B9" s="40">
        <v>41.16</v>
      </c>
      <c r="C9" s="40">
        <v>21.09</v>
      </c>
      <c r="D9" s="40">
        <v>44.03</v>
      </c>
      <c r="E9" s="40">
        <v>5.42</v>
      </c>
      <c r="F9" s="40">
        <v>0.06</v>
      </c>
      <c r="G9" s="40">
        <v>146.77000000000001</v>
      </c>
      <c r="H9" s="40">
        <v>55.12</v>
      </c>
      <c r="I9" s="40">
        <v>18.93</v>
      </c>
      <c r="J9" s="40">
        <v>0.21</v>
      </c>
      <c r="K9" s="40">
        <v>199.34</v>
      </c>
      <c r="L9" s="40">
        <v>17.38</v>
      </c>
      <c r="M9" s="40">
        <v>82.74</v>
      </c>
      <c r="N9" s="40">
        <v>28</v>
      </c>
      <c r="O9" s="40">
        <v>0</v>
      </c>
      <c r="P9" s="40">
        <v>1.21</v>
      </c>
      <c r="Q9" s="40">
        <v>9.5</v>
      </c>
      <c r="R9" s="38"/>
      <c r="S9" s="38"/>
      <c r="T9" s="38"/>
      <c r="U9" s="38"/>
    </row>
    <row r="10" spans="1:21" customFormat="1">
      <c r="A10" s="39" t="s">
        <v>278</v>
      </c>
      <c r="B10" s="40">
        <v>43.48</v>
      </c>
      <c r="C10" s="40">
        <v>21.16</v>
      </c>
      <c r="D10" s="40">
        <v>45.92</v>
      </c>
      <c r="E10" s="40">
        <v>5.33</v>
      </c>
      <c r="F10" s="40">
        <v>0.05</v>
      </c>
      <c r="G10" s="40">
        <v>146.77000000000001</v>
      </c>
      <c r="H10" s="40">
        <v>59.35</v>
      </c>
      <c r="I10" s="40">
        <v>19.27</v>
      </c>
      <c r="J10" s="40">
        <v>0.22</v>
      </c>
      <c r="K10" s="40">
        <v>210.87</v>
      </c>
      <c r="L10" s="40">
        <v>17.09</v>
      </c>
      <c r="M10" s="40">
        <v>83.24</v>
      </c>
      <c r="N10" s="40">
        <v>28.4</v>
      </c>
      <c r="O10" s="40">
        <v>0</v>
      </c>
      <c r="P10" s="40">
        <v>1.25</v>
      </c>
      <c r="Q10" s="40">
        <v>9.5500000000000007</v>
      </c>
      <c r="R10" s="38"/>
      <c r="S10" s="38"/>
      <c r="T10" s="38"/>
      <c r="U10" s="38"/>
    </row>
    <row r="11" spans="1:21" customFormat="1">
      <c r="A11" s="39" t="s">
        <v>279</v>
      </c>
      <c r="B11" s="40">
        <v>42.06</v>
      </c>
      <c r="C11" s="40">
        <v>20.37</v>
      </c>
      <c r="D11" s="40">
        <v>44.3</v>
      </c>
      <c r="E11" s="40">
        <v>5.8</v>
      </c>
      <c r="F11" s="40">
        <v>0.06</v>
      </c>
      <c r="G11" s="40">
        <v>123.8</v>
      </c>
      <c r="H11" s="40">
        <v>59.35</v>
      </c>
      <c r="I11" s="40">
        <v>16.72</v>
      </c>
      <c r="J11" s="40">
        <v>0.17</v>
      </c>
      <c r="K11" s="40">
        <v>218.47</v>
      </c>
      <c r="L11" s="40">
        <v>16.190000000000001</v>
      </c>
      <c r="M11" s="40">
        <v>85.62</v>
      </c>
      <c r="N11" s="40">
        <v>29.1</v>
      </c>
      <c r="O11" s="40">
        <v>0</v>
      </c>
      <c r="P11" s="40">
        <v>1.26</v>
      </c>
      <c r="Q11" s="40">
        <v>9.52</v>
      </c>
      <c r="R11" s="38"/>
      <c r="S11" s="38"/>
      <c r="T11" s="38"/>
      <c r="U11" s="38"/>
    </row>
    <row r="12" spans="1:21" customFormat="1">
      <c r="A12" s="39" t="s">
        <v>280</v>
      </c>
      <c r="B12" s="40">
        <v>45.31</v>
      </c>
      <c r="C12" s="40">
        <v>20.48</v>
      </c>
      <c r="D12" s="40">
        <v>46.99</v>
      </c>
      <c r="E12" s="40">
        <v>6.1</v>
      </c>
      <c r="F12" s="40">
        <v>0.06</v>
      </c>
      <c r="G12" s="40">
        <v>109.45</v>
      </c>
      <c r="H12" s="40">
        <v>47.97</v>
      </c>
      <c r="I12" s="40">
        <v>16.71</v>
      </c>
      <c r="J12" s="40">
        <v>0.18</v>
      </c>
      <c r="K12" s="40">
        <v>233.31</v>
      </c>
      <c r="L12" s="40">
        <v>16.11</v>
      </c>
      <c r="M12" s="40">
        <v>85.39</v>
      </c>
      <c r="N12" s="40">
        <v>30.7</v>
      </c>
      <c r="O12" s="40">
        <v>0</v>
      </c>
      <c r="P12" s="40">
        <v>1.25</v>
      </c>
      <c r="Q12" s="40">
        <v>9.57</v>
      </c>
      <c r="R12" s="38"/>
      <c r="S12" s="38"/>
      <c r="T12" s="38"/>
      <c r="U12" s="38"/>
    </row>
    <row r="13" spans="1:21" customFormat="1">
      <c r="A13" s="39" t="s">
        <v>281</v>
      </c>
      <c r="B13" s="40">
        <v>43.5</v>
      </c>
      <c r="C13" s="40">
        <v>19.73</v>
      </c>
      <c r="D13" s="40">
        <v>45.14</v>
      </c>
      <c r="E13" s="40">
        <v>5.8</v>
      </c>
      <c r="F13" s="40">
        <v>0.06</v>
      </c>
      <c r="G13" s="40">
        <v>109.45</v>
      </c>
      <c r="H13" s="40">
        <v>47.97</v>
      </c>
      <c r="I13" s="40">
        <v>16.53</v>
      </c>
      <c r="J13" s="40">
        <v>0.23</v>
      </c>
      <c r="K13" s="40">
        <v>240.58</v>
      </c>
      <c r="L13" s="40">
        <v>15.29</v>
      </c>
      <c r="M13" s="40">
        <v>86.43</v>
      </c>
      <c r="N13" s="40">
        <v>34</v>
      </c>
      <c r="O13" s="40">
        <v>0</v>
      </c>
      <c r="P13" s="40">
        <v>1.18</v>
      </c>
      <c r="Q13" s="40">
        <v>9.59</v>
      </c>
      <c r="R13" s="38"/>
      <c r="S13" s="38"/>
      <c r="T13" s="38"/>
      <c r="U13" s="38"/>
    </row>
    <row r="14" spans="1:21" customFormat="1">
      <c r="A14" s="39" t="s">
        <v>282</v>
      </c>
      <c r="B14" s="40">
        <v>41.96</v>
      </c>
      <c r="C14" s="40">
        <v>18.93</v>
      </c>
      <c r="D14" s="40">
        <v>43.54</v>
      </c>
      <c r="E14" s="40">
        <v>5.78</v>
      </c>
      <c r="F14" s="40">
        <v>0.01</v>
      </c>
      <c r="G14" s="40">
        <v>87.8</v>
      </c>
      <c r="H14" s="40">
        <v>39.270000000000003</v>
      </c>
      <c r="I14" s="40">
        <v>15.76</v>
      </c>
      <c r="J14" s="40">
        <v>0.19</v>
      </c>
      <c r="K14" s="40">
        <v>225.38</v>
      </c>
      <c r="L14" s="40">
        <v>14.9</v>
      </c>
      <c r="M14" s="40">
        <v>91.6</v>
      </c>
      <c r="N14" s="40">
        <v>40.6</v>
      </c>
      <c r="O14" s="40">
        <v>0</v>
      </c>
      <c r="P14" s="40">
        <v>1.1200000000000001</v>
      </c>
      <c r="Q14" s="40">
        <v>9.51</v>
      </c>
      <c r="R14" s="38"/>
      <c r="S14" s="38"/>
      <c r="T14" s="38"/>
      <c r="U14" s="38"/>
    </row>
    <row r="15" spans="1:21" customFormat="1">
      <c r="A15" s="39" t="s">
        <v>283</v>
      </c>
      <c r="B15" s="40">
        <v>37</v>
      </c>
      <c r="C15" s="40">
        <v>17.579999999999998</v>
      </c>
      <c r="D15" s="40">
        <v>38.85</v>
      </c>
      <c r="E15" s="40">
        <v>5.68</v>
      </c>
      <c r="F15" s="40">
        <v>0.01</v>
      </c>
      <c r="G15" s="40">
        <v>69.25</v>
      </c>
      <c r="H15" s="40">
        <v>40.44</v>
      </c>
      <c r="I15" s="40">
        <v>15.34</v>
      </c>
      <c r="J15" s="40">
        <v>0.1</v>
      </c>
      <c r="K15" s="40">
        <v>175.71</v>
      </c>
      <c r="L15" s="40">
        <v>13.93</v>
      </c>
      <c r="M15" s="40">
        <v>91.93</v>
      </c>
      <c r="N15" s="40">
        <v>62.6</v>
      </c>
      <c r="O15" s="40">
        <v>0</v>
      </c>
      <c r="P15" s="40">
        <v>1.07</v>
      </c>
      <c r="Q15" s="40">
        <v>9.5399999999999991</v>
      </c>
      <c r="R15" s="38"/>
      <c r="S15" s="38"/>
      <c r="T15" s="38"/>
      <c r="U15" s="38"/>
    </row>
    <row r="16" spans="1:21" customFormat="1">
      <c r="A16" s="39" t="s">
        <v>284</v>
      </c>
      <c r="B16" s="40">
        <v>31.43</v>
      </c>
      <c r="C16" s="40">
        <v>16.399999999999999</v>
      </c>
      <c r="D16" s="40">
        <v>33.770000000000003</v>
      </c>
      <c r="E16" s="40">
        <v>5.42</v>
      </c>
      <c r="F16" s="40">
        <v>0.06</v>
      </c>
      <c r="G16" s="40">
        <v>77.33</v>
      </c>
      <c r="H16" s="40">
        <v>45</v>
      </c>
      <c r="I16" s="40">
        <v>15.17</v>
      </c>
      <c r="J16" s="40">
        <v>0.08</v>
      </c>
      <c r="K16" s="40">
        <v>177.81</v>
      </c>
      <c r="L16" s="40">
        <v>16.75</v>
      </c>
      <c r="M16" s="40">
        <v>92.9</v>
      </c>
      <c r="N16" s="40">
        <v>117.5</v>
      </c>
      <c r="O16" s="40">
        <v>0</v>
      </c>
      <c r="P16" s="40">
        <v>1.04</v>
      </c>
      <c r="Q16" s="40">
        <v>9.4700000000000006</v>
      </c>
      <c r="R16" s="38"/>
      <c r="S16" s="38"/>
      <c r="T16" s="38"/>
      <c r="U16" s="38"/>
    </row>
    <row r="17" spans="1:21" customFormat="1">
      <c r="A17" s="39" t="s">
        <v>285</v>
      </c>
      <c r="B17" s="40">
        <v>27.53</v>
      </c>
      <c r="C17" s="40">
        <v>18.600000000000001</v>
      </c>
      <c r="D17" s="40">
        <v>30.62</v>
      </c>
      <c r="E17" s="40">
        <v>5.49</v>
      </c>
      <c r="F17" s="40">
        <v>0.12</v>
      </c>
      <c r="G17" s="40">
        <v>95.35</v>
      </c>
      <c r="H17" s="40">
        <v>51.18</v>
      </c>
      <c r="I17" s="40">
        <v>15.66</v>
      </c>
      <c r="J17" s="40">
        <v>0.53</v>
      </c>
      <c r="K17" s="40">
        <v>179.08</v>
      </c>
      <c r="L17" s="40">
        <v>23.08</v>
      </c>
      <c r="M17" s="40">
        <v>71.739999999999995</v>
      </c>
      <c r="N17" s="40">
        <v>372.7</v>
      </c>
      <c r="O17" s="40">
        <v>0</v>
      </c>
      <c r="P17" s="40">
        <v>1.05</v>
      </c>
      <c r="Q17" s="40">
        <v>9.4600000000000009</v>
      </c>
      <c r="R17" s="38"/>
      <c r="S17" s="38"/>
      <c r="T17" s="38"/>
      <c r="U17" s="38"/>
    </row>
    <row r="18" spans="1:21" customFormat="1">
      <c r="A18" s="39" t="s">
        <v>286</v>
      </c>
      <c r="B18" s="40">
        <v>23.83</v>
      </c>
      <c r="C18" s="40">
        <v>21.42</v>
      </c>
      <c r="D18" s="40">
        <v>29.13</v>
      </c>
      <c r="E18" s="40">
        <v>5.58</v>
      </c>
      <c r="F18" s="40">
        <v>0.17</v>
      </c>
      <c r="G18" s="40">
        <v>95.35</v>
      </c>
      <c r="H18" s="40">
        <v>51.18</v>
      </c>
      <c r="I18" s="40">
        <v>15.56</v>
      </c>
      <c r="J18" s="40">
        <v>1.1299999999999999</v>
      </c>
      <c r="K18" s="40">
        <v>47.04</v>
      </c>
      <c r="L18" s="40">
        <v>25.75</v>
      </c>
      <c r="M18" s="40">
        <v>41.37</v>
      </c>
      <c r="N18" s="40">
        <v>330.2</v>
      </c>
      <c r="O18" s="40">
        <v>0</v>
      </c>
      <c r="P18" s="40">
        <v>1.01</v>
      </c>
      <c r="Q18" s="40">
        <v>9.34</v>
      </c>
      <c r="R18" s="38"/>
      <c r="S18" s="38"/>
      <c r="T18" s="38"/>
      <c r="U18" s="38"/>
    </row>
    <row r="19" spans="1:21" customFormat="1">
      <c r="A19" s="39" t="s">
        <v>287</v>
      </c>
      <c r="B19" s="40">
        <v>20.61</v>
      </c>
      <c r="C19" s="40">
        <v>25.02</v>
      </c>
      <c r="D19" s="40">
        <v>28.09</v>
      </c>
      <c r="E19" s="40">
        <v>7.32</v>
      </c>
      <c r="F19" s="40">
        <v>1.6</v>
      </c>
      <c r="G19" s="40">
        <v>84.93</v>
      </c>
      <c r="H19" s="40">
        <v>38.81</v>
      </c>
      <c r="I19" s="40">
        <v>14.38</v>
      </c>
      <c r="J19" s="40">
        <v>1.05</v>
      </c>
      <c r="K19" s="40">
        <v>59.85</v>
      </c>
      <c r="L19" s="40">
        <v>27.82</v>
      </c>
      <c r="M19" s="40">
        <v>27.75</v>
      </c>
      <c r="N19" s="40">
        <v>589.9</v>
      </c>
      <c r="O19" s="40">
        <v>0</v>
      </c>
      <c r="P19" s="40">
        <v>0.91</v>
      </c>
      <c r="Q19" s="40">
        <v>9.34</v>
      </c>
      <c r="R19" s="38"/>
      <c r="S19" s="38"/>
      <c r="T19" s="38"/>
      <c r="U19" s="38"/>
    </row>
    <row r="20" spans="1:21" customFormat="1">
      <c r="A20" s="39" t="s">
        <v>288</v>
      </c>
      <c r="B20" s="40">
        <v>17.37</v>
      </c>
      <c r="C20" s="40">
        <v>28.23</v>
      </c>
      <c r="D20" s="40">
        <v>27.91</v>
      </c>
      <c r="E20" s="40">
        <v>8.06</v>
      </c>
      <c r="F20" s="40">
        <v>2.85</v>
      </c>
      <c r="G20" s="40">
        <v>68.010000000000005</v>
      </c>
      <c r="H20" s="40">
        <v>26.4</v>
      </c>
      <c r="I20" s="40">
        <v>14.03</v>
      </c>
      <c r="J20" s="40">
        <v>1.01</v>
      </c>
      <c r="K20" s="40">
        <v>58.45</v>
      </c>
      <c r="L20" s="40">
        <v>29.7</v>
      </c>
      <c r="M20" s="40">
        <v>20.53</v>
      </c>
      <c r="N20" s="40">
        <v>634.29999999999995</v>
      </c>
      <c r="O20" s="40">
        <v>0</v>
      </c>
      <c r="P20" s="40">
        <v>0.76</v>
      </c>
      <c r="Q20" s="40">
        <v>9.4600000000000009</v>
      </c>
      <c r="R20" s="38"/>
      <c r="S20" s="38"/>
      <c r="T20" s="38"/>
      <c r="U20" s="38"/>
    </row>
    <row r="21" spans="1:21" customFormat="1">
      <c r="A21" s="39" t="s">
        <v>289</v>
      </c>
      <c r="B21" s="40">
        <v>9.26</v>
      </c>
      <c r="C21" s="40">
        <v>27.16</v>
      </c>
      <c r="D21" s="40">
        <v>21.62</v>
      </c>
      <c r="E21" s="40">
        <v>6.43</v>
      </c>
      <c r="F21" s="40">
        <v>8.1999999999999993</v>
      </c>
      <c r="G21" s="40">
        <v>59.36</v>
      </c>
      <c r="H21" s="40">
        <v>26.4</v>
      </c>
      <c r="I21" s="40">
        <v>12.59</v>
      </c>
      <c r="J21" s="40">
        <v>1.02</v>
      </c>
      <c r="K21" s="40">
        <v>55.56</v>
      </c>
      <c r="L21" s="40">
        <v>30.17</v>
      </c>
      <c r="M21" s="40">
        <v>14.41</v>
      </c>
      <c r="N21" s="40">
        <v>628.29999999999995</v>
      </c>
      <c r="O21" s="40">
        <v>0</v>
      </c>
      <c r="P21" s="40">
        <v>0.61</v>
      </c>
      <c r="Q21" s="40">
        <v>9.69</v>
      </c>
      <c r="R21" s="38"/>
      <c r="S21" s="38"/>
      <c r="T21" s="38"/>
      <c r="U21" s="38"/>
    </row>
    <row r="22" spans="1:21" customFormat="1">
      <c r="A22" s="39" t="s">
        <v>290</v>
      </c>
      <c r="B22" s="40">
        <v>3.79</v>
      </c>
      <c r="C22" s="40">
        <v>25.33</v>
      </c>
      <c r="D22" s="40">
        <v>16.27</v>
      </c>
      <c r="E22" s="40">
        <v>7.87</v>
      </c>
      <c r="F22" s="40">
        <v>20.190000000000001</v>
      </c>
      <c r="G22" s="40">
        <v>47.68</v>
      </c>
      <c r="H22" s="40">
        <v>20.59</v>
      </c>
      <c r="I22" s="40">
        <v>10.050000000000001</v>
      </c>
      <c r="J22" s="40">
        <v>1.07</v>
      </c>
      <c r="K22" s="40">
        <v>50.84</v>
      </c>
      <c r="L22" s="40">
        <v>30.05</v>
      </c>
      <c r="M22" s="40">
        <v>11.56</v>
      </c>
      <c r="N22" s="40">
        <v>517.79999999999995</v>
      </c>
      <c r="O22" s="40">
        <v>0</v>
      </c>
      <c r="P22" s="40">
        <v>0.47</v>
      </c>
      <c r="Q22" s="40">
        <v>9.59</v>
      </c>
      <c r="R22" s="38"/>
      <c r="S22" s="38"/>
      <c r="T22" s="38"/>
      <c r="U22" s="38"/>
    </row>
    <row r="23" spans="1:21" customFormat="1">
      <c r="A23" s="39" t="s">
        <v>291</v>
      </c>
      <c r="B23" s="40">
        <v>3.37</v>
      </c>
      <c r="C23" s="40">
        <v>22.44</v>
      </c>
      <c r="D23" s="40">
        <v>14.32</v>
      </c>
      <c r="E23" s="40">
        <v>5.07</v>
      </c>
      <c r="F23" s="40">
        <v>24.98</v>
      </c>
      <c r="G23" s="40">
        <v>26.87</v>
      </c>
      <c r="H23" s="40">
        <v>11.67</v>
      </c>
      <c r="I23" s="40">
        <v>7.52</v>
      </c>
      <c r="J23" s="40">
        <v>0.94</v>
      </c>
      <c r="K23" s="40">
        <v>38.58</v>
      </c>
      <c r="L23" s="40">
        <v>29.68</v>
      </c>
      <c r="M23" s="40">
        <v>10.199999999999999</v>
      </c>
      <c r="N23" s="40">
        <v>83.6</v>
      </c>
      <c r="O23" s="40">
        <v>0</v>
      </c>
      <c r="P23" s="40">
        <v>0.42</v>
      </c>
      <c r="Q23" s="40">
        <v>9.3699999999999992</v>
      </c>
      <c r="R23" s="38"/>
      <c r="S23" s="38"/>
      <c r="T23" s="38"/>
      <c r="U23" s="38"/>
    </row>
    <row r="24" spans="1:21" customFormat="1">
      <c r="A24" s="39" t="s">
        <v>292</v>
      </c>
      <c r="B24" s="40">
        <v>3.65</v>
      </c>
      <c r="C24" s="40">
        <v>24.44</v>
      </c>
      <c r="D24" s="40">
        <v>15.7</v>
      </c>
      <c r="E24" s="40">
        <v>5.29</v>
      </c>
      <c r="F24" s="40">
        <v>25.35</v>
      </c>
      <c r="G24" s="40">
        <v>30.42</v>
      </c>
      <c r="H24" s="40">
        <v>14.73</v>
      </c>
      <c r="I24" s="40">
        <v>6.82</v>
      </c>
      <c r="J24" s="40">
        <v>0.91</v>
      </c>
      <c r="K24" s="40">
        <v>44.17</v>
      </c>
      <c r="L24" s="40">
        <v>29.69</v>
      </c>
      <c r="M24" s="40">
        <v>11.85</v>
      </c>
      <c r="N24" s="40">
        <v>71.3</v>
      </c>
      <c r="O24" s="40">
        <v>0</v>
      </c>
      <c r="P24" s="40">
        <v>0.47</v>
      </c>
      <c r="Q24" s="40">
        <v>9.43</v>
      </c>
      <c r="R24" s="38"/>
      <c r="S24" s="38"/>
      <c r="T24" s="38"/>
      <c r="U24" s="38"/>
    </row>
    <row r="25" spans="1:21" customFormat="1">
      <c r="A25" s="39" t="s">
        <v>293</v>
      </c>
      <c r="B25" s="40">
        <v>3.2</v>
      </c>
      <c r="C25" s="40">
        <v>30.07</v>
      </c>
      <c r="D25" s="40">
        <v>18.23</v>
      </c>
      <c r="E25" s="40">
        <v>8.1</v>
      </c>
      <c r="F25" s="40">
        <v>28.05</v>
      </c>
      <c r="G25" s="40">
        <v>42.45</v>
      </c>
      <c r="H25" s="40">
        <v>21.27</v>
      </c>
      <c r="I25" s="40">
        <v>7.2</v>
      </c>
      <c r="J25" s="40">
        <v>0.42</v>
      </c>
      <c r="K25" s="40">
        <v>179.14</v>
      </c>
      <c r="L25" s="40">
        <v>28.89</v>
      </c>
      <c r="M25" s="40">
        <v>24.01</v>
      </c>
      <c r="N25" s="40">
        <v>42.6</v>
      </c>
      <c r="O25" s="40">
        <v>0</v>
      </c>
      <c r="P25" s="40">
        <v>0.55000000000000004</v>
      </c>
      <c r="Q25" s="40">
        <v>9.33</v>
      </c>
      <c r="R25" s="38"/>
      <c r="S25" s="38"/>
      <c r="T25" s="38"/>
      <c r="U25" s="38"/>
    </row>
    <row r="26" spans="1:21" customFormat="1">
      <c r="A26" s="39" t="s">
        <v>294</v>
      </c>
      <c r="B26" s="40">
        <v>3.79</v>
      </c>
      <c r="C26" s="40">
        <v>29.09</v>
      </c>
      <c r="D26" s="40">
        <v>17.690000000000001</v>
      </c>
      <c r="E26" s="40">
        <v>2.5499999999999998</v>
      </c>
      <c r="F26" s="40">
        <v>6.13</v>
      </c>
      <c r="G26" s="40">
        <v>61.35</v>
      </c>
      <c r="H26" s="40">
        <v>25.23</v>
      </c>
      <c r="I26" s="40">
        <v>8.6199999999999992</v>
      </c>
      <c r="J26" s="40">
        <v>0.33</v>
      </c>
      <c r="K26" s="40">
        <v>172.26</v>
      </c>
      <c r="L26" s="40">
        <v>24.89</v>
      </c>
      <c r="M26" s="40">
        <v>44.48</v>
      </c>
      <c r="N26" s="40">
        <v>15.3</v>
      </c>
      <c r="O26" s="40">
        <v>0</v>
      </c>
      <c r="P26" s="40">
        <v>0.64</v>
      </c>
      <c r="Q26" s="40">
        <v>9.32</v>
      </c>
      <c r="R26" s="38"/>
      <c r="S26" s="38"/>
      <c r="T26" s="38"/>
      <c r="U26" s="38"/>
    </row>
    <row r="27" spans="1:21" customFormat="1">
      <c r="A27" s="39" t="s">
        <v>295</v>
      </c>
      <c r="B27" s="40">
        <v>5.15</v>
      </c>
      <c r="C27" s="40">
        <v>24.64</v>
      </c>
      <c r="D27" s="40">
        <v>16.21</v>
      </c>
      <c r="E27" s="40">
        <v>3.49</v>
      </c>
      <c r="F27" s="40">
        <v>1.38</v>
      </c>
      <c r="G27" s="40">
        <v>88.75</v>
      </c>
      <c r="H27" s="40">
        <v>33.520000000000003</v>
      </c>
      <c r="I27" s="40">
        <v>9.61</v>
      </c>
      <c r="J27" s="40">
        <v>0.31</v>
      </c>
      <c r="K27" s="40">
        <v>199.04</v>
      </c>
      <c r="L27" s="40">
        <v>21.79</v>
      </c>
      <c r="M27" s="40">
        <v>60.55</v>
      </c>
      <c r="N27" s="40">
        <v>9.1</v>
      </c>
      <c r="O27" s="40">
        <v>0</v>
      </c>
      <c r="P27" s="40">
        <v>0.73</v>
      </c>
      <c r="Q27" s="40">
        <v>9.43</v>
      </c>
      <c r="R27" s="38"/>
      <c r="S27" s="38"/>
      <c r="T27" s="38"/>
      <c r="U27" s="38"/>
    </row>
    <row r="28" spans="1:21" customFormat="1">
      <c r="A28" s="39" t="s">
        <v>296</v>
      </c>
      <c r="B28" s="40">
        <v>5.69</v>
      </c>
      <c r="C28" s="40">
        <v>22.18</v>
      </c>
      <c r="D28" s="40">
        <v>15.9</v>
      </c>
      <c r="E28" s="40">
        <v>3.97</v>
      </c>
      <c r="F28" s="40">
        <v>1.4</v>
      </c>
      <c r="G28" s="40">
        <v>88.75</v>
      </c>
      <c r="H28" s="40">
        <v>35.020000000000003</v>
      </c>
      <c r="I28" s="40">
        <v>9.6</v>
      </c>
      <c r="J28" s="40">
        <v>0.21</v>
      </c>
      <c r="K28" s="40">
        <v>202.54</v>
      </c>
      <c r="L28" s="40">
        <v>19.899999999999999</v>
      </c>
      <c r="M28" s="40">
        <v>65.5</v>
      </c>
      <c r="N28" s="40">
        <v>9</v>
      </c>
      <c r="O28" s="40">
        <v>0</v>
      </c>
      <c r="P28" s="40">
        <v>0.78</v>
      </c>
      <c r="Q28" s="40">
        <v>9.65</v>
      </c>
      <c r="R28" s="38"/>
      <c r="S28" s="38"/>
      <c r="T28" s="38"/>
      <c r="U28" s="38"/>
    </row>
    <row r="29" spans="1:21" customFormat="1">
      <c r="A29" s="39" t="s">
        <v>297</v>
      </c>
      <c r="B29" s="40">
        <v>5.9</v>
      </c>
      <c r="C29" s="40">
        <v>19.95</v>
      </c>
      <c r="D29" s="40">
        <v>14.98</v>
      </c>
      <c r="E29" s="40">
        <v>4.4000000000000004</v>
      </c>
      <c r="F29" s="40">
        <v>1.45</v>
      </c>
      <c r="G29" s="40">
        <v>85.35</v>
      </c>
      <c r="H29" s="40">
        <v>35.020000000000003</v>
      </c>
      <c r="I29" s="40">
        <v>12.16</v>
      </c>
      <c r="J29" s="40">
        <v>0.19</v>
      </c>
      <c r="K29" s="40">
        <v>204.99</v>
      </c>
      <c r="L29" s="40">
        <v>18.57</v>
      </c>
      <c r="M29" s="40">
        <v>71.13</v>
      </c>
      <c r="N29" s="40">
        <v>8.9</v>
      </c>
      <c r="O29" s="40">
        <v>0</v>
      </c>
      <c r="P29" s="40">
        <v>0.79</v>
      </c>
      <c r="Q29" s="40">
        <v>9.48</v>
      </c>
      <c r="R29" s="38"/>
      <c r="S29" s="38"/>
      <c r="T29" s="38"/>
      <c r="U29" s="38"/>
    </row>
    <row r="30" spans="1:21" customFormat="1">
      <c r="A30" s="39" t="s">
        <v>298</v>
      </c>
      <c r="B30" s="40">
        <v>6.81</v>
      </c>
      <c r="C30" s="40">
        <v>17.8</v>
      </c>
      <c r="D30" s="40">
        <v>14.48</v>
      </c>
      <c r="E30" s="40">
        <v>4.4800000000000004</v>
      </c>
      <c r="F30" s="40">
        <v>1.35</v>
      </c>
      <c r="G30" s="40">
        <v>85.4</v>
      </c>
      <c r="H30" s="40">
        <v>37.299999999999997</v>
      </c>
      <c r="I30" s="40">
        <v>12.81</v>
      </c>
      <c r="J30" s="40">
        <v>0.2</v>
      </c>
      <c r="K30" s="40">
        <v>232.7</v>
      </c>
      <c r="L30" s="40">
        <v>17.54</v>
      </c>
      <c r="M30" s="40">
        <v>75.319999999999993</v>
      </c>
      <c r="N30" s="40">
        <v>8.9</v>
      </c>
      <c r="O30" s="40">
        <v>0</v>
      </c>
      <c r="P30" s="40">
        <v>0.85</v>
      </c>
      <c r="Q30" s="40">
        <v>9.35</v>
      </c>
      <c r="R30" s="38"/>
      <c r="S30" s="38"/>
      <c r="T30" s="38"/>
      <c r="U30" s="38"/>
    </row>
    <row r="31" spans="1:21" customFormat="1">
      <c r="A31" s="39" t="s">
        <v>299</v>
      </c>
      <c r="B31" s="40">
        <v>14.2</v>
      </c>
      <c r="C31" s="40">
        <v>18.940000000000001</v>
      </c>
      <c r="D31" s="40">
        <v>21.2</v>
      </c>
      <c r="E31" s="40">
        <v>4.7300000000000004</v>
      </c>
      <c r="F31" s="40">
        <v>1.5</v>
      </c>
      <c r="G31" s="40">
        <v>98.83</v>
      </c>
      <c r="H31" s="40">
        <v>48.47</v>
      </c>
      <c r="I31" s="40">
        <v>14.37</v>
      </c>
      <c r="J31" s="40">
        <v>0.27</v>
      </c>
      <c r="K31" s="40">
        <v>206.55</v>
      </c>
      <c r="L31" s="40">
        <v>17.47</v>
      </c>
      <c r="M31" s="40">
        <v>78.95</v>
      </c>
      <c r="N31" s="40">
        <v>9</v>
      </c>
      <c r="O31" s="40">
        <v>0</v>
      </c>
      <c r="P31" s="40">
        <v>0.98</v>
      </c>
      <c r="Q31" s="40">
        <v>9.4700000000000006</v>
      </c>
      <c r="R31" s="38"/>
      <c r="S31" s="38"/>
      <c r="T31" s="38"/>
      <c r="U31" s="38"/>
    </row>
    <row r="32" spans="1:21" customFormat="1">
      <c r="A32" s="39" t="s">
        <v>300</v>
      </c>
      <c r="B32" s="40">
        <v>14.17</v>
      </c>
      <c r="C32" s="40">
        <v>18.62</v>
      </c>
      <c r="D32" s="40">
        <v>21.09</v>
      </c>
      <c r="E32" s="40">
        <v>4.87</v>
      </c>
      <c r="F32" s="40">
        <v>1.29</v>
      </c>
      <c r="G32" s="40">
        <v>98.83</v>
      </c>
      <c r="H32" s="40">
        <v>48.47</v>
      </c>
      <c r="I32" s="40">
        <v>15.02</v>
      </c>
      <c r="J32" s="40">
        <v>0.18</v>
      </c>
      <c r="K32" s="40">
        <v>175.09</v>
      </c>
      <c r="L32" s="40">
        <v>16.350000000000001</v>
      </c>
      <c r="M32" s="40">
        <v>80.209999999999994</v>
      </c>
      <c r="N32" s="40">
        <v>8.8000000000000007</v>
      </c>
      <c r="O32" s="40">
        <v>0</v>
      </c>
      <c r="P32" s="40">
        <v>0.99</v>
      </c>
      <c r="Q32" s="40">
        <v>9.5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</v>
      </c>
      <c r="C34" s="18">
        <f t="shared" si="0"/>
        <v>16.399999999999999</v>
      </c>
      <c r="D34" s="18">
        <f t="shared" si="0"/>
        <v>14.32</v>
      </c>
      <c r="E34" s="18">
        <f t="shared" si="0"/>
        <v>2.5499999999999998</v>
      </c>
      <c r="F34" s="18">
        <f t="shared" si="0"/>
        <v>0.01</v>
      </c>
      <c r="G34" s="18">
        <f t="shared" si="0"/>
        <v>26.87</v>
      </c>
      <c r="H34" s="18">
        <f t="shared" si="0"/>
        <v>11.67</v>
      </c>
      <c r="I34" s="18">
        <f t="shared" si="0"/>
        <v>6.82</v>
      </c>
      <c r="J34" s="18">
        <f t="shared" si="0"/>
        <v>0.08</v>
      </c>
      <c r="K34" s="18">
        <f t="shared" si="0"/>
        <v>38.58</v>
      </c>
      <c r="L34" s="18">
        <f t="shared" si="0"/>
        <v>13.93</v>
      </c>
      <c r="M34" s="18">
        <f t="shared" si="0"/>
        <v>10.199999999999999</v>
      </c>
      <c r="N34" s="18">
        <f t="shared" si="0"/>
        <v>8.8000000000000007</v>
      </c>
      <c r="O34" s="18">
        <f t="shared" si="0"/>
        <v>0</v>
      </c>
      <c r="P34" s="18">
        <f t="shared" si="0"/>
        <v>0.42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45.31</v>
      </c>
      <c r="C35" s="3">
        <f t="shared" si="1"/>
        <v>30.07</v>
      </c>
      <c r="D35" s="3">
        <f t="shared" si="1"/>
        <v>46.99</v>
      </c>
      <c r="E35" s="3">
        <f t="shared" si="1"/>
        <v>8.1</v>
      </c>
      <c r="F35" s="3">
        <f t="shared" si="1"/>
        <v>28.05</v>
      </c>
      <c r="G35" s="3">
        <f t="shared" si="1"/>
        <v>146.77000000000001</v>
      </c>
      <c r="H35" s="3">
        <f t="shared" si="1"/>
        <v>59.35</v>
      </c>
      <c r="I35" s="3">
        <f t="shared" si="1"/>
        <v>19.27</v>
      </c>
      <c r="J35" s="3">
        <f t="shared" si="1"/>
        <v>1.1299999999999999</v>
      </c>
      <c r="K35" s="3">
        <f t="shared" si="1"/>
        <v>240.58</v>
      </c>
      <c r="L35" s="3">
        <f t="shared" si="1"/>
        <v>30.17</v>
      </c>
      <c r="M35" s="3">
        <f t="shared" si="1"/>
        <v>92.9</v>
      </c>
      <c r="N35" s="3">
        <f t="shared" si="1"/>
        <v>634.29999999999995</v>
      </c>
      <c r="O35" s="3">
        <f t="shared" si="1"/>
        <v>0</v>
      </c>
      <c r="P35" s="3">
        <f t="shared" si="1"/>
        <v>1.26</v>
      </c>
      <c r="Q35" s="3">
        <f t="shared" si="1"/>
        <v>9.69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20.592499999999998</v>
      </c>
      <c r="C36" s="18">
        <f t="shared" si="2"/>
        <v>22.06958333333333</v>
      </c>
      <c r="D36" s="18">
        <f t="shared" si="2"/>
        <v>27.749166666666678</v>
      </c>
      <c r="E36" s="18">
        <f t="shared" si="2"/>
        <v>5.5429166666666667</v>
      </c>
      <c r="F36" s="18">
        <f t="shared" si="2"/>
        <v>5.265833333333334</v>
      </c>
      <c r="G36" s="18">
        <f t="shared" si="2"/>
        <v>84.512500000000003</v>
      </c>
      <c r="H36" s="18">
        <f t="shared" si="2"/>
        <v>38.322083333333332</v>
      </c>
      <c r="I36" s="18">
        <f t="shared" si="2"/>
        <v>13.351250000000002</v>
      </c>
      <c r="J36" s="18">
        <f t="shared" si="2"/>
        <v>0.46458333333333329</v>
      </c>
      <c r="K36" s="18">
        <f t="shared" si="2"/>
        <v>157.80624999999998</v>
      </c>
      <c r="L36" s="18">
        <f t="shared" si="2"/>
        <v>21.624166666666667</v>
      </c>
      <c r="M36" s="18">
        <f t="shared" si="2"/>
        <v>58.725416666666661</v>
      </c>
      <c r="N36" s="18">
        <f t="shared" si="2"/>
        <v>154.60833333333338</v>
      </c>
      <c r="O36" s="18">
        <f t="shared" si="2"/>
        <v>0</v>
      </c>
      <c r="P36" s="18">
        <f t="shared" si="2"/>
        <v>0.89124999999999999</v>
      </c>
      <c r="Q36" s="18">
        <f t="shared" si="2"/>
        <v>9.4775000000000009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16.129064300739564</v>
      </c>
      <c r="C37" s="18">
        <f t="shared" ref="C37:Q37" si="3">STDEV(C9:C32)</f>
        <v>3.848070639285067</v>
      </c>
      <c r="D37" s="18">
        <f t="shared" si="3"/>
        <v>12.064181954524862</v>
      </c>
      <c r="E37" s="18">
        <f t="shared" si="3"/>
        <v>1.3563906041456106</v>
      </c>
      <c r="F37" s="18">
        <f t="shared" si="3"/>
        <v>9.1433805548612312</v>
      </c>
      <c r="G37" s="18">
        <f t="shared" si="3"/>
        <v>31.160931538511953</v>
      </c>
      <c r="H37" s="18">
        <f t="shared" si="3"/>
        <v>13.694203146544945</v>
      </c>
      <c r="I37" s="18">
        <f t="shared" si="3"/>
        <v>3.6454000943416416</v>
      </c>
      <c r="J37" s="18">
        <f t="shared" si="3"/>
        <v>0.37667861017360532</v>
      </c>
      <c r="K37" s="18">
        <f t="shared" si="3"/>
        <v>72.875280046445354</v>
      </c>
      <c r="L37" s="18">
        <f t="shared" si="3"/>
        <v>5.9016268329471897</v>
      </c>
      <c r="M37" s="18">
        <f t="shared" si="3"/>
        <v>30.300891790458952</v>
      </c>
      <c r="N37" s="18">
        <f t="shared" si="3"/>
        <v>221.25681304502362</v>
      </c>
      <c r="O37" s="18">
        <f t="shared" si="3"/>
        <v>0</v>
      </c>
      <c r="P37" s="18">
        <f t="shared" si="3"/>
        <v>0.26745682300871099</v>
      </c>
      <c r="Q37" s="18">
        <f t="shared" si="3"/>
        <v>0.10199104820053319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G26" sqref="G26:G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301</v>
      </c>
      <c r="B9" s="40">
        <v>23.54</v>
      </c>
      <c r="C9" s="40">
        <v>19.79</v>
      </c>
      <c r="D9" s="40">
        <v>29.22</v>
      </c>
      <c r="E9" s="40">
        <v>4.8899999999999997</v>
      </c>
      <c r="F9" s="40">
        <v>1.31</v>
      </c>
      <c r="G9" s="40">
        <v>91.65</v>
      </c>
      <c r="H9" s="40">
        <v>50</v>
      </c>
      <c r="I9" s="40">
        <v>13.98</v>
      </c>
      <c r="J9" s="40">
        <v>0.13</v>
      </c>
      <c r="K9" s="40">
        <v>227.09</v>
      </c>
      <c r="L9" s="40">
        <v>16.3</v>
      </c>
      <c r="M9" s="40">
        <v>72.81</v>
      </c>
      <c r="N9" s="40">
        <v>8.8000000000000007</v>
      </c>
      <c r="O9" s="40">
        <v>0</v>
      </c>
      <c r="P9" s="40">
        <v>1.07</v>
      </c>
      <c r="Q9" s="40">
        <v>9.36</v>
      </c>
      <c r="R9" s="38"/>
      <c r="S9" s="38"/>
      <c r="T9" s="38"/>
      <c r="U9" s="38"/>
    </row>
    <row r="10" spans="1:21" customFormat="1">
      <c r="A10" s="39" t="s">
        <v>302</v>
      </c>
      <c r="B10" s="40">
        <v>32.42</v>
      </c>
      <c r="C10" s="40">
        <v>21.56</v>
      </c>
      <c r="D10" s="40">
        <v>37.26</v>
      </c>
      <c r="E10" s="40">
        <v>5.22</v>
      </c>
      <c r="F10" s="40">
        <v>1.39</v>
      </c>
      <c r="G10" s="40">
        <v>104.72</v>
      </c>
      <c r="H10" s="40">
        <v>58.34</v>
      </c>
      <c r="I10" s="40">
        <v>14.36</v>
      </c>
      <c r="J10" s="40">
        <v>0.23</v>
      </c>
      <c r="K10" s="40">
        <v>171.48</v>
      </c>
      <c r="L10" s="40">
        <v>16.25</v>
      </c>
      <c r="M10" s="40">
        <v>68.989999999999995</v>
      </c>
      <c r="N10" s="40">
        <v>8.9</v>
      </c>
      <c r="O10" s="40">
        <v>0</v>
      </c>
      <c r="P10" s="40">
        <v>1.21</v>
      </c>
      <c r="Q10" s="40">
        <v>9.33</v>
      </c>
      <c r="R10" s="38"/>
      <c r="S10" s="38"/>
      <c r="T10" s="38"/>
      <c r="U10" s="38"/>
    </row>
    <row r="11" spans="1:21" customFormat="1">
      <c r="A11" s="39" t="s">
        <v>303</v>
      </c>
      <c r="B11" s="40">
        <v>34.78</v>
      </c>
      <c r="C11" s="40">
        <v>21.65</v>
      </c>
      <c r="D11" s="40">
        <v>38.89</v>
      </c>
      <c r="E11" s="40">
        <v>5.5</v>
      </c>
      <c r="F11" s="40">
        <v>1.39</v>
      </c>
      <c r="G11" s="40">
        <v>121.22</v>
      </c>
      <c r="H11" s="40">
        <v>67.12</v>
      </c>
      <c r="I11" s="40">
        <v>16.27</v>
      </c>
      <c r="J11" s="40">
        <v>0.19</v>
      </c>
      <c r="K11" s="40">
        <v>188.56</v>
      </c>
      <c r="L11" s="40">
        <v>15.82</v>
      </c>
      <c r="M11" s="40">
        <v>79.23</v>
      </c>
      <c r="N11" s="40">
        <v>9</v>
      </c>
      <c r="O11" s="40">
        <v>0</v>
      </c>
      <c r="P11" s="40">
        <v>1.33</v>
      </c>
      <c r="Q11" s="40">
        <v>9.32</v>
      </c>
      <c r="R11" s="38"/>
      <c r="S11" s="38"/>
      <c r="T11" s="38"/>
      <c r="U11" s="38"/>
    </row>
    <row r="12" spans="1:21" customFormat="1">
      <c r="A12" s="39" t="s">
        <v>304</v>
      </c>
      <c r="B12" s="40">
        <v>34.64</v>
      </c>
      <c r="C12" s="40">
        <v>20.83</v>
      </c>
      <c r="D12" s="40">
        <v>38.659999999999997</v>
      </c>
      <c r="E12" s="40">
        <v>5.4</v>
      </c>
      <c r="F12" s="40">
        <v>1.28</v>
      </c>
      <c r="G12" s="40">
        <v>123.05</v>
      </c>
      <c r="H12" s="40">
        <v>67.12</v>
      </c>
      <c r="I12" s="40">
        <v>17.14</v>
      </c>
      <c r="J12" s="40">
        <v>0.22</v>
      </c>
      <c r="K12" s="40">
        <v>244.47</v>
      </c>
      <c r="L12" s="40">
        <v>14.66</v>
      </c>
      <c r="M12" s="40">
        <v>85.49</v>
      </c>
      <c r="N12" s="40">
        <v>9.1999999999999993</v>
      </c>
      <c r="O12" s="40">
        <v>0</v>
      </c>
      <c r="P12" s="40">
        <v>1.37</v>
      </c>
      <c r="Q12" s="40">
        <v>9.33</v>
      </c>
      <c r="R12" s="38"/>
      <c r="S12" s="38"/>
      <c r="T12" s="38"/>
      <c r="U12" s="38"/>
    </row>
    <row r="13" spans="1:21" customFormat="1">
      <c r="A13" s="39" t="s">
        <v>305</v>
      </c>
      <c r="B13" s="40">
        <v>32.92</v>
      </c>
      <c r="C13" s="40">
        <v>19.190000000000001</v>
      </c>
      <c r="D13" s="40">
        <v>36.43</v>
      </c>
      <c r="E13" s="40">
        <v>5.25</v>
      </c>
      <c r="F13" s="40">
        <v>1.3</v>
      </c>
      <c r="G13" s="40">
        <v>123.05</v>
      </c>
      <c r="H13" s="40">
        <v>66.02</v>
      </c>
      <c r="I13" s="40">
        <v>22.17</v>
      </c>
      <c r="J13" s="40">
        <v>0.25</v>
      </c>
      <c r="K13" s="40">
        <v>230.49</v>
      </c>
      <c r="L13" s="40">
        <v>14.5</v>
      </c>
      <c r="M13" s="40">
        <v>86.5</v>
      </c>
      <c r="N13" s="40">
        <v>8.9</v>
      </c>
      <c r="O13" s="40">
        <v>0</v>
      </c>
      <c r="P13" s="40">
        <v>1.4</v>
      </c>
      <c r="Q13" s="40">
        <v>9.33</v>
      </c>
      <c r="R13" s="38"/>
      <c r="S13" s="38"/>
      <c r="T13" s="38"/>
      <c r="U13" s="38"/>
    </row>
    <row r="14" spans="1:21" customFormat="1">
      <c r="A14" s="39" t="s">
        <v>306</v>
      </c>
      <c r="B14" s="40">
        <v>31</v>
      </c>
      <c r="C14" s="40">
        <v>18.170000000000002</v>
      </c>
      <c r="D14" s="40">
        <v>34.35</v>
      </c>
      <c r="E14" s="40">
        <v>5.41</v>
      </c>
      <c r="F14" s="40">
        <v>1.1499999999999999</v>
      </c>
      <c r="G14" s="40">
        <v>111.72</v>
      </c>
      <c r="H14" s="40">
        <v>65.33</v>
      </c>
      <c r="I14" s="40">
        <v>22.2</v>
      </c>
      <c r="J14" s="40">
        <v>0.28000000000000003</v>
      </c>
      <c r="K14" s="40">
        <v>245.12</v>
      </c>
      <c r="L14" s="40">
        <v>13.67</v>
      </c>
      <c r="M14" s="40">
        <v>86.72</v>
      </c>
      <c r="N14" s="40">
        <v>9</v>
      </c>
      <c r="O14" s="40">
        <v>0</v>
      </c>
      <c r="P14" s="40">
        <v>1.39</v>
      </c>
      <c r="Q14" s="40">
        <v>9.32</v>
      </c>
      <c r="R14" s="38"/>
      <c r="S14" s="38"/>
      <c r="T14" s="38"/>
      <c r="U14" s="38"/>
    </row>
    <row r="15" spans="1:21" customFormat="1">
      <c r="A15" s="39" t="s">
        <v>307</v>
      </c>
      <c r="B15" s="40">
        <v>27.29</v>
      </c>
      <c r="C15" s="40">
        <v>16.87</v>
      </c>
      <c r="D15" s="40">
        <v>30.7</v>
      </c>
      <c r="E15" s="40">
        <v>5.1100000000000003</v>
      </c>
      <c r="F15" s="40">
        <v>1.23</v>
      </c>
      <c r="G15" s="40">
        <v>101.01</v>
      </c>
      <c r="H15" s="40">
        <v>58.11</v>
      </c>
      <c r="I15" s="40">
        <v>16.940000000000001</v>
      </c>
      <c r="J15" s="40">
        <v>0.2</v>
      </c>
      <c r="K15" s="40">
        <v>199.21</v>
      </c>
      <c r="L15" s="40">
        <v>14</v>
      </c>
      <c r="M15" s="40">
        <v>88.63</v>
      </c>
      <c r="N15" s="40">
        <v>23</v>
      </c>
      <c r="O15" s="40">
        <v>0</v>
      </c>
      <c r="P15" s="40">
        <v>1.34</v>
      </c>
      <c r="Q15" s="40">
        <v>9.3699999999999992</v>
      </c>
      <c r="R15" s="38"/>
      <c r="S15" s="38"/>
      <c r="T15" s="38"/>
      <c r="U15" s="38"/>
    </row>
    <row r="16" spans="1:21" customFormat="1">
      <c r="A16" s="39" t="s">
        <v>308</v>
      </c>
      <c r="B16" s="40">
        <v>25.12</v>
      </c>
      <c r="C16" s="40">
        <v>16.38</v>
      </c>
      <c r="D16" s="40">
        <v>28.7</v>
      </c>
      <c r="E16" s="40">
        <v>5.46</v>
      </c>
      <c r="F16" s="40">
        <v>1.29</v>
      </c>
      <c r="G16" s="40">
        <v>87.97</v>
      </c>
      <c r="H16" s="40">
        <v>56.7</v>
      </c>
      <c r="I16" s="40">
        <v>18.73</v>
      </c>
      <c r="J16" s="40">
        <v>0.17</v>
      </c>
      <c r="K16" s="40">
        <v>234.92</v>
      </c>
      <c r="L16" s="40">
        <v>16.309999999999999</v>
      </c>
      <c r="M16" s="40">
        <v>88.33</v>
      </c>
      <c r="N16" s="40">
        <v>65.400000000000006</v>
      </c>
      <c r="O16" s="40">
        <v>0</v>
      </c>
      <c r="P16" s="40">
        <v>1.3</v>
      </c>
      <c r="Q16" s="40">
        <v>9.3800000000000008</v>
      </c>
      <c r="R16" s="38"/>
      <c r="S16" s="38"/>
      <c r="T16" s="38"/>
      <c r="U16" s="38"/>
    </row>
    <row r="17" spans="1:21" customFormat="1">
      <c r="A17" s="39" t="s">
        <v>309</v>
      </c>
      <c r="B17" s="40">
        <v>22.45</v>
      </c>
      <c r="C17" s="40">
        <v>18.350000000000001</v>
      </c>
      <c r="D17" s="40">
        <v>26.55</v>
      </c>
      <c r="E17" s="40">
        <v>5.98</v>
      </c>
      <c r="F17" s="40">
        <v>1.39</v>
      </c>
      <c r="G17" s="40">
        <v>85.67</v>
      </c>
      <c r="H17" s="40">
        <v>57.4</v>
      </c>
      <c r="I17" s="40">
        <v>18.670000000000002</v>
      </c>
      <c r="J17" s="40">
        <v>0.32</v>
      </c>
      <c r="K17" s="40">
        <v>154.34</v>
      </c>
      <c r="L17" s="40">
        <v>22.62</v>
      </c>
      <c r="M17" s="40">
        <v>64.8</v>
      </c>
      <c r="N17" s="40">
        <v>306.2</v>
      </c>
      <c r="O17" s="40">
        <v>0</v>
      </c>
      <c r="P17" s="40">
        <v>1.3</v>
      </c>
      <c r="Q17" s="40">
        <v>9.42</v>
      </c>
      <c r="R17" s="38"/>
      <c r="S17" s="38"/>
      <c r="T17" s="38"/>
      <c r="U17" s="38"/>
    </row>
    <row r="18" spans="1:21" customFormat="1">
      <c r="A18" s="39" t="s">
        <v>310</v>
      </c>
      <c r="B18" s="40">
        <v>19.420000000000002</v>
      </c>
      <c r="C18" s="40">
        <v>19.07</v>
      </c>
      <c r="D18" s="40">
        <v>25.46</v>
      </c>
      <c r="E18" s="40">
        <v>6.03</v>
      </c>
      <c r="F18" s="40">
        <v>1.47</v>
      </c>
      <c r="G18" s="40">
        <v>84.96</v>
      </c>
      <c r="H18" s="40">
        <v>57.4</v>
      </c>
      <c r="I18" s="40">
        <v>16.420000000000002</v>
      </c>
      <c r="J18" s="40">
        <v>0.74</v>
      </c>
      <c r="K18" s="40">
        <v>84.42</v>
      </c>
      <c r="L18" s="40">
        <v>25.37</v>
      </c>
      <c r="M18" s="40">
        <v>36.4</v>
      </c>
      <c r="N18" s="40">
        <v>219.2</v>
      </c>
      <c r="O18" s="40">
        <v>0</v>
      </c>
      <c r="P18" s="40">
        <v>1.24</v>
      </c>
      <c r="Q18" s="40">
        <v>9.42</v>
      </c>
      <c r="R18" s="38"/>
      <c r="S18" s="38"/>
      <c r="T18" s="38"/>
      <c r="U18" s="38"/>
    </row>
    <row r="19" spans="1:21" customFormat="1">
      <c r="A19" s="39" t="s">
        <v>311</v>
      </c>
      <c r="B19" s="40">
        <v>16.510000000000002</v>
      </c>
      <c r="C19" s="40">
        <v>19.75</v>
      </c>
      <c r="D19" s="40">
        <v>23.34</v>
      </c>
      <c r="E19" s="40">
        <v>6.49</v>
      </c>
      <c r="F19" s="40">
        <v>2.0099999999999998</v>
      </c>
      <c r="G19" s="40">
        <v>82.38</v>
      </c>
      <c r="H19" s="40">
        <v>50.93</v>
      </c>
      <c r="I19" s="40">
        <v>15.65</v>
      </c>
      <c r="J19" s="40">
        <v>1.56</v>
      </c>
      <c r="K19" s="40">
        <v>51.89</v>
      </c>
      <c r="L19" s="40">
        <v>27.07</v>
      </c>
      <c r="M19" s="40">
        <v>26.61</v>
      </c>
      <c r="N19" s="40">
        <v>565.4</v>
      </c>
      <c r="O19" s="40">
        <v>0</v>
      </c>
      <c r="P19" s="40">
        <v>1.1499999999999999</v>
      </c>
      <c r="Q19" s="40">
        <v>9.34</v>
      </c>
      <c r="R19" s="38"/>
      <c r="S19" s="38"/>
      <c r="T19" s="38"/>
      <c r="U19" s="38"/>
    </row>
    <row r="20" spans="1:21" customFormat="1">
      <c r="A20" s="39" t="s">
        <v>312</v>
      </c>
      <c r="B20" s="40">
        <v>14.38</v>
      </c>
      <c r="C20" s="40">
        <v>19.97</v>
      </c>
      <c r="D20" s="40">
        <v>21.93</v>
      </c>
      <c r="E20" s="40">
        <v>6.39</v>
      </c>
      <c r="F20" s="40">
        <v>2.39</v>
      </c>
      <c r="G20" s="40">
        <v>79.28</v>
      </c>
      <c r="H20" s="40">
        <v>40.67</v>
      </c>
      <c r="I20" s="40">
        <v>16.54</v>
      </c>
      <c r="J20" s="40">
        <v>0.89</v>
      </c>
      <c r="K20" s="40">
        <v>66.61</v>
      </c>
      <c r="L20" s="40">
        <v>28.74</v>
      </c>
      <c r="M20" s="40">
        <v>23.2</v>
      </c>
      <c r="N20" s="40">
        <v>596.1</v>
      </c>
      <c r="O20" s="40">
        <v>0</v>
      </c>
      <c r="P20" s="40">
        <v>1.03</v>
      </c>
      <c r="Q20" s="40">
        <v>9.35</v>
      </c>
      <c r="R20" s="38"/>
      <c r="S20" s="38"/>
      <c r="T20" s="38"/>
      <c r="U20" s="38"/>
    </row>
    <row r="21" spans="1:21" customFormat="1">
      <c r="A21" s="39" t="s">
        <v>313</v>
      </c>
      <c r="B21" s="40">
        <v>10.85</v>
      </c>
      <c r="C21" s="40">
        <v>19.91</v>
      </c>
      <c r="D21" s="40">
        <v>19.100000000000001</v>
      </c>
      <c r="E21" s="40">
        <v>6.1</v>
      </c>
      <c r="F21" s="40">
        <v>3.11</v>
      </c>
      <c r="G21" s="40">
        <v>67.95</v>
      </c>
      <c r="H21" s="40">
        <v>31.22</v>
      </c>
      <c r="I21" s="40">
        <v>16.190000000000001</v>
      </c>
      <c r="J21" s="40">
        <v>0.66</v>
      </c>
      <c r="K21" s="40">
        <v>85.41</v>
      </c>
      <c r="L21" s="40">
        <v>29.6</v>
      </c>
      <c r="M21" s="40">
        <v>19.97</v>
      </c>
      <c r="N21" s="40">
        <v>595.6</v>
      </c>
      <c r="O21" s="40">
        <v>0</v>
      </c>
      <c r="P21" s="40">
        <v>0.93</v>
      </c>
      <c r="Q21" s="40">
        <v>9.32</v>
      </c>
      <c r="R21" s="38"/>
      <c r="S21" s="38"/>
      <c r="T21" s="38"/>
      <c r="U21" s="38"/>
    </row>
    <row r="22" spans="1:21" customFormat="1">
      <c r="A22" s="39" t="s">
        <v>314</v>
      </c>
      <c r="B22" s="40">
        <v>7.79</v>
      </c>
      <c r="C22" s="40">
        <v>20.059999999999999</v>
      </c>
      <c r="D22" s="40">
        <v>16.54</v>
      </c>
      <c r="E22" s="40">
        <v>5.82</v>
      </c>
      <c r="F22" s="40">
        <v>5.32</v>
      </c>
      <c r="G22" s="40">
        <v>58.54</v>
      </c>
      <c r="H22" s="40">
        <v>27.2</v>
      </c>
      <c r="I22" s="40">
        <v>14.67</v>
      </c>
      <c r="J22" s="40">
        <v>0.73</v>
      </c>
      <c r="K22" s="40">
        <v>335.27</v>
      </c>
      <c r="L22" s="40">
        <v>29.76</v>
      </c>
      <c r="M22" s="40">
        <v>14.99</v>
      </c>
      <c r="N22" s="40">
        <v>473</v>
      </c>
      <c r="O22" s="40">
        <v>0</v>
      </c>
      <c r="P22" s="40">
        <v>0.83</v>
      </c>
      <c r="Q22" s="40">
        <v>9.36</v>
      </c>
      <c r="R22" s="38"/>
      <c r="S22" s="38"/>
      <c r="T22" s="38"/>
      <c r="U22" s="38"/>
    </row>
    <row r="23" spans="1:21" customFormat="1">
      <c r="A23" s="39" t="s">
        <v>315</v>
      </c>
      <c r="B23" s="40">
        <v>4.5</v>
      </c>
      <c r="C23" s="40">
        <v>19.86</v>
      </c>
      <c r="D23" s="40">
        <v>13.99</v>
      </c>
      <c r="E23" s="40">
        <v>6.24</v>
      </c>
      <c r="F23" s="40">
        <v>5.46</v>
      </c>
      <c r="G23" s="40">
        <v>58.54</v>
      </c>
      <c r="H23" s="40">
        <v>26.56</v>
      </c>
      <c r="I23" s="40">
        <v>12.8</v>
      </c>
      <c r="J23" s="40">
        <v>0.78</v>
      </c>
      <c r="K23" s="40">
        <v>333.16</v>
      </c>
      <c r="L23" s="40">
        <v>29.46</v>
      </c>
      <c r="M23" s="40">
        <v>15.04</v>
      </c>
      <c r="N23" s="40">
        <v>92</v>
      </c>
      <c r="O23" s="40">
        <v>0</v>
      </c>
      <c r="P23" s="40">
        <v>0.61</v>
      </c>
      <c r="Q23" s="40">
        <v>9.44</v>
      </c>
      <c r="R23" s="38"/>
      <c r="S23" s="38"/>
      <c r="T23" s="38"/>
      <c r="U23" s="38"/>
    </row>
    <row r="24" spans="1:21" customFormat="1">
      <c r="A24" s="39" t="s">
        <v>316</v>
      </c>
      <c r="B24" s="40">
        <v>3.46</v>
      </c>
      <c r="C24" s="40">
        <v>18.96</v>
      </c>
      <c r="D24" s="40">
        <v>12.68</v>
      </c>
      <c r="E24" s="40">
        <v>6.26</v>
      </c>
      <c r="F24" s="40">
        <v>5.05</v>
      </c>
      <c r="G24" s="40">
        <v>46.5</v>
      </c>
      <c r="H24" s="40">
        <v>23.29</v>
      </c>
      <c r="I24" s="40">
        <v>11.65</v>
      </c>
      <c r="J24" s="40">
        <v>0.33</v>
      </c>
      <c r="K24" s="40">
        <v>175.2</v>
      </c>
      <c r="L24" s="40">
        <v>29.36</v>
      </c>
      <c r="M24" s="40">
        <v>19.350000000000001</v>
      </c>
      <c r="N24" s="40">
        <v>70.400000000000006</v>
      </c>
      <c r="O24" s="40">
        <v>0</v>
      </c>
      <c r="P24" s="40">
        <v>0.56000000000000005</v>
      </c>
      <c r="Q24" s="40">
        <v>9.42</v>
      </c>
      <c r="R24" s="38"/>
      <c r="S24" s="38"/>
      <c r="T24" s="38"/>
      <c r="U24" s="38"/>
    </row>
    <row r="25" spans="1:21" customFormat="1">
      <c r="A25" s="39" t="s">
        <v>317</v>
      </c>
      <c r="B25" s="40">
        <v>3.38</v>
      </c>
      <c r="C25" s="40">
        <v>17.010000000000002</v>
      </c>
      <c r="D25" s="40">
        <v>11.49</v>
      </c>
      <c r="E25" s="40">
        <v>5.49</v>
      </c>
      <c r="F25" s="40">
        <v>3.46</v>
      </c>
      <c r="G25" s="40">
        <v>44.65</v>
      </c>
      <c r="H25" s="40">
        <v>20.079999999999998</v>
      </c>
      <c r="I25" s="40">
        <v>10.86</v>
      </c>
      <c r="J25" s="40">
        <v>0.28999999999999998</v>
      </c>
      <c r="K25" s="40">
        <v>177.18</v>
      </c>
      <c r="L25" s="40">
        <v>28.04</v>
      </c>
      <c r="M25" s="40">
        <v>30.2</v>
      </c>
      <c r="N25" s="40">
        <v>43.9</v>
      </c>
      <c r="O25" s="40">
        <v>0</v>
      </c>
      <c r="P25" s="40">
        <v>0.5</v>
      </c>
      <c r="Q25" s="40">
        <v>9.36</v>
      </c>
      <c r="R25" s="38"/>
      <c r="S25" s="38"/>
      <c r="T25" s="38"/>
      <c r="U25" s="38"/>
    </row>
    <row r="26" spans="1:21" customFormat="1">
      <c r="A26" s="39" t="s">
        <v>318</v>
      </c>
      <c r="B26" s="40">
        <v>7.32</v>
      </c>
      <c r="C26" s="40">
        <v>21.8</v>
      </c>
      <c r="D26" s="40">
        <v>17.260000000000002</v>
      </c>
      <c r="E26" s="40">
        <v>5.53</v>
      </c>
      <c r="F26" s="40">
        <v>2.13</v>
      </c>
      <c r="G26" s="40">
        <v>40.19</v>
      </c>
      <c r="H26" s="40">
        <v>27.24</v>
      </c>
      <c r="I26" s="40">
        <v>9.9600000000000009</v>
      </c>
      <c r="J26" s="40">
        <v>0.36</v>
      </c>
      <c r="K26" s="40">
        <v>200.64</v>
      </c>
      <c r="L26" s="40">
        <v>24.75</v>
      </c>
      <c r="M26" s="40">
        <v>51.95</v>
      </c>
      <c r="N26" s="40">
        <v>15.6</v>
      </c>
      <c r="O26" s="40">
        <v>0</v>
      </c>
      <c r="P26" s="40">
        <v>0.51</v>
      </c>
      <c r="Q26" s="40">
        <v>9.42</v>
      </c>
      <c r="R26" s="38"/>
      <c r="S26" s="38"/>
      <c r="T26" s="38"/>
      <c r="U26" s="38"/>
    </row>
    <row r="27" spans="1:21" customFormat="1">
      <c r="A27" s="39" t="s">
        <v>319</v>
      </c>
      <c r="B27" s="40">
        <v>12.73</v>
      </c>
      <c r="C27" s="40">
        <v>23.97</v>
      </c>
      <c r="D27" s="40">
        <v>21.99</v>
      </c>
      <c r="E27" s="40">
        <v>4.5</v>
      </c>
      <c r="F27" s="40">
        <v>1.35</v>
      </c>
      <c r="G27" s="40">
        <v>40.19</v>
      </c>
      <c r="H27" s="40">
        <v>32.94</v>
      </c>
      <c r="I27" s="40">
        <v>10.87</v>
      </c>
      <c r="J27" s="40">
        <v>0.23</v>
      </c>
      <c r="K27" s="40">
        <v>183.81</v>
      </c>
      <c r="L27" s="40">
        <v>21.71</v>
      </c>
      <c r="M27" s="40">
        <v>69.760000000000005</v>
      </c>
      <c r="N27" s="40">
        <v>9.6999999999999993</v>
      </c>
      <c r="O27" s="40">
        <v>0</v>
      </c>
      <c r="P27" s="40">
        <v>0.56999999999999995</v>
      </c>
      <c r="Q27" s="40">
        <v>9.69</v>
      </c>
      <c r="R27" s="38"/>
      <c r="S27" s="38"/>
      <c r="T27" s="38"/>
      <c r="U27" s="38"/>
    </row>
    <row r="28" spans="1:21" customFormat="1">
      <c r="A28" s="39" t="s">
        <v>320</v>
      </c>
      <c r="B28" s="40">
        <v>13.15</v>
      </c>
      <c r="C28" s="40">
        <v>21.89</v>
      </c>
      <c r="D28" s="40">
        <v>21.88</v>
      </c>
      <c r="E28" s="40">
        <v>4.67</v>
      </c>
      <c r="F28" s="40">
        <v>1.29</v>
      </c>
      <c r="G28" s="40">
        <v>40.19</v>
      </c>
      <c r="H28" s="40">
        <v>2.5</v>
      </c>
      <c r="I28" s="40">
        <v>11.13</v>
      </c>
      <c r="J28" s="40">
        <v>0.22</v>
      </c>
      <c r="K28" s="40">
        <v>183.88</v>
      </c>
      <c r="L28" s="40">
        <v>19.87</v>
      </c>
      <c r="M28" s="40">
        <v>68.78</v>
      </c>
      <c r="N28" s="40">
        <v>9.5</v>
      </c>
      <c r="O28" s="40">
        <v>0</v>
      </c>
      <c r="P28" s="40">
        <v>0.61</v>
      </c>
      <c r="Q28" s="40">
        <v>9.4499999999999993</v>
      </c>
      <c r="R28" s="38"/>
      <c r="S28" s="38"/>
      <c r="T28" s="38"/>
      <c r="U28" s="38"/>
    </row>
    <row r="29" spans="1:21" customFormat="1">
      <c r="A29" s="39" t="s">
        <v>321</v>
      </c>
      <c r="B29" s="40">
        <v>13.47</v>
      </c>
      <c r="C29" s="40">
        <v>20.72</v>
      </c>
      <c r="D29" s="40">
        <v>21.43</v>
      </c>
      <c r="E29" s="40">
        <v>5.2</v>
      </c>
      <c r="F29" s="40">
        <v>1.17</v>
      </c>
      <c r="G29" s="40">
        <v>65.45</v>
      </c>
      <c r="H29" s="40">
        <v>38.67</v>
      </c>
      <c r="I29" s="40">
        <v>11.96</v>
      </c>
      <c r="J29" s="40">
        <v>0.26</v>
      </c>
      <c r="K29" s="40">
        <v>239.15</v>
      </c>
      <c r="L29" s="40">
        <v>18.95</v>
      </c>
      <c r="M29" s="40">
        <v>74.739999999999995</v>
      </c>
      <c r="N29" s="40">
        <v>9.3000000000000007</v>
      </c>
      <c r="O29" s="40">
        <v>0</v>
      </c>
      <c r="P29" s="40">
        <v>0.63</v>
      </c>
      <c r="Q29" s="40">
        <v>9.42</v>
      </c>
      <c r="R29" s="38"/>
      <c r="S29" s="38"/>
      <c r="T29" s="38"/>
      <c r="U29" s="38"/>
    </row>
    <row r="30" spans="1:21" customFormat="1">
      <c r="A30" s="39" t="s">
        <v>322</v>
      </c>
      <c r="B30" s="40">
        <v>14.81</v>
      </c>
      <c r="C30" s="40">
        <v>19.559999999999999</v>
      </c>
      <c r="D30" s="40">
        <v>21.76</v>
      </c>
      <c r="E30" s="40">
        <v>4.91</v>
      </c>
      <c r="F30" s="40">
        <v>1.24</v>
      </c>
      <c r="G30" s="40">
        <v>80.09</v>
      </c>
      <c r="H30" s="40">
        <v>37.1</v>
      </c>
      <c r="I30" s="40">
        <v>12.66</v>
      </c>
      <c r="J30" s="40">
        <v>0.17</v>
      </c>
      <c r="K30" s="40">
        <v>215.65</v>
      </c>
      <c r="L30" s="40">
        <v>18.170000000000002</v>
      </c>
      <c r="M30" s="40">
        <v>76.55</v>
      </c>
      <c r="N30" s="40">
        <v>9.3000000000000007</v>
      </c>
      <c r="O30" s="40">
        <v>0</v>
      </c>
      <c r="P30" s="40">
        <v>0.64</v>
      </c>
      <c r="Q30" s="40">
        <v>9.4</v>
      </c>
      <c r="R30" s="38"/>
      <c r="S30" s="38"/>
      <c r="T30" s="38"/>
      <c r="U30" s="38"/>
    </row>
    <row r="31" spans="1:21" customFormat="1">
      <c r="A31" s="39" t="s">
        <v>323</v>
      </c>
      <c r="B31" s="40">
        <v>16.05</v>
      </c>
      <c r="C31" s="40">
        <v>18.7</v>
      </c>
      <c r="D31" s="40">
        <v>22.44</v>
      </c>
      <c r="E31" s="40">
        <v>5.01</v>
      </c>
      <c r="F31" s="40">
        <v>1.37</v>
      </c>
      <c r="G31" s="40">
        <v>81.900000000000006</v>
      </c>
      <c r="H31" s="40">
        <v>37.299999999999997</v>
      </c>
      <c r="I31" s="40">
        <v>13.26</v>
      </c>
      <c r="J31" s="40">
        <v>0.2</v>
      </c>
      <c r="K31" s="40">
        <v>184.91</v>
      </c>
      <c r="L31" s="40">
        <v>17.62</v>
      </c>
      <c r="M31" s="40">
        <v>79.87</v>
      </c>
      <c r="N31" s="40">
        <v>9.3000000000000007</v>
      </c>
      <c r="O31" s="40">
        <v>0</v>
      </c>
      <c r="P31" s="40">
        <v>0.65</v>
      </c>
      <c r="Q31" s="40">
        <v>9.44</v>
      </c>
      <c r="R31" s="38"/>
      <c r="S31" s="38"/>
      <c r="T31" s="38"/>
      <c r="U31" s="38"/>
    </row>
    <row r="32" spans="1:21" customFormat="1">
      <c r="A32" s="39" t="s">
        <v>324</v>
      </c>
      <c r="B32" s="40">
        <v>16.7</v>
      </c>
      <c r="C32" s="40">
        <v>18.21</v>
      </c>
      <c r="D32" s="40">
        <v>22.67</v>
      </c>
      <c r="E32" s="40">
        <v>5.3</v>
      </c>
      <c r="F32" s="40">
        <v>1.24</v>
      </c>
      <c r="G32" s="40">
        <v>78.52</v>
      </c>
      <c r="H32" s="40">
        <v>36.22</v>
      </c>
      <c r="I32" s="40">
        <v>14.09</v>
      </c>
      <c r="J32" s="40">
        <v>0.18</v>
      </c>
      <c r="K32" s="40">
        <v>215.54</v>
      </c>
      <c r="L32" s="40">
        <v>17.260000000000002</v>
      </c>
      <c r="M32" s="40">
        <v>81.69</v>
      </c>
      <c r="N32" s="40">
        <v>9.4</v>
      </c>
      <c r="O32" s="40">
        <v>0</v>
      </c>
      <c r="P32" s="40">
        <v>0.68</v>
      </c>
      <c r="Q32" s="40">
        <v>9.57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3.38</v>
      </c>
      <c r="C34" s="18">
        <f t="shared" si="0"/>
        <v>16.38</v>
      </c>
      <c r="D34" s="18">
        <f t="shared" si="0"/>
        <v>11.49</v>
      </c>
      <c r="E34" s="18">
        <f t="shared" si="0"/>
        <v>4.5</v>
      </c>
      <c r="F34" s="18">
        <f t="shared" si="0"/>
        <v>1.1499999999999999</v>
      </c>
      <c r="G34" s="18">
        <f t="shared" si="0"/>
        <v>40.19</v>
      </c>
      <c r="H34" s="18">
        <f t="shared" si="0"/>
        <v>2.5</v>
      </c>
      <c r="I34" s="18">
        <f t="shared" si="0"/>
        <v>9.9600000000000009</v>
      </c>
      <c r="J34" s="18">
        <f t="shared" si="0"/>
        <v>0.13</v>
      </c>
      <c r="K34" s="18">
        <f t="shared" si="0"/>
        <v>51.89</v>
      </c>
      <c r="L34" s="18">
        <f t="shared" si="0"/>
        <v>13.67</v>
      </c>
      <c r="M34" s="18">
        <f t="shared" si="0"/>
        <v>14.99</v>
      </c>
      <c r="N34" s="18">
        <f t="shared" si="0"/>
        <v>8.8000000000000007</v>
      </c>
      <c r="O34" s="18">
        <f t="shared" si="0"/>
        <v>0</v>
      </c>
      <c r="P34" s="18">
        <f t="shared" si="0"/>
        <v>0.5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34.78</v>
      </c>
      <c r="C35" s="3">
        <f t="shared" si="1"/>
        <v>23.97</v>
      </c>
      <c r="D35" s="3">
        <f t="shared" si="1"/>
        <v>38.89</v>
      </c>
      <c r="E35" s="3">
        <f t="shared" si="1"/>
        <v>6.49</v>
      </c>
      <c r="F35" s="3">
        <f t="shared" si="1"/>
        <v>5.46</v>
      </c>
      <c r="G35" s="3">
        <f t="shared" si="1"/>
        <v>123.05</v>
      </c>
      <c r="H35" s="3">
        <f t="shared" si="1"/>
        <v>67.12</v>
      </c>
      <c r="I35" s="3">
        <f t="shared" si="1"/>
        <v>22.2</v>
      </c>
      <c r="J35" s="3">
        <f t="shared" si="1"/>
        <v>1.56</v>
      </c>
      <c r="K35" s="3">
        <f t="shared" si="1"/>
        <v>335.27</v>
      </c>
      <c r="L35" s="3">
        <f t="shared" si="1"/>
        <v>29.76</v>
      </c>
      <c r="M35" s="3">
        <f t="shared" si="1"/>
        <v>88.63</v>
      </c>
      <c r="N35" s="3">
        <f t="shared" si="1"/>
        <v>596.1</v>
      </c>
      <c r="O35" s="3">
        <f t="shared" si="1"/>
        <v>0</v>
      </c>
      <c r="P35" s="3">
        <f t="shared" si="1"/>
        <v>1.4</v>
      </c>
      <c r="Q35" s="3">
        <f t="shared" si="1"/>
        <v>9.69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18.278333333333336</v>
      </c>
      <c r="C36" s="18">
        <f t="shared" si="2"/>
        <v>19.67625</v>
      </c>
      <c r="D36" s="18">
        <f t="shared" si="2"/>
        <v>24.78</v>
      </c>
      <c r="E36" s="18">
        <f t="shared" si="2"/>
        <v>5.5066666666666668</v>
      </c>
      <c r="F36" s="18">
        <f t="shared" si="2"/>
        <v>2.0745833333333334</v>
      </c>
      <c r="G36" s="18">
        <f t="shared" si="2"/>
        <v>79.141250000000014</v>
      </c>
      <c r="H36" s="18">
        <f t="shared" si="2"/>
        <v>43.144166666666656</v>
      </c>
      <c r="I36" s="18">
        <f t="shared" si="2"/>
        <v>14.965416666666664</v>
      </c>
      <c r="J36" s="18">
        <f t="shared" si="2"/>
        <v>0.39958333333333335</v>
      </c>
      <c r="K36" s="18">
        <f t="shared" si="2"/>
        <v>192.85</v>
      </c>
      <c r="L36" s="18">
        <f t="shared" si="2"/>
        <v>21.244166666666668</v>
      </c>
      <c r="M36" s="18">
        <f t="shared" si="2"/>
        <v>58.775000000000013</v>
      </c>
      <c r="N36" s="18">
        <f t="shared" si="2"/>
        <v>132.33750000000001</v>
      </c>
      <c r="O36" s="18">
        <f t="shared" si="2"/>
        <v>0</v>
      </c>
      <c r="P36" s="18">
        <f t="shared" si="2"/>
        <v>0.95208333333333328</v>
      </c>
      <c r="Q36" s="18">
        <f t="shared" si="2"/>
        <v>9.3983333333333299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10.054838621785276</v>
      </c>
      <c r="C37" s="18">
        <f t="shared" ref="C37:Q37" si="3">STDEV(C9:C32)</f>
        <v>1.7713021800481916</v>
      </c>
      <c r="D37" s="18">
        <f t="shared" si="3"/>
        <v>8.079376321172969</v>
      </c>
      <c r="E37" s="18">
        <f t="shared" si="3"/>
        <v>0.55021471434709746</v>
      </c>
      <c r="F37" s="18">
        <f t="shared" si="3"/>
        <v>1.3762677291569538</v>
      </c>
      <c r="G37" s="18">
        <f t="shared" si="3"/>
        <v>26.473108309885998</v>
      </c>
      <c r="H37" s="18">
        <f t="shared" si="3"/>
        <v>17.531700211868831</v>
      </c>
      <c r="I37" s="18">
        <f t="shared" si="3"/>
        <v>3.3463412585748933</v>
      </c>
      <c r="J37" s="18">
        <f t="shared" si="3"/>
        <v>0.33476116296829317</v>
      </c>
      <c r="K37" s="18">
        <f t="shared" si="3"/>
        <v>70.665389720483617</v>
      </c>
      <c r="L37" s="18">
        <f t="shared" si="3"/>
        <v>5.8639865625525758</v>
      </c>
      <c r="M37" s="18">
        <f t="shared" si="3"/>
        <v>27.266636086584981</v>
      </c>
      <c r="N37" s="18">
        <f t="shared" si="3"/>
        <v>208.13689435916513</v>
      </c>
      <c r="O37" s="18">
        <f t="shared" si="3"/>
        <v>0</v>
      </c>
      <c r="P37" s="18">
        <f t="shared" si="3"/>
        <v>0.33792177081153829</v>
      </c>
      <c r="Q37" s="18">
        <f t="shared" si="3"/>
        <v>8.5142676504317311E-2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60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F14" sqref="F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325</v>
      </c>
      <c r="B9" s="40">
        <v>17.399999999999999</v>
      </c>
      <c r="C9" s="40">
        <v>17.18</v>
      </c>
      <c r="D9" s="40">
        <v>22.79</v>
      </c>
      <c r="E9" s="40">
        <v>5.45</v>
      </c>
      <c r="F9" s="40">
        <v>1.2</v>
      </c>
      <c r="G9" s="40">
        <v>78.33</v>
      </c>
      <c r="H9" s="40">
        <v>34.659999999999997</v>
      </c>
      <c r="I9" s="40">
        <v>15.07</v>
      </c>
      <c r="J9" s="40">
        <v>0.15</v>
      </c>
      <c r="K9" s="40">
        <v>187.95</v>
      </c>
      <c r="L9" s="40">
        <v>16.579999999999998</v>
      </c>
      <c r="M9" s="40">
        <v>84.87</v>
      </c>
      <c r="N9" s="40">
        <v>9.3000000000000007</v>
      </c>
      <c r="O9" s="40">
        <v>0</v>
      </c>
      <c r="P9" s="40">
        <v>0.74</v>
      </c>
      <c r="Q9" s="40">
        <v>9.3699999999999992</v>
      </c>
      <c r="R9" s="38"/>
      <c r="S9" s="38"/>
      <c r="T9" s="38"/>
      <c r="U9" s="38"/>
    </row>
    <row r="10" spans="1:21" customFormat="1">
      <c r="A10" s="39" t="s">
        <v>326</v>
      </c>
      <c r="B10" s="40">
        <v>19.64</v>
      </c>
      <c r="C10" s="40">
        <v>17.170000000000002</v>
      </c>
      <c r="D10" s="40">
        <v>24.72</v>
      </c>
      <c r="E10" s="40">
        <v>5.61</v>
      </c>
      <c r="F10" s="40">
        <v>1.34</v>
      </c>
      <c r="G10" s="40">
        <v>75.849999999999994</v>
      </c>
      <c r="H10" s="40">
        <v>36.36</v>
      </c>
      <c r="I10" s="40">
        <v>16.18</v>
      </c>
      <c r="J10" s="40">
        <v>0.17</v>
      </c>
      <c r="K10" s="40">
        <v>159.08000000000001</v>
      </c>
      <c r="L10" s="40">
        <v>16.77</v>
      </c>
      <c r="M10" s="40">
        <v>81.040000000000006</v>
      </c>
      <c r="N10" s="40">
        <v>9.3000000000000007</v>
      </c>
      <c r="O10" s="40">
        <v>0</v>
      </c>
      <c r="P10" s="40">
        <v>0.82</v>
      </c>
      <c r="Q10" s="40">
        <v>9.36</v>
      </c>
      <c r="R10" s="38"/>
      <c r="S10" s="38"/>
      <c r="T10" s="38"/>
      <c r="U10" s="38"/>
    </row>
    <row r="11" spans="1:21" customFormat="1">
      <c r="A11" s="39" t="s">
        <v>327</v>
      </c>
      <c r="B11" s="40">
        <v>23.39</v>
      </c>
      <c r="C11" s="40">
        <v>18.350000000000001</v>
      </c>
      <c r="D11" s="40">
        <v>28.34</v>
      </c>
      <c r="E11" s="40">
        <v>5.24</v>
      </c>
      <c r="F11" s="40">
        <v>1.27</v>
      </c>
      <c r="G11" s="40">
        <v>76.72</v>
      </c>
      <c r="H11" s="40">
        <v>39.299999999999997</v>
      </c>
      <c r="I11" s="40">
        <v>14.62</v>
      </c>
      <c r="J11" s="40">
        <v>0.25</v>
      </c>
      <c r="K11" s="40">
        <v>203.79</v>
      </c>
      <c r="L11" s="40">
        <v>16.510000000000002</v>
      </c>
      <c r="M11" s="40">
        <v>80.23</v>
      </c>
      <c r="N11" s="40">
        <v>9.5</v>
      </c>
      <c r="O11" s="40">
        <v>0</v>
      </c>
      <c r="P11" s="40">
        <v>0.88</v>
      </c>
      <c r="Q11" s="40">
        <v>9.4600000000000009</v>
      </c>
      <c r="R11" s="38"/>
      <c r="S11" s="38"/>
      <c r="T11" s="38"/>
      <c r="U11" s="38"/>
    </row>
    <row r="12" spans="1:21" customFormat="1">
      <c r="A12" s="39" t="s">
        <v>328</v>
      </c>
      <c r="B12" s="40">
        <v>24.32</v>
      </c>
      <c r="C12" s="40">
        <v>18.43</v>
      </c>
      <c r="D12" s="40">
        <v>29.13</v>
      </c>
      <c r="E12" s="40">
        <v>5.42</v>
      </c>
      <c r="F12" s="40">
        <v>1.29</v>
      </c>
      <c r="G12" s="40">
        <v>76.040000000000006</v>
      </c>
      <c r="H12" s="40">
        <v>41.58</v>
      </c>
      <c r="I12" s="40">
        <v>15.11</v>
      </c>
      <c r="J12" s="40">
        <v>0.3</v>
      </c>
      <c r="K12" s="40">
        <v>230.89</v>
      </c>
      <c r="L12" s="40">
        <v>15.6</v>
      </c>
      <c r="M12" s="40">
        <v>85.73</v>
      </c>
      <c r="N12" s="40">
        <v>9.3000000000000007</v>
      </c>
      <c r="O12" s="40">
        <v>0</v>
      </c>
      <c r="P12" s="40">
        <v>0.92</v>
      </c>
      <c r="Q12" s="40">
        <v>9.43</v>
      </c>
      <c r="R12" s="38"/>
      <c r="S12" s="38"/>
      <c r="T12" s="38"/>
      <c r="U12" s="38"/>
    </row>
    <row r="13" spans="1:21" customFormat="1">
      <c r="A13" s="39" t="s">
        <v>329</v>
      </c>
      <c r="B13" s="40">
        <v>24.19</v>
      </c>
      <c r="C13" s="40">
        <v>17.86</v>
      </c>
      <c r="D13" s="40">
        <v>28.73</v>
      </c>
      <c r="E13" s="40">
        <v>5.17</v>
      </c>
      <c r="F13" s="40">
        <v>1.26</v>
      </c>
      <c r="G13" s="40">
        <v>77.34</v>
      </c>
      <c r="H13" s="40">
        <v>40.450000000000003</v>
      </c>
      <c r="I13" s="40">
        <v>15.14</v>
      </c>
      <c r="J13" s="40">
        <v>0.19</v>
      </c>
      <c r="K13" s="40">
        <v>209.64</v>
      </c>
      <c r="L13" s="40">
        <v>14.93</v>
      </c>
      <c r="M13" s="40">
        <v>87.58</v>
      </c>
      <c r="N13" s="40">
        <v>9.6</v>
      </c>
      <c r="O13" s="40">
        <v>0</v>
      </c>
      <c r="P13" s="40">
        <v>0.92</v>
      </c>
      <c r="Q13" s="40">
        <v>9.42</v>
      </c>
      <c r="R13" s="38"/>
      <c r="S13" s="38"/>
      <c r="T13" s="38"/>
      <c r="U13" s="38"/>
    </row>
    <row r="14" spans="1:21" customFormat="1">
      <c r="A14" s="39" t="s">
        <v>330</v>
      </c>
      <c r="B14" s="40">
        <v>22.11</v>
      </c>
      <c r="C14" s="40">
        <v>16.38</v>
      </c>
      <c r="D14" s="40">
        <v>26.29</v>
      </c>
      <c r="E14" s="40">
        <v>5.0599999999999996</v>
      </c>
      <c r="F14" s="40">
        <v>1.25</v>
      </c>
      <c r="G14" s="40">
        <v>76.5</v>
      </c>
      <c r="H14" s="40">
        <v>36.869999999999997</v>
      </c>
      <c r="I14" s="40">
        <v>14.98</v>
      </c>
      <c r="J14" s="40">
        <v>0.2</v>
      </c>
      <c r="K14" s="40">
        <v>223.19</v>
      </c>
      <c r="L14" s="40">
        <v>14.41</v>
      </c>
      <c r="M14" s="40">
        <v>89.6</v>
      </c>
      <c r="N14" s="40">
        <v>9.4</v>
      </c>
      <c r="O14" s="40">
        <v>0</v>
      </c>
      <c r="P14" s="40">
        <v>0.88</v>
      </c>
      <c r="Q14" s="40">
        <v>9.36</v>
      </c>
      <c r="R14" s="38"/>
      <c r="S14" s="38"/>
      <c r="T14" s="38"/>
      <c r="U14" s="38"/>
    </row>
    <row r="15" spans="1:21" customFormat="1">
      <c r="A15" s="39" t="s">
        <v>331</v>
      </c>
      <c r="B15" s="40">
        <v>20</v>
      </c>
      <c r="C15" s="40">
        <v>15.6</v>
      </c>
      <c r="D15" s="40">
        <v>24.17</v>
      </c>
      <c r="E15" s="40">
        <v>5.04</v>
      </c>
      <c r="F15" s="40">
        <v>1.24</v>
      </c>
      <c r="G15" s="40">
        <v>77.19</v>
      </c>
      <c r="H15" s="40">
        <v>37.229999999999997</v>
      </c>
      <c r="I15" s="40">
        <v>14.63</v>
      </c>
      <c r="J15" s="40">
        <v>0.17</v>
      </c>
      <c r="K15" s="40">
        <v>183.89</v>
      </c>
      <c r="L15" s="40">
        <v>14.4</v>
      </c>
      <c r="M15" s="40">
        <v>89.68</v>
      </c>
      <c r="N15" s="40">
        <v>23.2</v>
      </c>
      <c r="O15" s="40">
        <v>0</v>
      </c>
      <c r="P15" s="40">
        <v>0.88</v>
      </c>
      <c r="Q15" s="40">
        <v>9.33</v>
      </c>
      <c r="R15" s="38"/>
      <c r="S15" s="38"/>
      <c r="T15" s="38"/>
      <c r="U15" s="38"/>
    </row>
    <row r="16" spans="1:21" customFormat="1">
      <c r="A16" s="39" t="s">
        <v>332</v>
      </c>
      <c r="B16" s="40">
        <v>18.78</v>
      </c>
      <c r="C16" s="40">
        <v>16.059999999999999</v>
      </c>
      <c r="D16" s="40">
        <v>23.06</v>
      </c>
      <c r="E16" s="40">
        <v>4.6100000000000003</v>
      </c>
      <c r="F16" s="40">
        <v>1.38</v>
      </c>
      <c r="G16" s="40">
        <v>84.79</v>
      </c>
      <c r="H16" s="40">
        <v>40.130000000000003</v>
      </c>
      <c r="I16" s="40">
        <v>15.41</v>
      </c>
      <c r="J16" s="40">
        <v>0.22</v>
      </c>
      <c r="K16" s="40">
        <v>226.41</v>
      </c>
      <c r="L16" s="40">
        <v>16.88</v>
      </c>
      <c r="M16" s="40">
        <v>89.67</v>
      </c>
      <c r="N16" s="40">
        <v>67.7</v>
      </c>
      <c r="O16" s="40">
        <v>0</v>
      </c>
      <c r="P16" s="40">
        <v>0.9</v>
      </c>
      <c r="Q16" s="40">
        <v>9.3699999999999992</v>
      </c>
      <c r="R16" s="38"/>
      <c r="S16" s="38"/>
      <c r="T16" s="38"/>
      <c r="U16" s="38"/>
    </row>
    <row r="17" spans="1:21" customFormat="1">
      <c r="A17" s="39" t="s">
        <v>333</v>
      </c>
      <c r="B17" s="40">
        <v>17.100000000000001</v>
      </c>
      <c r="C17" s="40">
        <v>17.690000000000001</v>
      </c>
      <c r="D17" s="40">
        <v>22.42</v>
      </c>
      <c r="E17" s="40">
        <v>4.79</v>
      </c>
      <c r="F17" s="40">
        <v>1.51</v>
      </c>
      <c r="G17" s="40">
        <v>87.42</v>
      </c>
      <c r="H17" s="40">
        <v>41.79</v>
      </c>
      <c r="I17" s="40">
        <v>20.21</v>
      </c>
      <c r="J17" s="40">
        <v>0.26</v>
      </c>
      <c r="K17" s="40">
        <v>244.89</v>
      </c>
      <c r="L17" s="40">
        <v>21.38</v>
      </c>
      <c r="M17" s="40">
        <v>65.599999999999994</v>
      </c>
      <c r="N17" s="40">
        <v>272.3</v>
      </c>
      <c r="O17" s="40">
        <v>0</v>
      </c>
      <c r="P17" s="40">
        <v>0.92</v>
      </c>
      <c r="Q17" s="40">
        <v>9.35</v>
      </c>
      <c r="R17" s="38"/>
      <c r="S17" s="38"/>
      <c r="T17" s="38"/>
      <c r="U17" s="38"/>
    </row>
    <row r="18" spans="1:21" customFormat="1">
      <c r="A18" s="39" t="s">
        <v>334</v>
      </c>
      <c r="B18" s="40">
        <v>12.63</v>
      </c>
      <c r="C18" s="40">
        <v>19.98</v>
      </c>
      <c r="D18" s="40">
        <v>19.64</v>
      </c>
      <c r="E18" s="40">
        <v>5.4</v>
      </c>
      <c r="F18" s="40">
        <v>1.98</v>
      </c>
      <c r="G18" s="40">
        <v>86.58</v>
      </c>
      <c r="H18" s="40">
        <v>42.98</v>
      </c>
      <c r="I18" s="40">
        <v>20.079999999999998</v>
      </c>
      <c r="J18" s="40">
        <v>0.24</v>
      </c>
      <c r="K18" s="40">
        <v>225.24</v>
      </c>
      <c r="L18" s="40">
        <v>25.91</v>
      </c>
      <c r="M18" s="40">
        <v>49.55</v>
      </c>
      <c r="N18" s="40">
        <v>199.5</v>
      </c>
      <c r="O18" s="40">
        <v>0</v>
      </c>
      <c r="P18" s="40">
        <v>0.89</v>
      </c>
      <c r="Q18" s="40">
        <v>9.32</v>
      </c>
      <c r="R18" s="38"/>
      <c r="S18" s="38"/>
      <c r="T18" s="38"/>
      <c r="U18" s="38"/>
    </row>
    <row r="19" spans="1:21" customFormat="1">
      <c r="A19" s="39" t="s">
        <v>335</v>
      </c>
      <c r="B19" s="40">
        <v>6.8</v>
      </c>
      <c r="C19" s="40">
        <v>20.7</v>
      </c>
      <c r="D19" s="40">
        <v>15.97</v>
      </c>
      <c r="E19" s="40">
        <v>5.45</v>
      </c>
      <c r="F19" s="40">
        <v>2.33</v>
      </c>
      <c r="G19" s="40">
        <v>87.3</v>
      </c>
      <c r="H19" s="40">
        <v>44.06</v>
      </c>
      <c r="I19" s="40">
        <v>19.309999999999999</v>
      </c>
      <c r="J19" s="40">
        <v>0.47</v>
      </c>
      <c r="K19" s="40">
        <v>72.61</v>
      </c>
      <c r="L19" s="40">
        <v>27.6</v>
      </c>
      <c r="M19" s="40">
        <v>33.619999999999997</v>
      </c>
      <c r="N19" s="40">
        <v>487.3</v>
      </c>
      <c r="O19" s="40">
        <v>0</v>
      </c>
      <c r="P19" s="40">
        <v>0.87</v>
      </c>
      <c r="Q19" s="40">
        <v>9.35</v>
      </c>
      <c r="R19" s="38"/>
      <c r="S19" s="38"/>
      <c r="T19" s="38"/>
      <c r="U19" s="38"/>
    </row>
    <row r="20" spans="1:21" customFormat="1">
      <c r="A20" s="39" t="s">
        <v>336</v>
      </c>
      <c r="B20" s="40">
        <v>4.92</v>
      </c>
      <c r="C20" s="40">
        <v>22.15</v>
      </c>
      <c r="D20" s="40">
        <v>14.86</v>
      </c>
      <c r="E20" s="40">
        <v>5.79</v>
      </c>
      <c r="F20" s="40">
        <v>2.94</v>
      </c>
      <c r="G20" s="40">
        <v>83.91</v>
      </c>
      <c r="H20" s="40">
        <v>42.8</v>
      </c>
      <c r="I20" s="40">
        <v>14.18</v>
      </c>
      <c r="J20" s="40">
        <v>0.79</v>
      </c>
      <c r="K20" s="40">
        <v>69.38</v>
      </c>
      <c r="L20" s="40">
        <v>28.97</v>
      </c>
      <c r="M20" s="40">
        <v>27.47</v>
      </c>
      <c r="N20" s="40">
        <v>543.4</v>
      </c>
      <c r="O20" s="40">
        <v>0</v>
      </c>
      <c r="P20" s="40">
        <v>0.83</v>
      </c>
      <c r="Q20" s="40">
        <v>9.35</v>
      </c>
      <c r="R20" s="38"/>
      <c r="S20" s="38"/>
      <c r="T20" s="38"/>
      <c r="U20" s="38"/>
    </row>
    <row r="21" spans="1:21" customFormat="1">
      <c r="A21" s="39" t="s">
        <v>337</v>
      </c>
      <c r="B21" s="40">
        <v>3.96</v>
      </c>
      <c r="C21" s="40">
        <v>22.13</v>
      </c>
      <c r="D21" s="40">
        <v>14.73</v>
      </c>
      <c r="E21" s="40">
        <v>7.14</v>
      </c>
      <c r="F21" s="40">
        <v>11.41</v>
      </c>
      <c r="G21" s="40">
        <v>88.65</v>
      </c>
      <c r="H21" s="40">
        <v>40.53</v>
      </c>
      <c r="I21" s="40">
        <v>13.55</v>
      </c>
      <c r="J21" s="40">
        <v>0.55000000000000004</v>
      </c>
      <c r="K21" s="40">
        <v>112.85</v>
      </c>
      <c r="L21" s="40">
        <v>30.06</v>
      </c>
      <c r="M21" s="40">
        <v>21.56</v>
      </c>
      <c r="N21" s="40">
        <v>544</v>
      </c>
      <c r="O21" s="40">
        <v>0</v>
      </c>
      <c r="P21" s="40">
        <v>0.74</v>
      </c>
      <c r="Q21" s="40">
        <v>9.34</v>
      </c>
      <c r="R21" s="38"/>
      <c r="S21" s="38"/>
      <c r="T21" s="38"/>
      <c r="U21" s="38"/>
    </row>
    <row r="22" spans="1:21" customFormat="1">
      <c r="A22" s="39" t="s">
        <v>338</v>
      </c>
      <c r="B22" s="40">
        <v>3.27</v>
      </c>
      <c r="C22" s="40">
        <v>21.15</v>
      </c>
      <c r="D22" s="40">
        <v>13.44</v>
      </c>
      <c r="E22" s="40">
        <v>6.43</v>
      </c>
      <c r="F22" s="40">
        <v>12.31</v>
      </c>
      <c r="G22" s="40">
        <v>76.55</v>
      </c>
      <c r="H22" s="40">
        <v>33.33</v>
      </c>
      <c r="I22" s="40">
        <v>10.94</v>
      </c>
      <c r="J22" s="40">
        <v>0.39</v>
      </c>
      <c r="K22" s="40">
        <v>332.86</v>
      </c>
      <c r="L22" s="40">
        <v>30.2</v>
      </c>
      <c r="M22" s="40">
        <v>21.19</v>
      </c>
      <c r="N22" s="40">
        <v>407.8</v>
      </c>
      <c r="O22" s="40">
        <v>0</v>
      </c>
      <c r="P22" s="40">
        <v>0.52</v>
      </c>
      <c r="Q22" s="40">
        <v>9.33</v>
      </c>
      <c r="R22" s="38"/>
      <c r="S22" s="38"/>
      <c r="T22" s="38"/>
      <c r="U22" s="38"/>
    </row>
    <row r="23" spans="1:21" customFormat="1">
      <c r="A23" s="39" t="s">
        <v>339</v>
      </c>
      <c r="B23" s="40">
        <v>3.22</v>
      </c>
      <c r="C23" s="40">
        <v>20.88</v>
      </c>
      <c r="D23" s="40">
        <v>13.48</v>
      </c>
      <c r="E23" s="40">
        <v>15.11</v>
      </c>
      <c r="F23" s="40">
        <v>30.03</v>
      </c>
      <c r="G23" s="40">
        <v>60.85</v>
      </c>
      <c r="H23" s="40">
        <v>28.88</v>
      </c>
      <c r="I23" s="40">
        <v>8.69</v>
      </c>
      <c r="J23" s="40">
        <v>0.37</v>
      </c>
      <c r="K23" s="40">
        <v>330.96</v>
      </c>
      <c r="L23" s="40">
        <v>29.6</v>
      </c>
      <c r="M23" s="40">
        <v>21.92</v>
      </c>
      <c r="N23" s="40">
        <v>96.7</v>
      </c>
      <c r="O23" s="40">
        <v>0</v>
      </c>
      <c r="P23" s="40">
        <v>0.44</v>
      </c>
      <c r="Q23" s="40">
        <v>9.33</v>
      </c>
      <c r="R23" s="38"/>
      <c r="S23" s="38"/>
      <c r="T23" s="38"/>
      <c r="U23" s="38"/>
    </row>
    <row r="24" spans="1:21" customFormat="1">
      <c r="A24" s="39" t="s">
        <v>340</v>
      </c>
      <c r="B24" s="40">
        <v>3.15</v>
      </c>
      <c r="C24" s="40">
        <v>18.690000000000001</v>
      </c>
      <c r="D24" s="40">
        <v>12.21</v>
      </c>
      <c r="E24" s="40">
        <v>8.6999999999999993</v>
      </c>
      <c r="F24" s="40">
        <v>8.0299999999999994</v>
      </c>
      <c r="G24" s="40">
        <v>60.96</v>
      </c>
      <c r="H24" s="40">
        <v>29.27</v>
      </c>
      <c r="I24" s="40">
        <v>9.0299999999999994</v>
      </c>
      <c r="J24" s="40">
        <v>0.23</v>
      </c>
      <c r="K24" s="40">
        <v>177.57</v>
      </c>
      <c r="L24" s="40">
        <v>29.45</v>
      </c>
      <c r="M24" s="40">
        <v>25.03</v>
      </c>
      <c r="N24" s="40">
        <v>74.2</v>
      </c>
      <c r="O24" s="40">
        <v>0</v>
      </c>
      <c r="P24" s="40">
        <v>0.43</v>
      </c>
      <c r="Q24" s="40">
        <v>9.35</v>
      </c>
      <c r="R24" s="38"/>
      <c r="S24" s="38"/>
      <c r="T24" s="38"/>
      <c r="U24" s="38"/>
    </row>
    <row r="25" spans="1:21" customFormat="1">
      <c r="A25" s="39" t="s">
        <v>341</v>
      </c>
      <c r="B25" s="40">
        <v>3.53</v>
      </c>
      <c r="C25" s="40">
        <v>17.45</v>
      </c>
      <c r="D25" s="40">
        <v>11.93</v>
      </c>
      <c r="E25" s="40">
        <v>7.18</v>
      </c>
      <c r="F25" s="40">
        <v>4.68</v>
      </c>
      <c r="G25" s="40">
        <v>63.84</v>
      </c>
      <c r="H25" s="40">
        <v>29.61</v>
      </c>
      <c r="I25" s="40">
        <v>9.1</v>
      </c>
      <c r="J25" s="40">
        <v>0.26</v>
      </c>
      <c r="K25" s="40">
        <v>180.55</v>
      </c>
      <c r="L25" s="40">
        <v>28.14</v>
      </c>
      <c r="M25" s="40">
        <v>34.64</v>
      </c>
      <c r="N25" s="40">
        <v>43</v>
      </c>
      <c r="O25" s="40">
        <v>0</v>
      </c>
      <c r="P25" s="40">
        <v>0.45</v>
      </c>
      <c r="Q25" s="40">
        <v>9.33</v>
      </c>
      <c r="R25" s="38"/>
      <c r="S25" s="38"/>
      <c r="T25" s="38"/>
      <c r="U25" s="38"/>
    </row>
    <row r="26" spans="1:21" customFormat="1">
      <c r="A26" s="39" t="s">
        <v>342</v>
      </c>
      <c r="B26" s="40">
        <v>4.3499999999999996</v>
      </c>
      <c r="C26" s="40">
        <v>19.48</v>
      </c>
      <c r="D26" s="40">
        <v>13.66</v>
      </c>
      <c r="E26" s="40">
        <v>5.39</v>
      </c>
      <c r="F26" s="40">
        <v>2.2999999999999998</v>
      </c>
      <c r="G26" s="40">
        <v>67.650000000000006</v>
      </c>
      <c r="H26" s="40">
        <v>30.93</v>
      </c>
      <c r="I26" s="40">
        <v>9.68</v>
      </c>
      <c r="J26" s="40">
        <v>0.31</v>
      </c>
      <c r="K26" s="40">
        <v>165.45</v>
      </c>
      <c r="L26" s="40">
        <v>25.33</v>
      </c>
      <c r="M26" s="40">
        <v>45.54</v>
      </c>
      <c r="N26" s="40">
        <v>12.4</v>
      </c>
      <c r="O26" s="40">
        <v>0</v>
      </c>
      <c r="P26" s="40">
        <v>0.51</v>
      </c>
      <c r="Q26" s="40">
        <v>9.44</v>
      </c>
      <c r="R26" s="38"/>
      <c r="S26" s="38"/>
      <c r="T26" s="38"/>
      <c r="U26" s="38"/>
    </row>
    <row r="27" spans="1:21" customFormat="1">
      <c r="A27" s="39" t="s">
        <v>343</v>
      </c>
      <c r="B27" s="40">
        <v>5.54</v>
      </c>
      <c r="C27" s="40">
        <v>21.02</v>
      </c>
      <c r="D27" s="40">
        <v>15.43</v>
      </c>
      <c r="E27" s="40">
        <v>5.85</v>
      </c>
      <c r="F27" s="40">
        <v>1.39</v>
      </c>
      <c r="G27" s="40">
        <v>86.6</v>
      </c>
      <c r="H27" s="40">
        <v>36.35</v>
      </c>
      <c r="I27" s="40">
        <v>11.77</v>
      </c>
      <c r="J27" s="40">
        <v>0.27</v>
      </c>
      <c r="K27" s="40">
        <v>194.68</v>
      </c>
      <c r="L27" s="40">
        <v>23.09</v>
      </c>
      <c r="M27" s="40">
        <v>66.92</v>
      </c>
      <c r="N27" s="40">
        <v>7.1</v>
      </c>
      <c r="O27" s="40">
        <v>0</v>
      </c>
      <c r="P27" s="40">
        <v>0.57999999999999996</v>
      </c>
      <c r="Q27" s="40">
        <v>9.52</v>
      </c>
      <c r="R27" s="38"/>
      <c r="S27" s="38"/>
      <c r="T27" s="38"/>
      <c r="U27" s="38"/>
    </row>
    <row r="28" spans="1:21" customFormat="1">
      <c r="A28" s="39" t="s">
        <v>344</v>
      </c>
      <c r="B28" s="40">
        <v>5.9</v>
      </c>
      <c r="C28" s="40">
        <v>20.97</v>
      </c>
      <c r="D28" s="40">
        <v>15.47</v>
      </c>
      <c r="E28" s="40">
        <v>6.23</v>
      </c>
      <c r="F28" s="40">
        <v>1.48</v>
      </c>
      <c r="G28" s="40">
        <v>107.28</v>
      </c>
      <c r="H28" s="40">
        <v>42.47</v>
      </c>
      <c r="I28" s="40">
        <v>13.97</v>
      </c>
      <c r="J28" s="40">
        <v>0.18</v>
      </c>
      <c r="K28" s="40">
        <v>199.32</v>
      </c>
      <c r="L28" s="40">
        <v>20.75</v>
      </c>
      <c r="M28" s="40">
        <v>73.86</v>
      </c>
      <c r="N28" s="40">
        <v>6.7</v>
      </c>
      <c r="O28" s="40">
        <v>0</v>
      </c>
      <c r="P28" s="40">
        <v>0.65</v>
      </c>
      <c r="Q28" s="40">
        <v>9.49</v>
      </c>
      <c r="R28" s="38"/>
      <c r="S28" s="38"/>
      <c r="T28" s="38"/>
      <c r="U28" s="38"/>
    </row>
    <row r="29" spans="1:21" customFormat="1">
      <c r="A29" s="39" t="s">
        <v>345</v>
      </c>
      <c r="B29" s="40">
        <v>5.98</v>
      </c>
      <c r="C29" s="40">
        <v>20</v>
      </c>
      <c r="D29" s="40">
        <v>15.22</v>
      </c>
      <c r="E29" s="40">
        <v>6.37</v>
      </c>
      <c r="F29" s="40">
        <v>1.33</v>
      </c>
      <c r="G29" s="40">
        <v>109.19</v>
      </c>
      <c r="H29" s="40">
        <v>40.58</v>
      </c>
      <c r="I29" s="40">
        <v>14.3</v>
      </c>
      <c r="J29" s="40">
        <v>0.19</v>
      </c>
      <c r="K29" s="40">
        <v>218.26</v>
      </c>
      <c r="L29" s="40">
        <v>19.72</v>
      </c>
      <c r="M29" s="40">
        <v>76.72</v>
      </c>
      <c r="N29" s="40">
        <v>6.5</v>
      </c>
      <c r="O29" s="40">
        <v>0</v>
      </c>
      <c r="P29" s="40">
        <v>0.66</v>
      </c>
      <c r="Q29" s="40">
        <v>9.49</v>
      </c>
      <c r="R29" s="38"/>
      <c r="S29" s="38"/>
      <c r="T29" s="38"/>
      <c r="U29" s="38"/>
    </row>
    <row r="30" spans="1:21" customFormat="1">
      <c r="A30" s="39" t="s">
        <v>346</v>
      </c>
      <c r="B30" s="40">
        <v>6.26</v>
      </c>
      <c r="C30" s="40">
        <v>19.260000000000002</v>
      </c>
      <c r="D30" s="40">
        <v>15.03</v>
      </c>
      <c r="E30" s="40">
        <v>6.25</v>
      </c>
      <c r="F30" s="40">
        <v>1.38</v>
      </c>
      <c r="G30" s="40">
        <v>111.38</v>
      </c>
      <c r="H30" s="40">
        <v>41.27</v>
      </c>
      <c r="I30" s="40">
        <v>14.24</v>
      </c>
      <c r="J30" s="40">
        <v>0.22</v>
      </c>
      <c r="K30" s="40">
        <v>205.22</v>
      </c>
      <c r="L30" s="40">
        <v>19.18</v>
      </c>
      <c r="M30" s="40">
        <v>76.64</v>
      </c>
      <c r="N30" s="40">
        <v>6.5</v>
      </c>
      <c r="O30" s="40">
        <v>0</v>
      </c>
      <c r="P30" s="40">
        <v>0.69</v>
      </c>
      <c r="Q30" s="40">
        <v>9.5399999999999991</v>
      </c>
      <c r="R30" s="38"/>
      <c r="S30" s="38"/>
      <c r="T30" s="38"/>
      <c r="U30" s="38"/>
    </row>
    <row r="31" spans="1:21" customFormat="1">
      <c r="A31" s="39" t="s">
        <v>347</v>
      </c>
      <c r="B31" s="40">
        <v>6.41</v>
      </c>
      <c r="C31" s="40">
        <v>18.670000000000002</v>
      </c>
      <c r="D31" s="40">
        <v>14.78</v>
      </c>
      <c r="E31" s="40">
        <v>6.38</v>
      </c>
      <c r="F31" s="40">
        <v>1.31</v>
      </c>
      <c r="G31" s="40">
        <v>113.48</v>
      </c>
      <c r="H31" s="40">
        <v>42.6</v>
      </c>
      <c r="I31" s="40">
        <v>14.53</v>
      </c>
      <c r="J31" s="40">
        <v>0.17</v>
      </c>
      <c r="K31" s="40">
        <v>220</v>
      </c>
      <c r="L31" s="40">
        <v>18.53</v>
      </c>
      <c r="M31" s="40">
        <v>81.31</v>
      </c>
      <c r="N31" s="40">
        <v>6.5</v>
      </c>
      <c r="O31" s="40">
        <v>0</v>
      </c>
      <c r="P31" s="40">
        <v>0.71</v>
      </c>
      <c r="Q31" s="40">
        <v>9.34</v>
      </c>
      <c r="R31" s="38"/>
      <c r="S31" s="38"/>
      <c r="T31" s="38"/>
      <c r="U31" s="38"/>
    </row>
    <row r="32" spans="1:21" customFormat="1">
      <c r="A32" s="39" t="s">
        <v>348</v>
      </c>
      <c r="B32" s="40">
        <v>7.34</v>
      </c>
      <c r="C32" s="40">
        <v>17.62</v>
      </c>
      <c r="D32" s="40">
        <v>14.95</v>
      </c>
      <c r="E32" s="40">
        <v>5.98</v>
      </c>
      <c r="F32" s="40">
        <v>1.5</v>
      </c>
      <c r="G32" s="40">
        <v>108.57</v>
      </c>
      <c r="H32" s="40">
        <v>42.42</v>
      </c>
      <c r="I32" s="40">
        <v>14.97</v>
      </c>
      <c r="J32" s="40">
        <v>0.22</v>
      </c>
      <c r="K32" s="40">
        <v>201.77</v>
      </c>
      <c r="L32" s="40">
        <v>17.96</v>
      </c>
      <c r="M32" s="40">
        <v>85.69</v>
      </c>
      <c r="N32" s="40">
        <v>6.4</v>
      </c>
      <c r="O32" s="40">
        <v>0</v>
      </c>
      <c r="P32" s="40">
        <v>0.78</v>
      </c>
      <c r="Q32" s="40">
        <v>9.39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3.15</v>
      </c>
      <c r="C34" s="18">
        <f t="shared" si="0"/>
        <v>15.6</v>
      </c>
      <c r="D34" s="18">
        <f t="shared" si="0"/>
        <v>11.93</v>
      </c>
      <c r="E34" s="18">
        <f t="shared" si="0"/>
        <v>4.6100000000000003</v>
      </c>
      <c r="F34" s="18">
        <f t="shared" si="0"/>
        <v>1.2</v>
      </c>
      <c r="G34" s="18">
        <f t="shared" si="0"/>
        <v>60.85</v>
      </c>
      <c r="H34" s="18">
        <f t="shared" si="0"/>
        <v>28.88</v>
      </c>
      <c r="I34" s="18">
        <f t="shared" si="0"/>
        <v>8.69</v>
      </c>
      <c r="J34" s="18">
        <f t="shared" si="0"/>
        <v>0.15</v>
      </c>
      <c r="K34" s="18">
        <f t="shared" si="0"/>
        <v>69.38</v>
      </c>
      <c r="L34" s="18">
        <f t="shared" si="0"/>
        <v>14.4</v>
      </c>
      <c r="M34" s="18">
        <f t="shared" si="0"/>
        <v>21.19</v>
      </c>
      <c r="N34" s="18">
        <f t="shared" si="0"/>
        <v>6.4</v>
      </c>
      <c r="O34" s="18">
        <f t="shared" si="0"/>
        <v>0</v>
      </c>
      <c r="P34" s="18">
        <f t="shared" si="0"/>
        <v>0.43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24.32</v>
      </c>
      <c r="C35" s="3">
        <f t="shared" si="1"/>
        <v>22.15</v>
      </c>
      <c r="D35" s="3">
        <f t="shared" si="1"/>
        <v>29.13</v>
      </c>
      <c r="E35" s="3">
        <f t="shared" si="1"/>
        <v>15.11</v>
      </c>
      <c r="F35" s="3">
        <f t="shared" si="1"/>
        <v>30.03</v>
      </c>
      <c r="G35" s="3">
        <f t="shared" si="1"/>
        <v>113.48</v>
      </c>
      <c r="H35" s="3">
        <f t="shared" si="1"/>
        <v>44.06</v>
      </c>
      <c r="I35" s="3">
        <f t="shared" si="1"/>
        <v>20.21</v>
      </c>
      <c r="J35" s="3">
        <f t="shared" si="1"/>
        <v>0.79</v>
      </c>
      <c r="K35" s="3">
        <f t="shared" si="1"/>
        <v>332.86</v>
      </c>
      <c r="L35" s="3">
        <f t="shared" si="1"/>
        <v>30.2</v>
      </c>
      <c r="M35" s="3">
        <f t="shared" si="1"/>
        <v>89.68</v>
      </c>
      <c r="N35" s="3">
        <f t="shared" si="1"/>
        <v>544</v>
      </c>
      <c r="O35" s="3">
        <f t="shared" si="1"/>
        <v>0</v>
      </c>
      <c r="P35" s="3">
        <f t="shared" si="1"/>
        <v>0.92</v>
      </c>
      <c r="Q35" s="3">
        <f t="shared" si="1"/>
        <v>9.5399999999999991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11.257916666666667</v>
      </c>
      <c r="C36" s="18">
        <f t="shared" si="2"/>
        <v>18.952916666666663</v>
      </c>
      <c r="D36" s="18">
        <f t="shared" si="2"/>
        <v>18.768750000000001</v>
      </c>
      <c r="E36" s="18">
        <f t="shared" si="2"/>
        <v>6.251666666666666</v>
      </c>
      <c r="F36" s="18">
        <f t="shared" si="2"/>
        <v>4.0058333333333342</v>
      </c>
      <c r="G36" s="18">
        <f t="shared" si="2"/>
        <v>84.290416666666644</v>
      </c>
      <c r="H36" s="18">
        <f t="shared" si="2"/>
        <v>38.185416666666669</v>
      </c>
      <c r="I36" s="18">
        <f t="shared" si="2"/>
        <v>14.153750000000002</v>
      </c>
      <c r="J36" s="18">
        <f t="shared" si="2"/>
        <v>0.2820833333333333</v>
      </c>
      <c r="K36" s="18">
        <f t="shared" si="2"/>
        <v>199.01875000000007</v>
      </c>
      <c r="L36" s="18">
        <f t="shared" si="2"/>
        <v>21.747916666666665</v>
      </c>
      <c r="M36" s="18">
        <f t="shared" si="2"/>
        <v>62.319166666666668</v>
      </c>
      <c r="N36" s="18">
        <f t="shared" si="2"/>
        <v>119.48333333333333</v>
      </c>
      <c r="O36" s="18">
        <f t="shared" si="2"/>
        <v>0</v>
      </c>
      <c r="P36" s="18">
        <f t="shared" si="2"/>
        <v>0.73375000000000001</v>
      </c>
      <c r="Q36" s="18">
        <f t="shared" si="2"/>
        <v>9.3900000000000023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7.9339654974352367</v>
      </c>
      <c r="C37" s="18">
        <f t="shared" ref="C37:Q37" si="3">STDEV(C9:C32)</f>
        <v>1.8989367257509648</v>
      </c>
      <c r="D37" s="18">
        <f t="shared" si="3"/>
        <v>5.7437870498402823</v>
      </c>
      <c r="E37" s="18">
        <f t="shared" si="3"/>
        <v>2.0892700340938033</v>
      </c>
      <c r="F37" s="18">
        <f t="shared" si="3"/>
        <v>6.3766461926836318</v>
      </c>
      <c r="G37" s="18">
        <f t="shared" si="3"/>
        <v>15.621995774956437</v>
      </c>
      <c r="H37" s="18">
        <f t="shared" si="3"/>
        <v>4.7894222027538609</v>
      </c>
      <c r="I37" s="18">
        <f t="shared" si="3"/>
        <v>3.1404040345152988</v>
      </c>
      <c r="J37" s="18">
        <f t="shared" si="3"/>
        <v>0.1464056059352763</v>
      </c>
      <c r="K37" s="18">
        <f t="shared" si="3"/>
        <v>60.991765681756078</v>
      </c>
      <c r="L37" s="18">
        <f t="shared" si="3"/>
        <v>5.7180248787927512</v>
      </c>
      <c r="M37" s="18">
        <f t="shared" si="3"/>
        <v>26.139824176359973</v>
      </c>
      <c r="N37" s="18">
        <f t="shared" si="3"/>
        <v>185.22288492907472</v>
      </c>
      <c r="O37" s="18">
        <f t="shared" si="3"/>
        <v>0</v>
      </c>
      <c r="P37" s="18">
        <f t="shared" si="3"/>
        <v>0.16825995674395694</v>
      </c>
      <c r="Q37" s="18">
        <f t="shared" si="3"/>
        <v>6.6789741466915339E-2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G17" sqref="G1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349</v>
      </c>
      <c r="B9" s="40">
        <v>9.61</v>
      </c>
      <c r="C9" s="40">
        <v>17.22</v>
      </c>
      <c r="D9" s="40">
        <v>16.7</v>
      </c>
      <c r="E9" s="40">
        <v>5.79</v>
      </c>
      <c r="F9" s="40">
        <v>1.49</v>
      </c>
      <c r="G9" s="40">
        <v>105.04</v>
      </c>
      <c r="H9" s="40">
        <v>45.4</v>
      </c>
      <c r="I9" s="40">
        <v>16.079999999999998</v>
      </c>
      <c r="J9" s="40">
        <v>0.18</v>
      </c>
      <c r="K9" s="40">
        <v>320.72000000000003</v>
      </c>
      <c r="L9" s="40">
        <v>17.309999999999999</v>
      </c>
      <c r="M9" s="40">
        <v>85.22</v>
      </c>
      <c r="N9" s="40">
        <v>6.5</v>
      </c>
      <c r="O9" s="40">
        <v>0</v>
      </c>
      <c r="P9" s="40">
        <v>0.83</v>
      </c>
      <c r="Q9" s="40">
        <v>9.4700000000000006</v>
      </c>
      <c r="R9" s="38"/>
      <c r="S9" s="38"/>
      <c r="T9" s="38"/>
      <c r="U9" s="38"/>
    </row>
    <row r="10" spans="1:21" customFormat="1">
      <c r="A10" s="39" t="s">
        <v>350</v>
      </c>
      <c r="B10" s="40">
        <v>16.510000000000002</v>
      </c>
      <c r="C10" s="40">
        <v>18.98</v>
      </c>
      <c r="D10" s="40">
        <v>23.15</v>
      </c>
      <c r="E10" s="40">
        <v>5.85</v>
      </c>
      <c r="F10" s="40">
        <v>1.3</v>
      </c>
      <c r="G10" s="40">
        <v>100.89</v>
      </c>
      <c r="H10" s="40">
        <v>46.6</v>
      </c>
      <c r="I10" s="40">
        <v>17.489999999999998</v>
      </c>
      <c r="J10" s="40">
        <v>0.24</v>
      </c>
      <c r="K10" s="40">
        <v>197.47</v>
      </c>
      <c r="L10" s="40">
        <v>17.27</v>
      </c>
      <c r="M10" s="40">
        <v>87.6</v>
      </c>
      <c r="N10" s="40">
        <v>6.7</v>
      </c>
      <c r="O10" s="40">
        <v>0</v>
      </c>
      <c r="P10" s="40">
        <v>0.93</v>
      </c>
      <c r="Q10" s="40">
        <v>9.4</v>
      </c>
      <c r="R10" s="38"/>
      <c r="S10" s="38"/>
      <c r="T10" s="38"/>
      <c r="U10" s="38"/>
    </row>
    <row r="11" spans="1:21" customFormat="1">
      <c r="A11" s="39" t="s">
        <v>351</v>
      </c>
      <c r="B11" s="40">
        <v>17.36</v>
      </c>
      <c r="C11" s="40">
        <v>18.8</v>
      </c>
      <c r="D11" s="40">
        <v>23.57</v>
      </c>
      <c r="E11" s="40">
        <v>5.15</v>
      </c>
      <c r="F11" s="40">
        <v>1.25</v>
      </c>
      <c r="G11" s="40">
        <v>101.26</v>
      </c>
      <c r="H11" s="40">
        <v>48.79</v>
      </c>
      <c r="I11" s="40">
        <v>17.850000000000001</v>
      </c>
      <c r="J11" s="40">
        <v>0.17</v>
      </c>
      <c r="K11" s="40">
        <v>187.17</v>
      </c>
      <c r="L11" s="40">
        <v>16.399999999999999</v>
      </c>
      <c r="M11" s="40">
        <v>88.59</v>
      </c>
      <c r="N11" s="40">
        <v>6.8</v>
      </c>
      <c r="O11" s="40">
        <v>0</v>
      </c>
      <c r="P11" s="40">
        <v>0.99</v>
      </c>
      <c r="Q11" s="40">
        <v>9.4499999999999993</v>
      </c>
      <c r="R11" s="38"/>
      <c r="S11" s="38"/>
      <c r="T11" s="38"/>
      <c r="U11" s="38"/>
    </row>
    <row r="12" spans="1:21" customFormat="1">
      <c r="A12" s="39" t="s">
        <v>352</v>
      </c>
      <c r="B12" s="40">
        <v>17.37</v>
      </c>
      <c r="C12" s="40">
        <v>17.760000000000002</v>
      </c>
      <c r="D12" s="40">
        <v>23.21</v>
      </c>
      <c r="E12" s="40">
        <v>4.95</v>
      </c>
      <c r="F12" s="40">
        <v>1.33</v>
      </c>
      <c r="G12" s="40">
        <v>97.01</v>
      </c>
      <c r="H12" s="40">
        <v>49.33</v>
      </c>
      <c r="I12" s="40">
        <v>16.13</v>
      </c>
      <c r="J12" s="40">
        <v>0.14000000000000001</v>
      </c>
      <c r="K12" s="40">
        <v>176.37</v>
      </c>
      <c r="L12" s="40">
        <v>15.84</v>
      </c>
      <c r="M12" s="40">
        <v>89.73</v>
      </c>
      <c r="N12" s="40">
        <v>6.6</v>
      </c>
      <c r="O12" s="40">
        <v>0</v>
      </c>
      <c r="P12" s="40">
        <v>1.03</v>
      </c>
      <c r="Q12" s="40">
        <v>9.3800000000000008</v>
      </c>
      <c r="R12" s="38"/>
      <c r="S12" s="38"/>
      <c r="T12" s="38"/>
      <c r="U12" s="38"/>
    </row>
    <row r="13" spans="1:21" customFormat="1">
      <c r="A13" s="39" t="s">
        <v>353</v>
      </c>
      <c r="B13" s="40">
        <v>16.489999999999998</v>
      </c>
      <c r="C13" s="40">
        <v>16.84</v>
      </c>
      <c r="D13" s="40">
        <v>22.02</v>
      </c>
      <c r="E13" s="40">
        <v>5.26</v>
      </c>
      <c r="F13" s="40">
        <v>1.26</v>
      </c>
      <c r="G13" s="40">
        <v>92.35</v>
      </c>
      <c r="H13" s="40">
        <v>48.51</v>
      </c>
      <c r="I13" s="40">
        <v>16.72</v>
      </c>
      <c r="J13" s="40">
        <v>0.13</v>
      </c>
      <c r="K13" s="40">
        <v>219.13</v>
      </c>
      <c r="L13" s="40">
        <v>15.63</v>
      </c>
      <c r="M13" s="40">
        <v>90.84</v>
      </c>
      <c r="N13" s="40">
        <v>6.6</v>
      </c>
      <c r="O13" s="40">
        <v>0</v>
      </c>
      <c r="P13" s="40">
        <v>1.04</v>
      </c>
      <c r="Q13" s="40">
        <v>9.32</v>
      </c>
      <c r="R13" s="38"/>
      <c r="S13" s="38"/>
      <c r="T13" s="38"/>
      <c r="U13" s="38"/>
    </row>
    <row r="14" spans="1:21" customFormat="1">
      <c r="A14" s="39" t="s">
        <v>354</v>
      </c>
      <c r="B14" s="40">
        <v>14.91</v>
      </c>
      <c r="C14" s="40">
        <v>15.76</v>
      </c>
      <c r="D14" s="40">
        <v>20.190000000000001</v>
      </c>
      <c r="E14" s="40">
        <v>5.39</v>
      </c>
      <c r="F14" s="40">
        <v>1.22</v>
      </c>
      <c r="G14" s="40">
        <v>92.89</v>
      </c>
      <c r="H14" s="40">
        <v>48.22</v>
      </c>
      <c r="I14" s="40">
        <v>17.11</v>
      </c>
      <c r="J14" s="40">
        <v>0.15</v>
      </c>
      <c r="K14" s="40">
        <v>210.5</v>
      </c>
      <c r="L14" s="40">
        <v>15.37</v>
      </c>
      <c r="M14" s="40">
        <v>91.77</v>
      </c>
      <c r="N14" s="40">
        <v>6.8</v>
      </c>
      <c r="O14" s="40">
        <v>0</v>
      </c>
      <c r="P14" s="40">
        <v>1.03</v>
      </c>
      <c r="Q14" s="40">
        <v>9.34</v>
      </c>
      <c r="R14" s="38"/>
      <c r="S14" s="38"/>
      <c r="T14" s="38"/>
      <c r="U14" s="38"/>
    </row>
    <row r="15" spans="1:21" customFormat="1">
      <c r="A15" s="39" t="s">
        <v>355</v>
      </c>
      <c r="B15" s="40">
        <v>15.39</v>
      </c>
      <c r="C15" s="40">
        <v>16.059999999999999</v>
      </c>
      <c r="D15" s="40">
        <v>20.74</v>
      </c>
      <c r="E15" s="40">
        <v>5.35</v>
      </c>
      <c r="F15" s="40">
        <v>1.1499999999999999</v>
      </c>
      <c r="G15" s="40">
        <v>88.46</v>
      </c>
      <c r="H15" s="40">
        <v>47.93</v>
      </c>
      <c r="I15" s="40">
        <v>17.13</v>
      </c>
      <c r="J15" s="40">
        <v>0.14000000000000001</v>
      </c>
      <c r="K15" s="40">
        <v>172.22</v>
      </c>
      <c r="L15" s="40">
        <v>15.5</v>
      </c>
      <c r="M15" s="40">
        <v>89.34</v>
      </c>
      <c r="N15" s="40">
        <v>20.2</v>
      </c>
      <c r="O15" s="40">
        <v>0</v>
      </c>
      <c r="P15" s="40">
        <v>1.06</v>
      </c>
      <c r="Q15" s="40">
        <v>9.35</v>
      </c>
      <c r="R15" s="38"/>
      <c r="S15" s="38"/>
      <c r="T15" s="38"/>
      <c r="U15" s="38"/>
    </row>
    <row r="16" spans="1:21" customFormat="1">
      <c r="A16" s="39" t="s">
        <v>356</v>
      </c>
      <c r="B16" s="40">
        <v>28.47</v>
      </c>
      <c r="C16" s="40">
        <v>19.48</v>
      </c>
      <c r="D16" s="40">
        <v>33.01</v>
      </c>
      <c r="E16" s="40">
        <v>5.89</v>
      </c>
      <c r="F16" s="40">
        <v>1.25</v>
      </c>
      <c r="G16" s="40">
        <v>92.89</v>
      </c>
      <c r="H16" s="40">
        <v>53.31</v>
      </c>
      <c r="I16" s="40">
        <v>18.09</v>
      </c>
      <c r="J16" s="40">
        <v>0.12</v>
      </c>
      <c r="K16" s="40">
        <v>194.37</v>
      </c>
      <c r="L16" s="40">
        <v>17.93</v>
      </c>
      <c r="M16" s="40">
        <v>87.16</v>
      </c>
      <c r="N16" s="40">
        <v>63.5</v>
      </c>
      <c r="O16" s="40">
        <v>0</v>
      </c>
      <c r="P16" s="40">
        <v>1.2</v>
      </c>
      <c r="Q16" s="40">
        <v>9.32</v>
      </c>
      <c r="R16" s="38"/>
      <c r="S16" s="38"/>
      <c r="T16" s="38"/>
      <c r="U16" s="38"/>
    </row>
    <row r="17" spans="1:21" customFormat="1">
      <c r="A17" s="39" t="s">
        <v>357</v>
      </c>
      <c r="B17" s="40">
        <v>29.18</v>
      </c>
      <c r="C17" s="40">
        <v>23.31</v>
      </c>
      <c r="D17" s="40">
        <v>34.21</v>
      </c>
      <c r="E17" s="40">
        <v>5.89</v>
      </c>
      <c r="F17" s="40">
        <v>1.4</v>
      </c>
      <c r="G17" s="40">
        <v>114.65</v>
      </c>
      <c r="H17" s="40">
        <v>63.39</v>
      </c>
      <c r="I17" s="40">
        <v>25.69</v>
      </c>
      <c r="J17" s="40">
        <v>0.56000000000000005</v>
      </c>
      <c r="K17" s="40">
        <v>57.55</v>
      </c>
      <c r="L17" s="40">
        <v>22.36</v>
      </c>
      <c r="M17" s="40">
        <v>73.73</v>
      </c>
      <c r="N17" s="40">
        <v>243.1</v>
      </c>
      <c r="O17" s="40">
        <v>0</v>
      </c>
      <c r="P17" s="40">
        <v>1.38</v>
      </c>
      <c r="Q17" s="40">
        <v>9.34</v>
      </c>
      <c r="R17" s="38"/>
      <c r="S17" s="38"/>
      <c r="T17" s="38"/>
      <c r="U17" s="38"/>
    </row>
    <row r="18" spans="1:21" customFormat="1">
      <c r="A18" s="39" t="s">
        <v>358</v>
      </c>
      <c r="B18" s="40">
        <v>24.89</v>
      </c>
      <c r="C18" s="40">
        <v>24.75</v>
      </c>
      <c r="D18" s="40">
        <v>32.46</v>
      </c>
      <c r="E18" s="40">
        <v>6.02</v>
      </c>
      <c r="F18" s="40">
        <v>1.65</v>
      </c>
      <c r="G18" s="40">
        <v>141.52000000000001</v>
      </c>
      <c r="H18" s="40">
        <v>81.2</v>
      </c>
      <c r="I18" s="40">
        <v>26.44</v>
      </c>
      <c r="J18" s="40">
        <v>0.69</v>
      </c>
      <c r="K18" s="40">
        <v>30.55</v>
      </c>
      <c r="L18" s="40">
        <v>25.11</v>
      </c>
      <c r="M18" s="40">
        <v>47.59</v>
      </c>
      <c r="N18" s="40">
        <v>186.6</v>
      </c>
      <c r="O18" s="40">
        <v>0</v>
      </c>
      <c r="P18" s="40">
        <v>1.4</v>
      </c>
      <c r="Q18" s="40">
        <v>9.3800000000000008</v>
      </c>
      <c r="R18" s="38"/>
      <c r="S18" s="38"/>
      <c r="T18" s="38"/>
      <c r="U18" s="38"/>
    </row>
    <row r="19" spans="1:21" customFormat="1">
      <c r="A19" s="39" t="s">
        <v>359</v>
      </c>
      <c r="B19" s="40">
        <v>19.46</v>
      </c>
      <c r="C19" s="40">
        <v>24.33</v>
      </c>
      <c r="D19" s="40">
        <v>28.32</v>
      </c>
      <c r="E19" s="40">
        <v>5.13</v>
      </c>
      <c r="F19" s="40">
        <v>1.73</v>
      </c>
      <c r="G19" s="40">
        <v>113.4</v>
      </c>
      <c r="H19" s="40">
        <v>71.290000000000006</v>
      </c>
      <c r="I19" s="40">
        <v>23.11</v>
      </c>
      <c r="J19" s="40">
        <v>0.6</v>
      </c>
      <c r="K19" s="40">
        <v>74.92</v>
      </c>
      <c r="L19" s="40">
        <v>27.35</v>
      </c>
      <c r="M19" s="40">
        <v>39.54</v>
      </c>
      <c r="N19" s="40">
        <v>500.3</v>
      </c>
      <c r="O19" s="40">
        <v>0</v>
      </c>
      <c r="P19" s="40">
        <v>1.37</v>
      </c>
      <c r="Q19" s="40">
        <v>9.3699999999999992</v>
      </c>
      <c r="R19" s="38"/>
      <c r="S19" s="38"/>
      <c r="T19" s="38"/>
      <c r="U19" s="38"/>
    </row>
    <row r="20" spans="1:21" customFormat="1">
      <c r="A20" s="39" t="s">
        <v>360</v>
      </c>
      <c r="B20" s="40">
        <v>14.35</v>
      </c>
      <c r="C20" s="40">
        <v>22.92</v>
      </c>
      <c r="D20" s="40">
        <v>23.49</v>
      </c>
      <c r="E20" s="40">
        <v>5.24</v>
      </c>
      <c r="F20" s="40">
        <v>2</v>
      </c>
      <c r="G20" s="40">
        <v>90.8</v>
      </c>
      <c r="H20" s="40">
        <v>47.66</v>
      </c>
      <c r="I20" s="40">
        <v>18.920000000000002</v>
      </c>
      <c r="J20" s="40">
        <v>0.49</v>
      </c>
      <c r="K20" s="40">
        <v>65.239999999999995</v>
      </c>
      <c r="L20" s="40">
        <v>29.17</v>
      </c>
      <c r="M20" s="40">
        <v>29.99</v>
      </c>
      <c r="N20" s="40">
        <v>544.29999999999995</v>
      </c>
      <c r="O20" s="40">
        <v>0</v>
      </c>
      <c r="P20" s="40">
        <v>1.26</v>
      </c>
      <c r="Q20" s="40">
        <v>9.32</v>
      </c>
      <c r="R20" s="38"/>
      <c r="S20" s="38"/>
      <c r="T20" s="38"/>
      <c r="U20" s="38"/>
    </row>
    <row r="21" spans="1:21" customFormat="1">
      <c r="A21" s="39" t="s">
        <v>361</v>
      </c>
      <c r="B21" s="40">
        <v>9.98</v>
      </c>
      <c r="C21" s="40">
        <v>21.41</v>
      </c>
      <c r="D21" s="40">
        <v>19.190000000000001</v>
      </c>
      <c r="E21" s="40">
        <v>5.79</v>
      </c>
      <c r="F21" s="40">
        <v>3.26</v>
      </c>
      <c r="G21" s="40">
        <v>69.83</v>
      </c>
      <c r="H21" s="40">
        <v>32.479999999999997</v>
      </c>
      <c r="I21" s="40">
        <v>17.75</v>
      </c>
      <c r="J21" s="40">
        <v>0.56999999999999995</v>
      </c>
      <c r="K21" s="40">
        <v>353.19</v>
      </c>
      <c r="L21" s="40">
        <v>30.17</v>
      </c>
      <c r="M21" s="40">
        <v>26.8</v>
      </c>
      <c r="N21" s="40">
        <v>544.20000000000005</v>
      </c>
      <c r="O21" s="40">
        <v>0</v>
      </c>
      <c r="P21" s="40">
        <v>1.1299999999999999</v>
      </c>
      <c r="Q21" s="40">
        <v>9.32</v>
      </c>
      <c r="R21" s="38"/>
      <c r="S21" s="38"/>
      <c r="T21" s="38"/>
      <c r="U21" s="38"/>
    </row>
    <row r="22" spans="1:21" customFormat="1">
      <c r="A22" s="39" t="s">
        <v>362</v>
      </c>
      <c r="B22" s="40">
        <v>7</v>
      </c>
      <c r="C22" s="40">
        <v>20.22</v>
      </c>
      <c r="D22" s="40">
        <v>16.18</v>
      </c>
      <c r="E22" s="40">
        <v>7.4</v>
      </c>
      <c r="F22" s="40">
        <v>4.46</v>
      </c>
      <c r="G22" s="40">
        <v>58.09</v>
      </c>
      <c r="H22" s="40">
        <v>21.49</v>
      </c>
      <c r="I22" s="40">
        <v>19.18</v>
      </c>
      <c r="J22" s="40">
        <v>0.59</v>
      </c>
      <c r="K22" s="40">
        <v>336.02</v>
      </c>
      <c r="L22" s="40">
        <v>30</v>
      </c>
      <c r="M22" s="40">
        <v>25.24</v>
      </c>
      <c r="N22" s="40">
        <v>434.4</v>
      </c>
      <c r="O22" s="40">
        <v>0</v>
      </c>
      <c r="P22" s="40">
        <v>1</v>
      </c>
      <c r="Q22" s="40">
        <v>9.32</v>
      </c>
      <c r="R22" s="38"/>
      <c r="S22" s="38"/>
      <c r="T22" s="38"/>
      <c r="U22" s="38"/>
    </row>
    <row r="23" spans="1:21" customFormat="1">
      <c r="A23" s="39" t="s">
        <v>363</v>
      </c>
      <c r="B23" s="40">
        <v>5.19</v>
      </c>
      <c r="C23" s="40">
        <v>20.57</v>
      </c>
      <c r="D23" s="40">
        <v>14.6</v>
      </c>
      <c r="E23" s="40">
        <v>6.98</v>
      </c>
      <c r="F23" s="40">
        <v>5.05</v>
      </c>
      <c r="G23" s="40">
        <v>58.96</v>
      </c>
      <c r="H23" s="40">
        <v>25.51</v>
      </c>
      <c r="I23" s="40">
        <v>17.5</v>
      </c>
      <c r="J23" s="40">
        <v>0.53</v>
      </c>
      <c r="K23" s="40">
        <v>333</v>
      </c>
      <c r="L23" s="40">
        <v>29.8</v>
      </c>
      <c r="M23" s="40">
        <v>26.36</v>
      </c>
      <c r="N23" s="40">
        <v>111.6</v>
      </c>
      <c r="O23" s="40">
        <v>0</v>
      </c>
      <c r="P23" s="40">
        <v>0.82</v>
      </c>
      <c r="Q23" s="40">
        <v>9.34</v>
      </c>
      <c r="R23" s="38"/>
      <c r="S23" s="38"/>
      <c r="T23" s="38"/>
      <c r="U23" s="38"/>
    </row>
    <row r="24" spans="1:21" customFormat="1">
      <c r="A24" s="39" t="s">
        <v>364</v>
      </c>
      <c r="B24" s="40">
        <v>3.72</v>
      </c>
      <c r="C24" s="40">
        <v>20.6</v>
      </c>
      <c r="D24" s="40">
        <v>13.74</v>
      </c>
      <c r="E24" s="40">
        <v>6.28</v>
      </c>
      <c r="F24" s="40">
        <v>6.75</v>
      </c>
      <c r="G24" s="40">
        <v>57.72</v>
      </c>
      <c r="H24" s="40">
        <v>28.76</v>
      </c>
      <c r="I24" s="40">
        <v>16</v>
      </c>
      <c r="J24" s="40">
        <v>0.77</v>
      </c>
      <c r="K24" s="40">
        <v>340.95</v>
      </c>
      <c r="L24" s="40">
        <v>29.61</v>
      </c>
      <c r="M24" s="40">
        <v>24.76</v>
      </c>
      <c r="N24" s="40">
        <v>81.5</v>
      </c>
      <c r="O24" s="40">
        <v>0</v>
      </c>
      <c r="P24" s="40">
        <v>0.76</v>
      </c>
      <c r="Q24" s="40">
        <v>9.43</v>
      </c>
      <c r="R24" s="38"/>
      <c r="S24" s="38"/>
      <c r="T24" s="38"/>
      <c r="U24" s="38"/>
    </row>
    <row r="25" spans="1:21" customFormat="1">
      <c r="A25" s="39" t="s">
        <v>365</v>
      </c>
      <c r="B25" s="40">
        <v>3.66</v>
      </c>
      <c r="C25" s="40">
        <v>20.239999999999998</v>
      </c>
      <c r="D25" s="40">
        <v>13.51</v>
      </c>
      <c r="E25" s="40">
        <v>5.37</v>
      </c>
      <c r="F25" s="40">
        <v>4.87</v>
      </c>
      <c r="G25" s="40">
        <v>59.29</v>
      </c>
      <c r="H25" s="40">
        <v>32.39</v>
      </c>
      <c r="I25" s="40">
        <v>14.67</v>
      </c>
      <c r="J25" s="40">
        <v>0.61</v>
      </c>
      <c r="K25" s="40">
        <v>58.45</v>
      </c>
      <c r="L25" s="40">
        <v>29.07</v>
      </c>
      <c r="M25" s="40">
        <v>29.75</v>
      </c>
      <c r="N25" s="40">
        <v>46.3</v>
      </c>
      <c r="O25" s="40">
        <v>0</v>
      </c>
      <c r="P25" s="40">
        <v>0.68</v>
      </c>
      <c r="Q25" s="40">
        <v>9.6199999999999992</v>
      </c>
      <c r="R25" s="38"/>
      <c r="S25" s="38"/>
      <c r="T25" s="38"/>
      <c r="U25" s="38"/>
    </row>
    <row r="26" spans="1:21" customFormat="1">
      <c r="A26" s="39" t="s">
        <v>366</v>
      </c>
      <c r="B26" s="40">
        <v>4.1399999999999997</v>
      </c>
      <c r="C26" s="40">
        <v>20.74</v>
      </c>
      <c r="D26" s="40">
        <v>14.16</v>
      </c>
      <c r="E26" s="40">
        <v>4.88</v>
      </c>
      <c r="F26" s="40">
        <v>2.2400000000000002</v>
      </c>
      <c r="G26" s="40">
        <v>57.35</v>
      </c>
      <c r="H26" s="40">
        <v>29.28</v>
      </c>
      <c r="I26" s="40">
        <v>13.38</v>
      </c>
      <c r="J26" s="40">
        <v>0.31</v>
      </c>
      <c r="K26" s="40">
        <v>172.28</v>
      </c>
      <c r="L26" s="40">
        <v>26.45</v>
      </c>
      <c r="M26" s="40">
        <v>48.63</v>
      </c>
      <c r="N26" s="40">
        <v>14.9</v>
      </c>
      <c r="O26" s="40">
        <v>0</v>
      </c>
      <c r="P26" s="40">
        <v>0.64</v>
      </c>
      <c r="Q26" s="40">
        <v>9.56</v>
      </c>
      <c r="R26" s="38"/>
      <c r="S26" s="38"/>
      <c r="T26" s="38"/>
      <c r="U26" s="38"/>
    </row>
    <row r="27" spans="1:21" customFormat="1">
      <c r="A27" s="39" t="s">
        <v>367</v>
      </c>
      <c r="B27" s="40">
        <v>4.57</v>
      </c>
      <c r="C27" s="40">
        <v>20.8</v>
      </c>
      <c r="D27" s="40">
        <v>14.33</v>
      </c>
      <c r="E27" s="40">
        <v>6.3</v>
      </c>
      <c r="F27" s="40">
        <v>1.54</v>
      </c>
      <c r="G27" s="40">
        <v>77.040000000000006</v>
      </c>
      <c r="H27" s="40">
        <v>35.31</v>
      </c>
      <c r="I27" s="40">
        <v>12.9</v>
      </c>
      <c r="J27" s="40">
        <v>0.36</v>
      </c>
      <c r="K27" s="40">
        <v>206.39</v>
      </c>
      <c r="L27" s="40">
        <v>22.62</v>
      </c>
      <c r="M27" s="40">
        <v>63.48</v>
      </c>
      <c r="N27" s="40">
        <v>8.5</v>
      </c>
      <c r="O27" s="40">
        <v>0</v>
      </c>
      <c r="P27" s="40">
        <v>0.65</v>
      </c>
      <c r="Q27" s="40">
        <v>9.4700000000000006</v>
      </c>
      <c r="R27" s="38"/>
      <c r="S27" s="38"/>
      <c r="T27" s="38"/>
      <c r="U27" s="38"/>
    </row>
    <row r="28" spans="1:21" customFormat="1">
      <c r="A28" s="39" t="s">
        <v>368</v>
      </c>
      <c r="B28" s="40">
        <v>5.28</v>
      </c>
      <c r="C28" s="40">
        <v>19.809999999999999</v>
      </c>
      <c r="D28" s="40">
        <v>14.11</v>
      </c>
      <c r="E28" s="40">
        <v>6.26</v>
      </c>
      <c r="F28" s="40">
        <v>1.62</v>
      </c>
      <c r="G28" s="40">
        <v>78.38</v>
      </c>
      <c r="H28" s="40">
        <v>35.130000000000003</v>
      </c>
      <c r="I28" s="40">
        <v>13.1</v>
      </c>
      <c r="J28" s="40">
        <v>0.21</v>
      </c>
      <c r="K28" s="40">
        <v>204.75</v>
      </c>
      <c r="L28" s="40">
        <v>20.72</v>
      </c>
      <c r="M28" s="40">
        <v>65.87</v>
      </c>
      <c r="N28" s="40">
        <v>8</v>
      </c>
      <c r="O28" s="40">
        <v>0</v>
      </c>
      <c r="P28" s="40">
        <v>0.68</v>
      </c>
      <c r="Q28" s="40">
        <v>9.32</v>
      </c>
      <c r="R28" s="38"/>
      <c r="S28" s="38"/>
      <c r="T28" s="38"/>
      <c r="U28" s="38"/>
    </row>
    <row r="29" spans="1:21" customFormat="1">
      <c r="A29" s="39" t="s">
        <v>369</v>
      </c>
      <c r="B29" s="40">
        <v>6.03</v>
      </c>
      <c r="C29" s="40">
        <v>18.72</v>
      </c>
      <c r="D29" s="40">
        <v>14.2</v>
      </c>
      <c r="E29" s="40">
        <v>5.89</v>
      </c>
      <c r="F29" s="40">
        <v>1.51</v>
      </c>
      <c r="G29" s="40">
        <v>82.88</v>
      </c>
      <c r="H29" s="40">
        <v>35.659999999999997</v>
      </c>
      <c r="I29" s="40">
        <v>13.16</v>
      </c>
      <c r="J29" s="40">
        <v>0.18</v>
      </c>
      <c r="K29" s="40">
        <v>200.56</v>
      </c>
      <c r="L29" s="40">
        <v>19.86</v>
      </c>
      <c r="M29" s="40">
        <v>78.959999999999994</v>
      </c>
      <c r="N29" s="40">
        <v>8</v>
      </c>
      <c r="O29" s="40">
        <v>0</v>
      </c>
      <c r="P29" s="40">
        <v>0.7</v>
      </c>
      <c r="Q29" s="40">
        <v>9.32</v>
      </c>
      <c r="R29" s="38"/>
      <c r="S29" s="38"/>
      <c r="T29" s="38"/>
      <c r="U29" s="38"/>
    </row>
    <row r="30" spans="1:21" customFormat="1">
      <c r="A30" s="39" t="s">
        <v>370</v>
      </c>
      <c r="B30" s="40">
        <v>6.7</v>
      </c>
      <c r="C30" s="40">
        <v>17.66</v>
      </c>
      <c r="D30" s="40">
        <v>14.34</v>
      </c>
      <c r="E30" s="40">
        <v>5.81</v>
      </c>
      <c r="F30" s="40">
        <v>1.37</v>
      </c>
      <c r="G30" s="40">
        <v>90.2</v>
      </c>
      <c r="H30" s="40">
        <v>38.9</v>
      </c>
      <c r="I30" s="40">
        <v>13.59</v>
      </c>
      <c r="J30" s="40">
        <v>0.22</v>
      </c>
      <c r="K30" s="40">
        <v>228.36</v>
      </c>
      <c r="L30" s="40">
        <v>18.96</v>
      </c>
      <c r="M30" s="40">
        <v>82.2</v>
      </c>
      <c r="N30" s="40">
        <v>8.1</v>
      </c>
      <c r="O30" s="40">
        <v>0</v>
      </c>
      <c r="P30" s="40">
        <v>0.74</v>
      </c>
      <c r="Q30" s="40">
        <v>9.32</v>
      </c>
      <c r="R30" s="38"/>
      <c r="S30" s="38"/>
      <c r="T30" s="38"/>
      <c r="U30" s="38"/>
    </row>
    <row r="31" spans="1:21" customFormat="1">
      <c r="A31" s="39" t="s">
        <v>371</v>
      </c>
      <c r="B31" s="40">
        <v>7.36</v>
      </c>
      <c r="C31" s="40">
        <v>16.989999999999998</v>
      </c>
      <c r="D31" s="40">
        <v>14.44</v>
      </c>
      <c r="E31" s="40">
        <v>5.87</v>
      </c>
      <c r="F31" s="40">
        <v>1.31</v>
      </c>
      <c r="G31" s="40">
        <v>98.43</v>
      </c>
      <c r="H31" s="40">
        <v>43.67</v>
      </c>
      <c r="I31" s="40">
        <v>14.2</v>
      </c>
      <c r="J31" s="40">
        <v>0.18</v>
      </c>
      <c r="K31" s="40">
        <v>198.67</v>
      </c>
      <c r="L31" s="40">
        <v>18.309999999999999</v>
      </c>
      <c r="M31" s="40">
        <v>82.79</v>
      </c>
      <c r="N31" s="40">
        <v>7.9</v>
      </c>
      <c r="O31" s="40">
        <v>0</v>
      </c>
      <c r="P31" s="40">
        <v>0.77</v>
      </c>
      <c r="Q31" s="40">
        <v>9.32</v>
      </c>
      <c r="R31" s="38"/>
      <c r="S31" s="38"/>
      <c r="T31" s="38"/>
      <c r="U31" s="38"/>
    </row>
    <row r="32" spans="1:21" customFormat="1">
      <c r="A32" s="39" t="s">
        <v>372</v>
      </c>
      <c r="B32" s="40">
        <v>13.35</v>
      </c>
      <c r="C32" s="40">
        <v>17.690000000000001</v>
      </c>
      <c r="D32" s="40">
        <v>19.95</v>
      </c>
      <c r="E32" s="40">
        <v>5.81</v>
      </c>
      <c r="F32" s="40">
        <v>1.3</v>
      </c>
      <c r="G32" s="40">
        <v>91.83</v>
      </c>
      <c r="H32" s="40">
        <v>45.46</v>
      </c>
      <c r="I32" s="40">
        <v>14.84</v>
      </c>
      <c r="J32" s="40">
        <v>0.16</v>
      </c>
      <c r="K32" s="40">
        <v>209.24</v>
      </c>
      <c r="L32" s="40">
        <v>18.309999999999999</v>
      </c>
      <c r="M32" s="40">
        <v>84.1</v>
      </c>
      <c r="N32" s="40">
        <v>7.9</v>
      </c>
      <c r="O32" s="40">
        <v>0</v>
      </c>
      <c r="P32" s="40">
        <v>0.83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3.66</v>
      </c>
      <c r="C34" s="18">
        <f t="shared" si="0"/>
        <v>15.76</v>
      </c>
      <c r="D34" s="18">
        <f t="shared" si="0"/>
        <v>13.51</v>
      </c>
      <c r="E34" s="18">
        <f t="shared" si="0"/>
        <v>4.88</v>
      </c>
      <c r="F34" s="18">
        <f t="shared" si="0"/>
        <v>1.1499999999999999</v>
      </c>
      <c r="G34" s="18">
        <f t="shared" si="0"/>
        <v>57.35</v>
      </c>
      <c r="H34" s="18">
        <f t="shared" si="0"/>
        <v>21.49</v>
      </c>
      <c r="I34" s="18">
        <f t="shared" si="0"/>
        <v>12.9</v>
      </c>
      <c r="J34" s="18">
        <f t="shared" si="0"/>
        <v>0.12</v>
      </c>
      <c r="K34" s="18">
        <f t="shared" si="0"/>
        <v>30.55</v>
      </c>
      <c r="L34" s="18">
        <f t="shared" si="0"/>
        <v>15.37</v>
      </c>
      <c r="M34" s="18">
        <f t="shared" si="0"/>
        <v>24.76</v>
      </c>
      <c r="N34" s="18">
        <f t="shared" si="0"/>
        <v>6.5</v>
      </c>
      <c r="O34" s="18">
        <f t="shared" si="0"/>
        <v>0</v>
      </c>
      <c r="P34" s="18">
        <f t="shared" si="0"/>
        <v>0.64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29.18</v>
      </c>
      <c r="C35" s="3">
        <f t="shared" si="1"/>
        <v>24.75</v>
      </c>
      <c r="D35" s="3">
        <f t="shared" si="1"/>
        <v>34.21</v>
      </c>
      <c r="E35" s="3">
        <f t="shared" si="1"/>
        <v>7.4</v>
      </c>
      <c r="F35" s="3">
        <f t="shared" si="1"/>
        <v>6.75</v>
      </c>
      <c r="G35" s="3">
        <f t="shared" si="1"/>
        <v>141.52000000000001</v>
      </c>
      <c r="H35" s="3">
        <f t="shared" si="1"/>
        <v>81.2</v>
      </c>
      <c r="I35" s="3">
        <f t="shared" si="1"/>
        <v>26.44</v>
      </c>
      <c r="J35" s="3">
        <f t="shared" si="1"/>
        <v>0.77</v>
      </c>
      <c r="K35" s="3">
        <f t="shared" si="1"/>
        <v>353.19</v>
      </c>
      <c r="L35" s="3">
        <f t="shared" si="1"/>
        <v>30.17</v>
      </c>
      <c r="M35" s="3">
        <f t="shared" si="1"/>
        <v>91.77</v>
      </c>
      <c r="N35" s="3">
        <f t="shared" si="1"/>
        <v>544.29999999999995</v>
      </c>
      <c r="O35" s="3">
        <f t="shared" si="1"/>
        <v>0</v>
      </c>
      <c r="P35" s="3">
        <f t="shared" si="1"/>
        <v>1.4</v>
      </c>
      <c r="Q35" s="3">
        <f t="shared" si="1"/>
        <v>9.6199999999999992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12.540416666666665</v>
      </c>
      <c r="C36" s="18">
        <f t="shared" si="2"/>
        <v>19.652500000000003</v>
      </c>
      <c r="D36" s="18">
        <f t="shared" si="2"/>
        <v>20.159166666666668</v>
      </c>
      <c r="E36" s="18">
        <f t="shared" si="2"/>
        <v>5.772916666666668</v>
      </c>
      <c r="F36" s="18">
        <f t="shared" si="2"/>
        <v>2.179583333333333</v>
      </c>
      <c r="G36" s="18">
        <f t="shared" si="2"/>
        <v>87.964999999999989</v>
      </c>
      <c r="H36" s="18">
        <f t="shared" si="2"/>
        <v>43.986249999999991</v>
      </c>
      <c r="I36" s="18">
        <f t="shared" si="2"/>
        <v>17.126249999999999</v>
      </c>
      <c r="J36" s="18">
        <f t="shared" si="2"/>
        <v>0.34583333333333338</v>
      </c>
      <c r="K36" s="18">
        <f t="shared" si="2"/>
        <v>197.83624999999998</v>
      </c>
      <c r="L36" s="18">
        <f t="shared" si="2"/>
        <v>22.046666666666667</v>
      </c>
      <c r="M36" s="18">
        <f t="shared" si="2"/>
        <v>64.168333333333337</v>
      </c>
      <c r="N36" s="18">
        <f t="shared" si="2"/>
        <v>119.97083333333335</v>
      </c>
      <c r="O36" s="18">
        <f t="shared" si="2"/>
        <v>0</v>
      </c>
      <c r="P36" s="18">
        <f t="shared" si="2"/>
        <v>0.95499999999999974</v>
      </c>
      <c r="Q36" s="18">
        <f t="shared" si="2"/>
        <v>9.3791666666666647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7.7270436886733505</v>
      </c>
      <c r="C37" s="18">
        <f t="shared" ref="C37:Q37" si="3">STDEV(C9:C32)</f>
        <v>2.4881654670266737</v>
      </c>
      <c r="D37" s="18">
        <f t="shared" si="3"/>
        <v>6.5242370312994966</v>
      </c>
      <c r="E37" s="18">
        <f t="shared" si="3"/>
        <v>0.6010243369641225</v>
      </c>
      <c r="F37" s="18">
        <f t="shared" si="3"/>
        <v>1.5285926439095854</v>
      </c>
      <c r="G37" s="18">
        <f t="shared" si="3"/>
        <v>20.980198739059485</v>
      </c>
      <c r="H37" s="18">
        <f t="shared" si="3"/>
        <v>14.042339026176782</v>
      </c>
      <c r="I37" s="18">
        <f t="shared" si="3"/>
        <v>3.6422912192858719</v>
      </c>
      <c r="J37" s="18">
        <f t="shared" si="3"/>
        <v>0.21455548925864018</v>
      </c>
      <c r="K37" s="18">
        <f t="shared" si="3"/>
        <v>93.382105855574636</v>
      </c>
      <c r="L37" s="18">
        <f t="shared" si="3"/>
        <v>5.5527851739830361</v>
      </c>
      <c r="M37" s="18">
        <f t="shared" si="3"/>
        <v>26.068612589066557</v>
      </c>
      <c r="N37" s="18">
        <f t="shared" si="3"/>
        <v>187.25301989592833</v>
      </c>
      <c r="O37" s="18">
        <f t="shared" si="3"/>
        <v>0</v>
      </c>
      <c r="P37" s="18">
        <f t="shared" si="3"/>
        <v>0.24176884396680157</v>
      </c>
      <c r="Q37" s="18">
        <f t="shared" si="3"/>
        <v>8.2299382778955807E-2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I18" sqref="I1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373</v>
      </c>
      <c r="B9" s="40">
        <v>24.43</v>
      </c>
      <c r="C9" s="40">
        <v>20.170000000000002</v>
      </c>
      <c r="D9" s="40">
        <v>30.13</v>
      </c>
      <c r="E9" s="40">
        <v>6.27</v>
      </c>
      <c r="F9" s="40">
        <v>1.19</v>
      </c>
      <c r="G9" s="40">
        <v>93.98</v>
      </c>
      <c r="H9" s="40">
        <v>50.31</v>
      </c>
      <c r="I9" s="40">
        <v>15.84</v>
      </c>
      <c r="J9" s="40">
        <v>0.16</v>
      </c>
      <c r="K9" s="40">
        <v>201.09</v>
      </c>
      <c r="L9" s="40">
        <v>18.27</v>
      </c>
      <c r="M9" s="40">
        <v>83.6</v>
      </c>
      <c r="N9" s="40">
        <v>7.9</v>
      </c>
      <c r="O9" s="40">
        <v>0</v>
      </c>
      <c r="P9" s="40">
        <v>0.89</v>
      </c>
      <c r="Q9" s="40">
        <v>9.32</v>
      </c>
      <c r="R9" s="38"/>
      <c r="S9" s="38"/>
      <c r="T9" s="38"/>
      <c r="U9" s="38"/>
    </row>
    <row r="10" spans="1:21" customFormat="1">
      <c r="A10" s="39" t="s">
        <v>374</v>
      </c>
      <c r="B10" s="40">
        <v>25.97</v>
      </c>
      <c r="C10" s="40">
        <v>20.440000000000001</v>
      </c>
      <c r="D10" s="40">
        <v>31.43</v>
      </c>
      <c r="E10" s="40">
        <v>6.41</v>
      </c>
      <c r="F10" s="40">
        <v>1.22</v>
      </c>
      <c r="G10" s="40">
        <v>99.47</v>
      </c>
      <c r="H10" s="40">
        <v>52.79</v>
      </c>
      <c r="I10" s="40">
        <v>16.88</v>
      </c>
      <c r="J10" s="40">
        <v>0.34</v>
      </c>
      <c r="K10" s="40">
        <v>198.92</v>
      </c>
      <c r="L10" s="40">
        <v>17.55</v>
      </c>
      <c r="M10" s="40">
        <v>87.02</v>
      </c>
      <c r="N10" s="40">
        <v>8.4</v>
      </c>
      <c r="O10" s="40">
        <v>0</v>
      </c>
      <c r="P10" s="40">
        <v>0.91</v>
      </c>
      <c r="Q10" s="40">
        <v>9.32</v>
      </c>
      <c r="R10" s="38"/>
      <c r="S10" s="38"/>
      <c r="T10" s="38"/>
      <c r="U10" s="38"/>
    </row>
    <row r="11" spans="1:21" customFormat="1">
      <c r="A11" s="39" t="s">
        <v>375</v>
      </c>
      <c r="B11" s="40">
        <v>24.41</v>
      </c>
      <c r="C11" s="40">
        <v>19.059999999999999</v>
      </c>
      <c r="D11" s="40">
        <v>29.53</v>
      </c>
      <c r="E11" s="40">
        <v>5.97</v>
      </c>
      <c r="F11" s="40">
        <v>1.17</v>
      </c>
      <c r="G11" s="40">
        <v>87.39</v>
      </c>
      <c r="H11" s="40">
        <v>51.13</v>
      </c>
      <c r="I11" s="40">
        <v>17.39</v>
      </c>
      <c r="J11" s="40">
        <v>0.16</v>
      </c>
      <c r="K11" s="40">
        <v>193.03</v>
      </c>
      <c r="L11" s="40">
        <v>16.73</v>
      </c>
      <c r="M11" s="40">
        <v>88.44</v>
      </c>
      <c r="N11" s="40">
        <v>8</v>
      </c>
      <c r="O11" s="40">
        <v>0</v>
      </c>
      <c r="P11" s="40">
        <v>0.92</v>
      </c>
      <c r="Q11" s="40">
        <v>9.3800000000000008</v>
      </c>
      <c r="R11" s="38"/>
      <c r="S11" s="38"/>
      <c r="T11" s="38"/>
      <c r="U11" s="38"/>
    </row>
    <row r="12" spans="1:21" customFormat="1">
      <c r="A12" s="39" t="s">
        <v>376</v>
      </c>
      <c r="B12" s="40">
        <v>25.65</v>
      </c>
      <c r="C12" s="40">
        <v>18.53</v>
      </c>
      <c r="D12" s="40">
        <v>30.21</v>
      </c>
      <c r="E12" s="40">
        <v>5.82</v>
      </c>
      <c r="F12" s="40">
        <v>1.26</v>
      </c>
      <c r="G12" s="40">
        <v>81.94</v>
      </c>
      <c r="H12" s="40">
        <v>47.42</v>
      </c>
      <c r="I12" s="40">
        <v>17.829999999999998</v>
      </c>
      <c r="J12" s="40">
        <v>0.18</v>
      </c>
      <c r="K12" s="40">
        <v>166.53</v>
      </c>
      <c r="L12" s="40">
        <v>16.579999999999998</v>
      </c>
      <c r="M12" s="40">
        <v>88</v>
      </c>
      <c r="N12" s="40">
        <v>7.9</v>
      </c>
      <c r="O12" s="40">
        <v>0</v>
      </c>
      <c r="P12" s="40">
        <v>0.93</v>
      </c>
      <c r="Q12" s="40">
        <v>9.7200000000000006</v>
      </c>
      <c r="R12" s="38"/>
      <c r="S12" s="38"/>
      <c r="T12" s="38"/>
      <c r="U12" s="38"/>
    </row>
    <row r="13" spans="1:21" customFormat="1">
      <c r="A13" s="39" t="s">
        <v>377</v>
      </c>
      <c r="B13" s="40">
        <v>30.52</v>
      </c>
      <c r="C13" s="40">
        <v>18.97</v>
      </c>
      <c r="D13" s="40">
        <v>34.380000000000003</v>
      </c>
      <c r="E13" s="40">
        <v>5.88</v>
      </c>
      <c r="F13" s="40">
        <v>1.31</v>
      </c>
      <c r="G13" s="40">
        <v>81.14</v>
      </c>
      <c r="H13" s="40">
        <v>49.01</v>
      </c>
      <c r="I13" s="40">
        <v>16.260000000000002</v>
      </c>
      <c r="J13" s="40">
        <v>0.27</v>
      </c>
      <c r="K13" s="40">
        <v>185.64</v>
      </c>
      <c r="L13" s="40">
        <v>16.45</v>
      </c>
      <c r="M13" s="40">
        <v>86.8</v>
      </c>
      <c r="N13" s="40">
        <v>8.1999999999999993</v>
      </c>
      <c r="O13" s="40">
        <v>0</v>
      </c>
      <c r="P13" s="40">
        <v>0.94</v>
      </c>
      <c r="Q13" s="40">
        <v>9.83</v>
      </c>
      <c r="R13" s="38"/>
      <c r="S13" s="38"/>
      <c r="T13" s="38"/>
      <c r="U13" s="38"/>
    </row>
    <row r="14" spans="1:21" customFormat="1">
      <c r="A14" s="39" t="s">
        <v>378</v>
      </c>
      <c r="B14" s="40">
        <v>28.76</v>
      </c>
      <c r="C14" s="40">
        <v>18.53</v>
      </c>
      <c r="D14" s="40">
        <v>32.74</v>
      </c>
      <c r="E14" s="40">
        <v>5.78</v>
      </c>
      <c r="F14" s="40">
        <v>1.41</v>
      </c>
      <c r="G14" s="40">
        <v>78.13</v>
      </c>
      <c r="H14" s="40">
        <v>49.9</v>
      </c>
      <c r="I14" s="40">
        <v>14.8</v>
      </c>
      <c r="J14" s="40">
        <v>0.11</v>
      </c>
      <c r="K14" s="40">
        <v>195.45</v>
      </c>
      <c r="L14" s="40">
        <v>15.73</v>
      </c>
      <c r="M14" s="40">
        <v>89.53</v>
      </c>
      <c r="N14" s="40">
        <v>8.1999999999999993</v>
      </c>
      <c r="O14" s="40">
        <v>0</v>
      </c>
      <c r="P14" s="40">
        <v>0.93</v>
      </c>
      <c r="Q14" s="40">
        <v>9.83</v>
      </c>
      <c r="R14" s="38"/>
      <c r="S14" s="38"/>
      <c r="T14" s="38"/>
      <c r="U14" s="38"/>
    </row>
    <row r="15" spans="1:21" customFormat="1">
      <c r="A15" s="39" t="s">
        <v>379</v>
      </c>
      <c r="B15" s="40">
        <v>27.34</v>
      </c>
      <c r="C15" s="40">
        <v>18.13</v>
      </c>
      <c r="D15" s="40">
        <v>31.4</v>
      </c>
      <c r="E15" s="40">
        <v>5.39</v>
      </c>
      <c r="F15" s="40">
        <v>1.31</v>
      </c>
      <c r="G15" s="40">
        <v>72.88</v>
      </c>
      <c r="H15" s="40">
        <v>48.21</v>
      </c>
      <c r="I15" s="40">
        <v>14.53</v>
      </c>
      <c r="J15" s="40">
        <v>0.18</v>
      </c>
      <c r="K15" s="40">
        <v>192.05</v>
      </c>
      <c r="L15" s="40">
        <v>15.78</v>
      </c>
      <c r="M15" s="40">
        <v>88.48</v>
      </c>
      <c r="N15" s="40">
        <v>21.4</v>
      </c>
      <c r="O15" s="40">
        <v>0</v>
      </c>
      <c r="P15" s="40">
        <v>0.92</v>
      </c>
      <c r="Q15" s="40">
        <v>9.86</v>
      </c>
      <c r="R15" s="38"/>
      <c r="S15" s="38"/>
      <c r="T15" s="38"/>
      <c r="U15" s="38"/>
    </row>
    <row r="16" spans="1:21" customFormat="1">
      <c r="A16" s="39" t="s">
        <v>380</v>
      </c>
      <c r="B16" s="40">
        <v>34.35</v>
      </c>
      <c r="C16" s="40">
        <v>20.55</v>
      </c>
      <c r="D16" s="40">
        <v>38.28</v>
      </c>
      <c r="E16" s="40">
        <v>5.63</v>
      </c>
      <c r="F16" s="40">
        <v>1.24</v>
      </c>
      <c r="G16" s="40">
        <v>75.86</v>
      </c>
      <c r="H16" s="40">
        <v>53.96</v>
      </c>
      <c r="I16" s="40">
        <v>15.07</v>
      </c>
      <c r="J16" s="40">
        <v>0.56999999999999995</v>
      </c>
      <c r="K16" s="40">
        <v>134.78</v>
      </c>
      <c r="L16" s="40">
        <v>18.41</v>
      </c>
      <c r="M16" s="40">
        <v>87.87</v>
      </c>
      <c r="N16" s="40">
        <v>70.099999999999994</v>
      </c>
      <c r="O16" s="40">
        <v>0</v>
      </c>
      <c r="P16" s="40">
        <v>0.99</v>
      </c>
      <c r="Q16" s="40">
        <v>9.32</v>
      </c>
      <c r="R16" s="38"/>
      <c r="S16" s="38"/>
      <c r="T16" s="38"/>
      <c r="U16" s="38"/>
    </row>
    <row r="17" spans="1:21" customFormat="1">
      <c r="A17" s="39" t="s">
        <v>381</v>
      </c>
      <c r="B17" s="40">
        <v>34.130000000000003</v>
      </c>
      <c r="C17" s="40">
        <v>22.19</v>
      </c>
      <c r="D17" s="40">
        <v>38.549999999999997</v>
      </c>
      <c r="E17" s="40">
        <v>5.95</v>
      </c>
      <c r="F17" s="40">
        <v>1.25</v>
      </c>
      <c r="G17" s="40">
        <v>90.02</v>
      </c>
      <c r="H17" s="40">
        <v>64.2</v>
      </c>
      <c r="I17" s="40">
        <v>16.329999999999998</v>
      </c>
      <c r="J17" s="40">
        <v>1.03</v>
      </c>
      <c r="K17" s="40">
        <v>47.49</v>
      </c>
      <c r="L17" s="40">
        <v>21.46</v>
      </c>
      <c r="M17" s="40">
        <v>64.16</v>
      </c>
      <c r="N17" s="40">
        <v>242.4</v>
      </c>
      <c r="O17" s="40">
        <v>0</v>
      </c>
      <c r="P17" s="40">
        <v>1</v>
      </c>
      <c r="Q17" s="40">
        <v>9.32</v>
      </c>
      <c r="R17" s="38"/>
      <c r="S17" s="38"/>
      <c r="T17" s="38"/>
      <c r="U17" s="38"/>
    </row>
    <row r="18" spans="1:21" customFormat="1">
      <c r="A18" s="39" t="s">
        <v>382</v>
      </c>
      <c r="B18" s="40">
        <v>28.92</v>
      </c>
      <c r="C18" s="40">
        <v>22.66</v>
      </c>
      <c r="D18" s="40">
        <v>34.93</v>
      </c>
      <c r="E18" s="40">
        <v>5.92</v>
      </c>
      <c r="F18" s="40">
        <v>1.32</v>
      </c>
      <c r="G18" s="40">
        <v>89.02</v>
      </c>
      <c r="H18" s="40">
        <v>56.78</v>
      </c>
      <c r="I18" s="40">
        <v>16.27</v>
      </c>
      <c r="J18" s="40">
        <v>0.86</v>
      </c>
      <c r="K18" s="40">
        <v>41.43</v>
      </c>
      <c r="L18" s="40">
        <v>24.05</v>
      </c>
      <c r="M18" s="40">
        <v>50.85</v>
      </c>
      <c r="N18" s="40">
        <v>188</v>
      </c>
      <c r="O18" s="40">
        <v>0</v>
      </c>
      <c r="P18" s="40">
        <v>0.98</v>
      </c>
      <c r="Q18" s="40">
        <v>9.32</v>
      </c>
      <c r="R18" s="38"/>
      <c r="S18" s="38"/>
      <c r="T18" s="38"/>
      <c r="U18" s="38"/>
    </row>
    <row r="19" spans="1:21" customFormat="1">
      <c r="A19" s="39" t="s">
        <v>383</v>
      </c>
      <c r="B19" s="40">
        <v>23.48</v>
      </c>
      <c r="C19" s="40">
        <v>24.3</v>
      </c>
      <c r="D19" s="40">
        <v>30.85</v>
      </c>
      <c r="E19" s="40">
        <v>6.26</v>
      </c>
      <c r="F19" s="40">
        <v>2.0699999999999998</v>
      </c>
      <c r="G19" s="40">
        <v>88.56</v>
      </c>
      <c r="H19" s="40">
        <v>52.31</v>
      </c>
      <c r="I19" s="40">
        <v>15.42</v>
      </c>
      <c r="J19" s="40">
        <v>0.89</v>
      </c>
      <c r="K19" s="40">
        <v>34.67</v>
      </c>
      <c r="L19" s="40">
        <v>26.1</v>
      </c>
      <c r="M19" s="40">
        <v>44.27</v>
      </c>
      <c r="N19" s="40">
        <v>451.5</v>
      </c>
      <c r="O19" s="40">
        <v>0</v>
      </c>
      <c r="P19" s="40">
        <v>0.89</v>
      </c>
      <c r="Q19" s="40">
        <v>9.32</v>
      </c>
      <c r="R19" s="38"/>
      <c r="S19" s="38"/>
      <c r="T19" s="38"/>
      <c r="U19" s="38"/>
    </row>
    <row r="20" spans="1:21" customFormat="1">
      <c r="A20" s="39" t="s">
        <v>384</v>
      </c>
      <c r="B20" s="40">
        <v>15.25</v>
      </c>
      <c r="C20" s="40">
        <v>25.46</v>
      </c>
      <c r="D20" s="40">
        <v>25.08</v>
      </c>
      <c r="E20" s="40">
        <v>6.21</v>
      </c>
      <c r="F20" s="40">
        <v>2.46</v>
      </c>
      <c r="G20" s="40">
        <v>88.06</v>
      </c>
      <c r="H20" s="40">
        <v>51.23</v>
      </c>
      <c r="I20" s="40">
        <v>14.33</v>
      </c>
      <c r="J20" s="40">
        <v>0.89</v>
      </c>
      <c r="K20" s="40">
        <v>49.13</v>
      </c>
      <c r="L20" s="40">
        <v>28.05</v>
      </c>
      <c r="M20" s="40">
        <v>37.08</v>
      </c>
      <c r="N20" s="40">
        <v>507</v>
      </c>
      <c r="O20" s="40">
        <v>0</v>
      </c>
      <c r="P20" s="40">
        <v>0.82</v>
      </c>
      <c r="Q20" s="40">
        <v>9.32</v>
      </c>
      <c r="R20" s="38"/>
      <c r="S20" s="38"/>
      <c r="T20" s="38"/>
      <c r="U20" s="38"/>
    </row>
    <row r="21" spans="1:21" customFormat="1">
      <c r="A21" s="39" t="s">
        <v>385</v>
      </c>
      <c r="B21" s="40">
        <v>7.57</v>
      </c>
      <c r="C21" s="40">
        <v>25.52</v>
      </c>
      <c r="D21" s="40">
        <v>19.399999999999999</v>
      </c>
      <c r="E21" s="40">
        <v>6.32</v>
      </c>
      <c r="F21" s="40">
        <v>3.68</v>
      </c>
      <c r="G21" s="40">
        <v>88.28</v>
      </c>
      <c r="H21" s="40">
        <v>47.35</v>
      </c>
      <c r="I21" s="40">
        <v>15.31</v>
      </c>
      <c r="J21" s="40">
        <v>0.53</v>
      </c>
      <c r="K21" s="40">
        <v>89.66</v>
      </c>
      <c r="L21" s="40">
        <v>29.51</v>
      </c>
      <c r="M21" s="40">
        <v>28.93</v>
      </c>
      <c r="N21" s="40">
        <v>515</v>
      </c>
      <c r="O21" s="40">
        <v>0</v>
      </c>
      <c r="P21" s="40">
        <v>0.75</v>
      </c>
      <c r="Q21" s="40">
        <v>9.32</v>
      </c>
      <c r="R21" s="38"/>
      <c r="S21" s="38"/>
      <c r="T21" s="38"/>
      <c r="U21" s="38"/>
    </row>
    <row r="22" spans="1:21" customFormat="1">
      <c r="A22" s="39" t="s">
        <v>386</v>
      </c>
      <c r="B22" s="40">
        <v>3.65</v>
      </c>
      <c r="C22" s="40">
        <v>22.77</v>
      </c>
      <c r="D22" s="40">
        <v>14.82</v>
      </c>
      <c r="E22" s="40">
        <v>6.44</v>
      </c>
      <c r="F22" s="40">
        <v>6.04</v>
      </c>
      <c r="G22" s="40">
        <v>77.25</v>
      </c>
      <c r="H22" s="40">
        <v>41.4</v>
      </c>
      <c r="I22" s="40">
        <v>14.97</v>
      </c>
      <c r="J22" s="40">
        <v>0.64</v>
      </c>
      <c r="K22" s="40">
        <v>102.79</v>
      </c>
      <c r="L22" s="40">
        <v>29.72</v>
      </c>
      <c r="M22" s="40">
        <v>27.06</v>
      </c>
      <c r="N22" s="40">
        <v>385.7</v>
      </c>
      <c r="O22" s="40">
        <v>0</v>
      </c>
      <c r="P22" s="40">
        <v>0.67</v>
      </c>
      <c r="Q22" s="40">
        <v>9.32</v>
      </c>
      <c r="R22" s="38"/>
      <c r="S22" s="38"/>
      <c r="T22" s="38"/>
      <c r="U22" s="38"/>
    </row>
    <row r="23" spans="1:21" customFormat="1">
      <c r="A23" s="39" t="s">
        <v>387</v>
      </c>
      <c r="B23" s="40">
        <v>3.1</v>
      </c>
      <c r="C23" s="40">
        <v>19.239999999999998</v>
      </c>
      <c r="D23" s="40">
        <v>12.54</v>
      </c>
      <c r="E23" s="40">
        <v>6.48</v>
      </c>
      <c r="F23" s="40">
        <v>7.71</v>
      </c>
      <c r="G23" s="40">
        <v>65.739999999999995</v>
      </c>
      <c r="H23" s="40">
        <v>34.85</v>
      </c>
      <c r="I23" s="40">
        <v>13.74</v>
      </c>
      <c r="J23" s="40">
        <v>0.31</v>
      </c>
      <c r="K23" s="40">
        <v>323.63</v>
      </c>
      <c r="L23" s="40">
        <v>29</v>
      </c>
      <c r="M23" s="40">
        <v>28.29</v>
      </c>
      <c r="N23" s="40">
        <v>115.6</v>
      </c>
      <c r="O23" s="40">
        <v>0</v>
      </c>
      <c r="P23" s="40">
        <v>0.67</v>
      </c>
      <c r="Q23" s="40">
        <v>9.32</v>
      </c>
      <c r="R23" s="38"/>
      <c r="S23" s="38"/>
      <c r="T23" s="38"/>
      <c r="U23" s="38"/>
    </row>
    <row r="24" spans="1:21" customFormat="1">
      <c r="A24" s="39" t="s">
        <v>388</v>
      </c>
      <c r="B24" s="40">
        <v>3.47</v>
      </c>
      <c r="C24" s="40">
        <v>17.13</v>
      </c>
      <c r="D24" s="40">
        <v>11.73</v>
      </c>
      <c r="E24" s="40">
        <v>8.93</v>
      </c>
      <c r="F24" s="40">
        <v>6.34</v>
      </c>
      <c r="G24" s="40">
        <v>52.09</v>
      </c>
      <c r="H24" s="40">
        <v>31.97</v>
      </c>
      <c r="I24" s="40">
        <v>12.38</v>
      </c>
      <c r="J24" s="40">
        <v>0.57999999999999996</v>
      </c>
      <c r="K24" s="40">
        <v>79.81</v>
      </c>
      <c r="L24" s="40">
        <v>28.86</v>
      </c>
      <c r="M24" s="40">
        <v>27.92</v>
      </c>
      <c r="N24" s="40">
        <v>82.9</v>
      </c>
      <c r="O24" s="40">
        <v>0</v>
      </c>
      <c r="P24" s="40">
        <v>0.65</v>
      </c>
      <c r="Q24" s="40">
        <v>9.32</v>
      </c>
      <c r="R24" s="38"/>
      <c r="S24" s="38"/>
      <c r="T24" s="38"/>
      <c r="U24" s="38"/>
    </row>
    <row r="25" spans="1:21" customFormat="1">
      <c r="A25" s="39" t="s">
        <v>389</v>
      </c>
      <c r="B25" s="40">
        <v>4.2300000000000004</v>
      </c>
      <c r="C25" s="40">
        <v>19.690000000000001</v>
      </c>
      <c r="D25" s="40">
        <v>13.68</v>
      </c>
      <c r="E25" s="40">
        <v>8.36</v>
      </c>
      <c r="F25" s="40">
        <v>5.39</v>
      </c>
      <c r="G25" s="40">
        <v>55.26</v>
      </c>
      <c r="H25" s="40">
        <v>32.96</v>
      </c>
      <c r="I25" s="40">
        <v>11.92</v>
      </c>
      <c r="J25" s="40">
        <v>0.63</v>
      </c>
      <c r="K25" s="40">
        <v>50.37</v>
      </c>
      <c r="L25" s="40">
        <v>28.48</v>
      </c>
      <c r="M25" s="40">
        <v>33.869999999999997</v>
      </c>
      <c r="N25" s="40">
        <v>48.8</v>
      </c>
      <c r="O25" s="40">
        <v>0</v>
      </c>
      <c r="P25" s="40">
        <v>0.65</v>
      </c>
      <c r="Q25" s="40">
        <v>9.32</v>
      </c>
      <c r="R25" s="38"/>
      <c r="S25" s="38"/>
      <c r="T25" s="38"/>
      <c r="U25" s="38"/>
    </row>
    <row r="26" spans="1:21" customFormat="1">
      <c r="A26" s="39" t="s">
        <v>390</v>
      </c>
      <c r="B26" s="40">
        <v>4.71</v>
      </c>
      <c r="C26" s="40">
        <v>19.13</v>
      </c>
      <c r="D26" s="40">
        <v>13.78</v>
      </c>
      <c r="E26" s="40">
        <v>6.35</v>
      </c>
      <c r="F26" s="40">
        <v>2.1800000000000002</v>
      </c>
      <c r="G26" s="40">
        <v>62.7</v>
      </c>
      <c r="H26" s="40">
        <v>34.700000000000003</v>
      </c>
      <c r="I26" s="40">
        <v>13.09</v>
      </c>
      <c r="J26" s="40">
        <v>0.26</v>
      </c>
      <c r="K26" s="40">
        <v>158.68</v>
      </c>
      <c r="L26" s="40">
        <v>25.86</v>
      </c>
      <c r="M26" s="40">
        <v>48.83</v>
      </c>
      <c r="N26" s="40">
        <v>16</v>
      </c>
      <c r="O26" s="40">
        <v>0</v>
      </c>
      <c r="P26" s="40">
        <v>0.68</v>
      </c>
      <c r="Q26" s="40">
        <v>9.32</v>
      </c>
      <c r="R26" s="38"/>
      <c r="S26" s="38"/>
      <c r="T26" s="38"/>
      <c r="U26" s="38"/>
    </row>
    <row r="27" spans="1:21" customFormat="1">
      <c r="A27" s="39" t="s">
        <v>391</v>
      </c>
      <c r="B27" s="40">
        <v>5.54</v>
      </c>
      <c r="C27" s="40">
        <v>20.440000000000001</v>
      </c>
      <c r="D27" s="40">
        <v>15.12</v>
      </c>
      <c r="E27" s="40">
        <v>5.24</v>
      </c>
      <c r="F27" s="40">
        <v>1.52</v>
      </c>
      <c r="G27" s="40">
        <v>78.97</v>
      </c>
      <c r="H27" s="40">
        <v>39.799999999999997</v>
      </c>
      <c r="I27" s="40">
        <v>13.93</v>
      </c>
      <c r="J27" s="40">
        <v>0.28000000000000003</v>
      </c>
      <c r="K27" s="40">
        <v>164.85</v>
      </c>
      <c r="L27" s="40">
        <v>23.2</v>
      </c>
      <c r="M27" s="40">
        <v>56.72</v>
      </c>
      <c r="N27" s="40">
        <v>10</v>
      </c>
      <c r="O27" s="40">
        <v>0</v>
      </c>
      <c r="P27" s="40">
        <v>0.76</v>
      </c>
      <c r="Q27" s="40">
        <v>9.32</v>
      </c>
      <c r="R27" s="38"/>
      <c r="S27" s="38"/>
      <c r="T27" s="38"/>
      <c r="U27" s="38"/>
    </row>
    <row r="28" spans="1:21" customFormat="1">
      <c r="A28" s="39" t="s">
        <v>392</v>
      </c>
      <c r="B28" s="40">
        <v>6.91</v>
      </c>
      <c r="C28" s="40">
        <v>21.59</v>
      </c>
      <c r="D28" s="40">
        <v>16.82</v>
      </c>
      <c r="E28" s="40">
        <v>5.12</v>
      </c>
      <c r="F28" s="40">
        <v>1.34</v>
      </c>
      <c r="G28" s="40">
        <v>96.87</v>
      </c>
      <c r="H28" s="40">
        <v>45.58</v>
      </c>
      <c r="I28" s="40">
        <v>15.28</v>
      </c>
      <c r="J28" s="40">
        <v>0.27</v>
      </c>
      <c r="K28" s="40">
        <v>186.91</v>
      </c>
      <c r="L28" s="40">
        <v>21.61</v>
      </c>
      <c r="M28" s="40">
        <v>74.95</v>
      </c>
      <c r="N28" s="40">
        <v>9.9</v>
      </c>
      <c r="O28" s="40">
        <v>0</v>
      </c>
      <c r="P28" s="40">
        <v>0.85</v>
      </c>
      <c r="Q28" s="40">
        <v>9.32</v>
      </c>
      <c r="R28" s="38"/>
      <c r="S28" s="38"/>
      <c r="T28" s="38"/>
      <c r="U28" s="38"/>
    </row>
    <row r="29" spans="1:21" customFormat="1">
      <c r="A29" s="39" t="s">
        <v>393</v>
      </c>
      <c r="B29" s="40">
        <v>6.78</v>
      </c>
      <c r="C29" s="40">
        <v>21.41</v>
      </c>
      <c r="D29" s="40">
        <v>16.62</v>
      </c>
      <c r="E29" s="40">
        <v>4.99</v>
      </c>
      <c r="F29" s="40">
        <v>1.47</v>
      </c>
      <c r="G29" s="40">
        <v>113.23</v>
      </c>
      <c r="H29" s="40">
        <v>56.67</v>
      </c>
      <c r="I29" s="40">
        <v>16.91</v>
      </c>
      <c r="J29" s="40">
        <v>0.24</v>
      </c>
      <c r="K29" s="40">
        <v>199.28</v>
      </c>
      <c r="L29" s="40">
        <v>20.149999999999999</v>
      </c>
      <c r="M29" s="40">
        <v>76.2</v>
      </c>
      <c r="N29" s="40">
        <v>9.6999999999999993</v>
      </c>
      <c r="O29" s="40">
        <v>0</v>
      </c>
      <c r="P29" s="40">
        <v>0.91</v>
      </c>
      <c r="Q29" s="40">
        <v>9.32</v>
      </c>
      <c r="R29" s="38"/>
      <c r="S29" s="38"/>
      <c r="T29" s="38"/>
      <c r="U29" s="38"/>
    </row>
    <row r="30" spans="1:21" customFormat="1">
      <c r="A30" s="39" t="s">
        <v>394</v>
      </c>
      <c r="B30" s="40">
        <v>6.31</v>
      </c>
      <c r="C30" s="40">
        <v>20.12</v>
      </c>
      <c r="D30" s="40">
        <v>15.44</v>
      </c>
      <c r="E30" s="40">
        <v>5.07</v>
      </c>
      <c r="F30" s="40">
        <v>1.36</v>
      </c>
      <c r="G30" s="40">
        <v>95.23</v>
      </c>
      <c r="H30" s="40">
        <v>55.35</v>
      </c>
      <c r="I30" s="40">
        <v>16.989999999999998</v>
      </c>
      <c r="J30" s="40">
        <v>0.19</v>
      </c>
      <c r="K30" s="40">
        <v>204.85</v>
      </c>
      <c r="L30" s="40">
        <v>19.260000000000002</v>
      </c>
      <c r="M30" s="40">
        <v>77.91</v>
      </c>
      <c r="N30" s="40">
        <v>9.5</v>
      </c>
      <c r="O30" s="40">
        <v>0</v>
      </c>
      <c r="P30" s="40">
        <v>0.93</v>
      </c>
      <c r="Q30" s="40">
        <v>9.32</v>
      </c>
      <c r="R30" s="38"/>
      <c r="S30" s="38"/>
      <c r="T30" s="38"/>
      <c r="U30" s="38"/>
    </row>
    <row r="31" spans="1:21" customFormat="1">
      <c r="A31" s="39" t="s">
        <v>395</v>
      </c>
      <c r="B31" s="40">
        <v>8.31</v>
      </c>
      <c r="C31" s="40">
        <v>19.41</v>
      </c>
      <c r="D31" s="40">
        <v>16.809999999999999</v>
      </c>
      <c r="E31" s="40">
        <v>5.21</v>
      </c>
      <c r="F31" s="40">
        <v>1.38</v>
      </c>
      <c r="G31" s="40">
        <v>93.24</v>
      </c>
      <c r="H31" s="40">
        <v>53.32</v>
      </c>
      <c r="I31" s="40">
        <v>16.84</v>
      </c>
      <c r="J31" s="40">
        <v>0.23</v>
      </c>
      <c r="K31" s="40">
        <v>175.09</v>
      </c>
      <c r="L31" s="40">
        <v>19</v>
      </c>
      <c r="M31" s="40">
        <v>84.2</v>
      </c>
      <c r="N31" s="40">
        <v>9.5</v>
      </c>
      <c r="O31" s="40">
        <v>0</v>
      </c>
      <c r="P31" s="40">
        <v>0.96</v>
      </c>
      <c r="Q31" s="40">
        <v>9.32</v>
      </c>
      <c r="R31" s="38"/>
      <c r="S31" s="38"/>
      <c r="T31" s="38"/>
      <c r="U31" s="38"/>
    </row>
    <row r="32" spans="1:21" customFormat="1">
      <c r="A32" s="39" t="s">
        <v>396</v>
      </c>
      <c r="B32" s="40">
        <v>14.8</v>
      </c>
      <c r="C32" s="40">
        <v>20.7</v>
      </c>
      <c r="D32" s="40">
        <v>22.69</v>
      </c>
      <c r="E32" s="40">
        <v>5.29</v>
      </c>
      <c r="F32" s="40">
        <v>1.22</v>
      </c>
      <c r="G32" s="40">
        <v>92.31</v>
      </c>
      <c r="H32" s="40">
        <v>54.71</v>
      </c>
      <c r="I32" s="40">
        <v>16.940000000000001</v>
      </c>
      <c r="J32" s="40">
        <v>0.22</v>
      </c>
      <c r="K32" s="40">
        <v>201.13</v>
      </c>
      <c r="L32" s="40">
        <v>18.75</v>
      </c>
      <c r="M32" s="40">
        <v>85.67</v>
      </c>
      <c r="N32" s="40">
        <v>9.6999999999999993</v>
      </c>
      <c r="O32" s="40">
        <v>0</v>
      </c>
      <c r="P32" s="40">
        <v>1.05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3.1</v>
      </c>
      <c r="C34" s="18">
        <f t="shared" si="0"/>
        <v>17.13</v>
      </c>
      <c r="D34" s="18">
        <f t="shared" si="0"/>
        <v>11.73</v>
      </c>
      <c r="E34" s="18">
        <f t="shared" si="0"/>
        <v>4.99</v>
      </c>
      <c r="F34" s="18">
        <f t="shared" si="0"/>
        <v>1.17</v>
      </c>
      <c r="G34" s="18">
        <f t="shared" si="0"/>
        <v>52.09</v>
      </c>
      <c r="H34" s="18">
        <f t="shared" si="0"/>
        <v>31.97</v>
      </c>
      <c r="I34" s="18">
        <f t="shared" si="0"/>
        <v>11.92</v>
      </c>
      <c r="J34" s="18">
        <f t="shared" si="0"/>
        <v>0.11</v>
      </c>
      <c r="K34" s="18">
        <f t="shared" si="0"/>
        <v>34.67</v>
      </c>
      <c r="L34" s="18">
        <f t="shared" si="0"/>
        <v>15.73</v>
      </c>
      <c r="M34" s="18">
        <f t="shared" si="0"/>
        <v>27.06</v>
      </c>
      <c r="N34" s="18">
        <f t="shared" si="0"/>
        <v>7.9</v>
      </c>
      <c r="O34" s="18">
        <f t="shared" si="0"/>
        <v>0</v>
      </c>
      <c r="P34" s="18">
        <f t="shared" si="0"/>
        <v>0.65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34.35</v>
      </c>
      <c r="C35" s="3">
        <f t="shared" si="1"/>
        <v>25.52</v>
      </c>
      <c r="D35" s="3">
        <f t="shared" si="1"/>
        <v>38.549999999999997</v>
      </c>
      <c r="E35" s="3">
        <f t="shared" si="1"/>
        <v>8.93</v>
      </c>
      <c r="F35" s="3">
        <f t="shared" si="1"/>
        <v>7.71</v>
      </c>
      <c r="G35" s="3">
        <f t="shared" si="1"/>
        <v>113.23</v>
      </c>
      <c r="H35" s="3">
        <f t="shared" si="1"/>
        <v>64.2</v>
      </c>
      <c r="I35" s="3">
        <f t="shared" si="1"/>
        <v>17.829999999999998</v>
      </c>
      <c r="J35" s="3">
        <f t="shared" si="1"/>
        <v>1.03</v>
      </c>
      <c r="K35" s="3">
        <f t="shared" si="1"/>
        <v>323.63</v>
      </c>
      <c r="L35" s="3">
        <f t="shared" si="1"/>
        <v>29.72</v>
      </c>
      <c r="M35" s="3">
        <f t="shared" si="1"/>
        <v>89.53</v>
      </c>
      <c r="N35" s="3">
        <f t="shared" si="1"/>
        <v>515</v>
      </c>
      <c r="O35" s="3">
        <f t="shared" si="1"/>
        <v>0</v>
      </c>
      <c r="P35" s="3">
        <f t="shared" si="1"/>
        <v>1.05</v>
      </c>
      <c r="Q35" s="3">
        <f t="shared" si="1"/>
        <v>9.86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16.607916666666672</v>
      </c>
      <c r="C36" s="18">
        <f t="shared" si="2"/>
        <v>20.672500000000003</v>
      </c>
      <c r="D36" s="18">
        <f t="shared" si="2"/>
        <v>24.040000000000003</v>
      </c>
      <c r="E36" s="18">
        <f t="shared" si="2"/>
        <v>6.05375</v>
      </c>
      <c r="F36" s="18">
        <f t="shared" si="2"/>
        <v>2.3683333333333336</v>
      </c>
      <c r="G36" s="18">
        <f t="shared" si="2"/>
        <v>83.234166666666653</v>
      </c>
      <c r="H36" s="18">
        <f t="shared" si="2"/>
        <v>48.162916666666668</v>
      </c>
      <c r="I36" s="18">
        <f t="shared" si="2"/>
        <v>15.385416666666666</v>
      </c>
      <c r="J36" s="18">
        <f t="shared" si="2"/>
        <v>0.41749999999999998</v>
      </c>
      <c r="K36" s="18">
        <f t="shared" si="2"/>
        <v>149.05249999999998</v>
      </c>
      <c r="L36" s="18">
        <f t="shared" si="2"/>
        <v>22.02333333333333</v>
      </c>
      <c r="M36" s="18">
        <f t="shared" si="2"/>
        <v>64.443750000000009</v>
      </c>
      <c r="N36" s="18">
        <f t="shared" si="2"/>
        <v>114.63749999999999</v>
      </c>
      <c r="O36" s="18">
        <f t="shared" si="2"/>
        <v>0</v>
      </c>
      <c r="P36" s="18">
        <f t="shared" si="2"/>
        <v>0.86041666666666672</v>
      </c>
      <c r="Q36" s="18">
        <f t="shared" si="2"/>
        <v>9.4041666666666615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11.346450883202534</v>
      </c>
      <c r="C37" s="18">
        <f t="shared" ref="C37:Q37" si="3">STDEV(C9:C32)</f>
        <v>2.2163468767909125</v>
      </c>
      <c r="D37" s="18">
        <f t="shared" si="3"/>
        <v>9.0740427690149801</v>
      </c>
      <c r="E37" s="18">
        <f t="shared" si="3"/>
        <v>0.93404130110713313</v>
      </c>
      <c r="F37" s="18">
        <f t="shared" si="3"/>
        <v>1.9428993723336503</v>
      </c>
      <c r="G37" s="18">
        <f t="shared" si="3"/>
        <v>14.284319440703504</v>
      </c>
      <c r="H37" s="18">
        <f t="shared" si="3"/>
        <v>8.3381822016274043</v>
      </c>
      <c r="I37" s="18">
        <f t="shared" si="3"/>
        <v>1.5869110798536612</v>
      </c>
      <c r="J37" s="18">
        <f t="shared" si="3"/>
        <v>0.27793102053191726</v>
      </c>
      <c r="K37" s="18">
        <f t="shared" si="3"/>
        <v>72.057583389349389</v>
      </c>
      <c r="L37" s="18">
        <f t="shared" si="3"/>
        <v>4.9846849507236737</v>
      </c>
      <c r="M37" s="18">
        <f t="shared" si="3"/>
        <v>24.148531652633874</v>
      </c>
      <c r="N37" s="18">
        <f t="shared" si="3"/>
        <v>172.29853720769958</v>
      </c>
      <c r="O37" s="18">
        <f t="shared" si="3"/>
        <v>0</v>
      </c>
      <c r="P37" s="18">
        <f t="shared" si="3"/>
        <v>0.12312874727616203</v>
      </c>
      <c r="Q37" s="18">
        <f t="shared" si="3"/>
        <v>0.18712740757747545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S13" sqref="S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397</v>
      </c>
      <c r="B9" s="40">
        <v>15.87</v>
      </c>
      <c r="C9" s="40">
        <v>20.5</v>
      </c>
      <c r="D9" s="40">
        <v>23.44</v>
      </c>
      <c r="E9" s="40">
        <v>5.29</v>
      </c>
      <c r="F9" s="40">
        <v>1.28</v>
      </c>
      <c r="G9" s="40">
        <v>97.07</v>
      </c>
      <c r="H9" s="40">
        <v>62.07</v>
      </c>
      <c r="I9" s="40">
        <v>14.6</v>
      </c>
      <c r="J9" s="40">
        <v>0.21</v>
      </c>
      <c r="K9" s="40">
        <v>206.38</v>
      </c>
      <c r="L9" s="40">
        <v>18</v>
      </c>
      <c r="M9" s="40">
        <v>87.93</v>
      </c>
      <c r="N9" s="40">
        <v>9.6</v>
      </c>
      <c r="O9" s="40">
        <v>0</v>
      </c>
      <c r="P9" s="40">
        <v>1.0900000000000001</v>
      </c>
      <c r="Q9" s="40">
        <v>9.32</v>
      </c>
      <c r="R9" s="38"/>
      <c r="S9" s="38"/>
      <c r="T9" s="38"/>
      <c r="U9" s="38"/>
    </row>
    <row r="10" spans="1:21" customFormat="1">
      <c r="A10" s="39" t="s">
        <v>398</v>
      </c>
      <c r="B10" s="40">
        <v>20.52</v>
      </c>
      <c r="C10" s="40">
        <v>20.95</v>
      </c>
      <c r="D10" s="40">
        <v>27.4</v>
      </c>
      <c r="E10" s="40">
        <v>4.9800000000000004</v>
      </c>
      <c r="F10" s="40">
        <v>1.39</v>
      </c>
      <c r="G10" s="40">
        <v>93.28</v>
      </c>
      <c r="H10" s="40">
        <v>60.29</v>
      </c>
      <c r="I10" s="40">
        <v>14.57</v>
      </c>
      <c r="J10" s="40">
        <v>0.17</v>
      </c>
      <c r="K10" s="40">
        <v>194.54</v>
      </c>
      <c r="L10" s="40">
        <v>17.41</v>
      </c>
      <c r="M10" s="40">
        <v>88.45</v>
      </c>
      <c r="N10" s="40">
        <v>9.4</v>
      </c>
      <c r="O10" s="40">
        <v>0</v>
      </c>
      <c r="P10" s="40">
        <v>1.1000000000000001</v>
      </c>
      <c r="Q10" s="40">
        <v>9.32</v>
      </c>
      <c r="R10" s="38"/>
      <c r="S10" s="38"/>
      <c r="T10" s="38"/>
      <c r="U10" s="38"/>
    </row>
    <row r="11" spans="1:21" customFormat="1">
      <c r="A11" s="39" t="s">
        <v>399</v>
      </c>
      <c r="B11" s="40">
        <v>21.44</v>
      </c>
      <c r="C11" s="40">
        <v>21.11</v>
      </c>
      <c r="D11" s="40">
        <v>28.16</v>
      </c>
      <c r="E11" s="40">
        <v>4.6900000000000004</v>
      </c>
      <c r="F11" s="40">
        <v>1.23</v>
      </c>
      <c r="G11" s="40">
        <v>95.04</v>
      </c>
      <c r="H11" s="40">
        <v>61.14</v>
      </c>
      <c r="I11" s="40">
        <v>17.920000000000002</v>
      </c>
      <c r="J11" s="40">
        <v>0.2</v>
      </c>
      <c r="K11" s="40">
        <v>229.55</v>
      </c>
      <c r="L11" s="40">
        <v>17.13</v>
      </c>
      <c r="M11" s="40">
        <v>90.03</v>
      </c>
      <c r="N11" s="40">
        <v>9.6</v>
      </c>
      <c r="O11" s="40">
        <v>0</v>
      </c>
      <c r="P11" s="40">
        <v>1.1000000000000001</v>
      </c>
      <c r="Q11" s="40">
        <v>9.32</v>
      </c>
      <c r="R11" s="38"/>
      <c r="S11" s="38"/>
      <c r="T11" s="38"/>
      <c r="U11" s="38"/>
    </row>
    <row r="12" spans="1:21" customFormat="1">
      <c r="A12" s="39" t="s">
        <v>400</v>
      </c>
      <c r="B12" s="40">
        <v>21.14</v>
      </c>
      <c r="C12" s="40">
        <v>19.88</v>
      </c>
      <c r="D12" s="40">
        <v>27.24</v>
      </c>
      <c r="E12" s="40">
        <v>4.5599999999999996</v>
      </c>
      <c r="F12" s="40">
        <v>1.37</v>
      </c>
      <c r="G12" s="40">
        <v>88.95</v>
      </c>
      <c r="H12" s="40">
        <v>57.53</v>
      </c>
      <c r="I12" s="40">
        <v>16.27</v>
      </c>
      <c r="J12" s="40">
        <v>0.27</v>
      </c>
      <c r="K12" s="40">
        <v>200.17</v>
      </c>
      <c r="L12" s="40">
        <v>16.47</v>
      </c>
      <c r="M12" s="40">
        <v>90.68</v>
      </c>
      <c r="N12" s="40">
        <v>9.5</v>
      </c>
      <c r="O12" s="40">
        <v>0</v>
      </c>
      <c r="P12" s="40">
        <v>1.07</v>
      </c>
      <c r="Q12" s="40">
        <v>9.32</v>
      </c>
      <c r="R12" s="38"/>
      <c r="S12" s="38"/>
      <c r="T12" s="38"/>
      <c r="U12" s="38"/>
    </row>
    <row r="13" spans="1:21" customFormat="1">
      <c r="A13" s="39" t="s">
        <v>401</v>
      </c>
      <c r="B13" s="40">
        <v>21.86</v>
      </c>
      <c r="C13" s="40">
        <v>19.649999999999999</v>
      </c>
      <c r="D13" s="40">
        <v>27.8</v>
      </c>
      <c r="E13" s="40">
        <v>4.6100000000000003</v>
      </c>
      <c r="F13" s="40">
        <v>1.35</v>
      </c>
      <c r="G13" s="40">
        <v>82.13</v>
      </c>
      <c r="H13" s="40">
        <v>57.78</v>
      </c>
      <c r="I13" s="40">
        <v>14.23</v>
      </c>
      <c r="J13" s="40">
        <v>0.14000000000000001</v>
      </c>
      <c r="K13" s="40">
        <v>230.64</v>
      </c>
      <c r="L13" s="40">
        <v>16.170000000000002</v>
      </c>
      <c r="M13" s="40">
        <v>91.46</v>
      </c>
      <c r="N13" s="40">
        <v>9.5</v>
      </c>
      <c r="O13" s="40">
        <v>0</v>
      </c>
      <c r="P13" s="40">
        <v>1.05</v>
      </c>
      <c r="Q13" s="40">
        <v>9.32</v>
      </c>
      <c r="R13" s="38"/>
      <c r="S13" s="38"/>
      <c r="T13" s="38"/>
      <c r="U13" s="38"/>
    </row>
    <row r="14" spans="1:21" customFormat="1">
      <c r="A14" s="39" t="s">
        <v>402</v>
      </c>
      <c r="B14" s="40">
        <v>23.5</v>
      </c>
      <c r="C14" s="40">
        <v>19.2</v>
      </c>
      <c r="D14" s="40">
        <v>28.87</v>
      </c>
      <c r="E14" s="40">
        <v>4.1100000000000003</v>
      </c>
      <c r="F14" s="40">
        <v>1.1499999999999999</v>
      </c>
      <c r="G14" s="40">
        <v>78.14</v>
      </c>
      <c r="H14" s="40">
        <v>55.38</v>
      </c>
      <c r="I14" s="40">
        <v>13.98</v>
      </c>
      <c r="J14" s="40">
        <v>0.18</v>
      </c>
      <c r="K14" s="40">
        <v>202.1</v>
      </c>
      <c r="L14" s="40">
        <v>16.239999999999998</v>
      </c>
      <c r="M14" s="40">
        <v>90.58</v>
      </c>
      <c r="N14" s="40">
        <v>9.5</v>
      </c>
      <c r="O14" s="40">
        <v>0</v>
      </c>
      <c r="P14" s="40">
        <v>1.02</v>
      </c>
      <c r="Q14" s="40">
        <v>9.32</v>
      </c>
      <c r="R14" s="38"/>
      <c r="S14" s="38"/>
      <c r="T14" s="38"/>
      <c r="U14" s="38"/>
    </row>
    <row r="15" spans="1:21" customFormat="1">
      <c r="A15" s="39" t="s">
        <v>403</v>
      </c>
      <c r="B15" s="40">
        <v>24.08</v>
      </c>
      <c r="C15" s="40">
        <v>19.3</v>
      </c>
      <c r="D15" s="40">
        <v>29.38</v>
      </c>
      <c r="E15" s="40">
        <v>4.75</v>
      </c>
      <c r="F15" s="40">
        <v>1.33</v>
      </c>
      <c r="G15" s="40">
        <v>80.83</v>
      </c>
      <c r="H15" s="40">
        <v>55.14</v>
      </c>
      <c r="I15" s="40">
        <v>13.79</v>
      </c>
      <c r="J15" s="40">
        <v>0.19</v>
      </c>
      <c r="K15" s="40">
        <v>185.36</v>
      </c>
      <c r="L15" s="40">
        <v>16.12</v>
      </c>
      <c r="M15" s="40">
        <v>90.8</v>
      </c>
      <c r="N15" s="40">
        <v>22.5</v>
      </c>
      <c r="O15" s="40">
        <v>0</v>
      </c>
      <c r="P15" s="40">
        <v>0.98</v>
      </c>
      <c r="Q15" s="40">
        <v>9.32</v>
      </c>
      <c r="R15" s="38"/>
      <c r="S15" s="38"/>
      <c r="T15" s="38"/>
      <c r="U15" s="38"/>
    </row>
    <row r="16" spans="1:21" customFormat="1">
      <c r="A16" s="39" t="s">
        <v>404</v>
      </c>
      <c r="B16" s="40">
        <v>22.88</v>
      </c>
      <c r="C16" s="40">
        <v>19.04</v>
      </c>
      <c r="D16" s="40">
        <v>28.3</v>
      </c>
      <c r="E16" s="40">
        <v>4.6100000000000003</v>
      </c>
      <c r="F16" s="40">
        <v>1.23</v>
      </c>
      <c r="G16" s="40">
        <v>81.09</v>
      </c>
      <c r="H16" s="40">
        <v>55.42</v>
      </c>
      <c r="I16" s="40">
        <v>14.09</v>
      </c>
      <c r="J16" s="40">
        <v>0.17</v>
      </c>
      <c r="K16" s="40">
        <v>228.38</v>
      </c>
      <c r="L16" s="40">
        <v>17.64</v>
      </c>
      <c r="M16" s="40">
        <v>92.13</v>
      </c>
      <c r="N16" s="40">
        <v>71.599999999999994</v>
      </c>
      <c r="O16" s="40">
        <v>0</v>
      </c>
      <c r="P16" s="40">
        <v>0.99</v>
      </c>
      <c r="Q16" s="40">
        <v>9.32</v>
      </c>
      <c r="R16" s="38"/>
      <c r="S16" s="38"/>
      <c r="T16" s="38"/>
      <c r="U16" s="38"/>
    </row>
    <row r="17" spans="1:21" customFormat="1">
      <c r="A17" s="39" t="s">
        <v>405</v>
      </c>
      <c r="B17" s="40">
        <v>21.46</v>
      </c>
      <c r="C17" s="40">
        <v>20.04</v>
      </c>
      <c r="D17" s="40">
        <v>27</v>
      </c>
      <c r="E17" s="40">
        <v>4.79</v>
      </c>
      <c r="F17" s="40">
        <v>1.47</v>
      </c>
      <c r="G17" s="40">
        <v>79.739999999999995</v>
      </c>
      <c r="H17" s="40">
        <v>52.84</v>
      </c>
      <c r="I17" s="40">
        <v>14.51</v>
      </c>
      <c r="J17" s="40">
        <v>0.67</v>
      </c>
      <c r="K17" s="40">
        <v>68.66</v>
      </c>
      <c r="L17" s="40">
        <v>20.9</v>
      </c>
      <c r="M17" s="40">
        <v>77.489999999999995</v>
      </c>
      <c r="N17" s="40">
        <v>209</v>
      </c>
      <c r="O17" s="40">
        <v>0</v>
      </c>
      <c r="P17" s="40">
        <v>1.01</v>
      </c>
      <c r="Q17" s="40">
        <v>9.32</v>
      </c>
      <c r="R17" s="38"/>
      <c r="S17" s="38"/>
      <c r="T17" s="38"/>
      <c r="U17" s="38"/>
    </row>
    <row r="18" spans="1:21" customFormat="1">
      <c r="A18" s="39" t="s">
        <v>406</v>
      </c>
      <c r="B18" s="40">
        <v>18.239999999999998</v>
      </c>
      <c r="C18" s="40">
        <v>21.92</v>
      </c>
      <c r="D18" s="40">
        <v>25.23</v>
      </c>
      <c r="E18" s="40">
        <v>4.8</v>
      </c>
      <c r="F18" s="40">
        <v>1.47</v>
      </c>
      <c r="G18" s="40">
        <v>88.87</v>
      </c>
      <c r="H18" s="40">
        <v>56.27</v>
      </c>
      <c r="I18" s="40">
        <v>16.79</v>
      </c>
      <c r="J18" s="40">
        <v>1</v>
      </c>
      <c r="K18" s="40">
        <v>50.48</v>
      </c>
      <c r="L18" s="40">
        <v>23.38</v>
      </c>
      <c r="M18" s="40">
        <v>63.88</v>
      </c>
      <c r="N18" s="40">
        <v>188.9</v>
      </c>
      <c r="O18" s="40">
        <v>0</v>
      </c>
      <c r="P18" s="40">
        <v>1.01</v>
      </c>
      <c r="Q18" s="40">
        <v>9.32</v>
      </c>
      <c r="R18" s="38"/>
      <c r="S18" s="38"/>
      <c r="T18" s="38"/>
      <c r="U18" s="38"/>
    </row>
    <row r="19" spans="1:21" customFormat="1">
      <c r="A19" s="39" t="s">
        <v>407</v>
      </c>
      <c r="B19" s="40">
        <v>14.56</v>
      </c>
      <c r="C19" s="40">
        <v>22.74</v>
      </c>
      <c r="D19" s="40">
        <v>23.35</v>
      </c>
      <c r="E19" s="40">
        <v>5.61</v>
      </c>
      <c r="F19" s="40">
        <v>1.75</v>
      </c>
      <c r="G19" s="40">
        <v>95.99</v>
      </c>
      <c r="H19" s="40">
        <v>56.43</v>
      </c>
      <c r="I19" s="40">
        <v>16.96</v>
      </c>
      <c r="J19" s="40">
        <v>0.56999999999999995</v>
      </c>
      <c r="K19" s="40">
        <v>354.29</v>
      </c>
      <c r="L19" s="40">
        <v>26.07</v>
      </c>
      <c r="M19" s="40">
        <v>54.07</v>
      </c>
      <c r="N19" s="40">
        <v>419.3</v>
      </c>
      <c r="O19" s="40">
        <v>0</v>
      </c>
      <c r="P19" s="40">
        <v>0.99</v>
      </c>
      <c r="Q19" s="40">
        <v>9.32</v>
      </c>
      <c r="R19" s="38"/>
      <c r="S19" s="38"/>
      <c r="T19" s="38"/>
      <c r="U19" s="38"/>
    </row>
    <row r="20" spans="1:21" customFormat="1">
      <c r="A20" s="39" t="s">
        <v>408</v>
      </c>
      <c r="B20" s="40">
        <v>10.42</v>
      </c>
      <c r="C20" s="40">
        <v>22.37</v>
      </c>
      <c r="D20" s="40">
        <v>20.04</v>
      </c>
      <c r="E20" s="40">
        <v>6.16</v>
      </c>
      <c r="F20" s="40">
        <v>4.34</v>
      </c>
      <c r="G20" s="40">
        <v>92.84</v>
      </c>
      <c r="H20" s="40">
        <v>53.81</v>
      </c>
      <c r="I20" s="40">
        <v>14.04</v>
      </c>
      <c r="J20" s="40">
        <v>0.45</v>
      </c>
      <c r="K20" s="40">
        <v>353.91</v>
      </c>
      <c r="L20" s="40">
        <v>27.85</v>
      </c>
      <c r="M20" s="40">
        <v>44.88</v>
      </c>
      <c r="N20" s="40">
        <v>472</v>
      </c>
      <c r="O20" s="40">
        <v>0</v>
      </c>
      <c r="P20" s="40">
        <v>0.97</v>
      </c>
      <c r="Q20" s="40">
        <v>9.32</v>
      </c>
      <c r="R20" s="38"/>
      <c r="S20" s="38"/>
      <c r="T20" s="38"/>
      <c r="U20" s="38"/>
    </row>
    <row r="21" spans="1:21" customFormat="1">
      <c r="A21" s="39" t="s">
        <v>409</v>
      </c>
      <c r="B21" s="40">
        <v>6.81</v>
      </c>
      <c r="C21" s="40">
        <v>21.12</v>
      </c>
      <c r="D21" s="40">
        <v>16.5</v>
      </c>
      <c r="E21" s="40">
        <v>6.36</v>
      </c>
      <c r="F21" s="40">
        <v>4.21</v>
      </c>
      <c r="G21" s="40">
        <v>87.79</v>
      </c>
      <c r="H21" s="40">
        <v>50.72</v>
      </c>
      <c r="I21" s="40">
        <v>16.29</v>
      </c>
      <c r="J21" s="40">
        <v>0.28999999999999998</v>
      </c>
      <c r="K21" s="40">
        <v>182.42</v>
      </c>
      <c r="L21" s="40">
        <v>29.27</v>
      </c>
      <c r="M21" s="40">
        <v>37.78</v>
      </c>
      <c r="N21" s="40">
        <v>476.3</v>
      </c>
      <c r="O21" s="40">
        <v>0</v>
      </c>
      <c r="P21" s="40">
        <v>0.93</v>
      </c>
      <c r="Q21" s="40">
        <v>9.32</v>
      </c>
      <c r="R21" s="38"/>
      <c r="S21" s="38"/>
      <c r="T21" s="38"/>
      <c r="U21" s="38"/>
    </row>
    <row r="22" spans="1:21" customFormat="1">
      <c r="A22" s="39" t="s">
        <v>410</v>
      </c>
      <c r="B22" s="40">
        <v>4.2</v>
      </c>
      <c r="C22" s="40">
        <v>19.3</v>
      </c>
      <c r="D22" s="40">
        <v>13.45</v>
      </c>
      <c r="E22" s="40">
        <v>6.58</v>
      </c>
      <c r="F22" s="40">
        <v>5.33</v>
      </c>
      <c r="G22" s="40">
        <v>80.27</v>
      </c>
      <c r="H22" s="40">
        <v>47.38</v>
      </c>
      <c r="I22" s="40">
        <v>15.79</v>
      </c>
      <c r="J22" s="40">
        <v>0.35</v>
      </c>
      <c r="K22" s="40">
        <v>306.04000000000002</v>
      </c>
      <c r="L22" s="40">
        <v>29.03</v>
      </c>
      <c r="M22" s="40">
        <v>34.78</v>
      </c>
      <c r="N22" s="40">
        <v>360.2</v>
      </c>
      <c r="O22" s="40">
        <v>0</v>
      </c>
      <c r="P22" s="40">
        <v>0.88</v>
      </c>
      <c r="Q22" s="40">
        <v>9.32</v>
      </c>
      <c r="R22" s="38"/>
      <c r="S22" s="38"/>
      <c r="T22" s="38"/>
      <c r="U22" s="38"/>
    </row>
    <row r="23" spans="1:21" customFormat="1">
      <c r="A23" s="39" t="s">
        <v>411</v>
      </c>
      <c r="B23" s="40">
        <v>3.48</v>
      </c>
      <c r="C23" s="40">
        <v>17.510000000000002</v>
      </c>
      <c r="D23" s="40">
        <v>11.94</v>
      </c>
      <c r="E23" s="40">
        <v>6.7</v>
      </c>
      <c r="F23" s="40">
        <v>8.6300000000000008</v>
      </c>
      <c r="G23" s="40">
        <v>72.67</v>
      </c>
      <c r="H23" s="40">
        <v>46.4</v>
      </c>
      <c r="I23" s="40">
        <v>14.82</v>
      </c>
      <c r="J23" s="40">
        <v>0.7</v>
      </c>
      <c r="K23" s="40">
        <v>345.72</v>
      </c>
      <c r="L23" s="40">
        <v>28.89</v>
      </c>
      <c r="M23" s="40">
        <v>32.6</v>
      </c>
      <c r="N23" s="40">
        <v>124.6</v>
      </c>
      <c r="O23" s="40">
        <v>0</v>
      </c>
      <c r="P23" s="40">
        <v>0.78</v>
      </c>
      <c r="Q23" s="40">
        <v>9.32</v>
      </c>
      <c r="R23" s="38"/>
      <c r="S23" s="38"/>
      <c r="T23" s="38"/>
      <c r="U23" s="38"/>
    </row>
    <row r="24" spans="1:21" customFormat="1">
      <c r="A24" s="39" t="s">
        <v>412</v>
      </c>
      <c r="B24" s="40">
        <v>3.31</v>
      </c>
      <c r="C24" s="40">
        <v>16.12</v>
      </c>
      <c r="D24" s="40">
        <v>11.06</v>
      </c>
      <c r="E24" s="40">
        <v>8.64</v>
      </c>
      <c r="F24" s="40">
        <v>7.06</v>
      </c>
      <c r="G24" s="40">
        <v>62.59</v>
      </c>
      <c r="H24" s="40">
        <v>41.89</v>
      </c>
      <c r="I24" s="40">
        <v>13.91</v>
      </c>
      <c r="J24" s="40">
        <v>0.13</v>
      </c>
      <c r="K24" s="40">
        <v>275.52999999999997</v>
      </c>
      <c r="L24" s="40">
        <v>28.79</v>
      </c>
      <c r="M24" s="40">
        <v>37.47</v>
      </c>
      <c r="N24" s="40">
        <v>91.4</v>
      </c>
      <c r="O24" s="40">
        <v>0</v>
      </c>
      <c r="P24" s="40">
        <v>0.74</v>
      </c>
      <c r="Q24" s="40">
        <v>9.32</v>
      </c>
      <c r="R24" s="38"/>
      <c r="S24" s="38"/>
      <c r="T24" s="38"/>
      <c r="U24" s="38"/>
    </row>
    <row r="25" spans="1:21" customFormat="1">
      <c r="A25" s="39" t="s">
        <v>413</v>
      </c>
      <c r="B25" s="40">
        <v>3.31</v>
      </c>
      <c r="C25" s="40">
        <v>17.84</v>
      </c>
      <c r="D25" s="40">
        <v>11.97</v>
      </c>
      <c r="E25" s="40">
        <v>6.82</v>
      </c>
      <c r="F25" s="40">
        <v>5.8</v>
      </c>
      <c r="G25" s="40">
        <v>68.209999999999994</v>
      </c>
      <c r="H25" s="40">
        <v>44.34</v>
      </c>
      <c r="I25" s="40">
        <v>13.38</v>
      </c>
      <c r="J25" s="40">
        <v>0.24</v>
      </c>
      <c r="K25" s="40">
        <v>164.55</v>
      </c>
      <c r="L25" s="40">
        <v>27.74</v>
      </c>
      <c r="M25" s="40">
        <v>42.28</v>
      </c>
      <c r="N25" s="40">
        <v>51.3</v>
      </c>
      <c r="O25" s="40">
        <v>0</v>
      </c>
      <c r="P25" s="40">
        <v>0.72</v>
      </c>
      <c r="Q25" s="40">
        <v>9.32</v>
      </c>
      <c r="R25" s="38"/>
      <c r="S25" s="38"/>
      <c r="T25" s="38"/>
      <c r="U25" s="38"/>
    </row>
    <row r="26" spans="1:21" customFormat="1">
      <c r="A26" s="39" t="s">
        <v>414</v>
      </c>
      <c r="B26" s="40">
        <v>3.75</v>
      </c>
      <c r="C26" s="40">
        <v>19.87</v>
      </c>
      <c r="D26" s="40">
        <v>13.39</v>
      </c>
      <c r="E26" s="40">
        <v>6.52</v>
      </c>
      <c r="F26" s="40">
        <v>3.05</v>
      </c>
      <c r="G26" s="40">
        <v>88.26</v>
      </c>
      <c r="H26" s="40">
        <v>49.47</v>
      </c>
      <c r="I26" s="40">
        <v>14.52</v>
      </c>
      <c r="J26" s="40">
        <v>0.31</v>
      </c>
      <c r="K26" s="40">
        <v>165.97</v>
      </c>
      <c r="L26" s="40">
        <v>26.03</v>
      </c>
      <c r="M26" s="40">
        <v>57.05</v>
      </c>
      <c r="N26" s="40">
        <v>17.7</v>
      </c>
      <c r="O26" s="40">
        <v>0</v>
      </c>
      <c r="P26" s="40">
        <v>0.78</v>
      </c>
      <c r="Q26" s="40">
        <v>9.33</v>
      </c>
      <c r="R26" s="38"/>
      <c r="S26" s="38"/>
      <c r="T26" s="38"/>
      <c r="U26" s="38"/>
    </row>
    <row r="27" spans="1:21" customFormat="1">
      <c r="A27" s="39" t="s">
        <v>415</v>
      </c>
      <c r="B27" s="40">
        <v>4.79</v>
      </c>
      <c r="C27" s="40">
        <v>22.27</v>
      </c>
      <c r="D27" s="40">
        <v>15.48</v>
      </c>
      <c r="E27" s="40">
        <v>5.73</v>
      </c>
      <c r="F27" s="40">
        <v>1.64</v>
      </c>
      <c r="G27" s="40">
        <v>111.29</v>
      </c>
      <c r="H27" s="40">
        <v>54.55</v>
      </c>
      <c r="I27" s="40">
        <v>15.46</v>
      </c>
      <c r="J27" s="40">
        <v>0.14000000000000001</v>
      </c>
      <c r="K27" s="40">
        <v>155.53</v>
      </c>
      <c r="L27" s="40">
        <v>23.45</v>
      </c>
      <c r="M27" s="40">
        <v>56.69</v>
      </c>
      <c r="N27" s="40">
        <v>12</v>
      </c>
      <c r="O27" s="40">
        <v>0</v>
      </c>
      <c r="P27" s="40">
        <v>0.87</v>
      </c>
      <c r="Q27" s="40">
        <v>9.9499999999999993</v>
      </c>
      <c r="R27" s="38"/>
      <c r="S27" s="38"/>
      <c r="T27" s="38"/>
      <c r="U27" s="38"/>
    </row>
    <row r="28" spans="1:21" customFormat="1">
      <c r="A28" s="39" t="s">
        <v>416</v>
      </c>
      <c r="B28" s="40">
        <v>4.95</v>
      </c>
      <c r="C28" s="40">
        <v>22.43</v>
      </c>
      <c r="D28" s="40">
        <v>15.68</v>
      </c>
      <c r="E28" s="40">
        <v>5.73</v>
      </c>
      <c r="F28" s="40">
        <v>1.59</v>
      </c>
      <c r="G28" s="40">
        <v>122.15</v>
      </c>
      <c r="H28" s="40">
        <v>65.36</v>
      </c>
      <c r="I28" s="40">
        <v>16.43</v>
      </c>
      <c r="J28" s="40">
        <v>0.33</v>
      </c>
      <c r="K28" s="40">
        <v>202.47</v>
      </c>
      <c r="L28" s="40">
        <v>22.57</v>
      </c>
      <c r="M28" s="40">
        <v>76.34</v>
      </c>
      <c r="N28" s="40">
        <v>12.1</v>
      </c>
      <c r="O28" s="40">
        <v>0</v>
      </c>
      <c r="P28" s="40">
        <v>0.96</v>
      </c>
      <c r="Q28" s="40">
        <v>10.06</v>
      </c>
      <c r="R28" s="38"/>
      <c r="S28" s="38"/>
      <c r="T28" s="38"/>
      <c r="U28" s="38"/>
    </row>
    <row r="29" spans="1:21" customFormat="1">
      <c r="A29" s="39" t="s">
        <v>417</v>
      </c>
      <c r="B29" s="40">
        <v>5.1100000000000003</v>
      </c>
      <c r="C29" s="40">
        <v>21.38</v>
      </c>
      <c r="D29" s="40">
        <v>15.03</v>
      </c>
      <c r="E29" s="40">
        <v>5.53</v>
      </c>
      <c r="F29" s="40">
        <v>1.58</v>
      </c>
      <c r="G29" s="40">
        <v>125.4</v>
      </c>
      <c r="H29" s="40">
        <v>70.400000000000006</v>
      </c>
      <c r="I29" s="40">
        <v>16.96</v>
      </c>
      <c r="J29" s="40">
        <v>0.2</v>
      </c>
      <c r="K29" s="40">
        <v>210</v>
      </c>
      <c r="L29" s="40">
        <v>20.239999999999998</v>
      </c>
      <c r="M29" s="40">
        <v>84.72</v>
      </c>
      <c r="N29" s="40">
        <v>12</v>
      </c>
      <c r="O29" s="40">
        <v>0</v>
      </c>
      <c r="P29" s="40">
        <v>1.03</v>
      </c>
      <c r="Q29" s="40">
        <v>9.32</v>
      </c>
      <c r="R29" s="38"/>
      <c r="S29" s="38"/>
      <c r="T29" s="38"/>
      <c r="U29" s="38"/>
    </row>
    <row r="30" spans="1:21" customFormat="1">
      <c r="A30" s="39" t="s">
        <v>418</v>
      </c>
      <c r="B30" s="40">
        <v>5.64</v>
      </c>
      <c r="C30" s="40">
        <v>19.440000000000001</v>
      </c>
      <c r="D30" s="40">
        <v>14.38</v>
      </c>
      <c r="E30" s="40">
        <v>5.26</v>
      </c>
      <c r="F30" s="40">
        <v>1.52</v>
      </c>
      <c r="G30" s="40">
        <v>114.44</v>
      </c>
      <c r="H30" s="40">
        <v>70.95</v>
      </c>
      <c r="I30" s="40">
        <v>16.8</v>
      </c>
      <c r="J30" s="40">
        <v>0.15</v>
      </c>
      <c r="K30" s="40">
        <v>223.32</v>
      </c>
      <c r="L30" s="40">
        <v>19.190000000000001</v>
      </c>
      <c r="M30" s="40">
        <v>86.25</v>
      </c>
      <c r="N30" s="40">
        <v>11.7</v>
      </c>
      <c r="O30" s="40">
        <v>0</v>
      </c>
      <c r="P30" s="40">
        <v>1.06</v>
      </c>
      <c r="Q30" s="40">
        <v>9.32</v>
      </c>
      <c r="R30" s="38"/>
      <c r="S30" s="38"/>
      <c r="T30" s="38"/>
      <c r="U30" s="38"/>
    </row>
    <row r="31" spans="1:21" customFormat="1">
      <c r="A31" s="39" t="s">
        <v>419</v>
      </c>
      <c r="B31" s="40">
        <v>5.79</v>
      </c>
      <c r="C31" s="40">
        <v>17.84</v>
      </c>
      <c r="D31" s="40">
        <v>13.92</v>
      </c>
      <c r="E31" s="40">
        <v>5</v>
      </c>
      <c r="F31" s="40">
        <v>1.53</v>
      </c>
      <c r="G31" s="40">
        <v>112.13</v>
      </c>
      <c r="H31" s="40">
        <v>71.099999999999994</v>
      </c>
      <c r="I31" s="40">
        <v>16.53</v>
      </c>
      <c r="J31" s="40">
        <v>0.14000000000000001</v>
      </c>
      <c r="K31" s="40">
        <v>228.69</v>
      </c>
      <c r="L31" s="40">
        <v>18.8</v>
      </c>
      <c r="M31" s="40">
        <v>85.2</v>
      </c>
      <c r="N31" s="40">
        <v>11.7</v>
      </c>
      <c r="O31" s="40">
        <v>0</v>
      </c>
      <c r="P31" s="40">
        <v>1.06</v>
      </c>
      <c r="Q31" s="40">
        <v>9.32</v>
      </c>
      <c r="R31" s="38"/>
      <c r="S31" s="38"/>
      <c r="T31" s="38"/>
      <c r="U31" s="38"/>
    </row>
    <row r="32" spans="1:21" customFormat="1">
      <c r="A32" s="39" t="s">
        <v>420</v>
      </c>
      <c r="B32" s="40">
        <v>6.21</v>
      </c>
      <c r="C32" s="40">
        <v>17.23</v>
      </c>
      <c r="D32" s="40">
        <v>13.86</v>
      </c>
      <c r="E32" s="40">
        <v>5.09</v>
      </c>
      <c r="F32" s="40">
        <v>1.38</v>
      </c>
      <c r="G32" s="40">
        <v>104</v>
      </c>
      <c r="H32" s="40">
        <v>69.209999999999994</v>
      </c>
      <c r="I32" s="40">
        <v>15.99</v>
      </c>
      <c r="J32" s="40">
        <v>0.18</v>
      </c>
      <c r="K32" s="40">
        <v>230.53</v>
      </c>
      <c r="L32" s="40">
        <v>18.5</v>
      </c>
      <c r="M32" s="40">
        <v>89.85</v>
      </c>
      <c r="N32" s="40">
        <v>12</v>
      </c>
      <c r="O32" s="40">
        <v>0</v>
      </c>
      <c r="P32" s="40">
        <v>1.05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3.31</v>
      </c>
      <c r="C34" s="18">
        <f t="shared" si="0"/>
        <v>16.12</v>
      </c>
      <c r="D34" s="18">
        <f t="shared" si="0"/>
        <v>11.06</v>
      </c>
      <c r="E34" s="18">
        <f t="shared" si="0"/>
        <v>4.1100000000000003</v>
      </c>
      <c r="F34" s="18">
        <f t="shared" si="0"/>
        <v>1.1499999999999999</v>
      </c>
      <c r="G34" s="18">
        <f t="shared" si="0"/>
        <v>62.59</v>
      </c>
      <c r="H34" s="18">
        <f t="shared" si="0"/>
        <v>41.89</v>
      </c>
      <c r="I34" s="18">
        <f t="shared" si="0"/>
        <v>13.38</v>
      </c>
      <c r="J34" s="18">
        <f t="shared" si="0"/>
        <v>0.13</v>
      </c>
      <c r="K34" s="18">
        <f t="shared" si="0"/>
        <v>50.48</v>
      </c>
      <c r="L34" s="18">
        <f t="shared" si="0"/>
        <v>16.12</v>
      </c>
      <c r="M34" s="18">
        <f t="shared" si="0"/>
        <v>32.6</v>
      </c>
      <c r="N34" s="18">
        <f t="shared" si="0"/>
        <v>9.4</v>
      </c>
      <c r="O34" s="18">
        <f t="shared" si="0"/>
        <v>0</v>
      </c>
      <c r="P34" s="18">
        <f t="shared" si="0"/>
        <v>0.72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24.08</v>
      </c>
      <c r="C35" s="3">
        <f t="shared" si="1"/>
        <v>22.74</v>
      </c>
      <c r="D35" s="3">
        <f t="shared" si="1"/>
        <v>29.38</v>
      </c>
      <c r="E35" s="3">
        <f t="shared" si="1"/>
        <v>8.64</v>
      </c>
      <c r="F35" s="3">
        <f t="shared" si="1"/>
        <v>8.6300000000000008</v>
      </c>
      <c r="G35" s="3">
        <f t="shared" si="1"/>
        <v>125.4</v>
      </c>
      <c r="H35" s="3">
        <f t="shared" si="1"/>
        <v>71.099999999999994</v>
      </c>
      <c r="I35" s="3">
        <f t="shared" si="1"/>
        <v>17.920000000000002</v>
      </c>
      <c r="J35" s="3">
        <f t="shared" si="1"/>
        <v>1</v>
      </c>
      <c r="K35" s="3">
        <f t="shared" si="1"/>
        <v>354.29</v>
      </c>
      <c r="L35" s="3">
        <f t="shared" si="1"/>
        <v>29.27</v>
      </c>
      <c r="M35" s="3">
        <f t="shared" si="1"/>
        <v>92.13</v>
      </c>
      <c r="N35" s="3">
        <f t="shared" si="1"/>
        <v>476.3</v>
      </c>
      <c r="O35" s="3">
        <f t="shared" si="1"/>
        <v>0</v>
      </c>
      <c r="P35" s="3">
        <f t="shared" si="1"/>
        <v>1.1000000000000001</v>
      </c>
      <c r="Q35" s="3">
        <f t="shared" si="1"/>
        <v>10.06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12.221666666666666</v>
      </c>
      <c r="C36" s="18">
        <f t="shared" si="2"/>
        <v>19.960416666666664</v>
      </c>
      <c r="D36" s="18">
        <f t="shared" si="2"/>
        <v>20.119583333333335</v>
      </c>
      <c r="E36" s="18">
        <f t="shared" si="2"/>
        <v>5.538333333333334</v>
      </c>
      <c r="F36" s="18">
        <f t="shared" si="2"/>
        <v>2.6116666666666668</v>
      </c>
      <c r="G36" s="18">
        <f t="shared" si="2"/>
        <v>91.798749999999998</v>
      </c>
      <c r="H36" s="18">
        <f t="shared" si="2"/>
        <v>56.911249999999995</v>
      </c>
      <c r="I36" s="18">
        <f t="shared" si="2"/>
        <v>15.359583333333333</v>
      </c>
      <c r="J36" s="18">
        <f t="shared" si="2"/>
        <v>0.30749999999999994</v>
      </c>
      <c r="K36" s="18">
        <f t="shared" si="2"/>
        <v>216.46791666666664</v>
      </c>
      <c r="L36" s="18">
        <f t="shared" si="2"/>
        <v>21.911666666666665</v>
      </c>
      <c r="M36" s="18">
        <f t="shared" si="2"/>
        <v>70.141249999999999</v>
      </c>
      <c r="N36" s="18">
        <f t="shared" si="2"/>
        <v>109.72499999999998</v>
      </c>
      <c r="O36" s="18">
        <f t="shared" si="2"/>
        <v>0</v>
      </c>
      <c r="P36" s="18">
        <f t="shared" si="2"/>
        <v>0.96833333333333338</v>
      </c>
      <c r="Q36" s="18">
        <f t="shared" si="2"/>
        <v>9.3774999999999959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8.1599460072098307</v>
      </c>
      <c r="C37" s="18">
        <f t="shared" ref="C37:Q37" si="3">STDEV(C9:C32)</f>
        <v>1.8014932916084212</v>
      </c>
      <c r="D37" s="18">
        <f t="shared" si="3"/>
        <v>6.7485222080655216</v>
      </c>
      <c r="E37" s="18">
        <f t="shared" si="3"/>
        <v>1.0195978178404093</v>
      </c>
      <c r="F37" s="18">
        <f t="shared" si="3"/>
        <v>2.1220737737998823</v>
      </c>
      <c r="G37" s="18">
        <f t="shared" si="3"/>
        <v>16.389659866619517</v>
      </c>
      <c r="H37" s="18">
        <f t="shared" si="3"/>
        <v>8.2853166676119869</v>
      </c>
      <c r="I37" s="18">
        <f t="shared" si="3"/>
        <v>1.2944109930159666</v>
      </c>
      <c r="J37" s="18">
        <f t="shared" si="3"/>
        <v>0.22067583938201421</v>
      </c>
      <c r="K37" s="18">
        <f t="shared" si="3"/>
        <v>74.829750650577068</v>
      </c>
      <c r="L37" s="18">
        <f t="shared" si="3"/>
        <v>4.8757631881241643</v>
      </c>
      <c r="M37" s="18">
        <f t="shared" si="3"/>
        <v>22.135790674930693</v>
      </c>
      <c r="N37" s="18">
        <f t="shared" si="3"/>
        <v>158.72715789106135</v>
      </c>
      <c r="O37" s="18">
        <f t="shared" si="3"/>
        <v>0</v>
      </c>
      <c r="P37" s="18">
        <f t="shared" si="3"/>
        <v>0.11510549666422798</v>
      </c>
      <c r="Q37" s="18">
        <f t="shared" si="3"/>
        <v>0.19395763768769528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F12" sqref="F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421</v>
      </c>
      <c r="B9" s="40">
        <v>6.42</v>
      </c>
      <c r="C9" s="40">
        <v>16.03</v>
      </c>
      <c r="D9" s="40">
        <v>13.47</v>
      </c>
      <c r="E9" s="40">
        <v>4.7699999999999996</v>
      </c>
      <c r="F9" s="40">
        <v>1.43</v>
      </c>
      <c r="G9" s="40">
        <v>94.92</v>
      </c>
      <c r="H9" s="40">
        <v>67.52</v>
      </c>
      <c r="I9" s="40">
        <v>15.43</v>
      </c>
      <c r="J9" s="40">
        <v>0.17</v>
      </c>
      <c r="K9" s="40">
        <v>223.68</v>
      </c>
      <c r="L9" s="40">
        <v>17.64</v>
      </c>
      <c r="M9" s="40">
        <v>89.7</v>
      </c>
      <c r="N9" s="40">
        <v>11.8</v>
      </c>
      <c r="O9" s="40">
        <v>0</v>
      </c>
      <c r="P9" s="40">
        <v>1.04</v>
      </c>
      <c r="Q9" s="40">
        <v>9.32</v>
      </c>
      <c r="R9" s="38"/>
      <c r="S9" s="38"/>
      <c r="T9" s="38"/>
      <c r="U9" s="38"/>
    </row>
    <row r="10" spans="1:21" customFormat="1">
      <c r="A10" s="39" t="s">
        <v>422</v>
      </c>
      <c r="B10" s="40">
        <v>9.6999999999999993</v>
      </c>
      <c r="C10" s="40">
        <v>17.43</v>
      </c>
      <c r="D10" s="40">
        <v>16.88</v>
      </c>
      <c r="E10" s="40">
        <v>4.88</v>
      </c>
      <c r="F10" s="40">
        <v>1.38</v>
      </c>
      <c r="G10" s="40">
        <v>93.51</v>
      </c>
      <c r="H10" s="40">
        <v>65.930000000000007</v>
      </c>
      <c r="I10" s="40">
        <v>15.3</v>
      </c>
      <c r="J10" s="40">
        <v>0.24</v>
      </c>
      <c r="K10" s="40">
        <v>171.36</v>
      </c>
      <c r="L10" s="40">
        <v>17.75</v>
      </c>
      <c r="M10" s="40">
        <v>88.81</v>
      </c>
      <c r="N10" s="40">
        <v>11.7</v>
      </c>
      <c r="O10" s="40">
        <v>0</v>
      </c>
      <c r="P10" s="40">
        <v>1.03</v>
      </c>
      <c r="Q10" s="40">
        <v>9.32</v>
      </c>
      <c r="R10" s="38"/>
      <c r="S10" s="38"/>
      <c r="T10" s="38"/>
      <c r="U10" s="38"/>
    </row>
    <row r="11" spans="1:21" customFormat="1">
      <c r="A11" s="39" t="s">
        <v>423</v>
      </c>
      <c r="B11" s="40">
        <v>11.67</v>
      </c>
      <c r="C11" s="40">
        <v>18.59</v>
      </c>
      <c r="D11" s="40">
        <v>19.07</v>
      </c>
      <c r="E11" s="40">
        <v>5.52</v>
      </c>
      <c r="F11" s="40">
        <v>1.45</v>
      </c>
      <c r="G11" s="40">
        <v>94.8</v>
      </c>
      <c r="H11" s="40">
        <v>68.22</v>
      </c>
      <c r="I11" s="40">
        <v>15.99</v>
      </c>
      <c r="J11" s="40">
        <v>0.15</v>
      </c>
      <c r="K11" s="40">
        <v>254.07</v>
      </c>
      <c r="L11" s="40">
        <v>17.850000000000001</v>
      </c>
      <c r="M11" s="40">
        <v>83.69</v>
      </c>
      <c r="N11" s="40">
        <v>11.8</v>
      </c>
      <c r="O11" s="40">
        <v>0</v>
      </c>
      <c r="P11" s="40">
        <v>1.1000000000000001</v>
      </c>
      <c r="Q11" s="40">
        <v>9.32</v>
      </c>
      <c r="R11" s="38"/>
      <c r="S11" s="38"/>
      <c r="T11" s="38"/>
      <c r="U11" s="38"/>
    </row>
    <row r="12" spans="1:21" customFormat="1">
      <c r="A12" s="39" t="s">
        <v>424</v>
      </c>
      <c r="B12" s="40">
        <v>12.51</v>
      </c>
      <c r="C12" s="40">
        <v>18.690000000000001</v>
      </c>
      <c r="D12" s="40">
        <v>19.79</v>
      </c>
      <c r="E12" s="40">
        <v>5.35</v>
      </c>
      <c r="F12" s="40">
        <v>1.28</v>
      </c>
      <c r="G12" s="40">
        <v>99.3</v>
      </c>
      <c r="H12" s="40">
        <v>70.900000000000006</v>
      </c>
      <c r="I12" s="40">
        <v>16.329999999999998</v>
      </c>
      <c r="J12" s="40">
        <v>0.46</v>
      </c>
      <c r="K12" s="40">
        <v>195.12</v>
      </c>
      <c r="L12" s="40">
        <v>17.3</v>
      </c>
      <c r="M12" s="40">
        <v>86.04</v>
      </c>
      <c r="N12" s="40">
        <v>11.8</v>
      </c>
      <c r="O12" s="40">
        <v>0</v>
      </c>
      <c r="P12" s="40">
        <v>1.1499999999999999</v>
      </c>
      <c r="Q12" s="40">
        <v>9.32</v>
      </c>
      <c r="R12" s="38"/>
      <c r="S12" s="38"/>
      <c r="T12" s="38"/>
      <c r="U12" s="38"/>
    </row>
    <row r="13" spans="1:21" customFormat="1">
      <c r="A13" s="39" t="s">
        <v>425</v>
      </c>
      <c r="B13" s="40">
        <v>12.54</v>
      </c>
      <c r="C13" s="40">
        <v>18.8</v>
      </c>
      <c r="D13" s="40">
        <v>19.87</v>
      </c>
      <c r="E13" s="40">
        <v>5.24</v>
      </c>
      <c r="F13" s="40">
        <v>1.31</v>
      </c>
      <c r="G13" s="40">
        <v>106.6</v>
      </c>
      <c r="H13" s="40">
        <v>71.19</v>
      </c>
      <c r="I13" s="40">
        <v>16.3</v>
      </c>
      <c r="J13" s="40">
        <v>0.42</v>
      </c>
      <c r="K13" s="40">
        <v>213.29</v>
      </c>
      <c r="L13" s="40">
        <v>17.579999999999998</v>
      </c>
      <c r="M13" s="40">
        <v>90.8</v>
      </c>
      <c r="N13" s="40">
        <v>12.3</v>
      </c>
      <c r="O13" s="40">
        <v>0</v>
      </c>
      <c r="P13" s="40">
        <v>1.1399999999999999</v>
      </c>
      <c r="Q13" s="40">
        <v>9.32</v>
      </c>
      <c r="R13" s="38"/>
      <c r="S13" s="38"/>
      <c r="T13" s="38"/>
      <c r="U13" s="38"/>
    </row>
    <row r="14" spans="1:21" customFormat="1">
      <c r="A14" s="39" t="s">
        <v>426</v>
      </c>
      <c r="B14" s="40">
        <v>11.12</v>
      </c>
      <c r="C14" s="40">
        <v>17.91</v>
      </c>
      <c r="D14" s="40">
        <v>18.27</v>
      </c>
      <c r="E14" s="40">
        <v>5.03</v>
      </c>
      <c r="F14" s="40">
        <v>1.22</v>
      </c>
      <c r="G14" s="40">
        <v>104.16</v>
      </c>
      <c r="H14" s="40">
        <v>70.34</v>
      </c>
      <c r="I14" s="40">
        <v>15.8</v>
      </c>
      <c r="J14" s="40">
        <v>0.16</v>
      </c>
      <c r="K14" s="40">
        <v>224.57</v>
      </c>
      <c r="L14" s="40">
        <v>15.96</v>
      </c>
      <c r="M14" s="40">
        <v>92.5</v>
      </c>
      <c r="N14" s="40">
        <v>12.1</v>
      </c>
      <c r="O14" s="40">
        <v>0</v>
      </c>
      <c r="P14" s="40">
        <v>1.1200000000000001</v>
      </c>
      <c r="Q14" s="40">
        <v>9.32</v>
      </c>
      <c r="R14" s="38"/>
      <c r="S14" s="38"/>
      <c r="T14" s="38"/>
      <c r="U14" s="38"/>
    </row>
    <row r="15" spans="1:21" customFormat="1">
      <c r="A15" s="39" t="s">
        <v>427</v>
      </c>
      <c r="B15" s="40">
        <v>10.42</v>
      </c>
      <c r="C15" s="40">
        <v>16.41</v>
      </c>
      <c r="D15" s="40">
        <v>16.93</v>
      </c>
      <c r="E15" s="40">
        <v>4.6399999999999997</v>
      </c>
      <c r="F15" s="40">
        <v>1.35</v>
      </c>
      <c r="G15" s="40">
        <v>97.08</v>
      </c>
      <c r="H15" s="40">
        <v>65.459999999999994</v>
      </c>
      <c r="I15" s="40">
        <v>15.39</v>
      </c>
      <c r="J15" s="40">
        <v>0.2</v>
      </c>
      <c r="K15" s="40">
        <v>239.5</v>
      </c>
      <c r="L15" s="40">
        <v>15.76</v>
      </c>
      <c r="M15" s="40">
        <v>93.39</v>
      </c>
      <c r="N15" s="40">
        <v>24.3</v>
      </c>
      <c r="O15" s="40">
        <v>0</v>
      </c>
      <c r="P15" s="40">
        <v>1.08</v>
      </c>
      <c r="Q15" s="40">
        <v>9.32</v>
      </c>
      <c r="R15" s="38"/>
      <c r="S15" s="38"/>
      <c r="T15" s="38"/>
      <c r="U15" s="38"/>
    </row>
    <row r="16" spans="1:21" customFormat="1">
      <c r="A16" s="39" t="s">
        <v>428</v>
      </c>
      <c r="B16" s="40">
        <v>11.11</v>
      </c>
      <c r="C16" s="40">
        <v>15.53</v>
      </c>
      <c r="D16" s="40">
        <v>17.03</v>
      </c>
      <c r="E16" s="40">
        <v>4.41</v>
      </c>
      <c r="F16" s="40">
        <v>1.32</v>
      </c>
      <c r="G16" s="40">
        <v>89.87</v>
      </c>
      <c r="H16" s="40">
        <v>65.83</v>
      </c>
      <c r="I16" s="40">
        <v>14.82</v>
      </c>
      <c r="J16" s="40">
        <v>0.2</v>
      </c>
      <c r="K16" s="40">
        <v>241.02</v>
      </c>
      <c r="L16" s="40">
        <v>17.510000000000002</v>
      </c>
      <c r="M16" s="40">
        <v>93.84</v>
      </c>
      <c r="N16" s="40">
        <v>75.099999999999994</v>
      </c>
      <c r="O16" s="40">
        <v>0</v>
      </c>
      <c r="P16" s="40">
        <v>1.06</v>
      </c>
      <c r="Q16" s="40">
        <v>9.32</v>
      </c>
      <c r="R16" s="38"/>
      <c r="S16" s="38"/>
      <c r="T16" s="38"/>
      <c r="U16" s="38"/>
    </row>
    <row r="17" spans="1:21" customFormat="1">
      <c r="A17" s="39" t="s">
        <v>429</v>
      </c>
      <c r="B17" s="40">
        <v>13.61</v>
      </c>
      <c r="C17" s="40">
        <v>18.62</v>
      </c>
      <c r="D17" s="40">
        <v>20.37</v>
      </c>
      <c r="E17" s="40">
        <v>4.8099999999999996</v>
      </c>
      <c r="F17" s="40">
        <v>1.35</v>
      </c>
      <c r="G17" s="40">
        <v>91.8</v>
      </c>
      <c r="H17" s="40">
        <v>63.84</v>
      </c>
      <c r="I17" s="40">
        <v>14.76</v>
      </c>
      <c r="J17" s="40">
        <v>0.64</v>
      </c>
      <c r="K17" s="40">
        <v>87.26</v>
      </c>
      <c r="L17" s="40">
        <v>21.07</v>
      </c>
      <c r="M17" s="40">
        <v>81.88</v>
      </c>
      <c r="N17" s="40">
        <v>213.1</v>
      </c>
      <c r="O17" s="40">
        <v>0</v>
      </c>
      <c r="P17" s="40">
        <v>1.08</v>
      </c>
      <c r="Q17" s="40">
        <v>9.32</v>
      </c>
      <c r="R17" s="38"/>
      <c r="S17" s="38"/>
      <c r="T17" s="38"/>
      <c r="U17" s="38"/>
    </row>
    <row r="18" spans="1:21" customFormat="1">
      <c r="A18" s="39" t="s">
        <v>430</v>
      </c>
      <c r="B18" s="40">
        <v>12.57</v>
      </c>
      <c r="C18" s="40">
        <v>19.47</v>
      </c>
      <c r="D18" s="40">
        <v>20.09</v>
      </c>
      <c r="E18" s="40">
        <v>5.43</v>
      </c>
      <c r="F18" s="40">
        <v>1.4</v>
      </c>
      <c r="G18" s="40">
        <v>95.84</v>
      </c>
      <c r="H18" s="40">
        <v>67.650000000000006</v>
      </c>
      <c r="I18" s="40">
        <v>14.73</v>
      </c>
      <c r="J18" s="40">
        <v>0.5</v>
      </c>
      <c r="K18" s="40">
        <v>138.94</v>
      </c>
      <c r="L18" s="40">
        <v>24.37</v>
      </c>
      <c r="M18" s="40">
        <v>61.46</v>
      </c>
      <c r="N18" s="40">
        <v>188.3</v>
      </c>
      <c r="O18" s="40">
        <v>0</v>
      </c>
      <c r="P18" s="40">
        <v>1.07</v>
      </c>
      <c r="Q18" s="40">
        <v>9.32</v>
      </c>
      <c r="R18" s="38"/>
      <c r="S18" s="38"/>
      <c r="T18" s="38"/>
      <c r="U18" s="38"/>
    </row>
    <row r="19" spans="1:21" customFormat="1">
      <c r="A19" s="39" t="s">
        <v>431</v>
      </c>
      <c r="B19" s="40">
        <v>10.31</v>
      </c>
      <c r="C19" s="40">
        <v>20.079999999999998</v>
      </c>
      <c r="D19" s="40">
        <v>18.5</v>
      </c>
      <c r="E19" s="40">
        <v>6.33</v>
      </c>
      <c r="F19" s="40">
        <v>1.79</v>
      </c>
      <c r="G19" s="40">
        <v>93.75</v>
      </c>
      <c r="H19" s="40">
        <v>62.49</v>
      </c>
      <c r="I19" s="40">
        <v>14.29</v>
      </c>
      <c r="J19" s="40">
        <v>0.59</v>
      </c>
      <c r="K19" s="40">
        <v>84.25</v>
      </c>
      <c r="L19" s="40">
        <v>26.43</v>
      </c>
      <c r="M19" s="40">
        <v>49.6</v>
      </c>
      <c r="N19" s="40">
        <v>440.4</v>
      </c>
      <c r="O19" s="40">
        <v>0</v>
      </c>
      <c r="P19" s="40">
        <v>1.03</v>
      </c>
      <c r="Q19" s="40">
        <v>9.32</v>
      </c>
      <c r="R19" s="38"/>
      <c r="S19" s="38"/>
      <c r="T19" s="38"/>
      <c r="U19" s="38"/>
    </row>
    <row r="20" spans="1:21" customFormat="1">
      <c r="A20" s="39" t="s">
        <v>432</v>
      </c>
      <c r="B20" s="40">
        <v>8.52</v>
      </c>
      <c r="C20" s="40">
        <v>20.97</v>
      </c>
      <c r="D20" s="40">
        <v>17.34</v>
      </c>
      <c r="E20" s="40">
        <v>6.8</v>
      </c>
      <c r="F20" s="40">
        <v>3.26</v>
      </c>
      <c r="G20" s="40">
        <v>86.57</v>
      </c>
      <c r="H20" s="40">
        <v>59.42</v>
      </c>
      <c r="I20" s="40">
        <v>13.76</v>
      </c>
      <c r="J20" s="40">
        <v>0.57999999999999996</v>
      </c>
      <c r="K20" s="40">
        <v>196.17</v>
      </c>
      <c r="L20" s="40">
        <v>28.71</v>
      </c>
      <c r="M20" s="40">
        <v>42.65</v>
      </c>
      <c r="N20" s="40">
        <v>501.5</v>
      </c>
      <c r="O20" s="40">
        <v>0</v>
      </c>
      <c r="P20" s="40">
        <v>0.98</v>
      </c>
      <c r="Q20" s="40">
        <v>9.32</v>
      </c>
      <c r="R20" s="38"/>
      <c r="S20" s="38"/>
      <c r="T20" s="38"/>
      <c r="U20" s="38"/>
    </row>
    <row r="21" spans="1:21" customFormat="1">
      <c r="A21" s="39" t="s">
        <v>433</v>
      </c>
      <c r="B21" s="40">
        <v>4.38</v>
      </c>
      <c r="C21" s="40">
        <v>20.61</v>
      </c>
      <c r="D21" s="40">
        <v>14.29</v>
      </c>
      <c r="E21" s="40">
        <v>6.85</v>
      </c>
      <c r="F21" s="40">
        <v>5.03</v>
      </c>
      <c r="G21" s="40">
        <v>78.349999999999994</v>
      </c>
      <c r="H21" s="40">
        <v>55.73</v>
      </c>
      <c r="I21" s="40">
        <v>13.1</v>
      </c>
      <c r="J21" s="40">
        <v>0.69</v>
      </c>
      <c r="K21" s="40">
        <v>182.69</v>
      </c>
      <c r="L21" s="40">
        <v>29.34</v>
      </c>
      <c r="M21" s="40">
        <v>37.049999999999997</v>
      </c>
      <c r="N21" s="40">
        <v>497.3</v>
      </c>
      <c r="O21" s="40">
        <v>0</v>
      </c>
      <c r="P21" s="40">
        <v>0.89</v>
      </c>
      <c r="Q21" s="40">
        <v>9.32</v>
      </c>
      <c r="R21" s="38"/>
      <c r="S21" s="38"/>
      <c r="T21" s="38"/>
      <c r="U21" s="38"/>
    </row>
    <row r="22" spans="1:21" customFormat="1">
      <c r="A22" s="39" t="s">
        <v>434</v>
      </c>
      <c r="B22" s="40">
        <v>3.3</v>
      </c>
      <c r="C22" s="40">
        <v>18.899999999999999</v>
      </c>
      <c r="D22" s="40">
        <v>12.52</v>
      </c>
      <c r="E22" s="40">
        <v>7.4</v>
      </c>
      <c r="F22" s="40">
        <v>7.84</v>
      </c>
      <c r="G22" s="40">
        <v>66.47</v>
      </c>
      <c r="H22" s="40">
        <v>48.69</v>
      </c>
      <c r="I22" s="40">
        <v>14.73</v>
      </c>
      <c r="J22" s="40">
        <v>0.47</v>
      </c>
      <c r="K22" s="40">
        <v>252.12</v>
      </c>
      <c r="L22" s="40">
        <v>29.18</v>
      </c>
      <c r="M22" s="40">
        <v>35.340000000000003</v>
      </c>
      <c r="N22" s="40">
        <v>378</v>
      </c>
      <c r="O22" s="40">
        <v>0</v>
      </c>
      <c r="P22" s="40">
        <v>0.82</v>
      </c>
      <c r="Q22" s="40">
        <v>9.32</v>
      </c>
      <c r="R22" s="38"/>
      <c r="S22" s="38"/>
      <c r="T22" s="38"/>
      <c r="U22" s="38"/>
    </row>
    <row r="23" spans="1:21" customFormat="1">
      <c r="A23" s="39" t="s">
        <v>435</v>
      </c>
      <c r="B23" s="40">
        <v>3.18</v>
      </c>
      <c r="C23" s="40">
        <v>17.71</v>
      </c>
      <c r="D23" s="40">
        <v>11.8</v>
      </c>
      <c r="E23" s="40">
        <v>7.53</v>
      </c>
      <c r="F23" s="40">
        <v>6.42</v>
      </c>
      <c r="G23" s="40">
        <v>60.88</v>
      </c>
      <c r="H23" s="40">
        <v>43.44</v>
      </c>
      <c r="I23" s="40">
        <v>13.62</v>
      </c>
      <c r="J23" s="40">
        <v>0.42</v>
      </c>
      <c r="K23" s="40">
        <v>355.24</v>
      </c>
      <c r="L23" s="40">
        <v>29.45</v>
      </c>
      <c r="M23" s="40">
        <v>32.57</v>
      </c>
      <c r="N23" s="40">
        <v>128.69999999999999</v>
      </c>
      <c r="O23" s="40">
        <v>0</v>
      </c>
      <c r="P23" s="40">
        <v>0.74</v>
      </c>
      <c r="Q23" s="40">
        <v>9.32</v>
      </c>
      <c r="R23" s="38"/>
      <c r="S23" s="38"/>
      <c r="T23" s="38"/>
      <c r="U23" s="38"/>
    </row>
    <row r="24" spans="1:21" customFormat="1">
      <c r="A24" s="39" t="s">
        <v>436</v>
      </c>
      <c r="B24" s="40">
        <v>3.18</v>
      </c>
      <c r="C24" s="40">
        <v>17.28</v>
      </c>
      <c r="D24" s="40">
        <v>11.58</v>
      </c>
      <c r="E24" s="40">
        <v>6.99</v>
      </c>
      <c r="F24" s="40">
        <v>6.33</v>
      </c>
      <c r="G24" s="40">
        <v>62.47</v>
      </c>
      <c r="H24" s="40">
        <v>44.61</v>
      </c>
      <c r="I24" s="40">
        <v>12.77</v>
      </c>
      <c r="J24" s="40">
        <v>0.28000000000000003</v>
      </c>
      <c r="K24" s="40">
        <v>237.15</v>
      </c>
      <c r="L24" s="40">
        <v>29.28</v>
      </c>
      <c r="M24" s="40">
        <v>37.549999999999997</v>
      </c>
      <c r="N24" s="40">
        <v>96</v>
      </c>
      <c r="O24" s="40">
        <v>0</v>
      </c>
      <c r="P24" s="40">
        <v>0.71</v>
      </c>
      <c r="Q24" s="40">
        <v>9.32</v>
      </c>
      <c r="R24" s="38"/>
      <c r="S24" s="38"/>
      <c r="T24" s="38"/>
      <c r="U24" s="38"/>
    </row>
    <row r="25" spans="1:21" customFormat="1">
      <c r="A25" s="39" t="s">
        <v>437</v>
      </c>
      <c r="B25" s="40">
        <v>3.39</v>
      </c>
      <c r="C25" s="40">
        <v>15.75</v>
      </c>
      <c r="D25" s="40">
        <v>10.74</v>
      </c>
      <c r="E25" s="40">
        <v>6.86</v>
      </c>
      <c r="F25" s="40">
        <v>6.95</v>
      </c>
      <c r="G25" s="40">
        <v>60.69</v>
      </c>
      <c r="H25" s="40">
        <v>43.1</v>
      </c>
      <c r="I25" s="40">
        <v>11.96</v>
      </c>
      <c r="J25" s="40">
        <v>0.28000000000000003</v>
      </c>
      <c r="K25" s="40">
        <v>176.21</v>
      </c>
      <c r="L25" s="40">
        <v>27.98</v>
      </c>
      <c r="M25" s="40">
        <v>44.88</v>
      </c>
      <c r="N25" s="40">
        <v>55.9</v>
      </c>
      <c r="O25" s="40">
        <v>0</v>
      </c>
      <c r="P25" s="40">
        <v>0.68</v>
      </c>
      <c r="Q25" s="40">
        <v>9.32</v>
      </c>
      <c r="R25" s="38"/>
      <c r="S25" s="38"/>
      <c r="T25" s="38"/>
      <c r="U25" s="38"/>
    </row>
    <row r="26" spans="1:21" customFormat="1">
      <c r="A26" s="39" t="s">
        <v>438</v>
      </c>
      <c r="B26" s="40">
        <v>4.58</v>
      </c>
      <c r="C26" s="40">
        <v>17.97</v>
      </c>
      <c r="D26" s="40">
        <v>13.06</v>
      </c>
      <c r="E26" s="40">
        <v>6.89</v>
      </c>
      <c r="F26" s="40">
        <v>3.11</v>
      </c>
      <c r="G26" s="40">
        <v>53.08</v>
      </c>
      <c r="H26" s="40">
        <v>33.049999999999997</v>
      </c>
      <c r="I26" s="40">
        <v>11.61</v>
      </c>
      <c r="J26" s="40">
        <v>0.26</v>
      </c>
      <c r="K26" s="40">
        <v>169.69</v>
      </c>
      <c r="L26" s="40">
        <v>25.65</v>
      </c>
      <c r="M26" s="40">
        <v>58.67</v>
      </c>
      <c r="N26" s="40">
        <v>20</v>
      </c>
      <c r="O26" s="40">
        <v>0</v>
      </c>
      <c r="P26" s="40">
        <v>0.71</v>
      </c>
      <c r="Q26" s="40">
        <v>9.32</v>
      </c>
      <c r="R26" s="38"/>
      <c r="S26" s="38"/>
      <c r="T26" s="38"/>
      <c r="U26" s="38"/>
    </row>
    <row r="27" spans="1:21" customFormat="1">
      <c r="A27" s="39" t="s">
        <v>439</v>
      </c>
      <c r="B27" s="40">
        <v>8.02</v>
      </c>
      <c r="C27" s="40">
        <v>21.1</v>
      </c>
      <c r="D27" s="40">
        <v>17.45</v>
      </c>
      <c r="E27" s="40">
        <v>6.08</v>
      </c>
      <c r="F27" s="40">
        <v>1.39</v>
      </c>
      <c r="G27" s="40">
        <v>110.2</v>
      </c>
      <c r="H27" s="40">
        <v>35.82</v>
      </c>
      <c r="I27" s="40">
        <v>11.87</v>
      </c>
      <c r="J27" s="40">
        <v>0.25</v>
      </c>
      <c r="K27" s="40">
        <v>178.07</v>
      </c>
      <c r="L27" s="40">
        <v>23.36</v>
      </c>
      <c r="M27" s="40">
        <v>62.49</v>
      </c>
      <c r="N27" s="40">
        <v>13.9</v>
      </c>
      <c r="O27" s="40">
        <v>0</v>
      </c>
      <c r="P27" s="40">
        <v>0.81</v>
      </c>
      <c r="Q27" s="40">
        <v>9.32</v>
      </c>
      <c r="R27" s="38"/>
      <c r="S27" s="38"/>
      <c r="T27" s="38"/>
      <c r="U27" s="38"/>
    </row>
    <row r="28" spans="1:21" customFormat="1">
      <c r="A28" s="39" t="s">
        <v>440</v>
      </c>
      <c r="B28" s="40">
        <v>8.61</v>
      </c>
      <c r="C28" s="40">
        <v>21.66</v>
      </c>
      <c r="D28" s="40">
        <v>18.190000000000001</v>
      </c>
      <c r="E28" s="40">
        <v>6.29</v>
      </c>
      <c r="F28" s="40">
        <v>1.29</v>
      </c>
      <c r="G28" s="40">
        <v>106.1</v>
      </c>
      <c r="H28" s="40">
        <v>44.35</v>
      </c>
      <c r="I28" s="40">
        <v>14.01</v>
      </c>
      <c r="J28" s="40">
        <v>0.28000000000000003</v>
      </c>
      <c r="K28" s="40">
        <v>177.9</v>
      </c>
      <c r="L28" s="40">
        <v>22.45</v>
      </c>
      <c r="M28" s="40">
        <v>80.319999999999993</v>
      </c>
      <c r="N28" s="40">
        <v>13.9</v>
      </c>
      <c r="O28" s="40">
        <v>0</v>
      </c>
      <c r="P28" s="40">
        <v>0.9</v>
      </c>
      <c r="Q28" s="40">
        <v>9.32</v>
      </c>
      <c r="R28" s="38"/>
      <c r="S28" s="38"/>
      <c r="T28" s="38"/>
      <c r="U28" s="38"/>
    </row>
    <row r="29" spans="1:21" customFormat="1">
      <c r="A29" s="39" t="s">
        <v>441</v>
      </c>
      <c r="B29" s="40">
        <v>8.76</v>
      </c>
      <c r="C29" s="40">
        <v>21.06</v>
      </c>
      <c r="D29" s="40">
        <v>17.89</v>
      </c>
      <c r="E29" s="40">
        <v>6.28</v>
      </c>
      <c r="F29" s="40">
        <v>1.23</v>
      </c>
      <c r="G29" s="40">
        <v>97.47</v>
      </c>
      <c r="H29" s="40">
        <v>49.65</v>
      </c>
      <c r="I29" s="40">
        <v>16.23</v>
      </c>
      <c r="J29" s="40">
        <v>0.2</v>
      </c>
      <c r="K29" s="40">
        <v>199.13</v>
      </c>
      <c r="L29" s="40">
        <v>20.68</v>
      </c>
      <c r="M29" s="40">
        <v>85.09</v>
      </c>
      <c r="N29" s="40">
        <v>13.8</v>
      </c>
      <c r="O29" s="40">
        <v>0</v>
      </c>
      <c r="P29" s="40">
        <v>0.99</v>
      </c>
      <c r="Q29" s="40">
        <v>9.32</v>
      </c>
      <c r="R29" s="38"/>
      <c r="S29" s="38"/>
      <c r="T29" s="38"/>
      <c r="U29" s="38"/>
    </row>
    <row r="30" spans="1:21" customFormat="1">
      <c r="A30" s="39" t="s">
        <v>442</v>
      </c>
      <c r="B30" s="40">
        <v>8.57</v>
      </c>
      <c r="C30" s="40">
        <v>19.89</v>
      </c>
      <c r="D30" s="40">
        <v>17.260000000000002</v>
      </c>
      <c r="E30" s="40">
        <v>6.32</v>
      </c>
      <c r="F30" s="40">
        <v>1.37</v>
      </c>
      <c r="G30" s="40">
        <v>63.53</v>
      </c>
      <c r="H30" s="40">
        <v>25.32</v>
      </c>
      <c r="I30" s="40">
        <v>17.66</v>
      </c>
      <c r="J30" s="40">
        <v>0.17</v>
      </c>
      <c r="K30" s="40">
        <v>215.21</v>
      </c>
      <c r="L30" s="40">
        <v>19.73</v>
      </c>
      <c r="M30" s="40">
        <v>87.41</v>
      </c>
      <c r="N30" s="40">
        <v>13.6</v>
      </c>
      <c r="O30" s="40">
        <v>0</v>
      </c>
      <c r="P30" s="40">
        <v>0.98</v>
      </c>
      <c r="Q30" s="40">
        <v>9.32</v>
      </c>
      <c r="R30" s="38"/>
      <c r="S30" s="38"/>
      <c r="T30" s="38"/>
      <c r="U30" s="38"/>
    </row>
    <row r="31" spans="1:21" customFormat="1">
      <c r="A31" s="39" t="s">
        <v>443</v>
      </c>
      <c r="B31" s="40">
        <v>8.15</v>
      </c>
      <c r="C31" s="40">
        <v>18.52</v>
      </c>
      <c r="D31" s="40">
        <v>16.18</v>
      </c>
      <c r="E31" s="40">
        <v>6.4</v>
      </c>
      <c r="F31" s="40">
        <v>1.4</v>
      </c>
      <c r="G31" s="40">
        <v>48.44</v>
      </c>
      <c r="H31" s="40">
        <v>23.83</v>
      </c>
      <c r="I31" s="40">
        <v>18.2</v>
      </c>
      <c r="J31" s="40">
        <v>0.23</v>
      </c>
      <c r="K31" s="40">
        <v>229.39</v>
      </c>
      <c r="L31" s="40">
        <v>19.100000000000001</v>
      </c>
      <c r="M31" s="40">
        <v>88.33</v>
      </c>
      <c r="N31" s="40">
        <v>13.5</v>
      </c>
      <c r="O31" s="40">
        <v>0</v>
      </c>
      <c r="P31" s="40">
        <v>0.99</v>
      </c>
      <c r="Q31" s="40">
        <v>9.32</v>
      </c>
      <c r="R31" s="38"/>
      <c r="S31" s="38"/>
      <c r="T31" s="38"/>
      <c r="U31" s="38"/>
    </row>
    <row r="32" spans="1:21" customFormat="1">
      <c r="A32" s="39" t="s">
        <v>444</v>
      </c>
      <c r="B32" s="40">
        <v>8.16</v>
      </c>
      <c r="C32" s="40">
        <v>17.63</v>
      </c>
      <c r="D32" s="40">
        <v>15.75</v>
      </c>
      <c r="E32" s="40">
        <v>6.26</v>
      </c>
      <c r="F32" s="40">
        <v>1.39</v>
      </c>
      <c r="G32" s="40">
        <v>50.79</v>
      </c>
      <c r="H32" s="40">
        <v>23.96</v>
      </c>
      <c r="I32" s="40">
        <v>15.18</v>
      </c>
      <c r="J32" s="40">
        <v>0.16</v>
      </c>
      <c r="K32" s="40">
        <v>217.76</v>
      </c>
      <c r="L32" s="40">
        <v>18.420000000000002</v>
      </c>
      <c r="M32" s="40">
        <v>89.2</v>
      </c>
      <c r="N32" s="40">
        <v>13.7</v>
      </c>
      <c r="O32" s="40">
        <v>0</v>
      </c>
      <c r="P32" s="40">
        <v>1.04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3.18</v>
      </c>
      <c r="C34" s="18">
        <f t="shared" si="0"/>
        <v>15.53</v>
      </c>
      <c r="D34" s="18">
        <f t="shared" si="0"/>
        <v>10.74</v>
      </c>
      <c r="E34" s="18">
        <f t="shared" si="0"/>
        <v>4.41</v>
      </c>
      <c r="F34" s="18">
        <f t="shared" si="0"/>
        <v>1.22</v>
      </c>
      <c r="G34" s="18">
        <f t="shared" si="0"/>
        <v>48.44</v>
      </c>
      <c r="H34" s="18">
        <f t="shared" si="0"/>
        <v>23.83</v>
      </c>
      <c r="I34" s="18">
        <f t="shared" si="0"/>
        <v>11.61</v>
      </c>
      <c r="J34" s="18">
        <f t="shared" si="0"/>
        <v>0.15</v>
      </c>
      <c r="K34" s="18">
        <f t="shared" si="0"/>
        <v>84.25</v>
      </c>
      <c r="L34" s="18">
        <f t="shared" si="0"/>
        <v>15.76</v>
      </c>
      <c r="M34" s="18">
        <f t="shared" si="0"/>
        <v>32.57</v>
      </c>
      <c r="N34" s="18">
        <f t="shared" si="0"/>
        <v>11.7</v>
      </c>
      <c r="O34" s="18">
        <f t="shared" si="0"/>
        <v>0</v>
      </c>
      <c r="P34" s="18">
        <f t="shared" si="0"/>
        <v>0.68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13.61</v>
      </c>
      <c r="C35" s="3">
        <f t="shared" si="1"/>
        <v>21.66</v>
      </c>
      <c r="D35" s="3">
        <f t="shared" si="1"/>
        <v>20.37</v>
      </c>
      <c r="E35" s="3">
        <f t="shared" si="1"/>
        <v>7.53</v>
      </c>
      <c r="F35" s="3">
        <f t="shared" si="1"/>
        <v>7.84</v>
      </c>
      <c r="G35" s="3">
        <f t="shared" si="1"/>
        <v>110.2</v>
      </c>
      <c r="H35" s="3">
        <f t="shared" si="1"/>
        <v>71.19</v>
      </c>
      <c r="I35" s="3">
        <f t="shared" si="1"/>
        <v>18.2</v>
      </c>
      <c r="J35" s="3">
        <f t="shared" si="1"/>
        <v>0.69</v>
      </c>
      <c r="K35" s="3">
        <f t="shared" si="1"/>
        <v>355.24</v>
      </c>
      <c r="L35" s="3">
        <f t="shared" si="1"/>
        <v>29.45</v>
      </c>
      <c r="M35" s="3">
        <f t="shared" si="1"/>
        <v>93.84</v>
      </c>
      <c r="N35" s="3">
        <f t="shared" si="1"/>
        <v>501.5</v>
      </c>
      <c r="O35" s="3">
        <f t="shared" si="1"/>
        <v>0</v>
      </c>
      <c r="P35" s="3">
        <f t="shared" si="1"/>
        <v>1.1499999999999999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8.4491666666666685</v>
      </c>
      <c r="C36" s="18">
        <f t="shared" si="2"/>
        <v>18.608750000000001</v>
      </c>
      <c r="D36" s="18">
        <f t="shared" si="2"/>
        <v>16.43</v>
      </c>
      <c r="E36" s="18">
        <f t="shared" si="2"/>
        <v>5.9733333333333336</v>
      </c>
      <c r="F36" s="18">
        <f t="shared" si="2"/>
        <v>2.5954166666666665</v>
      </c>
      <c r="G36" s="18">
        <f t="shared" si="2"/>
        <v>83.611249999999998</v>
      </c>
      <c r="H36" s="18">
        <f t="shared" si="2"/>
        <v>52.930833333333332</v>
      </c>
      <c r="I36" s="18">
        <f t="shared" si="2"/>
        <v>14.743333333333332</v>
      </c>
      <c r="J36" s="18">
        <f t="shared" si="2"/>
        <v>0.33333333333333331</v>
      </c>
      <c r="K36" s="18">
        <f t="shared" si="2"/>
        <v>202.49125000000004</v>
      </c>
      <c r="L36" s="18">
        <f t="shared" si="2"/>
        <v>22.189583333333335</v>
      </c>
      <c r="M36" s="18">
        <f t="shared" si="2"/>
        <v>70.552499999999995</v>
      </c>
      <c r="N36" s="18">
        <f t="shared" si="2"/>
        <v>115.52083333333333</v>
      </c>
      <c r="O36" s="18">
        <f t="shared" si="2"/>
        <v>0</v>
      </c>
      <c r="P36" s="18">
        <f t="shared" si="2"/>
        <v>0.96416666666666651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3.3239721087443166</v>
      </c>
      <c r="C37" s="18">
        <f t="shared" ref="C37:Q37" si="3">STDEV(C9:C32)</f>
        <v>1.7537842624252376</v>
      </c>
      <c r="D37" s="18">
        <f t="shared" si="3"/>
        <v>2.8977367480276066</v>
      </c>
      <c r="E37" s="18">
        <f t="shared" si="3"/>
        <v>0.92837710978406385</v>
      </c>
      <c r="F37" s="18">
        <f t="shared" si="3"/>
        <v>2.1600100224539354</v>
      </c>
      <c r="G37" s="18">
        <f t="shared" si="3"/>
        <v>19.739215065778129</v>
      </c>
      <c r="H37" s="18">
        <f t="shared" si="3"/>
        <v>15.975787635660124</v>
      </c>
      <c r="I37" s="18">
        <f t="shared" si="3"/>
        <v>1.7075450638058149</v>
      </c>
      <c r="J37" s="18">
        <f t="shared" si="3"/>
        <v>0.17018319200373375</v>
      </c>
      <c r="K37" s="18">
        <f t="shared" si="3"/>
        <v>55.331010985074315</v>
      </c>
      <c r="L37" s="18">
        <f t="shared" si="3"/>
        <v>4.9120707394412779</v>
      </c>
      <c r="M37" s="18">
        <f t="shared" si="3"/>
        <v>22.370992718638821</v>
      </c>
      <c r="N37" s="18">
        <f t="shared" si="3"/>
        <v>165.99525393730428</v>
      </c>
      <c r="O37" s="18">
        <f t="shared" si="3"/>
        <v>0</v>
      </c>
      <c r="P37" s="18">
        <f t="shared" si="3"/>
        <v>0.14622545625837879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J19" sqref="J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445</v>
      </c>
      <c r="B9" s="40">
        <v>8.3800000000000008</v>
      </c>
      <c r="C9" s="40">
        <v>16.79</v>
      </c>
      <c r="D9" s="40">
        <v>15.37</v>
      </c>
      <c r="E9" s="40">
        <v>6.2</v>
      </c>
      <c r="F9" s="40">
        <v>1.27</v>
      </c>
      <c r="G9" s="40">
        <v>48.09</v>
      </c>
      <c r="H9" s="40">
        <v>26.25</v>
      </c>
      <c r="I9" s="40">
        <v>16.010000000000002</v>
      </c>
      <c r="J9" s="40">
        <v>0.18</v>
      </c>
      <c r="K9" s="40">
        <v>204.42</v>
      </c>
      <c r="L9" s="40">
        <v>18.309999999999999</v>
      </c>
      <c r="M9" s="40">
        <v>91.45</v>
      </c>
      <c r="N9" s="40">
        <v>13.6</v>
      </c>
      <c r="O9" s="40">
        <v>0</v>
      </c>
      <c r="P9" s="40">
        <v>1.1100000000000001</v>
      </c>
      <c r="Q9" s="40">
        <v>9.32</v>
      </c>
      <c r="R9" s="38"/>
      <c r="S9" s="38"/>
      <c r="T9" s="38"/>
      <c r="U9" s="38"/>
    </row>
    <row r="10" spans="1:21" customFormat="1">
      <c r="A10" s="39" t="s">
        <v>446</v>
      </c>
      <c r="B10" s="40">
        <v>9.35</v>
      </c>
      <c r="C10" s="40">
        <v>16.5</v>
      </c>
      <c r="D10" s="40">
        <v>15.96</v>
      </c>
      <c r="E10" s="40">
        <v>6.53</v>
      </c>
      <c r="F10" s="40">
        <v>1.43</v>
      </c>
      <c r="G10" s="40">
        <v>50.41</v>
      </c>
      <c r="H10" s="40">
        <v>26.57</v>
      </c>
      <c r="I10" s="40">
        <v>16.940000000000001</v>
      </c>
      <c r="J10" s="40">
        <v>0.18</v>
      </c>
      <c r="K10" s="40">
        <v>230.42</v>
      </c>
      <c r="L10" s="40">
        <v>17.71</v>
      </c>
      <c r="M10" s="40">
        <v>92.34</v>
      </c>
      <c r="N10" s="40">
        <v>13.6</v>
      </c>
      <c r="O10" s="40">
        <v>0</v>
      </c>
      <c r="P10" s="40">
        <v>1.2</v>
      </c>
      <c r="Q10" s="40">
        <v>9.32</v>
      </c>
      <c r="R10" s="38"/>
      <c r="S10" s="38"/>
      <c r="T10" s="38"/>
      <c r="U10" s="38"/>
    </row>
    <row r="11" spans="1:21" customFormat="1">
      <c r="A11" s="39" t="s">
        <v>447</v>
      </c>
      <c r="B11" s="40">
        <v>10.210000000000001</v>
      </c>
      <c r="C11" s="40">
        <v>16.29</v>
      </c>
      <c r="D11" s="40">
        <v>16.7</v>
      </c>
      <c r="E11" s="40">
        <v>5.18</v>
      </c>
      <c r="F11" s="40">
        <v>1.39</v>
      </c>
      <c r="G11" s="40">
        <v>53.34</v>
      </c>
      <c r="H11" s="40">
        <v>27.03</v>
      </c>
      <c r="I11" s="40">
        <v>17.690000000000001</v>
      </c>
      <c r="J11" s="40">
        <v>0.21</v>
      </c>
      <c r="K11" s="40">
        <v>223.79</v>
      </c>
      <c r="L11" s="40">
        <v>17.23</v>
      </c>
      <c r="M11" s="40">
        <v>92.91</v>
      </c>
      <c r="N11" s="40">
        <v>13.7</v>
      </c>
      <c r="O11" s="40">
        <v>0</v>
      </c>
      <c r="P11" s="40">
        <v>1.27</v>
      </c>
      <c r="Q11" s="40">
        <v>9.32</v>
      </c>
      <c r="R11" s="38"/>
      <c r="S11" s="38"/>
      <c r="T11" s="38"/>
      <c r="U11" s="38"/>
    </row>
    <row r="12" spans="1:21" customFormat="1">
      <c r="A12" s="39" t="s">
        <v>448</v>
      </c>
      <c r="B12" s="40">
        <v>10.19</v>
      </c>
      <c r="C12" s="40">
        <v>16.329999999999998</v>
      </c>
      <c r="D12" s="40">
        <v>16.68</v>
      </c>
      <c r="E12" s="40">
        <v>5.38</v>
      </c>
      <c r="F12" s="40">
        <v>1.4</v>
      </c>
      <c r="G12" s="40">
        <v>53.07</v>
      </c>
      <c r="H12" s="40">
        <v>26.84</v>
      </c>
      <c r="I12" s="40">
        <v>18.079999999999998</v>
      </c>
      <c r="J12" s="40">
        <v>0.28000000000000003</v>
      </c>
      <c r="K12" s="40">
        <v>252.2</v>
      </c>
      <c r="L12" s="40">
        <v>16.670000000000002</v>
      </c>
      <c r="M12" s="40">
        <v>93.56</v>
      </c>
      <c r="N12" s="40">
        <v>13.8</v>
      </c>
      <c r="O12" s="40">
        <v>0</v>
      </c>
      <c r="P12" s="40">
        <v>1.29</v>
      </c>
      <c r="Q12" s="40">
        <v>9.32</v>
      </c>
      <c r="R12" s="38"/>
      <c r="S12" s="38"/>
      <c r="T12" s="38"/>
      <c r="U12" s="38"/>
    </row>
    <row r="13" spans="1:21" customFormat="1">
      <c r="A13" s="39" t="s">
        <v>449</v>
      </c>
      <c r="B13" s="40">
        <v>10.119999999999999</v>
      </c>
      <c r="C13" s="40">
        <v>15.7</v>
      </c>
      <c r="D13" s="40">
        <v>16.309999999999999</v>
      </c>
      <c r="E13" s="40">
        <v>5.31</v>
      </c>
      <c r="F13" s="40">
        <v>1.17</v>
      </c>
      <c r="G13" s="40">
        <v>50.37</v>
      </c>
      <c r="H13" s="40">
        <v>27.66</v>
      </c>
      <c r="I13" s="40">
        <v>18.28</v>
      </c>
      <c r="J13" s="40">
        <v>0.12</v>
      </c>
      <c r="K13" s="40">
        <v>217.27</v>
      </c>
      <c r="L13" s="40">
        <v>15.94</v>
      </c>
      <c r="M13" s="40">
        <v>93.86</v>
      </c>
      <c r="N13" s="40">
        <v>13.7</v>
      </c>
      <c r="O13" s="40">
        <v>0</v>
      </c>
      <c r="P13" s="40">
        <v>1.29</v>
      </c>
      <c r="Q13" s="40">
        <v>9.32</v>
      </c>
      <c r="R13" s="38"/>
      <c r="S13" s="38"/>
      <c r="T13" s="38"/>
      <c r="U13" s="38"/>
    </row>
    <row r="14" spans="1:21" customFormat="1">
      <c r="A14" s="39" t="s">
        <v>450</v>
      </c>
      <c r="B14" s="40">
        <v>10.07</v>
      </c>
      <c r="C14" s="40">
        <v>15.07</v>
      </c>
      <c r="D14" s="40">
        <v>15.95</v>
      </c>
      <c r="E14" s="40">
        <v>4.99</v>
      </c>
      <c r="F14" s="40">
        <v>1.26</v>
      </c>
      <c r="G14" s="40">
        <v>48.81</v>
      </c>
      <c r="H14" s="40">
        <v>27.96</v>
      </c>
      <c r="I14" s="40">
        <v>20.71</v>
      </c>
      <c r="J14" s="40">
        <v>0.16</v>
      </c>
      <c r="K14" s="40">
        <v>219.3</v>
      </c>
      <c r="L14" s="40">
        <v>15.73</v>
      </c>
      <c r="M14" s="40">
        <v>93.9</v>
      </c>
      <c r="N14" s="40">
        <v>13.6</v>
      </c>
      <c r="O14" s="40">
        <v>0</v>
      </c>
      <c r="P14" s="40">
        <v>1.29</v>
      </c>
      <c r="Q14" s="40">
        <v>9.32</v>
      </c>
      <c r="R14" s="38"/>
      <c r="S14" s="38"/>
      <c r="T14" s="38"/>
      <c r="U14" s="38"/>
    </row>
    <row r="15" spans="1:21" customFormat="1">
      <c r="A15" s="39" t="s">
        <v>451</v>
      </c>
      <c r="B15" s="40">
        <v>9.6999999999999993</v>
      </c>
      <c r="C15" s="40">
        <v>14.84</v>
      </c>
      <c r="D15" s="40">
        <v>15.43</v>
      </c>
      <c r="E15" s="40">
        <v>4.83</v>
      </c>
      <c r="F15" s="40">
        <v>1.41</v>
      </c>
      <c r="G15" s="40">
        <v>40.96</v>
      </c>
      <c r="H15" s="40">
        <v>27.58</v>
      </c>
      <c r="I15" s="40">
        <v>20.8</v>
      </c>
      <c r="J15" s="40">
        <v>0.22</v>
      </c>
      <c r="K15" s="40">
        <v>222.08</v>
      </c>
      <c r="L15" s="40">
        <v>15.62</v>
      </c>
      <c r="M15" s="40">
        <v>93.9</v>
      </c>
      <c r="N15" s="40">
        <v>26.5</v>
      </c>
      <c r="O15" s="40">
        <v>0</v>
      </c>
      <c r="P15" s="40">
        <v>1.25</v>
      </c>
      <c r="Q15" s="40">
        <v>9.32</v>
      </c>
      <c r="R15" s="38"/>
      <c r="S15" s="38"/>
      <c r="T15" s="38"/>
      <c r="U15" s="38"/>
    </row>
    <row r="16" spans="1:21" customFormat="1">
      <c r="A16" s="39" t="s">
        <v>452</v>
      </c>
      <c r="B16" s="40">
        <v>8.67</v>
      </c>
      <c r="C16" s="40">
        <v>15.88</v>
      </c>
      <c r="D16" s="40">
        <v>14.78</v>
      </c>
      <c r="E16" s="40">
        <v>5.0599999999999996</v>
      </c>
      <c r="F16" s="40">
        <v>1.42</v>
      </c>
      <c r="G16" s="40">
        <v>45.66</v>
      </c>
      <c r="H16" s="40">
        <v>28.3</v>
      </c>
      <c r="I16" s="40">
        <v>22.88</v>
      </c>
      <c r="J16" s="40">
        <v>0.24</v>
      </c>
      <c r="K16" s="40">
        <v>166.18</v>
      </c>
      <c r="L16" s="40">
        <v>17.28</v>
      </c>
      <c r="M16" s="40">
        <v>93.9</v>
      </c>
      <c r="N16" s="40">
        <v>78</v>
      </c>
      <c r="O16" s="40">
        <v>0</v>
      </c>
      <c r="P16" s="40">
        <v>1.24</v>
      </c>
      <c r="Q16" s="40">
        <v>9.32</v>
      </c>
      <c r="R16" s="38"/>
      <c r="S16" s="38"/>
      <c r="T16" s="38"/>
      <c r="U16" s="38"/>
    </row>
    <row r="17" spans="1:21" customFormat="1">
      <c r="A17" s="39" t="s">
        <v>453</v>
      </c>
      <c r="B17" s="40">
        <v>7.36</v>
      </c>
      <c r="C17" s="40">
        <v>18.04</v>
      </c>
      <c r="D17" s="40">
        <v>14.66</v>
      </c>
      <c r="E17" s="40">
        <v>5.45</v>
      </c>
      <c r="F17" s="40">
        <v>1.8</v>
      </c>
      <c r="G17" s="40">
        <v>49.64</v>
      </c>
      <c r="H17" s="40">
        <v>29.42</v>
      </c>
      <c r="I17" s="40">
        <v>23.31</v>
      </c>
      <c r="J17" s="40">
        <v>0.22</v>
      </c>
      <c r="K17" s="40">
        <v>239.23</v>
      </c>
      <c r="L17" s="40">
        <v>22.23</v>
      </c>
      <c r="M17" s="40">
        <v>91.5</v>
      </c>
      <c r="N17" s="40">
        <v>235.2</v>
      </c>
      <c r="O17" s="40">
        <v>0</v>
      </c>
      <c r="P17" s="40">
        <v>1.29</v>
      </c>
      <c r="Q17" s="40">
        <v>9.32</v>
      </c>
      <c r="R17" s="38"/>
      <c r="S17" s="38"/>
      <c r="T17" s="38"/>
      <c r="U17" s="38"/>
    </row>
    <row r="18" spans="1:21" customFormat="1">
      <c r="A18" s="39" t="s">
        <v>454</v>
      </c>
      <c r="B18" s="40">
        <v>6.15</v>
      </c>
      <c r="C18" s="40">
        <v>18.600000000000001</v>
      </c>
      <c r="D18" s="40">
        <v>14.5</v>
      </c>
      <c r="E18" s="40">
        <v>5.33</v>
      </c>
      <c r="F18" s="40">
        <v>2.4</v>
      </c>
      <c r="G18" s="40">
        <v>56.97</v>
      </c>
      <c r="H18" s="40">
        <v>32.520000000000003</v>
      </c>
      <c r="I18" s="40">
        <v>23.99</v>
      </c>
      <c r="J18" s="40">
        <v>0.28999999999999998</v>
      </c>
      <c r="K18" s="40">
        <v>277.63</v>
      </c>
      <c r="L18" s="40">
        <v>25.05</v>
      </c>
      <c r="M18" s="40">
        <v>64.5</v>
      </c>
      <c r="N18" s="40">
        <v>180.6</v>
      </c>
      <c r="O18" s="40">
        <v>0</v>
      </c>
      <c r="P18" s="40">
        <v>1.29</v>
      </c>
      <c r="Q18" s="40">
        <v>9.32</v>
      </c>
      <c r="R18" s="38"/>
      <c r="S18" s="38"/>
      <c r="T18" s="38"/>
      <c r="U18" s="38"/>
    </row>
    <row r="19" spans="1:21" customFormat="1">
      <c r="A19" s="39" t="s">
        <v>455</v>
      </c>
      <c r="B19" s="40">
        <v>4.32</v>
      </c>
      <c r="C19" s="40">
        <v>22.16</v>
      </c>
      <c r="D19" s="40">
        <v>14.39</v>
      </c>
      <c r="E19" s="40">
        <v>6.23</v>
      </c>
      <c r="F19" s="40">
        <v>8.1300000000000008</v>
      </c>
      <c r="G19" s="40">
        <v>55</v>
      </c>
      <c r="H19" s="40">
        <v>32.31</v>
      </c>
      <c r="I19" s="40">
        <v>23.87</v>
      </c>
      <c r="J19" s="40">
        <v>0.57999999999999996</v>
      </c>
      <c r="K19" s="40">
        <v>100.5</v>
      </c>
      <c r="L19" s="40">
        <v>27.43</v>
      </c>
      <c r="M19" s="40">
        <v>46.95</v>
      </c>
      <c r="N19" s="40">
        <v>487</v>
      </c>
      <c r="O19" s="40">
        <v>0</v>
      </c>
      <c r="P19" s="40">
        <v>1.27</v>
      </c>
      <c r="Q19" s="40">
        <v>9.32</v>
      </c>
      <c r="R19" s="38"/>
      <c r="S19" s="38"/>
      <c r="T19" s="38"/>
      <c r="U19" s="38"/>
    </row>
    <row r="20" spans="1:21" customFormat="1">
      <c r="A20" s="39" t="s">
        <v>456</v>
      </c>
      <c r="B20" s="40">
        <v>3.37</v>
      </c>
      <c r="C20" s="40">
        <v>22.01</v>
      </c>
      <c r="D20" s="40">
        <v>14.2</v>
      </c>
      <c r="E20" s="40">
        <v>5.33</v>
      </c>
      <c r="F20" s="40">
        <v>13.13</v>
      </c>
      <c r="G20" s="40">
        <v>49.7</v>
      </c>
      <c r="H20" s="40">
        <v>28.6</v>
      </c>
      <c r="I20" s="40">
        <v>21.63</v>
      </c>
      <c r="J20" s="40">
        <v>0.49</v>
      </c>
      <c r="K20" s="40">
        <v>299.35000000000002</v>
      </c>
      <c r="L20" s="40">
        <v>28.93</v>
      </c>
      <c r="M20" s="40">
        <v>36.94</v>
      </c>
      <c r="N20" s="40">
        <v>546.9</v>
      </c>
      <c r="O20" s="40">
        <v>0</v>
      </c>
      <c r="P20" s="40">
        <v>1.08</v>
      </c>
      <c r="Q20" s="40">
        <v>9.32</v>
      </c>
      <c r="R20" s="38"/>
      <c r="S20" s="38"/>
      <c r="T20" s="38"/>
      <c r="U20" s="38"/>
    </row>
    <row r="21" spans="1:21" customFormat="1">
      <c r="A21" s="39" t="s">
        <v>457</v>
      </c>
      <c r="B21" s="40">
        <v>3.14</v>
      </c>
      <c r="C21" s="40">
        <v>18.899999999999999</v>
      </c>
      <c r="D21" s="40">
        <v>12.39</v>
      </c>
      <c r="E21" s="40">
        <v>4.79</v>
      </c>
      <c r="F21" s="40">
        <v>26.83</v>
      </c>
      <c r="G21" s="40">
        <v>37.6</v>
      </c>
      <c r="H21" s="40">
        <v>22.7</v>
      </c>
      <c r="I21" s="40">
        <v>17.28</v>
      </c>
      <c r="J21" s="40">
        <v>0.38</v>
      </c>
      <c r="K21" s="40">
        <v>348.05</v>
      </c>
      <c r="L21" s="40">
        <v>30.19</v>
      </c>
      <c r="M21" s="40">
        <v>32.81</v>
      </c>
      <c r="N21" s="40">
        <v>535.4</v>
      </c>
      <c r="O21" s="40">
        <v>0</v>
      </c>
      <c r="P21" s="40">
        <v>0.86</v>
      </c>
      <c r="Q21" s="40">
        <v>9.32</v>
      </c>
      <c r="R21" s="38"/>
      <c r="S21" s="38"/>
      <c r="T21" s="38"/>
      <c r="U21" s="38"/>
    </row>
    <row r="22" spans="1:21" customFormat="1">
      <c r="A22" s="39" t="s">
        <v>458</v>
      </c>
      <c r="B22" s="40">
        <v>3.25</v>
      </c>
      <c r="C22" s="40">
        <v>22.48</v>
      </c>
      <c r="D22" s="40">
        <v>14.36</v>
      </c>
      <c r="E22" s="40">
        <v>9.25</v>
      </c>
      <c r="F22" s="40">
        <v>27.69</v>
      </c>
      <c r="G22" s="40">
        <v>32.49</v>
      </c>
      <c r="H22" s="40">
        <v>18.86</v>
      </c>
      <c r="I22" s="40">
        <v>13.96</v>
      </c>
      <c r="J22" s="40">
        <v>0.28000000000000003</v>
      </c>
      <c r="K22" s="40">
        <v>347.79</v>
      </c>
      <c r="L22" s="40">
        <v>30.33</v>
      </c>
      <c r="M22" s="40">
        <v>28.95</v>
      </c>
      <c r="N22" s="40">
        <v>402.5</v>
      </c>
      <c r="O22" s="40">
        <v>0</v>
      </c>
      <c r="P22" s="40">
        <v>0.69</v>
      </c>
      <c r="Q22" s="40">
        <v>9.32</v>
      </c>
      <c r="R22" s="38"/>
      <c r="S22" s="38"/>
      <c r="T22" s="38"/>
      <c r="U22" s="38"/>
    </row>
    <row r="23" spans="1:21" customFormat="1">
      <c r="A23" s="39" t="s">
        <v>459</v>
      </c>
      <c r="B23" s="40">
        <v>3.88</v>
      </c>
      <c r="C23" s="40">
        <v>29.01</v>
      </c>
      <c r="D23" s="40">
        <v>17.95</v>
      </c>
      <c r="E23" s="40">
        <v>17.149999999999999</v>
      </c>
      <c r="F23" s="40">
        <v>30.24</v>
      </c>
      <c r="G23" s="40">
        <v>34.33</v>
      </c>
      <c r="H23" s="40">
        <v>17.28</v>
      </c>
      <c r="I23" s="40">
        <v>11.3</v>
      </c>
      <c r="J23" s="40">
        <v>0.53</v>
      </c>
      <c r="K23" s="40">
        <v>168.01</v>
      </c>
      <c r="L23" s="40">
        <v>30.35</v>
      </c>
      <c r="M23" s="40">
        <v>33.659999999999997</v>
      </c>
      <c r="N23" s="40">
        <v>132.6</v>
      </c>
      <c r="O23" s="40">
        <v>0</v>
      </c>
      <c r="P23" s="40">
        <v>0.69</v>
      </c>
      <c r="Q23" s="40">
        <v>9.32</v>
      </c>
      <c r="R23" s="38"/>
      <c r="S23" s="38"/>
      <c r="T23" s="38"/>
      <c r="U23" s="38"/>
    </row>
    <row r="24" spans="1:21" customFormat="1">
      <c r="A24" s="39" t="s">
        <v>460</v>
      </c>
      <c r="B24" s="40">
        <v>3.19</v>
      </c>
      <c r="C24" s="40">
        <v>26.14</v>
      </c>
      <c r="D24" s="40">
        <v>16.2</v>
      </c>
      <c r="E24" s="40">
        <v>14.11</v>
      </c>
      <c r="F24" s="40">
        <v>27.58</v>
      </c>
      <c r="G24" s="40">
        <v>39.69</v>
      </c>
      <c r="H24" s="40">
        <v>17.62</v>
      </c>
      <c r="I24" s="40">
        <v>11.89</v>
      </c>
      <c r="J24" s="40">
        <v>0.23</v>
      </c>
      <c r="K24" s="40">
        <v>188.51</v>
      </c>
      <c r="L24" s="40">
        <v>29.34</v>
      </c>
      <c r="M24" s="40">
        <v>39.159999999999997</v>
      </c>
      <c r="N24" s="40">
        <v>95</v>
      </c>
      <c r="O24" s="40">
        <v>0</v>
      </c>
      <c r="P24" s="40">
        <v>0.75</v>
      </c>
      <c r="Q24" s="40">
        <v>9.32</v>
      </c>
      <c r="R24" s="38"/>
      <c r="S24" s="38"/>
      <c r="T24" s="38"/>
      <c r="U24" s="38"/>
    </row>
    <row r="25" spans="1:21" customFormat="1">
      <c r="A25" s="39" t="s">
        <v>461</v>
      </c>
      <c r="B25" s="40">
        <v>3.27</v>
      </c>
      <c r="C25" s="40">
        <v>21.52</v>
      </c>
      <c r="D25" s="40">
        <v>13.8</v>
      </c>
      <c r="E25" s="40">
        <v>6.25</v>
      </c>
      <c r="F25" s="40">
        <v>15.13</v>
      </c>
      <c r="G25" s="40">
        <v>48.08</v>
      </c>
      <c r="H25" s="40">
        <v>20.97</v>
      </c>
      <c r="I25" s="40">
        <v>13.23</v>
      </c>
      <c r="J25" s="40">
        <v>0.3</v>
      </c>
      <c r="K25" s="40">
        <v>171.48</v>
      </c>
      <c r="L25" s="40">
        <v>28.38</v>
      </c>
      <c r="M25" s="40">
        <v>48.56</v>
      </c>
      <c r="N25" s="40">
        <v>57.7</v>
      </c>
      <c r="O25" s="40">
        <v>0</v>
      </c>
      <c r="P25" s="40">
        <v>0.78</v>
      </c>
      <c r="Q25" s="40">
        <v>9.32</v>
      </c>
      <c r="R25" s="38"/>
      <c r="S25" s="38"/>
      <c r="T25" s="38"/>
      <c r="U25" s="38"/>
    </row>
    <row r="26" spans="1:21" customFormat="1">
      <c r="A26" s="39" t="s">
        <v>462</v>
      </c>
      <c r="B26" s="40">
        <v>4.45</v>
      </c>
      <c r="C26" s="40">
        <v>27.71</v>
      </c>
      <c r="D26" s="40">
        <v>18.05</v>
      </c>
      <c r="E26" s="40">
        <v>4.97</v>
      </c>
      <c r="F26" s="40">
        <v>5.74</v>
      </c>
      <c r="G26" s="40">
        <v>53.4</v>
      </c>
      <c r="H26" s="40">
        <v>21.08</v>
      </c>
      <c r="I26" s="40">
        <v>15.24</v>
      </c>
      <c r="J26" s="40">
        <v>0.34</v>
      </c>
      <c r="K26" s="40">
        <v>169.3</v>
      </c>
      <c r="L26" s="40">
        <v>25.95</v>
      </c>
      <c r="M26" s="40">
        <v>52.29</v>
      </c>
      <c r="N26" s="40">
        <v>25.8</v>
      </c>
      <c r="O26" s="40">
        <v>0</v>
      </c>
      <c r="P26" s="40">
        <v>0.88</v>
      </c>
      <c r="Q26" s="40">
        <v>9.32</v>
      </c>
      <c r="R26" s="38"/>
      <c r="S26" s="38"/>
      <c r="T26" s="38"/>
      <c r="U26" s="38"/>
    </row>
    <row r="27" spans="1:21" customFormat="1">
      <c r="A27" s="39" t="s">
        <v>463</v>
      </c>
      <c r="B27" s="40">
        <v>5.0199999999999996</v>
      </c>
      <c r="C27" s="40">
        <v>27.2</v>
      </c>
      <c r="D27" s="40">
        <v>18.100000000000001</v>
      </c>
      <c r="E27" s="40">
        <v>3.69</v>
      </c>
      <c r="F27" s="40">
        <v>1.84</v>
      </c>
      <c r="G27" s="40">
        <v>55.65</v>
      </c>
      <c r="H27" s="40">
        <v>20.89</v>
      </c>
      <c r="I27" s="40">
        <v>16.78</v>
      </c>
      <c r="J27" s="40">
        <v>0.26</v>
      </c>
      <c r="K27" s="40">
        <v>179.05</v>
      </c>
      <c r="L27" s="40">
        <v>22.93</v>
      </c>
      <c r="M27" s="40">
        <v>71.650000000000006</v>
      </c>
      <c r="N27" s="40">
        <v>19.2</v>
      </c>
      <c r="O27" s="40">
        <v>0</v>
      </c>
      <c r="P27" s="40">
        <v>0.9</v>
      </c>
      <c r="Q27" s="40">
        <v>9.32</v>
      </c>
      <c r="R27" s="38"/>
      <c r="S27" s="38"/>
      <c r="T27" s="38"/>
      <c r="U27" s="38"/>
    </row>
    <row r="28" spans="1:21" customFormat="1">
      <c r="A28" s="39" t="s">
        <v>464</v>
      </c>
      <c r="B28" s="40">
        <v>5.31</v>
      </c>
      <c r="C28" s="40">
        <v>23.18</v>
      </c>
      <c r="D28" s="40">
        <v>16.170000000000002</v>
      </c>
      <c r="E28" s="40">
        <v>4.03</v>
      </c>
      <c r="F28" s="40">
        <v>1.65</v>
      </c>
      <c r="G28" s="40">
        <v>55.19</v>
      </c>
      <c r="H28" s="40">
        <v>20.81</v>
      </c>
      <c r="I28" s="40">
        <v>17.75</v>
      </c>
      <c r="J28" s="40">
        <v>0.27</v>
      </c>
      <c r="K28" s="40">
        <v>209.43</v>
      </c>
      <c r="L28" s="40">
        <v>21.3</v>
      </c>
      <c r="M28" s="40">
        <v>78.66</v>
      </c>
      <c r="N28" s="40">
        <v>18.899999999999999</v>
      </c>
      <c r="O28" s="40">
        <v>0</v>
      </c>
      <c r="P28" s="40">
        <v>0.94</v>
      </c>
      <c r="Q28" s="40">
        <v>9.32</v>
      </c>
      <c r="R28" s="38"/>
      <c r="S28" s="38"/>
      <c r="T28" s="38"/>
      <c r="U28" s="38"/>
    </row>
    <row r="29" spans="1:21" customFormat="1">
      <c r="A29" s="39" t="s">
        <v>465</v>
      </c>
      <c r="B29" s="40">
        <v>10.07</v>
      </c>
      <c r="C29" s="40">
        <v>21.65</v>
      </c>
      <c r="D29" s="40">
        <v>19.39</v>
      </c>
      <c r="E29" s="40">
        <v>4.26</v>
      </c>
      <c r="F29" s="40">
        <v>1.59</v>
      </c>
      <c r="G29" s="40">
        <v>61.06</v>
      </c>
      <c r="H29" s="40">
        <v>21.42</v>
      </c>
      <c r="I29" s="40">
        <v>18.97</v>
      </c>
      <c r="J29" s="40">
        <v>0.24</v>
      </c>
      <c r="K29" s="40">
        <v>199.7</v>
      </c>
      <c r="L29" s="40">
        <v>20.5</v>
      </c>
      <c r="M29" s="40">
        <v>83.08</v>
      </c>
      <c r="N29" s="40">
        <v>18.899999999999999</v>
      </c>
      <c r="O29" s="40">
        <v>0</v>
      </c>
      <c r="P29" s="40">
        <v>0.98</v>
      </c>
      <c r="Q29" s="40">
        <v>9.32</v>
      </c>
      <c r="R29" s="38"/>
      <c r="S29" s="38"/>
      <c r="T29" s="38"/>
      <c r="U29" s="38"/>
    </row>
    <row r="30" spans="1:21" customFormat="1">
      <c r="A30" s="39" t="s">
        <v>466</v>
      </c>
      <c r="B30" s="40">
        <v>12.7</v>
      </c>
      <c r="C30" s="40">
        <v>21.72</v>
      </c>
      <c r="D30" s="40">
        <v>21.29</v>
      </c>
      <c r="E30" s="40">
        <v>4.37</v>
      </c>
      <c r="F30" s="40">
        <v>1.31</v>
      </c>
      <c r="G30" s="40">
        <v>113.67</v>
      </c>
      <c r="H30" s="40">
        <v>24.24</v>
      </c>
      <c r="I30" s="40">
        <v>19.760000000000002</v>
      </c>
      <c r="J30" s="40">
        <v>0.22</v>
      </c>
      <c r="K30" s="40">
        <v>221.14</v>
      </c>
      <c r="L30" s="40">
        <v>19.41</v>
      </c>
      <c r="M30" s="40">
        <v>83.79</v>
      </c>
      <c r="N30" s="40">
        <v>19</v>
      </c>
      <c r="O30" s="40">
        <v>0</v>
      </c>
      <c r="P30" s="40">
        <v>1.02</v>
      </c>
      <c r="Q30" s="40">
        <v>9.32</v>
      </c>
      <c r="R30" s="38"/>
      <c r="S30" s="38"/>
      <c r="T30" s="38"/>
      <c r="U30" s="38"/>
    </row>
    <row r="31" spans="1:21" customFormat="1">
      <c r="A31" s="39" t="s">
        <v>467</v>
      </c>
      <c r="B31" s="40">
        <v>14.37</v>
      </c>
      <c r="C31" s="40">
        <v>20.63</v>
      </c>
      <c r="D31" s="40">
        <v>21.85</v>
      </c>
      <c r="E31" s="40">
        <v>4.57</v>
      </c>
      <c r="F31" s="40">
        <v>1.41</v>
      </c>
      <c r="G31" s="40">
        <v>76.459999999999994</v>
      </c>
      <c r="H31" s="40">
        <v>25.1</v>
      </c>
      <c r="I31" s="40">
        <v>17.75</v>
      </c>
      <c r="J31" s="40">
        <v>0.21</v>
      </c>
      <c r="K31" s="40">
        <v>201.74</v>
      </c>
      <c r="L31" s="40">
        <v>18.88</v>
      </c>
      <c r="M31" s="40">
        <v>85.56</v>
      </c>
      <c r="N31" s="40">
        <v>19.899999999999999</v>
      </c>
      <c r="O31" s="40">
        <v>0</v>
      </c>
      <c r="P31" s="40">
        <v>1.03</v>
      </c>
      <c r="Q31" s="40">
        <v>9.32</v>
      </c>
      <c r="R31" s="38"/>
      <c r="S31" s="38"/>
      <c r="T31" s="38"/>
      <c r="U31" s="38"/>
    </row>
    <row r="32" spans="1:21" customFormat="1">
      <c r="A32" s="39" t="s">
        <v>468</v>
      </c>
      <c r="B32" s="40">
        <v>23.34</v>
      </c>
      <c r="C32" s="40">
        <v>20.83</v>
      </c>
      <c r="D32" s="40">
        <v>29.6</v>
      </c>
      <c r="E32" s="40">
        <v>4.43</v>
      </c>
      <c r="F32" s="40">
        <v>1.28</v>
      </c>
      <c r="G32" s="40">
        <v>64.3</v>
      </c>
      <c r="H32" s="40">
        <v>24.58</v>
      </c>
      <c r="I32" s="40">
        <v>15.33</v>
      </c>
      <c r="J32" s="40">
        <v>0.16</v>
      </c>
      <c r="K32" s="40">
        <v>219.98</v>
      </c>
      <c r="L32" s="40">
        <v>18.5</v>
      </c>
      <c r="M32" s="40">
        <v>85.76</v>
      </c>
      <c r="N32" s="40">
        <v>19.8</v>
      </c>
      <c r="O32" s="40">
        <v>0</v>
      </c>
      <c r="P32" s="40">
        <v>1.06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3.14</v>
      </c>
      <c r="C34" s="18">
        <f t="shared" si="0"/>
        <v>14.84</v>
      </c>
      <c r="D34" s="18">
        <f t="shared" si="0"/>
        <v>12.39</v>
      </c>
      <c r="E34" s="18">
        <f t="shared" si="0"/>
        <v>3.69</v>
      </c>
      <c r="F34" s="18">
        <f t="shared" si="0"/>
        <v>1.17</v>
      </c>
      <c r="G34" s="18">
        <f t="shared" si="0"/>
        <v>32.49</v>
      </c>
      <c r="H34" s="18">
        <f t="shared" si="0"/>
        <v>17.28</v>
      </c>
      <c r="I34" s="18">
        <f t="shared" si="0"/>
        <v>11.3</v>
      </c>
      <c r="J34" s="18">
        <f t="shared" si="0"/>
        <v>0.12</v>
      </c>
      <c r="K34" s="18">
        <f t="shared" si="0"/>
        <v>100.5</v>
      </c>
      <c r="L34" s="18">
        <f t="shared" si="0"/>
        <v>15.62</v>
      </c>
      <c r="M34" s="18">
        <f t="shared" si="0"/>
        <v>28.95</v>
      </c>
      <c r="N34" s="18">
        <f t="shared" si="0"/>
        <v>13.6</v>
      </c>
      <c r="O34" s="18">
        <f t="shared" si="0"/>
        <v>0</v>
      </c>
      <c r="P34" s="18">
        <f t="shared" si="0"/>
        <v>0.69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23.34</v>
      </c>
      <c r="C35" s="3">
        <f t="shared" si="1"/>
        <v>29.01</v>
      </c>
      <c r="D35" s="3">
        <f t="shared" si="1"/>
        <v>29.6</v>
      </c>
      <c r="E35" s="3">
        <f t="shared" si="1"/>
        <v>17.149999999999999</v>
      </c>
      <c r="F35" s="3">
        <f t="shared" si="1"/>
        <v>30.24</v>
      </c>
      <c r="G35" s="3">
        <f t="shared" si="1"/>
        <v>113.67</v>
      </c>
      <c r="H35" s="3">
        <f t="shared" si="1"/>
        <v>32.520000000000003</v>
      </c>
      <c r="I35" s="3">
        <f t="shared" si="1"/>
        <v>23.99</v>
      </c>
      <c r="J35" s="3">
        <f t="shared" si="1"/>
        <v>0.57999999999999996</v>
      </c>
      <c r="K35" s="3">
        <f t="shared" si="1"/>
        <v>348.05</v>
      </c>
      <c r="L35" s="3">
        <f t="shared" si="1"/>
        <v>30.35</v>
      </c>
      <c r="M35" s="3">
        <f t="shared" si="1"/>
        <v>93.9</v>
      </c>
      <c r="N35" s="3">
        <f t="shared" si="1"/>
        <v>546.9</v>
      </c>
      <c r="O35" s="3">
        <f t="shared" si="1"/>
        <v>0</v>
      </c>
      <c r="P35" s="3">
        <f t="shared" si="1"/>
        <v>1.29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7.9116666666666662</v>
      </c>
      <c r="C36" s="18">
        <f t="shared" si="2"/>
        <v>20.382499999999997</v>
      </c>
      <c r="D36" s="18">
        <f t="shared" si="2"/>
        <v>16.83666666666667</v>
      </c>
      <c r="E36" s="18">
        <f t="shared" si="2"/>
        <v>6.1537499999999987</v>
      </c>
      <c r="F36" s="18">
        <f t="shared" si="2"/>
        <v>7.4375000000000009</v>
      </c>
      <c r="G36" s="18">
        <f t="shared" si="2"/>
        <v>53.080833333333338</v>
      </c>
      <c r="H36" s="18">
        <f t="shared" si="2"/>
        <v>24.857916666666668</v>
      </c>
      <c r="I36" s="18">
        <f t="shared" si="2"/>
        <v>18.059583333333332</v>
      </c>
      <c r="J36" s="18">
        <f t="shared" si="2"/>
        <v>0.27458333333333335</v>
      </c>
      <c r="K36" s="18">
        <f t="shared" si="2"/>
        <v>219.85625000000002</v>
      </c>
      <c r="L36" s="18">
        <f t="shared" si="2"/>
        <v>22.25791666666667</v>
      </c>
      <c r="M36" s="18">
        <f t="shared" si="2"/>
        <v>71.234999999999999</v>
      </c>
      <c r="N36" s="18">
        <f t="shared" si="2"/>
        <v>125.03750000000001</v>
      </c>
      <c r="O36" s="18">
        <f t="shared" si="2"/>
        <v>0</v>
      </c>
      <c r="P36" s="18">
        <f t="shared" si="2"/>
        <v>1.0604166666666666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4.6720321122581154</v>
      </c>
      <c r="C37" s="18">
        <f t="shared" ref="C37:Q37" si="3">STDEV(C9:C32)</f>
        <v>4.1905258049246452</v>
      </c>
      <c r="D37" s="18">
        <f t="shared" si="3"/>
        <v>3.5388805238830341</v>
      </c>
      <c r="E37" s="18">
        <f t="shared" si="3"/>
        <v>3.1517294251831385</v>
      </c>
      <c r="F37" s="18">
        <f t="shared" si="3"/>
        <v>10.155215515877201</v>
      </c>
      <c r="G37" s="18">
        <f t="shared" si="3"/>
        <v>16.070002818285705</v>
      </c>
      <c r="H37" s="18">
        <f t="shared" si="3"/>
        <v>4.2915700777086592</v>
      </c>
      <c r="I37" s="18">
        <f t="shared" si="3"/>
        <v>3.6001285957305762</v>
      </c>
      <c r="J37" s="18">
        <f t="shared" si="3"/>
        <v>0.11631961839340944</v>
      </c>
      <c r="K37" s="18">
        <f t="shared" si="3"/>
        <v>56.128872351161881</v>
      </c>
      <c r="L37" s="18">
        <f t="shared" si="3"/>
        <v>5.3411340427215235</v>
      </c>
      <c r="M37" s="18">
        <f t="shared" si="3"/>
        <v>24.177682307018806</v>
      </c>
      <c r="N37" s="18">
        <f t="shared" si="3"/>
        <v>179.1744518194003</v>
      </c>
      <c r="O37" s="18">
        <f t="shared" si="3"/>
        <v>0</v>
      </c>
      <c r="P37" s="18">
        <f t="shared" si="3"/>
        <v>0.20989602325844545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E11" sqref="E1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469</v>
      </c>
      <c r="B9" s="40">
        <v>27.93</v>
      </c>
      <c r="C9" s="40">
        <v>20.65</v>
      </c>
      <c r="D9" s="40">
        <v>33.020000000000003</v>
      </c>
      <c r="E9" s="40">
        <v>4.18</v>
      </c>
      <c r="F9" s="40">
        <v>1.42</v>
      </c>
      <c r="G9" s="40">
        <v>55.01</v>
      </c>
      <c r="H9" s="40">
        <v>24.2</v>
      </c>
      <c r="I9" s="40">
        <v>15.41</v>
      </c>
      <c r="J9" s="40">
        <v>0.14000000000000001</v>
      </c>
      <c r="K9" s="40">
        <v>203.49</v>
      </c>
      <c r="L9" s="40">
        <v>17.98</v>
      </c>
      <c r="M9" s="40">
        <v>89.53</v>
      </c>
      <c r="N9" s="40">
        <v>19.8</v>
      </c>
      <c r="O9" s="40">
        <v>0</v>
      </c>
      <c r="P9" s="40">
        <v>1.0900000000000001</v>
      </c>
      <c r="Q9" s="40">
        <v>9.32</v>
      </c>
      <c r="R9" s="38"/>
      <c r="S9" s="38"/>
      <c r="T9" s="38"/>
      <c r="U9" s="38"/>
    </row>
    <row r="10" spans="1:21" customFormat="1">
      <c r="A10" s="39" t="s">
        <v>470</v>
      </c>
      <c r="B10" s="40">
        <v>30.87</v>
      </c>
      <c r="C10" s="40">
        <v>20.04</v>
      </c>
      <c r="D10" s="40">
        <v>34.99</v>
      </c>
      <c r="E10" s="40">
        <v>4.42</v>
      </c>
      <c r="F10" s="40">
        <v>1.19</v>
      </c>
      <c r="G10" s="40">
        <v>50.01</v>
      </c>
      <c r="H10" s="40">
        <v>24.53</v>
      </c>
      <c r="I10" s="40">
        <v>16.600000000000001</v>
      </c>
      <c r="J10" s="40">
        <v>0.17</v>
      </c>
      <c r="K10" s="40">
        <v>183.37</v>
      </c>
      <c r="L10" s="40">
        <v>17.46</v>
      </c>
      <c r="M10" s="40">
        <v>91.25</v>
      </c>
      <c r="N10" s="40">
        <v>19.8</v>
      </c>
      <c r="O10" s="40">
        <v>0</v>
      </c>
      <c r="P10" s="40">
        <v>1.1399999999999999</v>
      </c>
      <c r="Q10" s="40">
        <v>9.32</v>
      </c>
      <c r="R10" s="38"/>
      <c r="S10" s="38"/>
      <c r="T10" s="38"/>
      <c r="U10" s="38"/>
    </row>
    <row r="11" spans="1:21" customFormat="1">
      <c r="A11" s="39" t="s">
        <v>471</v>
      </c>
      <c r="B11" s="40">
        <v>33.51</v>
      </c>
      <c r="C11" s="40">
        <v>19.3</v>
      </c>
      <c r="D11" s="40">
        <v>36.72</v>
      </c>
      <c r="E11" s="40">
        <v>6.16</v>
      </c>
      <c r="F11" s="40">
        <v>1.17</v>
      </c>
      <c r="G11" s="40">
        <v>46.57</v>
      </c>
      <c r="H11" s="40">
        <v>24.16</v>
      </c>
      <c r="I11" s="40">
        <v>21.11</v>
      </c>
      <c r="J11" s="40">
        <v>0.14000000000000001</v>
      </c>
      <c r="K11" s="40">
        <v>185.81</v>
      </c>
      <c r="L11" s="40">
        <v>16.77</v>
      </c>
      <c r="M11" s="40">
        <v>92.72</v>
      </c>
      <c r="N11" s="40">
        <v>19.7</v>
      </c>
      <c r="O11" s="40">
        <v>0</v>
      </c>
      <c r="P11" s="40">
        <v>1.17</v>
      </c>
      <c r="Q11" s="40">
        <v>9.32</v>
      </c>
      <c r="R11" s="38"/>
      <c r="S11" s="38"/>
      <c r="T11" s="38"/>
      <c r="U11" s="38"/>
    </row>
    <row r="12" spans="1:21" customFormat="1">
      <c r="A12" s="39" t="s">
        <v>472</v>
      </c>
      <c r="B12" s="40">
        <v>34.96</v>
      </c>
      <c r="C12" s="40">
        <v>19.03</v>
      </c>
      <c r="D12" s="40">
        <v>37.97</v>
      </c>
      <c r="E12" s="40">
        <v>5.86</v>
      </c>
      <c r="F12" s="40">
        <v>1.23</v>
      </c>
      <c r="G12" s="40">
        <v>41.93</v>
      </c>
      <c r="H12" s="40">
        <v>23.94</v>
      </c>
      <c r="I12" s="40">
        <v>24.79</v>
      </c>
      <c r="J12" s="40">
        <v>0.2</v>
      </c>
      <c r="K12" s="40">
        <v>226.64</v>
      </c>
      <c r="L12" s="40">
        <v>16.41</v>
      </c>
      <c r="M12" s="40">
        <v>93.08</v>
      </c>
      <c r="N12" s="40">
        <v>19.899999999999999</v>
      </c>
      <c r="O12" s="40">
        <v>0</v>
      </c>
      <c r="P12" s="40">
        <v>1.17</v>
      </c>
      <c r="Q12" s="40">
        <v>9.32</v>
      </c>
      <c r="R12" s="38"/>
      <c r="S12" s="38"/>
      <c r="T12" s="38"/>
      <c r="U12" s="38"/>
    </row>
    <row r="13" spans="1:21" customFormat="1">
      <c r="A13" s="39" t="s">
        <v>473</v>
      </c>
      <c r="B13" s="40">
        <v>31.22</v>
      </c>
      <c r="C13" s="40">
        <v>17.899999999999999</v>
      </c>
      <c r="D13" s="40">
        <v>34.39</v>
      </c>
      <c r="E13" s="40">
        <v>5.97</v>
      </c>
      <c r="F13" s="40">
        <v>1.28</v>
      </c>
      <c r="G13" s="40">
        <v>33.450000000000003</v>
      </c>
      <c r="H13" s="40">
        <v>21.89</v>
      </c>
      <c r="I13" s="40">
        <v>24.61</v>
      </c>
      <c r="J13" s="40">
        <v>0.25</v>
      </c>
      <c r="K13" s="40">
        <v>187.21</v>
      </c>
      <c r="L13" s="40">
        <v>15.7</v>
      </c>
      <c r="M13" s="40">
        <v>92.32</v>
      </c>
      <c r="N13" s="40">
        <v>20</v>
      </c>
      <c r="O13" s="40">
        <v>0</v>
      </c>
      <c r="P13" s="40">
        <v>1.1299999999999999</v>
      </c>
      <c r="Q13" s="40">
        <v>9.32</v>
      </c>
      <c r="R13" s="38"/>
      <c r="S13" s="38"/>
      <c r="T13" s="38"/>
      <c r="U13" s="38"/>
    </row>
    <row r="14" spans="1:21" customFormat="1">
      <c r="A14" s="39" t="s">
        <v>474</v>
      </c>
      <c r="B14" s="40">
        <v>26.28</v>
      </c>
      <c r="C14" s="40">
        <v>16.78</v>
      </c>
      <c r="D14" s="40">
        <v>29.84</v>
      </c>
      <c r="E14" s="40">
        <v>5.87</v>
      </c>
      <c r="F14" s="40">
        <v>1.33</v>
      </c>
      <c r="G14" s="40">
        <v>32.85</v>
      </c>
      <c r="H14" s="40">
        <v>21.1</v>
      </c>
      <c r="I14" s="40">
        <v>18.53</v>
      </c>
      <c r="J14" s="40">
        <v>0.16</v>
      </c>
      <c r="K14" s="40">
        <v>186.9</v>
      </c>
      <c r="L14" s="40">
        <v>15.14</v>
      </c>
      <c r="M14" s="40">
        <v>92.48</v>
      </c>
      <c r="N14" s="40">
        <v>19.8</v>
      </c>
      <c r="O14" s="40">
        <v>0</v>
      </c>
      <c r="P14" s="40">
        <v>1.08</v>
      </c>
      <c r="Q14" s="40">
        <v>9.32</v>
      </c>
      <c r="R14" s="38"/>
      <c r="S14" s="38"/>
      <c r="T14" s="38"/>
      <c r="U14" s="38"/>
    </row>
    <row r="15" spans="1:21" customFormat="1">
      <c r="A15" s="39" t="s">
        <v>475</v>
      </c>
      <c r="B15" s="40">
        <v>22.26</v>
      </c>
      <c r="C15" s="40">
        <v>15.61</v>
      </c>
      <c r="D15" s="40">
        <v>26.01</v>
      </c>
      <c r="E15" s="40">
        <v>5.77</v>
      </c>
      <c r="F15" s="40">
        <v>1.18</v>
      </c>
      <c r="G15" s="40">
        <v>35.119999999999997</v>
      </c>
      <c r="H15" s="40">
        <v>19.739999999999998</v>
      </c>
      <c r="I15" s="40">
        <v>17.82</v>
      </c>
      <c r="J15" s="40">
        <v>0.17</v>
      </c>
      <c r="K15" s="40">
        <v>200.69</v>
      </c>
      <c r="L15" s="40">
        <v>15.33</v>
      </c>
      <c r="M15" s="40">
        <v>93.75</v>
      </c>
      <c r="N15" s="40">
        <v>31.8</v>
      </c>
      <c r="O15" s="40">
        <v>0</v>
      </c>
      <c r="P15" s="40">
        <v>1.05</v>
      </c>
      <c r="Q15" s="40">
        <v>9.32</v>
      </c>
      <c r="R15" s="38"/>
      <c r="S15" s="38"/>
      <c r="T15" s="38"/>
      <c r="U15" s="38"/>
    </row>
    <row r="16" spans="1:21" customFormat="1">
      <c r="A16" s="39" t="s">
        <v>476</v>
      </c>
      <c r="B16" s="40">
        <v>25.66</v>
      </c>
      <c r="C16" s="40">
        <v>16.850000000000001</v>
      </c>
      <c r="D16" s="40">
        <v>29.31</v>
      </c>
      <c r="E16" s="40">
        <v>6.03</v>
      </c>
      <c r="F16" s="40">
        <v>1.34</v>
      </c>
      <c r="G16" s="40">
        <v>38.64</v>
      </c>
      <c r="H16" s="40">
        <v>20.13</v>
      </c>
      <c r="I16" s="40">
        <v>20.41</v>
      </c>
      <c r="J16" s="40">
        <v>0.19</v>
      </c>
      <c r="K16" s="40">
        <v>230.44</v>
      </c>
      <c r="L16" s="40">
        <v>17.38</v>
      </c>
      <c r="M16" s="40">
        <v>93.42</v>
      </c>
      <c r="N16" s="40">
        <v>72.900000000000006</v>
      </c>
      <c r="O16" s="40">
        <v>0</v>
      </c>
      <c r="P16" s="40">
        <v>1.1100000000000001</v>
      </c>
      <c r="Q16" s="40">
        <v>9.32</v>
      </c>
      <c r="R16" s="38"/>
      <c r="S16" s="38"/>
      <c r="T16" s="38"/>
      <c r="U16" s="38"/>
    </row>
    <row r="17" spans="1:21" customFormat="1">
      <c r="A17" s="39" t="s">
        <v>477</v>
      </c>
      <c r="B17" s="40">
        <v>25.83</v>
      </c>
      <c r="C17" s="40">
        <v>19.22</v>
      </c>
      <c r="D17" s="40">
        <v>30.18</v>
      </c>
      <c r="E17" s="40">
        <v>5.85</v>
      </c>
      <c r="F17" s="40">
        <v>1.33</v>
      </c>
      <c r="G17" s="40">
        <v>37.14</v>
      </c>
      <c r="H17" s="40">
        <v>20.92</v>
      </c>
      <c r="I17" s="40">
        <v>18.18</v>
      </c>
      <c r="J17" s="40">
        <v>0.64</v>
      </c>
      <c r="K17" s="40">
        <v>51.92</v>
      </c>
      <c r="L17" s="40">
        <v>22.42</v>
      </c>
      <c r="M17" s="40">
        <v>71.97</v>
      </c>
      <c r="N17" s="40">
        <v>287.10000000000002</v>
      </c>
      <c r="O17" s="40">
        <v>0</v>
      </c>
      <c r="P17" s="40">
        <v>1.1499999999999999</v>
      </c>
      <c r="Q17" s="40">
        <v>9.32</v>
      </c>
      <c r="R17" s="38"/>
      <c r="S17" s="38"/>
      <c r="T17" s="38"/>
      <c r="U17" s="38"/>
    </row>
    <row r="18" spans="1:21" customFormat="1">
      <c r="A18" s="39" t="s">
        <v>478</v>
      </c>
      <c r="B18" s="40">
        <v>23.44</v>
      </c>
      <c r="C18" s="40">
        <v>19.420000000000002</v>
      </c>
      <c r="D18" s="40">
        <v>28.94</v>
      </c>
      <c r="E18" s="40">
        <v>5.93</v>
      </c>
      <c r="F18" s="40">
        <v>1.41</v>
      </c>
      <c r="G18" s="40">
        <v>50.76</v>
      </c>
      <c r="H18" s="40">
        <v>21.51</v>
      </c>
      <c r="I18" s="40">
        <v>18.190000000000001</v>
      </c>
      <c r="J18" s="40">
        <v>0.96</v>
      </c>
      <c r="K18" s="40">
        <v>49</v>
      </c>
      <c r="L18" s="40">
        <v>25.67</v>
      </c>
      <c r="M18" s="40">
        <v>46.65</v>
      </c>
      <c r="N18" s="40">
        <v>165</v>
      </c>
      <c r="O18" s="40">
        <v>0</v>
      </c>
      <c r="P18" s="40">
        <v>1.1299999999999999</v>
      </c>
      <c r="Q18" s="40">
        <v>9.32</v>
      </c>
      <c r="R18" s="38"/>
      <c r="S18" s="38"/>
      <c r="T18" s="38"/>
      <c r="U18" s="38"/>
    </row>
    <row r="19" spans="1:21" customFormat="1">
      <c r="A19" s="39" t="s">
        <v>479</v>
      </c>
      <c r="B19" s="40">
        <v>19.96</v>
      </c>
      <c r="C19" s="40">
        <v>19.84</v>
      </c>
      <c r="D19" s="40">
        <v>26.16</v>
      </c>
      <c r="E19" s="40">
        <v>6.49</v>
      </c>
      <c r="F19" s="40">
        <v>1.48</v>
      </c>
      <c r="G19" s="40">
        <v>32.020000000000003</v>
      </c>
      <c r="H19" s="40">
        <v>18.34</v>
      </c>
      <c r="I19" s="40">
        <v>16.95</v>
      </c>
      <c r="J19" s="40">
        <v>1.06</v>
      </c>
      <c r="K19" s="40">
        <v>60</v>
      </c>
      <c r="L19" s="40">
        <v>27.58</v>
      </c>
      <c r="M19" s="40">
        <v>36.700000000000003</v>
      </c>
      <c r="N19" s="40">
        <v>552.20000000000005</v>
      </c>
      <c r="O19" s="40">
        <v>0</v>
      </c>
      <c r="P19" s="40">
        <v>1.04</v>
      </c>
      <c r="Q19" s="40">
        <v>9.32</v>
      </c>
      <c r="R19" s="38"/>
      <c r="S19" s="38"/>
      <c r="T19" s="38"/>
      <c r="U19" s="38"/>
    </row>
    <row r="20" spans="1:21" customFormat="1">
      <c r="A20" s="39" t="s">
        <v>480</v>
      </c>
      <c r="B20" s="40">
        <v>17.32</v>
      </c>
      <c r="C20" s="40">
        <v>19.739999999999998</v>
      </c>
      <c r="D20" s="40">
        <v>24.18</v>
      </c>
      <c r="E20" s="40">
        <v>6.67</v>
      </c>
      <c r="F20" s="40">
        <v>2.48</v>
      </c>
      <c r="G20" s="40">
        <v>31.28</v>
      </c>
      <c r="H20" s="40">
        <v>15.19</v>
      </c>
      <c r="I20" s="40">
        <v>15.55</v>
      </c>
      <c r="J20" s="40">
        <v>0.71</v>
      </c>
      <c r="K20" s="40">
        <v>66.489999999999995</v>
      </c>
      <c r="L20" s="40">
        <v>29.02</v>
      </c>
      <c r="M20" s="40">
        <v>32.46</v>
      </c>
      <c r="N20" s="40">
        <v>601.79999999999995</v>
      </c>
      <c r="O20" s="40">
        <v>0</v>
      </c>
      <c r="P20" s="40">
        <v>0.94</v>
      </c>
      <c r="Q20" s="40">
        <v>9.32</v>
      </c>
      <c r="R20" s="38"/>
      <c r="S20" s="38"/>
      <c r="T20" s="38"/>
      <c r="U20" s="38"/>
    </row>
    <row r="21" spans="1:21" customFormat="1">
      <c r="A21" s="39" t="s">
        <v>481</v>
      </c>
      <c r="B21" s="40">
        <v>14.19</v>
      </c>
      <c r="C21" s="40">
        <v>20.190000000000001</v>
      </c>
      <c r="D21" s="40">
        <v>21.64</v>
      </c>
      <c r="E21" s="40">
        <v>6.36</v>
      </c>
      <c r="F21" s="40">
        <v>2.0099999999999998</v>
      </c>
      <c r="G21" s="40">
        <v>24.51</v>
      </c>
      <c r="H21" s="40">
        <v>12.23</v>
      </c>
      <c r="I21" s="40">
        <v>17.28</v>
      </c>
      <c r="J21" s="40">
        <v>0.89</v>
      </c>
      <c r="K21" s="40">
        <v>358.01</v>
      </c>
      <c r="L21" s="40">
        <v>29.71</v>
      </c>
      <c r="M21" s="40">
        <v>27.24</v>
      </c>
      <c r="N21" s="40">
        <v>591</v>
      </c>
      <c r="O21" s="40">
        <v>0</v>
      </c>
      <c r="P21" s="40">
        <v>0.84</v>
      </c>
      <c r="Q21" s="40">
        <v>9.32</v>
      </c>
      <c r="R21" s="38"/>
      <c r="S21" s="38"/>
      <c r="T21" s="38"/>
      <c r="U21" s="38"/>
    </row>
    <row r="22" spans="1:21" customFormat="1">
      <c r="A22" s="39" t="s">
        <v>482</v>
      </c>
      <c r="B22" s="40">
        <v>10.49</v>
      </c>
      <c r="C22" s="40">
        <v>20.54</v>
      </c>
      <c r="D22" s="40">
        <v>19.079999999999998</v>
      </c>
      <c r="E22" s="40">
        <v>6.15</v>
      </c>
      <c r="F22" s="40">
        <v>2.7</v>
      </c>
      <c r="G22" s="40">
        <v>18.3</v>
      </c>
      <c r="H22" s="40">
        <v>8.4499999999999993</v>
      </c>
      <c r="I22" s="40">
        <v>16.16</v>
      </c>
      <c r="J22" s="40">
        <v>0.67</v>
      </c>
      <c r="K22" s="40">
        <v>53.49</v>
      </c>
      <c r="L22" s="40">
        <v>29.91</v>
      </c>
      <c r="M22" s="40">
        <v>24.66</v>
      </c>
      <c r="N22" s="40">
        <v>397.5</v>
      </c>
      <c r="O22" s="40">
        <v>0</v>
      </c>
      <c r="P22" s="40">
        <v>0.72</v>
      </c>
      <c r="Q22" s="40">
        <v>9.32</v>
      </c>
      <c r="R22" s="38"/>
      <c r="S22" s="38"/>
      <c r="T22" s="38"/>
      <c r="U22" s="38"/>
    </row>
    <row r="23" spans="1:21" customFormat="1">
      <c r="A23" s="39" t="s">
        <v>483</v>
      </c>
      <c r="B23" s="40">
        <v>6.53</v>
      </c>
      <c r="C23" s="40">
        <v>20.309999999999999</v>
      </c>
      <c r="D23" s="40">
        <v>15.85</v>
      </c>
      <c r="E23" s="40">
        <v>6.14</v>
      </c>
      <c r="F23" s="40">
        <v>4.09</v>
      </c>
      <c r="G23" s="40">
        <v>18.170000000000002</v>
      </c>
      <c r="H23" s="40">
        <v>7.2</v>
      </c>
      <c r="I23" s="40">
        <v>14.31</v>
      </c>
      <c r="J23" s="40">
        <v>0.97</v>
      </c>
      <c r="K23" s="40">
        <v>48.59</v>
      </c>
      <c r="L23" s="40">
        <v>29.72</v>
      </c>
      <c r="M23" s="40">
        <v>21.55</v>
      </c>
      <c r="N23" s="40">
        <v>100.7</v>
      </c>
      <c r="O23" s="40">
        <v>0</v>
      </c>
      <c r="P23" s="40">
        <v>0.61</v>
      </c>
      <c r="Q23" s="40">
        <v>9.32</v>
      </c>
      <c r="R23" s="38"/>
      <c r="S23" s="38"/>
      <c r="T23" s="38"/>
      <c r="U23" s="38"/>
    </row>
    <row r="24" spans="1:21" customFormat="1">
      <c r="A24" s="39" t="s">
        <v>484</v>
      </c>
      <c r="B24" s="40">
        <v>4.1900000000000004</v>
      </c>
      <c r="C24" s="40">
        <v>19.32</v>
      </c>
      <c r="D24" s="40">
        <v>13.46</v>
      </c>
      <c r="E24" s="40">
        <v>6.08</v>
      </c>
      <c r="F24" s="40">
        <v>3.93</v>
      </c>
      <c r="G24" s="40">
        <v>17.690000000000001</v>
      </c>
      <c r="H24" s="40">
        <v>6.38</v>
      </c>
      <c r="I24" s="40">
        <v>12.59</v>
      </c>
      <c r="J24" s="40">
        <v>1</v>
      </c>
      <c r="K24" s="40">
        <v>35.08</v>
      </c>
      <c r="L24" s="40">
        <v>29.58</v>
      </c>
      <c r="M24" s="40">
        <v>21.82</v>
      </c>
      <c r="N24" s="40">
        <v>80.5</v>
      </c>
      <c r="O24" s="40">
        <v>0</v>
      </c>
      <c r="P24" s="40">
        <v>0.56999999999999995</v>
      </c>
      <c r="Q24" s="40">
        <v>9.32</v>
      </c>
      <c r="R24" s="38"/>
      <c r="S24" s="38"/>
      <c r="T24" s="38"/>
      <c r="U24" s="38"/>
    </row>
    <row r="25" spans="1:21" customFormat="1">
      <c r="A25" s="39" t="s">
        <v>485</v>
      </c>
      <c r="B25" s="40">
        <v>4.3899999999999997</v>
      </c>
      <c r="C25" s="40">
        <v>18.36</v>
      </c>
      <c r="D25" s="40">
        <v>12.94</v>
      </c>
      <c r="E25" s="40">
        <v>6.01</v>
      </c>
      <c r="F25" s="40">
        <v>3.45</v>
      </c>
      <c r="G25" s="40">
        <v>16.5</v>
      </c>
      <c r="H25" s="40">
        <v>6.17</v>
      </c>
      <c r="I25" s="40">
        <v>11.62</v>
      </c>
      <c r="J25" s="40">
        <v>0.86</v>
      </c>
      <c r="K25" s="40">
        <v>68.97</v>
      </c>
      <c r="L25" s="40">
        <v>29</v>
      </c>
      <c r="M25" s="40">
        <v>25.28</v>
      </c>
      <c r="N25" s="40">
        <v>49</v>
      </c>
      <c r="O25" s="40">
        <v>0</v>
      </c>
      <c r="P25" s="40">
        <v>0.52</v>
      </c>
      <c r="Q25" s="40">
        <v>9.32</v>
      </c>
      <c r="R25" s="38"/>
      <c r="S25" s="38"/>
      <c r="T25" s="38"/>
      <c r="U25" s="38"/>
    </row>
    <row r="26" spans="1:21" customFormat="1">
      <c r="A26" s="39" t="s">
        <v>486</v>
      </c>
      <c r="B26" s="40">
        <v>5.26</v>
      </c>
      <c r="C26" s="40">
        <v>17.96</v>
      </c>
      <c r="D26" s="40">
        <v>13.36</v>
      </c>
      <c r="E26" s="40">
        <v>5.59</v>
      </c>
      <c r="F26" s="40">
        <v>1.72</v>
      </c>
      <c r="G26" s="40">
        <v>17.36</v>
      </c>
      <c r="H26" s="40">
        <v>5.49</v>
      </c>
      <c r="I26" s="40">
        <v>10.81</v>
      </c>
      <c r="J26" s="40">
        <v>0.38</v>
      </c>
      <c r="K26" s="40">
        <v>166.18</v>
      </c>
      <c r="L26" s="40">
        <v>26.16</v>
      </c>
      <c r="M26" s="40">
        <v>42.72</v>
      </c>
      <c r="N26" s="40">
        <v>26</v>
      </c>
      <c r="O26" s="40">
        <v>0</v>
      </c>
      <c r="P26" s="40">
        <v>0.51</v>
      </c>
      <c r="Q26" s="40">
        <v>9.32</v>
      </c>
      <c r="R26" s="38"/>
      <c r="S26" s="38"/>
      <c r="T26" s="38"/>
      <c r="U26" s="38"/>
    </row>
    <row r="27" spans="1:21" customFormat="1">
      <c r="A27" s="39" t="s">
        <v>487</v>
      </c>
      <c r="B27" s="40">
        <v>6.78</v>
      </c>
      <c r="C27" s="40">
        <v>17.34</v>
      </c>
      <c r="D27" s="40">
        <v>14.37</v>
      </c>
      <c r="E27" s="40">
        <v>5.78</v>
      </c>
      <c r="F27" s="40">
        <v>1.56</v>
      </c>
      <c r="G27" s="40">
        <v>26.64</v>
      </c>
      <c r="H27" s="40">
        <v>7.64</v>
      </c>
      <c r="I27" s="40">
        <v>11.88</v>
      </c>
      <c r="J27" s="40">
        <v>0.3</v>
      </c>
      <c r="K27" s="40">
        <v>206.5</v>
      </c>
      <c r="L27" s="40">
        <v>22.67</v>
      </c>
      <c r="M27" s="40">
        <v>63.86</v>
      </c>
      <c r="N27" s="40">
        <v>18.3</v>
      </c>
      <c r="O27" s="40">
        <v>0</v>
      </c>
      <c r="P27" s="40">
        <v>0.62</v>
      </c>
      <c r="Q27" s="40">
        <v>9.32</v>
      </c>
      <c r="R27" s="38"/>
      <c r="S27" s="38"/>
      <c r="T27" s="38"/>
      <c r="U27" s="38"/>
    </row>
    <row r="28" spans="1:21" customFormat="1">
      <c r="A28" s="39" t="s">
        <v>488</v>
      </c>
      <c r="B28" s="40">
        <v>7.65</v>
      </c>
      <c r="C28" s="40">
        <v>16.739999999999998</v>
      </c>
      <c r="D28" s="40">
        <v>14.37</v>
      </c>
      <c r="E28" s="40">
        <v>5.81</v>
      </c>
      <c r="F28" s="40">
        <v>1.31</v>
      </c>
      <c r="G28" s="40">
        <v>30.09</v>
      </c>
      <c r="H28" s="40">
        <v>9.3000000000000007</v>
      </c>
      <c r="I28" s="40">
        <v>12.31</v>
      </c>
      <c r="J28" s="40">
        <v>0.19</v>
      </c>
      <c r="K28" s="40">
        <v>178.19</v>
      </c>
      <c r="L28" s="40">
        <v>20.58</v>
      </c>
      <c r="M28" s="40">
        <v>72.209999999999994</v>
      </c>
      <c r="N28" s="40">
        <v>17.899999999999999</v>
      </c>
      <c r="O28" s="40">
        <v>0</v>
      </c>
      <c r="P28" s="40">
        <v>0.65</v>
      </c>
      <c r="Q28" s="40">
        <v>9.32</v>
      </c>
      <c r="R28" s="38"/>
      <c r="S28" s="38"/>
      <c r="T28" s="38"/>
      <c r="U28" s="38"/>
    </row>
    <row r="29" spans="1:21" customFormat="1">
      <c r="A29" s="39" t="s">
        <v>489</v>
      </c>
      <c r="B29" s="40">
        <v>8.31</v>
      </c>
      <c r="C29" s="40">
        <v>15.17</v>
      </c>
      <c r="D29" s="40">
        <v>14.4</v>
      </c>
      <c r="E29" s="40">
        <v>5.52</v>
      </c>
      <c r="F29" s="40">
        <v>1.37</v>
      </c>
      <c r="G29" s="40">
        <v>27.05</v>
      </c>
      <c r="H29" s="40">
        <v>9.39</v>
      </c>
      <c r="I29" s="40">
        <v>12.76</v>
      </c>
      <c r="J29" s="40">
        <v>0.18</v>
      </c>
      <c r="K29" s="40">
        <v>185.73</v>
      </c>
      <c r="L29" s="40">
        <v>19.73</v>
      </c>
      <c r="M29" s="40">
        <v>76.03</v>
      </c>
      <c r="N29" s="40">
        <v>17.8</v>
      </c>
      <c r="O29" s="40">
        <v>0</v>
      </c>
      <c r="P29" s="40">
        <v>0.69</v>
      </c>
      <c r="Q29" s="40">
        <v>9.32</v>
      </c>
      <c r="R29" s="38"/>
      <c r="S29" s="38"/>
      <c r="T29" s="38"/>
      <c r="U29" s="38"/>
    </row>
    <row r="30" spans="1:21" customFormat="1">
      <c r="A30" s="39" t="s">
        <v>490</v>
      </c>
      <c r="B30" s="40">
        <v>10.79</v>
      </c>
      <c r="C30" s="40">
        <v>14.99</v>
      </c>
      <c r="D30" s="40">
        <v>16.48</v>
      </c>
      <c r="E30" s="40">
        <v>5.47</v>
      </c>
      <c r="F30" s="40">
        <v>1.47</v>
      </c>
      <c r="G30" s="40">
        <v>27.46</v>
      </c>
      <c r="H30" s="40">
        <v>11.63</v>
      </c>
      <c r="I30" s="40">
        <v>14.26</v>
      </c>
      <c r="J30" s="40">
        <v>0.2</v>
      </c>
      <c r="K30" s="40">
        <v>213.81</v>
      </c>
      <c r="L30" s="40">
        <v>19.02</v>
      </c>
      <c r="M30" s="40">
        <v>77.02</v>
      </c>
      <c r="N30" s="40">
        <v>17.8</v>
      </c>
      <c r="O30" s="40">
        <v>0</v>
      </c>
      <c r="P30" s="40">
        <v>0.86</v>
      </c>
      <c r="Q30" s="40">
        <v>9.32</v>
      </c>
      <c r="R30" s="38"/>
      <c r="S30" s="38"/>
      <c r="T30" s="38"/>
      <c r="U30" s="38"/>
    </row>
    <row r="31" spans="1:21" customFormat="1">
      <c r="A31" s="39" t="s">
        <v>491</v>
      </c>
      <c r="B31" s="40">
        <v>15.61</v>
      </c>
      <c r="C31" s="40">
        <v>16.11</v>
      </c>
      <c r="D31" s="40">
        <v>20.94</v>
      </c>
      <c r="E31" s="40">
        <v>5.45</v>
      </c>
      <c r="F31" s="40">
        <v>1.36</v>
      </c>
      <c r="G31" s="40">
        <v>36.090000000000003</v>
      </c>
      <c r="H31" s="40">
        <v>15.05</v>
      </c>
      <c r="I31" s="40">
        <v>16.25</v>
      </c>
      <c r="J31" s="40">
        <v>0.19</v>
      </c>
      <c r="K31" s="40">
        <v>211.04</v>
      </c>
      <c r="L31" s="40">
        <v>18.48</v>
      </c>
      <c r="M31" s="40">
        <v>81.58</v>
      </c>
      <c r="N31" s="40">
        <v>18</v>
      </c>
      <c r="O31" s="40">
        <v>0</v>
      </c>
      <c r="P31" s="40">
        <v>1.02</v>
      </c>
      <c r="Q31" s="40">
        <v>9.32</v>
      </c>
      <c r="R31" s="38"/>
      <c r="S31" s="38"/>
      <c r="T31" s="38"/>
      <c r="U31" s="38"/>
    </row>
    <row r="32" spans="1:21" customFormat="1">
      <c r="A32" s="39" t="s">
        <v>492</v>
      </c>
      <c r="B32" s="40">
        <v>15.96</v>
      </c>
      <c r="C32" s="40">
        <v>16.100000000000001</v>
      </c>
      <c r="D32" s="40">
        <v>21.17</v>
      </c>
      <c r="E32" s="40">
        <v>5.94</v>
      </c>
      <c r="F32" s="40">
        <v>1.34</v>
      </c>
      <c r="G32" s="40">
        <v>38.4</v>
      </c>
      <c r="H32" s="40">
        <v>15.9</v>
      </c>
      <c r="I32" s="40">
        <v>18.09</v>
      </c>
      <c r="J32" s="40">
        <v>0.19</v>
      </c>
      <c r="K32" s="40">
        <v>173.71</v>
      </c>
      <c r="L32" s="40">
        <v>18.010000000000002</v>
      </c>
      <c r="M32" s="40">
        <v>82.55</v>
      </c>
      <c r="N32" s="40">
        <v>17.8</v>
      </c>
      <c r="O32" s="40">
        <v>0</v>
      </c>
      <c r="P32" s="40">
        <v>1.1299999999999999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4.1900000000000004</v>
      </c>
      <c r="C34" s="18">
        <f t="shared" si="0"/>
        <v>14.99</v>
      </c>
      <c r="D34" s="18">
        <f t="shared" si="0"/>
        <v>12.94</v>
      </c>
      <c r="E34" s="18">
        <f t="shared" si="0"/>
        <v>4.18</v>
      </c>
      <c r="F34" s="18">
        <f t="shared" si="0"/>
        <v>1.17</v>
      </c>
      <c r="G34" s="18">
        <f t="shared" si="0"/>
        <v>16.5</v>
      </c>
      <c r="H34" s="18">
        <f t="shared" si="0"/>
        <v>5.49</v>
      </c>
      <c r="I34" s="18">
        <f t="shared" si="0"/>
        <v>10.81</v>
      </c>
      <c r="J34" s="18">
        <f t="shared" si="0"/>
        <v>0.14000000000000001</v>
      </c>
      <c r="K34" s="18">
        <f t="shared" si="0"/>
        <v>35.08</v>
      </c>
      <c r="L34" s="18">
        <f t="shared" si="0"/>
        <v>15.14</v>
      </c>
      <c r="M34" s="18">
        <f t="shared" si="0"/>
        <v>21.55</v>
      </c>
      <c r="N34" s="18">
        <f t="shared" si="0"/>
        <v>17.8</v>
      </c>
      <c r="O34" s="18">
        <f t="shared" si="0"/>
        <v>0</v>
      </c>
      <c r="P34" s="18">
        <f t="shared" si="0"/>
        <v>0.51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34.96</v>
      </c>
      <c r="C35" s="3">
        <f t="shared" si="1"/>
        <v>20.65</v>
      </c>
      <c r="D35" s="3">
        <f t="shared" si="1"/>
        <v>37.97</v>
      </c>
      <c r="E35" s="3">
        <f t="shared" si="1"/>
        <v>6.67</v>
      </c>
      <c r="F35" s="3">
        <f t="shared" si="1"/>
        <v>4.09</v>
      </c>
      <c r="G35" s="3">
        <f t="shared" si="1"/>
        <v>55.01</v>
      </c>
      <c r="H35" s="3">
        <f t="shared" si="1"/>
        <v>24.53</v>
      </c>
      <c r="I35" s="3">
        <f t="shared" si="1"/>
        <v>24.79</v>
      </c>
      <c r="J35" s="3">
        <f t="shared" si="1"/>
        <v>1.06</v>
      </c>
      <c r="K35" s="3">
        <f t="shared" si="1"/>
        <v>358.01</v>
      </c>
      <c r="L35" s="3">
        <f t="shared" si="1"/>
        <v>29.91</v>
      </c>
      <c r="M35" s="3">
        <f t="shared" si="1"/>
        <v>93.75</v>
      </c>
      <c r="N35" s="3">
        <f t="shared" si="1"/>
        <v>601.79999999999995</v>
      </c>
      <c r="O35" s="3">
        <f t="shared" si="1"/>
        <v>0</v>
      </c>
      <c r="P35" s="3">
        <f t="shared" si="1"/>
        <v>1.17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17.891249999999996</v>
      </c>
      <c r="C36" s="18">
        <f t="shared" si="2"/>
        <v>18.229583333333334</v>
      </c>
      <c r="D36" s="18">
        <f t="shared" si="2"/>
        <v>23.740416666666665</v>
      </c>
      <c r="E36" s="18">
        <f t="shared" si="2"/>
        <v>5.8125</v>
      </c>
      <c r="F36" s="18">
        <f t="shared" si="2"/>
        <v>1.7979166666666668</v>
      </c>
      <c r="G36" s="18">
        <f t="shared" si="2"/>
        <v>32.626666666666665</v>
      </c>
      <c r="H36" s="18">
        <f t="shared" si="2"/>
        <v>15.436666666666666</v>
      </c>
      <c r="I36" s="18">
        <f t="shared" si="2"/>
        <v>16.519583333333333</v>
      </c>
      <c r="J36" s="18">
        <f t="shared" si="2"/>
        <v>0.45041666666666663</v>
      </c>
      <c r="K36" s="18">
        <f t="shared" si="2"/>
        <v>155.46916666666667</v>
      </c>
      <c r="L36" s="18">
        <f t="shared" si="2"/>
        <v>22.059583333333336</v>
      </c>
      <c r="M36" s="18">
        <f t="shared" si="2"/>
        <v>64.285416666666663</v>
      </c>
      <c r="N36" s="18">
        <f t="shared" si="2"/>
        <v>132.58750000000003</v>
      </c>
      <c r="O36" s="18">
        <f t="shared" si="2"/>
        <v>0</v>
      </c>
      <c r="P36" s="18">
        <f t="shared" si="2"/>
        <v>0.91416666666666657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10.080143767306371</v>
      </c>
      <c r="C37" s="18">
        <f t="shared" ref="C37:Q37" si="3">STDEV(C9:C32)</f>
        <v>1.8160240353864947</v>
      </c>
      <c r="D37" s="18">
        <f t="shared" si="3"/>
        <v>8.3234882315396934</v>
      </c>
      <c r="E37" s="18">
        <f t="shared" si="3"/>
        <v>0.55350464433855295</v>
      </c>
      <c r="F37" s="18">
        <f t="shared" si="3"/>
        <v>0.87536317514834761</v>
      </c>
      <c r="G37" s="18">
        <f t="shared" si="3"/>
        <v>11.073675273276304</v>
      </c>
      <c r="H37" s="18">
        <f t="shared" si="3"/>
        <v>6.7283583285301853</v>
      </c>
      <c r="I37" s="18">
        <f t="shared" si="3"/>
        <v>3.7437896159380846</v>
      </c>
      <c r="J37" s="18">
        <f t="shared" si="3"/>
        <v>0.34184256695108972</v>
      </c>
      <c r="K37" s="18">
        <f t="shared" si="3"/>
        <v>81.725329739405097</v>
      </c>
      <c r="L37" s="18">
        <f t="shared" si="3"/>
        <v>5.4856115977572824</v>
      </c>
      <c r="M37" s="18">
        <f t="shared" si="3"/>
        <v>27.973744363811676</v>
      </c>
      <c r="N37" s="18">
        <f t="shared" si="3"/>
        <v>196.98085166815841</v>
      </c>
      <c r="O37" s="18">
        <f t="shared" si="3"/>
        <v>0</v>
      </c>
      <c r="P37" s="18">
        <f t="shared" si="3"/>
        <v>0.23797911246791081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G12" sqref="G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493</v>
      </c>
      <c r="B9" s="40">
        <v>20.32</v>
      </c>
      <c r="C9" s="40">
        <v>16.809999999999999</v>
      </c>
      <c r="D9" s="40">
        <v>25.08</v>
      </c>
      <c r="E9" s="40">
        <v>5.91</v>
      </c>
      <c r="F9" s="40">
        <v>1.39</v>
      </c>
      <c r="G9" s="40">
        <v>39.83</v>
      </c>
      <c r="H9" s="40">
        <v>18.149999999999999</v>
      </c>
      <c r="I9" s="40">
        <v>22.46</v>
      </c>
      <c r="J9" s="40">
        <v>0.2</v>
      </c>
      <c r="K9" s="40">
        <v>171.99</v>
      </c>
      <c r="L9" s="40">
        <v>17.7</v>
      </c>
      <c r="M9" s="40">
        <v>84.19</v>
      </c>
      <c r="N9" s="40">
        <v>17.7</v>
      </c>
      <c r="O9" s="40">
        <v>0</v>
      </c>
      <c r="P9" s="40">
        <v>1.19</v>
      </c>
      <c r="Q9" s="40">
        <v>9.32</v>
      </c>
      <c r="R9" s="38"/>
      <c r="S9" s="38"/>
      <c r="T9" s="38"/>
      <c r="U9" s="38"/>
    </row>
    <row r="10" spans="1:21" customFormat="1">
      <c r="A10" s="39" t="s">
        <v>494</v>
      </c>
      <c r="B10" s="40">
        <v>25.36</v>
      </c>
      <c r="C10" s="40">
        <v>17.2</v>
      </c>
      <c r="D10" s="40">
        <v>29.33</v>
      </c>
      <c r="E10" s="40">
        <v>6.08</v>
      </c>
      <c r="F10" s="40">
        <v>1.3</v>
      </c>
      <c r="G10" s="40">
        <v>40.25</v>
      </c>
      <c r="H10" s="40">
        <v>18.010000000000002</v>
      </c>
      <c r="I10" s="40">
        <v>23.43</v>
      </c>
      <c r="J10" s="40">
        <v>0.24</v>
      </c>
      <c r="K10" s="40">
        <v>163.58000000000001</v>
      </c>
      <c r="L10" s="40">
        <v>17.39</v>
      </c>
      <c r="M10" s="40">
        <v>85.51</v>
      </c>
      <c r="N10" s="40">
        <v>17.7</v>
      </c>
      <c r="O10" s="40">
        <v>0</v>
      </c>
      <c r="P10" s="40">
        <v>1.22</v>
      </c>
      <c r="Q10" s="40">
        <v>9.32</v>
      </c>
      <c r="R10" s="38"/>
      <c r="S10" s="38"/>
      <c r="T10" s="38"/>
      <c r="U10" s="38"/>
    </row>
    <row r="11" spans="1:21" customFormat="1">
      <c r="A11" s="39" t="s">
        <v>495</v>
      </c>
      <c r="B11" s="40">
        <v>26.68</v>
      </c>
      <c r="C11" s="40">
        <v>17.21</v>
      </c>
      <c r="D11" s="40">
        <v>30.27</v>
      </c>
      <c r="E11" s="40">
        <v>5.51</v>
      </c>
      <c r="F11" s="40">
        <v>1.29</v>
      </c>
      <c r="G11" s="40">
        <v>36.03</v>
      </c>
      <c r="H11" s="40">
        <v>16.57</v>
      </c>
      <c r="I11" s="40">
        <v>23.67</v>
      </c>
      <c r="J11" s="40">
        <v>0.2</v>
      </c>
      <c r="K11" s="40">
        <v>218.78</v>
      </c>
      <c r="L11" s="40">
        <v>16.95</v>
      </c>
      <c r="M11" s="40">
        <v>90.16</v>
      </c>
      <c r="N11" s="40">
        <v>17.8</v>
      </c>
      <c r="O11" s="40">
        <v>0</v>
      </c>
      <c r="P11" s="40">
        <v>1.22</v>
      </c>
      <c r="Q11" s="40">
        <v>9.32</v>
      </c>
      <c r="R11" s="38"/>
      <c r="S11" s="38"/>
      <c r="T11" s="38"/>
      <c r="U11" s="38"/>
    </row>
    <row r="12" spans="1:21" customFormat="1">
      <c r="A12" s="39" t="s">
        <v>496</v>
      </c>
      <c r="B12" s="40">
        <v>25.73</v>
      </c>
      <c r="C12" s="40">
        <v>16</v>
      </c>
      <c r="D12" s="40">
        <v>29</v>
      </c>
      <c r="E12" s="40">
        <v>5.4</v>
      </c>
      <c r="F12" s="40">
        <v>1.24</v>
      </c>
      <c r="G12" s="40">
        <v>33.44</v>
      </c>
      <c r="H12" s="40">
        <v>15.71</v>
      </c>
      <c r="I12" s="40">
        <v>23.46</v>
      </c>
      <c r="J12" s="40">
        <v>0.17</v>
      </c>
      <c r="K12" s="40">
        <v>224.51</v>
      </c>
      <c r="L12" s="40">
        <v>15.76</v>
      </c>
      <c r="M12" s="40">
        <v>91.78</v>
      </c>
      <c r="N12" s="40">
        <v>17.7</v>
      </c>
      <c r="O12" s="40">
        <v>0</v>
      </c>
      <c r="P12" s="40">
        <v>1.22</v>
      </c>
      <c r="Q12" s="40">
        <v>9.32</v>
      </c>
      <c r="R12" s="38"/>
      <c r="S12" s="38"/>
      <c r="T12" s="38"/>
      <c r="U12" s="38"/>
    </row>
    <row r="13" spans="1:21" customFormat="1">
      <c r="A13" s="39" t="s">
        <v>497</v>
      </c>
      <c r="B13" s="40">
        <v>24.69</v>
      </c>
      <c r="C13" s="40">
        <v>15.04</v>
      </c>
      <c r="D13" s="40">
        <v>27.66</v>
      </c>
      <c r="E13" s="40">
        <v>5.24</v>
      </c>
      <c r="F13" s="40">
        <v>1.23</v>
      </c>
      <c r="G13" s="40">
        <v>35.89</v>
      </c>
      <c r="H13" s="40">
        <v>14.73</v>
      </c>
      <c r="I13" s="40">
        <v>23.32</v>
      </c>
      <c r="J13" s="40">
        <v>0.23</v>
      </c>
      <c r="K13" s="40">
        <v>239.5</v>
      </c>
      <c r="L13" s="40">
        <v>15.2</v>
      </c>
      <c r="M13" s="40">
        <v>92.54</v>
      </c>
      <c r="N13" s="40">
        <v>17.8</v>
      </c>
      <c r="O13" s="40">
        <v>0</v>
      </c>
      <c r="P13" s="40">
        <v>1.21</v>
      </c>
      <c r="Q13" s="40">
        <v>9.32</v>
      </c>
      <c r="R13" s="38"/>
      <c r="S13" s="38"/>
      <c r="T13" s="38"/>
      <c r="U13" s="38"/>
    </row>
    <row r="14" spans="1:21" customFormat="1">
      <c r="A14" s="39" t="s">
        <v>498</v>
      </c>
      <c r="B14" s="40">
        <v>23.01</v>
      </c>
      <c r="C14" s="40">
        <v>14.69</v>
      </c>
      <c r="D14" s="40">
        <v>26.07</v>
      </c>
      <c r="E14" s="40">
        <v>5.04</v>
      </c>
      <c r="F14" s="40">
        <v>1.24</v>
      </c>
      <c r="G14" s="40">
        <v>28.92</v>
      </c>
      <c r="H14" s="40">
        <v>13.76</v>
      </c>
      <c r="I14" s="40">
        <v>22.71</v>
      </c>
      <c r="J14" s="40">
        <v>0.19</v>
      </c>
      <c r="K14" s="40">
        <v>247.93</v>
      </c>
      <c r="L14" s="40">
        <v>14.69</v>
      </c>
      <c r="M14" s="40">
        <v>92.92</v>
      </c>
      <c r="N14" s="40">
        <v>17.899999999999999</v>
      </c>
      <c r="O14" s="40">
        <v>0</v>
      </c>
      <c r="P14" s="40">
        <v>1.1499999999999999</v>
      </c>
      <c r="Q14" s="40">
        <v>9.32</v>
      </c>
      <c r="R14" s="38"/>
      <c r="S14" s="38"/>
      <c r="T14" s="38"/>
      <c r="U14" s="38"/>
    </row>
    <row r="15" spans="1:21" customFormat="1">
      <c r="A15" s="39" t="s">
        <v>499</v>
      </c>
      <c r="B15" s="40">
        <v>20.9</v>
      </c>
      <c r="C15" s="40">
        <v>14.64</v>
      </c>
      <c r="D15" s="40">
        <v>24.41</v>
      </c>
      <c r="E15" s="40">
        <v>4.82</v>
      </c>
      <c r="F15" s="40">
        <v>1.28</v>
      </c>
      <c r="G15" s="40">
        <v>27.46</v>
      </c>
      <c r="H15" s="40">
        <v>13.68</v>
      </c>
      <c r="I15" s="40">
        <v>21.88</v>
      </c>
      <c r="J15" s="40">
        <v>0.16</v>
      </c>
      <c r="K15" s="40">
        <v>213.67</v>
      </c>
      <c r="L15" s="40">
        <v>14.36</v>
      </c>
      <c r="M15" s="40">
        <v>93.68</v>
      </c>
      <c r="N15" s="40">
        <v>29.3</v>
      </c>
      <c r="O15" s="40">
        <v>0</v>
      </c>
      <c r="P15" s="40">
        <v>1.1000000000000001</v>
      </c>
      <c r="Q15" s="40">
        <v>9.32</v>
      </c>
      <c r="R15" s="38"/>
      <c r="S15" s="38"/>
      <c r="T15" s="38"/>
      <c r="U15" s="38"/>
    </row>
    <row r="16" spans="1:21" customFormat="1">
      <c r="A16" s="39" t="s">
        <v>500</v>
      </c>
      <c r="B16" s="40">
        <v>19.940000000000001</v>
      </c>
      <c r="C16" s="40">
        <v>14.85</v>
      </c>
      <c r="D16" s="40">
        <v>23.51</v>
      </c>
      <c r="E16" s="40">
        <v>4.76</v>
      </c>
      <c r="F16" s="40">
        <v>1.1200000000000001</v>
      </c>
      <c r="G16" s="40">
        <v>29.18</v>
      </c>
      <c r="H16" s="40">
        <v>14.32</v>
      </c>
      <c r="I16" s="40">
        <v>21.73</v>
      </c>
      <c r="J16" s="40">
        <v>0.18</v>
      </c>
      <c r="K16" s="40">
        <v>176.39</v>
      </c>
      <c r="L16" s="40">
        <v>16.489999999999998</v>
      </c>
      <c r="M16" s="40">
        <v>93.72</v>
      </c>
      <c r="N16" s="40">
        <v>69.8</v>
      </c>
      <c r="O16" s="40">
        <v>0</v>
      </c>
      <c r="P16" s="40">
        <v>1.0900000000000001</v>
      </c>
      <c r="Q16" s="40">
        <v>9.32</v>
      </c>
      <c r="R16" s="38"/>
      <c r="S16" s="38"/>
      <c r="T16" s="38"/>
      <c r="U16" s="38"/>
    </row>
    <row r="17" spans="1:21" customFormat="1">
      <c r="A17" s="39" t="s">
        <v>501</v>
      </c>
      <c r="B17" s="40">
        <v>19.04</v>
      </c>
      <c r="C17" s="40">
        <v>16.28</v>
      </c>
      <c r="D17" s="40">
        <v>23.25</v>
      </c>
      <c r="E17" s="40">
        <v>4.9400000000000004</v>
      </c>
      <c r="F17" s="40">
        <v>1.3</v>
      </c>
      <c r="G17" s="40">
        <v>32.06</v>
      </c>
      <c r="H17" s="40">
        <v>15.25</v>
      </c>
      <c r="I17" s="40">
        <v>22.4</v>
      </c>
      <c r="J17" s="40">
        <v>0.17</v>
      </c>
      <c r="K17" s="40">
        <v>234.1</v>
      </c>
      <c r="L17" s="40">
        <v>22.07</v>
      </c>
      <c r="M17" s="40">
        <v>77.180000000000007</v>
      </c>
      <c r="N17" s="40">
        <v>257.60000000000002</v>
      </c>
      <c r="O17" s="40">
        <v>0</v>
      </c>
      <c r="P17" s="40">
        <v>1.07</v>
      </c>
      <c r="Q17" s="40">
        <v>9.32</v>
      </c>
      <c r="R17" s="38"/>
      <c r="S17" s="38"/>
      <c r="T17" s="38"/>
      <c r="U17" s="38"/>
    </row>
    <row r="18" spans="1:21" customFormat="1">
      <c r="A18" s="39" t="s">
        <v>502</v>
      </c>
      <c r="B18" s="40">
        <v>15.51</v>
      </c>
      <c r="C18" s="40">
        <v>19.41</v>
      </c>
      <c r="D18" s="40">
        <v>21.35</v>
      </c>
      <c r="E18" s="40">
        <v>6.26</v>
      </c>
      <c r="F18" s="40">
        <v>1.54</v>
      </c>
      <c r="G18" s="40">
        <v>35.82</v>
      </c>
      <c r="H18" s="40">
        <v>17.12</v>
      </c>
      <c r="I18" s="40">
        <v>22.32</v>
      </c>
      <c r="J18" s="40">
        <v>0.18</v>
      </c>
      <c r="K18" s="40">
        <v>316.39</v>
      </c>
      <c r="L18" s="40">
        <v>25.38</v>
      </c>
      <c r="M18" s="40">
        <v>50.13</v>
      </c>
      <c r="N18" s="40">
        <v>161.19999999999999</v>
      </c>
      <c r="O18" s="40">
        <v>0</v>
      </c>
      <c r="P18" s="40">
        <v>1.06</v>
      </c>
      <c r="Q18" s="40">
        <v>9.32</v>
      </c>
      <c r="R18" s="38"/>
      <c r="S18" s="38"/>
      <c r="T18" s="38"/>
      <c r="U18" s="38"/>
    </row>
    <row r="19" spans="1:21" customFormat="1">
      <c r="A19" s="39" t="s">
        <v>503</v>
      </c>
      <c r="B19" s="40">
        <v>13.57</v>
      </c>
      <c r="C19" s="40">
        <v>21.67</v>
      </c>
      <c r="D19" s="40">
        <v>21.43</v>
      </c>
      <c r="E19" s="40">
        <v>6.01</v>
      </c>
      <c r="F19" s="40">
        <v>1.7</v>
      </c>
      <c r="G19" s="40">
        <v>42.61</v>
      </c>
      <c r="H19" s="40">
        <v>17.86</v>
      </c>
      <c r="I19" s="40">
        <v>21.73</v>
      </c>
      <c r="J19" s="40">
        <v>0.5</v>
      </c>
      <c r="K19" s="40">
        <v>276.54000000000002</v>
      </c>
      <c r="L19" s="40">
        <v>26.91</v>
      </c>
      <c r="M19" s="40">
        <v>35.61</v>
      </c>
      <c r="N19" s="40">
        <v>477.9</v>
      </c>
      <c r="O19" s="40">
        <v>0</v>
      </c>
      <c r="P19" s="40">
        <v>1.06</v>
      </c>
      <c r="Q19" s="40">
        <v>9.32</v>
      </c>
      <c r="R19" s="38"/>
      <c r="S19" s="38"/>
      <c r="T19" s="38"/>
      <c r="U19" s="38"/>
    </row>
    <row r="20" spans="1:21" customFormat="1">
      <c r="A20" s="39" t="s">
        <v>504</v>
      </c>
      <c r="B20" s="40">
        <v>11.1</v>
      </c>
      <c r="C20" s="40">
        <v>22.67</v>
      </c>
      <c r="D20" s="40">
        <v>20.28</v>
      </c>
      <c r="E20" s="40">
        <v>6.02</v>
      </c>
      <c r="F20" s="40">
        <v>1.83</v>
      </c>
      <c r="G20" s="40">
        <v>38.19</v>
      </c>
      <c r="H20" s="40">
        <v>16.809999999999999</v>
      </c>
      <c r="I20" s="40">
        <v>20.45</v>
      </c>
      <c r="J20" s="40">
        <v>0.71</v>
      </c>
      <c r="K20" s="40">
        <v>311.58</v>
      </c>
      <c r="L20" s="40">
        <v>27.48</v>
      </c>
      <c r="M20" s="40">
        <v>31.07</v>
      </c>
      <c r="N20" s="40">
        <v>460.2</v>
      </c>
      <c r="O20" s="40">
        <v>0</v>
      </c>
      <c r="P20" s="40">
        <v>1</v>
      </c>
      <c r="Q20" s="40">
        <v>9.32</v>
      </c>
      <c r="R20" s="38"/>
      <c r="S20" s="38"/>
      <c r="T20" s="38"/>
      <c r="U20" s="38"/>
    </row>
    <row r="21" spans="1:21" customFormat="1">
      <c r="A21" s="39" t="s">
        <v>505</v>
      </c>
      <c r="B21" s="40">
        <v>7.45</v>
      </c>
      <c r="C21" s="40">
        <v>22.87</v>
      </c>
      <c r="D21" s="40">
        <v>17.920000000000002</v>
      </c>
      <c r="E21" s="40">
        <v>5.61</v>
      </c>
      <c r="F21" s="40">
        <v>2.58</v>
      </c>
      <c r="G21" s="40">
        <v>43.05</v>
      </c>
      <c r="H21" s="40">
        <v>16.649999999999999</v>
      </c>
      <c r="I21" s="40">
        <v>14.74</v>
      </c>
      <c r="J21" s="40">
        <v>0.66</v>
      </c>
      <c r="K21" s="40">
        <v>323.26</v>
      </c>
      <c r="L21" s="40">
        <v>28.09</v>
      </c>
      <c r="M21" s="40">
        <v>30.34</v>
      </c>
      <c r="N21" s="40">
        <v>439.7</v>
      </c>
      <c r="O21" s="40">
        <v>0</v>
      </c>
      <c r="P21" s="40">
        <v>0.97</v>
      </c>
      <c r="Q21" s="40">
        <v>9.32</v>
      </c>
      <c r="R21" s="38"/>
      <c r="S21" s="38"/>
      <c r="T21" s="38"/>
      <c r="U21" s="38"/>
    </row>
    <row r="22" spans="1:21" customFormat="1">
      <c r="A22" s="39" t="s">
        <v>506</v>
      </c>
      <c r="B22" s="40">
        <v>4.8899999999999997</v>
      </c>
      <c r="C22" s="40">
        <v>22.19</v>
      </c>
      <c r="D22" s="40">
        <v>15.52</v>
      </c>
      <c r="E22" s="40">
        <v>5.24</v>
      </c>
      <c r="F22" s="40">
        <v>3.32</v>
      </c>
      <c r="G22" s="40">
        <v>42.81</v>
      </c>
      <c r="H22" s="40">
        <v>16.23</v>
      </c>
      <c r="I22" s="40">
        <v>14.53</v>
      </c>
      <c r="J22" s="40">
        <v>0.53</v>
      </c>
      <c r="K22" s="40">
        <v>329.36</v>
      </c>
      <c r="L22" s="40">
        <v>28.17</v>
      </c>
      <c r="M22" s="40">
        <v>27.8</v>
      </c>
      <c r="N22" s="40">
        <v>363</v>
      </c>
      <c r="O22" s="40">
        <v>0</v>
      </c>
      <c r="P22" s="40">
        <v>0.94</v>
      </c>
      <c r="Q22" s="40">
        <v>9.32</v>
      </c>
      <c r="R22" s="38"/>
      <c r="S22" s="38"/>
      <c r="T22" s="38"/>
      <c r="U22" s="38"/>
    </row>
    <row r="23" spans="1:21" customFormat="1">
      <c r="A23" s="39" t="s">
        <v>507</v>
      </c>
      <c r="B23" s="40">
        <v>4.07</v>
      </c>
      <c r="C23" s="40">
        <v>19.18</v>
      </c>
      <c r="D23" s="40">
        <v>13.29</v>
      </c>
      <c r="E23" s="40">
        <v>5.05</v>
      </c>
      <c r="F23" s="40">
        <v>4.04</v>
      </c>
      <c r="G23" s="40">
        <v>36.979999999999997</v>
      </c>
      <c r="H23" s="40">
        <v>13.67</v>
      </c>
      <c r="I23" s="40">
        <v>15.88</v>
      </c>
      <c r="J23" s="40">
        <v>0.67</v>
      </c>
      <c r="K23" s="40">
        <v>326.39999999999998</v>
      </c>
      <c r="L23" s="40">
        <v>28.18</v>
      </c>
      <c r="M23" s="40">
        <v>26.48</v>
      </c>
      <c r="N23" s="40">
        <v>115.3</v>
      </c>
      <c r="O23" s="40">
        <v>0</v>
      </c>
      <c r="P23" s="40">
        <v>0.88</v>
      </c>
      <c r="Q23" s="40">
        <v>9.32</v>
      </c>
      <c r="R23" s="38"/>
      <c r="S23" s="38"/>
      <c r="T23" s="38"/>
      <c r="U23" s="38"/>
    </row>
    <row r="24" spans="1:21" customFormat="1">
      <c r="A24" s="39" t="s">
        <v>508</v>
      </c>
      <c r="B24" s="40">
        <v>4.1399999999999997</v>
      </c>
      <c r="C24" s="40">
        <v>17.47</v>
      </c>
      <c r="D24" s="40">
        <v>12.37</v>
      </c>
      <c r="E24" s="40">
        <v>5.85</v>
      </c>
      <c r="F24" s="40">
        <v>3.92</v>
      </c>
      <c r="G24" s="40">
        <v>33.51</v>
      </c>
      <c r="H24" s="40">
        <v>12.54</v>
      </c>
      <c r="I24" s="40">
        <v>14.92</v>
      </c>
      <c r="J24" s="40">
        <v>0.4</v>
      </c>
      <c r="K24" s="40">
        <v>349.29</v>
      </c>
      <c r="L24" s="40">
        <v>28.16</v>
      </c>
      <c r="M24" s="40">
        <v>26.78</v>
      </c>
      <c r="N24" s="40">
        <v>87</v>
      </c>
      <c r="O24" s="40">
        <v>0</v>
      </c>
      <c r="P24" s="40">
        <v>0.83</v>
      </c>
      <c r="Q24" s="40">
        <v>9.32</v>
      </c>
      <c r="R24" s="38"/>
      <c r="S24" s="38"/>
      <c r="T24" s="38"/>
      <c r="U24" s="38"/>
    </row>
    <row r="25" spans="1:21" customFormat="1">
      <c r="A25" s="39" t="s">
        <v>509</v>
      </c>
      <c r="B25" s="40">
        <v>4.8099999999999996</v>
      </c>
      <c r="C25" s="40">
        <v>16.86</v>
      </c>
      <c r="D25" s="40">
        <v>12.67</v>
      </c>
      <c r="E25" s="40">
        <v>5.42</v>
      </c>
      <c r="F25" s="40">
        <v>2.9</v>
      </c>
      <c r="G25" s="40">
        <v>30.48</v>
      </c>
      <c r="H25" s="40">
        <v>11.43</v>
      </c>
      <c r="I25" s="40">
        <v>13.73</v>
      </c>
      <c r="J25" s="40">
        <v>0.34</v>
      </c>
      <c r="K25" s="40">
        <v>347.96</v>
      </c>
      <c r="L25" s="40">
        <v>27.54</v>
      </c>
      <c r="M25" s="40">
        <v>34.799999999999997</v>
      </c>
      <c r="N25" s="40">
        <v>54.5</v>
      </c>
      <c r="O25" s="40">
        <v>0</v>
      </c>
      <c r="P25" s="40">
        <v>0.81</v>
      </c>
      <c r="Q25" s="40">
        <v>9.32</v>
      </c>
      <c r="R25" s="38"/>
      <c r="S25" s="38"/>
      <c r="T25" s="38"/>
      <c r="U25" s="38"/>
    </row>
    <row r="26" spans="1:21" customFormat="1">
      <c r="A26" s="39" t="s">
        <v>510</v>
      </c>
      <c r="B26" s="40">
        <v>6.29</v>
      </c>
      <c r="C26" s="40">
        <v>18.03</v>
      </c>
      <c r="D26" s="40">
        <v>14.46</v>
      </c>
      <c r="E26" s="40">
        <v>4.83</v>
      </c>
      <c r="F26" s="40">
        <v>1.53</v>
      </c>
      <c r="G26" s="40">
        <v>30.77</v>
      </c>
      <c r="H26" s="40">
        <v>11.83</v>
      </c>
      <c r="I26" s="40">
        <v>13.17</v>
      </c>
      <c r="J26" s="40">
        <v>0.28999999999999998</v>
      </c>
      <c r="K26" s="40">
        <v>168.17</v>
      </c>
      <c r="L26" s="40">
        <v>24.71</v>
      </c>
      <c r="M26" s="40">
        <v>48.88</v>
      </c>
      <c r="N26" s="40">
        <v>27.3</v>
      </c>
      <c r="O26" s="40">
        <v>0</v>
      </c>
      <c r="P26" s="40">
        <v>0.79</v>
      </c>
      <c r="Q26" s="40">
        <v>9.32</v>
      </c>
      <c r="R26" s="38"/>
      <c r="S26" s="38"/>
      <c r="T26" s="38"/>
      <c r="U26" s="38"/>
    </row>
    <row r="27" spans="1:21" customFormat="1">
      <c r="A27" s="39" t="s">
        <v>511</v>
      </c>
      <c r="B27" s="40">
        <v>7.7</v>
      </c>
      <c r="C27" s="40">
        <v>19.59</v>
      </c>
      <c r="D27" s="40">
        <v>16.41</v>
      </c>
      <c r="E27" s="40">
        <v>6.6</v>
      </c>
      <c r="F27" s="40">
        <v>1.34</v>
      </c>
      <c r="G27" s="40">
        <v>37.270000000000003</v>
      </c>
      <c r="H27" s="40">
        <v>11.71</v>
      </c>
      <c r="I27" s="40">
        <v>13.71</v>
      </c>
      <c r="J27" s="40">
        <v>0.32</v>
      </c>
      <c r="K27" s="40">
        <v>163.05000000000001</v>
      </c>
      <c r="L27" s="40">
        <v>22.13</v>
      </c>
      <c r="M27" s="40">
        <v>52.37</v>
      </c>
      <c r="N27" s="40">
        <v>19.899999999999999</v>
      </c>
      <c r="O27" s="40">
        <v>0</v>
      </c>
      <c r="P27" s="40">
        <v>0.77</v>
      </c>
      <c r="Q27" s="40">
        <v>9.32</v>
      </c>
      <c r="R27" s="38"/>
      <c r="S27" s="38"/>
      <c r="T27" s="38"/>
      <c r="U27" s="38"/>
    </row>
    <row r="28" spans="1:21" customFormat="1">
      <c r="A28" s="39" t="s">
        <v>512</v>
      </c>
      <c r="B28" s="40">
        <v>11.27</v>
      </c>
      <c r="C28" s="40">
        <v>20.83</v>
      </c>
      <c r="D28" s="40">
        <v>19.920000000000002</v>
      </c>
      <c r="E28" s="40">
        <v>6.5</v>
      </c>
      <c r="F28" s="40">
        <v>1.36</v>
      </c>
      <c r="G28" s="40">
        <v>43.2</v>
      </c>
      <c r="H28" s="40">
        <v>14.01</v>
      </c>
      <c r="I28" s="40">
        <v>15.5</v>
      </c>
      <c r="J28" s="40">
        <v>0.31</v>
      </c>
      <c r="K28" s="40">
        <v>173.86</v>
      </c>
      <c r="L28" s="40">
        <v>21.25</v>
      </c>
      <c r="M28" s="40">
        <v>69.48</v>
      </c>
      <c r="N28" s="40">
        <v>19.899999999999999</v>
      </c>
      <c r="O28" s="40">
        <v>0</v>
      </c>
      <c r="P28" s="40">
        <v>0.86</v>
      </c>
      <c r="Q28" s="40">
        <v>9.32</v>
      </c>
      <c r="R28" s="38"/>
      <c r="S28" s="38"/>
      <c r="T28" s="38"/>
      <c r="U28" s="38"/>
    </row>
    <row r="29" spans="1:21" customFormat="1">
      <c r="A29" s="39" t="s">
        <v>513</v>
      </c>
      <c r="B29" s="40">
        <v>12.37</v>
      </c>
      <c r="C29" s="40">
        <v>20.84</v>
      </c>
      <c r="D29" s="40">
        <v>20.55</v>
      </c>
      <c r="E29" s="40">
        <v>6.46</v>
      </c>
      <c r="F29" s="40">
        <v>1.39</v>
      </c>
      <c r="G29" s="40">
        <v>49.31</v>
      </c>
      <c r="H29" s="40">
        <v>17.89</v>
      </c>
      <c r="I29" s="40">
        <v>16.8</v>
      </c>
      <c r="J29" s="40">
        <v>0.2</v>
      </c>
      <c r="K29" s="40">
        <v>207.95</v>
      </c>
      <c r="L29" s="40">
        <v>19.170000000000002</v>
      </c>
      <c r="M29" s="40">
        <v>80.39</v>
      </c>
      <c r="N29" s="40">
        <v>19.7</v>
      </c>
      <c r="O29" s="40">
        <v>0</v>
      </c>
      <c r="P29" s="40">
        <v>0.92</v>
      </c>
      <c r="Q29" s="40">
        <v>9.32</v>
      </c>
      <c r="R29" s="38"/>
      <c r="S29" s="38"/>
      <c r="T29" s="38"/>
      <c r="U29" s="38"/>
    </row>
    <row r="30" spans="1:21" customFormat="1">
      <c r="A30" s="39" t="s">
        <v>514</v>
      </c>
      <c r="B30" s="40">
        <v>12.7</v>
      </c>
      <c r="C30" s="40">
        <v>19.91</v>
      </c>
      <c r="D30" s="40">
        <v>20.39</v>
      </c>
      <c r="E30" s="40">
        <v>6.28</v>
      </c>
      <c r="F30" s="40">
        <v>1.38</v>
      </c>
      <c r="G30" s="40">
        <v>50.39</v>
      </c>
      <c r="H30" s="40">
        <v>17.75</v>
      </c>
      <c r="I30" s="40">
        <v>17.399999999999999</v>
      </c>
      <c r="J30" s="40">
        <v>0.25</v>
      </c>
      <c r="K30" s="40">
        <v>189.62</v>
      </c>
      <c r="L30" s="40">
        <v>18.260000000000002</v>
      </c>
      <c r="M30" s="40">
        <v>82.06</v>
      </c>
      <c r="N30" s="40">
        <v>19.5</v>
      </c>
      <c r="O30" s="40">
        <v>0</v>
      </c>
      <c r="P30" s="40">
        <v>0.93</v>
      </c>
      <c r="Q30" s="40">
        <v>9.32</v>
      </c>
      <c r="R30" s="38"/>
      <c r="S30" s="38"/>
      <c r="T30" s="38"/>
      <c r="U30" s="38"/>
    </row>
    <row r="31" spans="1:21" customFormat="1">
      <c r="A31" s="39" t="s">
        <v>515</v>
      </c>
      <c r="B31" s="40">
        <v>19.04</v>
      </c>
      <c r="C31" s="40">
        <v>19.82</v>
      </c>
      <c r="D31" s="40">
        <v>25.63</v>
      </c>
      <c r="E31" s="40">
        <v>6.5</v>
      </c>
      <c r="F31" s="40">
        <v>1.44</v>
      </c>
      <c r="G31" s="40">
        <v>50.08</v>
      </c>
      <c r="H31" s="40">
        <v>17.11</v>
      </c>
      <c r="I31" s="40">
        <v>15.52</v>
      </c>
      <c r="J31" s="40">
        <v>0.3</v>
      </c>
      <c r="K31" s="40">
        <v>215.8</v>
      </c>
      <c r="L31" s="40">
        <v>18.2</v>
      </c>
      <c r="M31" s="40">
        <v>80.040000000000006</v>
      </c>
      <c r="N31" s="40">
        <v>19.399999999999999</v>
      </c>
      <c r="O31" s="40">
        <v>0</v>
      </c>
      <c r="P31" s="40">
        <v>0.97</v>
      </c>
      <c r="Q31" s="40">
        <v>9.32</v>
      </c>
      <c r="R31" s="38"/>
      <c r="S31" s="38"/>
      <c r="T31" s="38"/>
      <c r="U31" s="38"/>
    </row>
    <row r="32" spans="1:21" customFormat="1">
      <c r="A32" s="39" t="s">
        <v>516</v>
      </c>
      <c r="B32" s="40">
        <v>20.12</v>
      </c>
      <c r="C32" s="40">
        <v>20.27</v>
      </c>
      <c r="D32" s="40">
        <v>26.73</v>
      </c>
      <c r="E32" s="40">
        <v>6.22</v>
      </c>
      <c r="F32" s="40">
        <v>1.27</v>
      </c>
      <c r="G32" s="40">
        <v>51.16</v>
      </c>
      <c r="H32" s="40">
        <v>18.010000000000002</v>
      </c>
      <c r="I32" s="40">
        <v>15.68</v>
      </c>
      <c r="J32" s="40">
        <v>0.66</v>
      </c>
      <c r="K32" s="40">
        <v>51.11</v>
      </c>
      <c r="L32" s="40">
        <v>19.079999999999998</v>
      </c>
      <c r="M32" s="40">
        <v>61.34</v>
      </c>
      <c r="N32" s="40">
        <v>19.7</v>
      </c>
      <c r="O32" s="40">
        <v>0</v>
      </c>
      <c r="P32" s="40">
        <v>0.98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4.07</v>
      </c>
      <c r="C34" s="18">
        <f t="shared" si="0"/>
        <v>14.64</v>
      </c>
      <c r="D34" s="18">
        <f t="shared" si="0"/>
        <v>12.37</v>
      </c>
      <c r="E34" s="18">
        <f t="shared" si="0"/>
        <v>4.76</v>
      </c>
      <c r="F34" s="18">
        <f t="shared" si="0"/>
        <v>1.1200000000000001</v>
      </c>
      <c r="G34" s="18">
        <f t="shared" si="0"/>
        <v>27.46</v>
      </c>
      <c r="H34" s="18">
        <f t="shared" si="0"/>
        <v>11.43</v>
      </c>
      <c r="I34" s="18">
        <f t="shared" si="0"/>
        <v>13.17</v>
      </c>
      <c r="J34" s="18">
        <f t="shared" si="0"/>
        <v>0.16</v>
      </c>
      <c r="K34" s="18">
        <f t="shared" si="0"/>
        <v>51.11</v>
      </c>
      <c r="L34" s="18">
        <f t="shared" si="0"/>
        <v>14.36</v>
      </c>
      <c r="M34" s="18">
        <f t="shared" si="0"/>
        <v>26.48</v>
      </c>
      <c r="N34" s="18">
        <f t="shared" si="0"/>
        <v>17.7</v>
      </c>
      <c r="O34" s="18">
        <f t="shared" si="0"/>
        <v>0</v>
      </c>
      <c r="P34" s="18">
        <f t="shared" si="0"/>
        <v>0.77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26.68</v>
      </c>
      <c r="C35" s="3">
        <f t="shared" si="1"/>
        <v>22.87</v>
      </c>
      <c r="D35" s="3">
        <f t="shared" si="1"/>
        <v>30.27</v>
      </c>
      <c r="E35" s="3">
        <f t="shared" si="1"/>
        <v>6.6</v>
      </c>
      <c r="F35" s="3">
        <f t="shared" si="1"/>
        <v>4.04</v>
      </c>
      <c r="G35" s="3">
        <f t="shared" si="1"/>
        <v>51.16</v>
      </c>
      <c r="H35" s="3">
        <f t="shared" si="1"/>
        <v>18.149999999999999</v>
      </c>
      <c r="I35" s="3">
        <f t="shared" si="1"/>
        <v>23.67</v>
      </c>
      <c r="J35" s="3">
        <f t="shared" si="1"/>
        <v>0.71</v>
      </c>
      <c r="K35" s="3">
        <f t="shared" si="1"/>
        <v>349.29</v>
      </c>
      <c r="L35" s="3">
        <f t="shared" si="1"/>
        <v>28.18</v>
      </c>
      <c r="M35" s="3">
        <f t="shared" si="1"/>
        <v>93.72</v>
      </c>
      <c r="N35" s="3">
        <f t="shared" si="1"/>
        <v>477.9</v>
      </c>
      <c r="O35" s="3">
        <f t="shared" si="1"/>
        <v>0</v>
      </c>
      <c r="P35" s="3">
        <f t="shared" si="1"/>
        <v>1.22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15.029166666666663</v>
      </c>
      <c r="C36" s="18">
        <f t="shared" si="2"/>
        <v>18.513749999999995</v>
      </c>
      <c r="D36" s="18">
        <f t="shared" si="2"/>
        <v>21.5625</v>
      </c>
      <c r="E36" s="18">
        <f t="shared" si="2"/>
        <v>5.6895833333333323</v>
      </c>
      <c r="F36" s="18">
        <f t="shared" si="2"/>
        <v>1.7887500000000003</v>
      </c>
      <c r="G36" s="18">
        <f t="shared" si="2"/>
        <v>38.278749999999995</v>
      </c>
      <c r="H36" s="18">
        <f t="shared" si="2"/>
        <v>15.449999999999998</v>
      </c>
      <c r="I36" s="18">
        <f t="shared" si="2"/>
        <v>18.797499999999999</v>
      </c>
      <c r="J36" s="18">
        <f t="shared" si="2"/>
        <v>0.33583333333333337</v>
      </c>
      <c r="K36" s="18">
        <f t="shared" si="2"/>
        <v>235.03291666666664</v>
      </c>
      <c r="L36" s="18">
        <f t="shared" si="2"/>
        <v>21.388333333333335</v>
      </c>
      <c r="M36" s="18">
        <f t="shared" si="2"/>
        <v>64.135416666666671</v>
      </c>
      <c r="N36" s="18">
        <f t="shared" si="2"/>
        <v>115.31250000000001</v>
      </c>
      <c r="O36" s="18">
        <f t="shared" si="2"/>
        <v>0</v>
      </c>
      <c r="P36" s="18">
        <f t="shared" si="2"/>
        <v>1.0099999999999998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7.6230154461835946</v>
      </c>
      <c r="C37" s="18">
        <f t="shared" ref="C37:Q37" si="3">STDEV(C9:C32)</f>
        <v>2.6082024669676094</v>
      </c>
      <c r="D37" s="18">
        <f t="shared" si="3"/>
        <v>5.4570602453829524</v>
      </c>
      <c r="E37" s="18">
        <f t="shared" si="3"/>
        <v>0.60724953087970968</v>
      </c>
      <c r="F37" s="18">
        <f t="shared" si="3"/>
        <v>0.87383369475372974</v>
      </c>
      <c r="G37" s="18">
        <f t="shared" si="3"/>
        <v>7.1478280754122929</v>
      </c>
      <c r="H37" s="18">
        <f t="shared" si="3"/>
        <v>2.2165405870213926</v>
      </c>
      <c r="I37" s="18">
        <f t="shared" si="3"/>
        <v>3.8990659416572191</v>
      </c>
      <c r="J37" s="18">
        <f t="shared" si="3"/>
        <v>0.18341961079227156</v>
      </c>
      <c r="K37" s="18">
        <f t="shared" si="3"/>
        <v>74.880501291937719</v>
      </c>
      <c r="L37" s="18">
        <f t="shared" si="3"/>
        <v>5.0391921942920961</v>
      </c>
      <c r="M37" s="18">
        <f t="shared" si="3"/>
        <v>25.825252383827841</v>
      </c>
      <c r="N37" s="18">
        <f t="shared" si="3"/>
        <v>157.84160005056248</v>
      </c>
      <c r="O37" s="18">
        <f t="shared" si="3"/>
        <v>0</v>
      </c>
      <c r="P37" s="18">
        <f t="shared" si="3"/>
        <v>0.1457812536406648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G12" sqref="G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517</v>
      </c>
      <c r="B9" s="40">
        <v>21.16</v>
      </c>
      <c r="C9" s="40">
        <v>20.440000000000001</v>
      </c>
      <c r="D9" s="40">
        <v>27.65</v>
      </c>
      <c r="E9" s="40">
        <v>6.03</v>
      </c>
      <c r="F9" s="40">
        <v>1.21</v>
      </c>
      <c r="G9" s="40">
        <v>45.59</v>
      </c>
      <c r="H9" s="40">
        <v>16.5</v>
      </c>
      <c r="I9" s="40">
        <v>16.13</v>
      </c>
      <c r="J9" s="40">
        <v>0.19</v>
      </c>
      <c r="K9" s="40">
        <v>324.25</v>
      </c>
      <c r="L9" s="40">
        <v>18.05</v>
      </c>
      <c r="M9" s="40">
        <v>78.64</v>
      </c>
      <c r="N9" s="40">
        <v>19.899999999999999</v>
      </c>
      <c r="O9" s="40">
        <v>0</v>
      </c>
      <c r="P9" s="40">
        <v>0.94</v>
      </c>
      <c r="Q9" s="40">
        <v>9.32</v>
      </c>
      <c r="R9" s="38"/>
      <c r="S9" s="38"/>
      <c r="T9" s="38"/>
      <c r="U9" s="38"/>
    </row>
    <row r="10" spans="1:21" customFormat="1">
      <c r="A10" s="39" t="s">
        <v>518</v>
      </c>
      <c r="B10" s="40">
        <v>20.71</v>
      </c>
      <c r="C10" s="40">
        <v>20</v>
      </c>
      <c r="D10" s="40">
        <v>27.06</v>
      </c>
      <c r="E10" s="40">
        <v>5.89</v>
      </c>
      <c r="F10" s="40">
        <v>1.3</v>
      </c>
      <c r="G10" s="40">
        <v>42.32</v>
      </c>
      <c r="H10" s="40">
        <v>15.61</v>
      </c>
      <c r="I10" s="40">
        <v>16.97</v>
      </c>
      <c r="J10" s="40">
        <v>0.16</v>
      </c>
      <c r="K10" s="40">
        <v>203.75</v>
      </c>
      <c r="L10" s="40">
        <v>16.61</v>
      </c>
      <c r="M10" s="40">
        <v>85.89</v>
      </c>
      <c r="N10" s="40">
        <v>19.5</v>
      </c>
      <c r="O10" s="40">
        <v>0</v>
      </c>
      <c r="P10" s="40">
        <v>0.87</v>
      </c>
      <c r="Q10" s="40">
        <v>9.32</v>
      </c>
      <c r="R10" s="38"/>
      <c r="S10" s="38"/>
      <c r="T10" s="38"/>
      <c r="U10" s="38"/>
    </row>
    <row r="11" spans="1:21" customFormat="1">
      <c r="A11" s="39" t="s">
        <v>519</v>
      </c>
      <c r="B11" s="40">
        <v>19.39</v>
      </c>
      <c r="C11" s="40">
        <v>18.559999999999999</v>
      </c>
      <c r="D11" s="40">
        <v>25.25</v>
      </c>
      <c r="E11" s="40">
        <v>5.05</v>
      </c>
      <c r="F11" s="40">
        <v>1.24</v>
      </c>
      <c r="G11" s="40">
        <v>37.340000000000003</v>
      </c>
      <c r="H11" s="40">
        <v>13.81</v>
      </c>
      <c r="I11" s="40">
        <v>16.29</v>
      </c>
      <c r="J11" s="40">
        <v>0.23</v>
      </c>
      <c r="K11" s="40">
        <v>236.87</v>
      </c>
      <c r="L11" s="40">
        <v>15.79</v>
      </c>
      <c r="M11" s="40">
        <v>89.77</v>
      </c>
      <c r="N11" s="40">
        <v>19.600000000000001</v>
      </c>
      <c r="O11" s="40">
        <v>0</v>
      </c>
      <c r="P11" s="40">
        <v>0.83</v>
      </c>
      <c r="Q11" s="40">
        <v>9.32</v>
      </c>
      <c r="R11" s="38"/>
      <c r="S11" s="38"/>
      <c r="T11" s="38"/>
      <c r="U11" s="38"/>
    </row>
    <row r="12" spans="1:21" customFormat="1">
      <c r="A12" s="39" t="s">
        <v>520</v>
      </c>
      <c r="B12" s="40">
        <v>17.2</v>
      </c>
      <c r="C12" s="40">
        <v>16.739999999999998</v>
      </c>
      <c r="D12" s="40">
        <v>22.54</v>
      </c>
      <c r="E12" s="40">
        <v>4.93</v>
      </c>
      <c r="F12" s="40">
        <v>1.23</v>
      </c>
      <c r="G12" s="40">
        <v>34.909999999999997</v>
      </c>
      <c r="H12" s="40">
        <v>15.43</v>
      </c>
      <c r="I12" s="40">
        <v>14.13</v>
      </c>
      <c r="J12" s="40">
        <v>0.19</v>
      </c>
      <c r="K12" s="40">
        <v>227.98</v>
      </c>
      <c r="L12" s="40">
        <v>14.91</v>
      </c>
      <c r="M12" s="40">
        <v>89.68</v>
      </c>
      <c r="N12" s="40">
        <v>19.399999999999999</v>
      </c>
      <c r="O12" s="40">
        <v>0</v>
      </c>
      <c r="P12" s="40">
        <v>0.79</v>
      </c>
      <c r="Q12" s="40">
        <v>9.32</v>
      </c>
      <c r="R12" s="38"/>
      <c r="S12" s="38"/>
      <c r="T12" s="38"/>
      <c r="U12" s="38"/>
    </row>
    <row r="13" spans="1:21" customFormat="1">
      <c r="A13" s="39" t="s">
        <v>521</v>
      </c>
      <c r="B13" s="40">
        <v>20.239999999999998</v>
      </c>
      <c r="C13" s="40">
        <v>17.07</v>
      </c>
      <c r="D13" s="40">
        <v>25.15</v>
      </c>
      <c r="E13" s="40">
        <v>5.28</v>
      </c>
      <c r="F13" s="40">
        <v>1.43</v>
      </c>
      <c r="G13" s="40">
        <v>32.58</v>
      </c>
      <c r="H13" s="40">
        <v>15.56</v>
      </c>
      <c r="I13" s="40">
        <v>18.37</v>
      </c>
      <c r="J13" s="40">
        <v>0.14000000000000001</v>
      </c>
      <c r="K13" s="40">
        <v>219.06</v>
      </c>
      <c r="L13" s="40">
        <v>14.94</v>
      </c>
      <c r="M13" s="40">
        <v>89.6</v>
      </c>
      <c r="N13" s="40">
        <v>19.2</v>
      </c>
      <c r="O13" s="40">
        <v>0</v>
      </c>
      <c r="P13" s="40">
        <v>0.76</v>
      </c>
      <c r="Q13" s="40">
        <v>9.32</v>
      </c>
      <c r="R13" s="38"/>
      <c r="S13" s="38"/>
      <c r="T13" s="38"/>
      <c r="U13" s="38"/>
    </row>
    <row r="14" spans="1:21" customFormat="1">
      <c r="A14" s="39" t="s">
        <v>522</v>
      </c>
      <c r="B14" s="40">
        <v>21.49</v>
      </c>
      <c r="C14" s="40">
        <v>17.45</v>
      </c>
      <c r="D14" s="40">
        <v>26.35</v>
      </c>
      <c r="E14" s="40">
        <v>5.19</v>
      </c>
      <c r="F14" s="40">
        <v>1.54</v>
      </c>
      <c r="G14" s="40">
        <v>31.6</v>
      </c>
      <c r="H14" s="40">
        <v>14.65</v>
      </c>
      <c r="I14" s="40">
        <v>16.21</v>
      </c>
      <c r="J14" s="40">
        <v>0.2</v>
      </c>
      <c r="K14" s="40">
        <v>196.18</v>
      </c>
      <c r="L14" s="40">
        <v>14.99</v>
      </c>
      <c r="M14" s="40">
        <v>90.41</v>
      </c>
      <c r="N14" s="40">
        <v>19.5</v>
      </c>
      <c r="O14" s="40">
        <v>0</v>
      </c>
      <c r="P14" s="40">
        <v>0.75</v>
      </c>
      <c r="Q14" s="40">
        <v>9.32</v>
      </c>
      <c r="R14" s="38"/>
      <c r="S14" s="38"/>
      <c r="T14" s="38"/>
      <c r="U14" s="38"/>
    </row>
    <row r="15" spans="1:21" customFormat="1">
      <c r="A15" s="39" t="s">
        <v>523</v>
      </c>
      <c r="B15" s="40">
        <v>21.77</v>
      </c>
      <c r="C15" s="40">
        <v>16.86</v>
      </c>
      <c r="D15" s="40">
        <v>26.18</v>
      </c>
      <c r="E15" s="40">
        <v>5.13</v>
      </c>
      <c r="F15" s="40">
        <v>1.25</v>
      </c>
      <c r="G15" s="40">
        <v>28.85</v>
      </c>
      <c r="H15" s="40">
        <v>14.35</v>
      </c>
      <c r="I15" s="40">
        <v>18.260000000000002</v>
      </c>
      <c r="J15" s="40">
        <v>0.15</v>
      </c>
      <c r="K15" s="40">
        <v>199.39</v>
      </c>
      <c r="L15" s="40">
        <v>14.57</v>
      </c>
      <c r="M15" s="40">
        <v>91.26</v>
      </c>
      <c r="N15" s="40">
        <v>31.1</v>
      </c>
      <c r="O15" s="40">
        <v>0</v>
      </c>
      <c r="P15" s="40">
        <v>0.74</v>
      </c>
      <c r="Q15" s="40">
        <v>9.32</v>
      </c>
      <c r="R15" s="38"/>
      <c r="S15" s="38"/>
      <c r="T15" s="38"/>
      <c r="U15" s="38"/>
    </row>
    <row r="16" spans="1:21" customFormat="1">
      <c r="A16" s="39" t="s">
        <v>524</v>
      </c>
      <c r="B16" s="40">
        <v>22.71</v>
      </c>
      <c r="C16" s="40">
        <v>16.829999999999998</v>
      </c>
      <c r="D16" s="40">
        <v>26.96</v>
      </c>
      <c r="E16" s="40">
        <v>5.26</v>
      </c>
      <c r="F16" s="40">
        <v>1.28</v>
      </c>
      <c r="G16" s="40">
        <v>28.21</v>
      </c>
      <c r="H16" s="40">
        <v>14.05</v>
      </c>
      <c r="I16" s="40">
        <v>18.920000000000002</v>
      </c>
      <c r="J16" s="40">
        <v>0.32</v>
      </c>
      <c r="K16" s="40">
        <v>171.27</v>
      </c>
      <c r="L16" s="40">
        <v>16.43</v>
      </c>
      <c r="M16" s="40">
        <v>91.17</v>
      </c>
      <c r="N16" s="40">
        <v>78.5</v>
      </c>
      <c r="O16" s="40">
        <v>0</v>
      </c>
      <c r="P16" s="40">
        <v>0.77</v>
      </c>
      <c r="Q16" s="40">
        <v>9.32</v>
      </c>
      <c r="R16" s="38"/>
      <c r="S16" s="38"/>
      <c r="T16" s="38"/>
      <c r="U16" s="38"/>
    </row>
    <row r="17" spans="1:21" customFormat="1">
      <c r="A17" s="39" t="s">
        <v>525</v>
      </c>
      <c r="B17" s="40">
        <v>21.88</v>
      </c>
      <c r="C17" s="40">
        <v>18.600000000000001</v>
      </c>
      <c r="D17" s="40">
        <v>26.48</v>
      </c>
      <c r="E17" s="40">
        <v>5.2</v>
      </c>
      <c r="F17" s="40">
        <v>1.32</v>
      </c>
      <c r="G17" s="40">
        <v>29.03</v>
      </c>
      <c r="H17" s="40">
        <v>14.02</v>
      </c>
      <c r="I17" s="40">
        <v>19.41</v>
      </c>
      <c r="J17" s="40">
        <v>0.95</v>
      </c>
      <c r="K17" s="40">
        <v>59.15</v>
      </c>
      <c r="L17" s="40">
        <v>19.37</v>
      </c>
      <c r="M17" s="40">
        <v>75.209999999999994</v>
      </c>
      <c r="N17" s="40">
        <v>246.3</v>
      </c>
      <c r="O17" s="40">
        <v>0</v>
      </c>
      <c r="P17" s="40">
        <v>0.79</v>
      </c>
      <c r="Q17" s="40">
        <v>9.32</v>
      </c>
      <c r="R17" s="38"/>
      <c r="S17" s="38"/>
      <c r="T17" s="38"/>
      <c r="U17" s="38"/>
    </row>
    <row r="18" spans="1:21" customFormat="1">
      <c r="A18" s="39" t="s">
        <v>526</v>
      </c>
      <c r="B18" s="40">
        <v>18.920000000000002</v>
      </c>
      <c r="C18" s="40">
        <v>19.07</v>
      </c>
      <c r="D18" s="40">
        <v>24.91</v>
      </c>
      <c r="E18" s="40">
        <v>5.26</v>
      </c>
      <c r="F18" s="40">
        <v>1.39</v>
      </c>
      <c r="G18" s="40">
        <v>32.159999999999997</v>
      </c>
      <c r="H18" s="40">
        <v>15.96</v>
      </c>
      <c r="I18" s="40">
        <v>19</v>
      </c>
      <c r="J18" s="40">
        <v>1.04</v>
      </c>
      <c r="K18" s="40">
        <v>50.67</v>
      </c>
      <c r="L18" s="40">
        <v>22.38</v>
      </c>
      <c r="M18" s="40">
        <v>64.33</v>
      </c>
      <c r="N18" s="40">
        <v>178.7</v>
      </c>
      <c r="O18" s="40">
        <v>0</v>
      </c>
      <c r="P18" s="40">
        <v>0.8</v>
      </c>
      <c r="Q18" s="40">
        <v>9.32</v>
      </c>
      <c r="R18" s="38"/>
      <c r="S18" s="38"/>
      <c r="T18" s="38"/>
      <c r="U18" s="38"/>
    </row>
    <row r="19" spans="1:21" customFormat="1">
      <c r="A19" s="39" t="s">
        <v>527</v>
      </c>
      <c r="B19" s="40">
        <v>17.190000000000001</v>
      </c>
      <c r="C19" s="40">
        <v>19.25</v>
      </c>
      <c r="D19" s="40">
        <v>23.81</v>
      </c>
      <c r="E19" s="40">
        <v>6.17</v>
      </c>
      <c r="F19" s="40">
        <v>1.46</v>
      </c>
      <c r="G19" s="40">
        <v>32.99</v>
      </c>
      <c r="H19" s="40">
        <v>16.670000000000002</v>
      </c>
      <c r="I19" s="40">
        <v>13.92</v>
      </c>
      <c r="J19" s="40">
        <v>0.67</v>
      </c>
      <c r="K19" s="40">
        <v>49.46</v>
      </c>
      <c r="L19" s="40">
        <v>24.87</v>
      </c>
      <c r="M19" s="40">
        <v>53.61</v>
      </c>
      <c r="N19" s="40">
        <v>493.5</v>
      </c>
      <c r="O19" s="40">
        <v>0</v>
      </c>
      <c r="P19" s="40">
        <v>0.8</v>
      </c>
      <c r="Q19" s="40">
        <v>9.32</v>
      </c>
      <c r="R19" s="38"/>
      <c r="S19" s="38"/>
      <c r="T19" s="38"/>
      <c r="U19" s="38"/>
    </row>
    <row r="20" spans="1:21" customFormat="1">
      <c r="A20" s="39" t="s">
        <v>528</v>
      </c>
      <c r="B20" s="40">
        <v>14.83</v>
      </c>
      <c r="C20" s="40">
        <v>19.420000000000002</v>
      </c>
      <c r="D20" s="40">
        <v>21.95</v>
      </c>
      <c r="E20" s="40">
        <v>6.41</v>
      </c>
      <c r="F20" s="40">
        <v>1.61</v>
      </c>
      <c r="G20" s="40">
        <v>38.979999999999997</v>
      </c>
      <c r="H20" s="40">
        <v>16.34</v>
      </c>
      <c r="I20" s="40">
        <v>13.4</v>
      </c>
      <c r="J20" s="40">
        <v>0.3</v>
      </c>
      <c r="K20" s="40">
        <v>332.03</v>
      </c>
      <c r="L20" s="40">
        <v>26.65</v>
      </c>
      <c r="M20" s="40">
        <v>42.24</v>
      </c>
      <c r="N20" s="40">
        <v>525.70000000000005</v>
      </c>
      <c r="O20" s="40">
        <v>0</v>
      </c>
      <c r="P20" s="40">
        <v>0.78</v>
      </c>
      <c r="Q20" s="40">
        <v>9.32</v>
      </c>
      <c r="R20" s="38"/>
      <c r="S20" s="38"/>
      <c r="T20" s="38"/>
      <c r="U20" s="38"/>
    </row>
    <row r="21" spans="1:21" customFormat="1">
      <c r="A21" s="39" t="s">
        <v>529</v>
      </c>
      <c r="B21" s="40">
        <v>11.46</v>
      </c>
      <c r="C21" s="40">
        <v>19.72</v>
      </c>
      <c r="D21" s="40">
        <v>19.34</v>
      </c>
      <c r="E21" s="40">
        <v>7.08</v>
      </c>
      <c r="F21" s="40">
        <v>2</v>
      </c>
      <c r="G21" s="40">
        <v>32.17</v>
      </c>
      <c r="H21" s="40">
        <v>16.71</v>
      </c>
      <c r="I21" s="40">
        <v>15.11</v>
      </c>
      <c r="J21" s="40">
        <v>0.72</v>
      </c>
      <c r="K21" s="40">
        <v>333.3</v>
      </c>
      <c r="L21" s="40">
        <v>27.96</v>
      </c>
      <c r="M21" s="40">
        <v>36.299999999999997</v>
      </c>
      <c r="N21" s="40">
        <v>548.4</v>
      </c>
      <c r="O21" s="40">
        <v>0</v>
      </c>
      <c r="P21" s="40">
        <v>0.75</v>
      </c>
      <c r="Q21" s="40">
        <v>9.32</v>
      </c>
      <c r="R21" s="38"/>
      <c r="S21" s="38"/>
      <c r="T21" s="38"/>
      <c r="U21" s="38"/>
    </row>
    <row r="22" spans="1:21" customFormat="1">
      <c r="A22" s="39" t="s">
        <v>530</v>
      </c>
      <c r="B22" s="40">
        <v>9.14</v>
      </c>
      <c r="C22" s="40">
        <v>21.07</v>
      </c>
      <c r="D22" s="40">
        <v>17.829999999999998</v>
      </c>
      <c r="E22" s="40">
        <v>7.93</v>
      </c>
      <c r="F22" s="40">
        <v>2.84</v>
      </c>
      <c r="G22" s="40">
        <v>34.01</v>
      </c>
      <c r="H22" s="40">
        <v>16.03</v>
      </c>
      <c r="I22" s="40">
        <v>14.51</v>
      </c>
      <c r="J22" s="40">
        <v>0.47</v>
      </c>
      <c r="K22" s="40">
        <v>346.99</v>
      </c>
      <c r="L22" s="40">
        <v>27.94</v>
      </c>
      <c r="M22" s="40">
        <v>34.700000000000003</v>
      </c>
      <c r="N22" s="40">
        <v>352.1</v>
      </c>
      <c r="O22" s="40">
        <v>0</v>
      </c>
      <c r="P22" s="40">
        <v>0.77</v>
      </c>
      <c r="Q22" s="40">
        <v>9.32</v>
      </c>
      <c r="R22" s="38"/>
      <c r="S22" s="38"/>
      <c r="T22" s="38"/>
      <c r="U22" s="38"/>
    </row>
    <row r="23" spans="1:21" customFormat="1">
      <c r="A23" s="39" t="s">
        <v>531</v>
      </c>
      <c r="B23" s="40">
        <v>7.32</v>
      </c>
      <c r="C23" s="40">
        <v>22.59</v>
      </c>
      <c r="D23" s="40">
        <v>17.18</v>
      </c>
      <c r="E23" s="40">
        <v>7.69</v>
      </c>
      <c r="F23" s="40">
        <v>3.02</v>
      </c>
      <c r="G23" s="40">
        <v>38.200000000000003</v>
      </c>
      <c r="H23" s="40">
        <v>16.649999999999999</v>
      </c>
      <c r="I23" s="40">
        <v>14.13</v>
      </c>
      <c r="J23" s="40">
        <v>0.81</v>
      </c>
      <c r="K23" s="40">
        <v>332.06</v>
      </c>
      <c r="L23" s="40">
        <v>28.08</v>
      </c>
      <c r="M23" s="40">
        <v>32.770000000000003</v>
      </c>
      <c r="N23" s="40">
        <v>130.1</v>
      </c>
      <c r="O23" s="40">
        <v>0</v>
      </c>
      <c r="P23" s="40">
        <v>0.72</v>
      </c>
      <c r="Q23" s="40">
        <v>9.32</v>
      </c>
      <c r="R23" s="38"/>
      <c r="S23" s="38"/>
      <c r="T23" s="38"/>
      <c r="U23" s="38"/>
    </row>
    <row r="24" spans="1:21" customFormat="1">
      <c r="A24" s="39" t="s">
        <v>532</v>
      </c>
      <c r="B24" s="40">
        <v>4.2</v>
      </c>
      <c r="C24" s="40">
        <v>22.48</v>
      </c>
      <c r="D24" s="40">
        <v>15.09</v>
      </c>
      <c r="E24" s="40">
        <v>7.24</v>
      </c>
      <c r="F24" s="40">
        <v>3.28</v>
      </c>
      <c r="G24" s="40">
        <v>39.5</v>
      </c>
      <c r="H24" s="40">
        <v>17.11</v>
      </c>
      <c r="I24" s="40">
        <v>13.57</v>
      </c>
      <c r="J24" s="40">
        <v>0.65</v>
      </c>
      <c r="K24" s="40">
        <v>359.54</v>
      </c>
      <c r="L24" s="40">
        <v>28.03</v>
      </c>
      <c r="M24" s="40">
        <v>31.15</v>
      </c>
      <c r="N24" s="40">
        <v>95</v>
      </c>
      <c r="O24" s="40">
        <v>0</v>
      </c>
      <c r="P24" s="40">
        <v>0.72</v>
      </c>
      <c r="Q24" s="40">
        <v>9.32</v>
      </c>
      <c r="R24" s="38"/>
      <c r="S24" s="38"/>
      <c r="T24" s="38"/>
      <c r="U24" s="38"/>
    </row>
    <row r="25" spans="1:21" customFormat="1">
      <c r="A25" s="39" t="s">
        <v>533</v>
      </c>
      <c r="B25" s="40">
        <v>3.88</v>
      </c>
      <c r="C25" s="40">
        <v>22.35</v>
      </c>
      <c r="D25" s="40">
        <v>14.64</v>
      </c>
      <c r="E25" s="40">
        <v>7.03</v>
      </c>
      <c r="F25" s="40">
        <v>2.99</v>
      </c>
      <c r="G25" s="40">
        <v>39.1</v>
      </c>
      <c r="H25" s="40">
        <v>16.47</v>
      </c>
      <c r="I25" s="40">
        <v>12.91</v>
      </c>
      <c r="J25" s="40">
        <v>0.19</v>
      </c>
      <c r="K25" s="40">
        <v>65.09</v>
      </c>
      <c r="L25" s="40">
        <v>27.56</v>
      </c>
      <c r="M25" s="40">
        <v>35.090000000000003</v>
      </c>
      <c r="N25" s="40">
        <v>54</v>
      </c>
      <c r="O25" s="40">
        <v>0</v>
      </c>
      <c r="P25" s="40">
        <v>0.71</v>
      </c>
      <c r="Q25" s="40">
        <v>9.32</v>
      </c>
      <c r="R25" s="38"/>
      <c r="S25" s="38"/>
      <c r="T25" s="38"/>
      <c r="U25" s="38"/>
    </row>
    <row r="26" spans="1:21" customFormat="1">
      <c r="A26" s="39" t="s">
        <v>534</v>
      </c>
      <c r="B26" s="40">
        <v>5.46</v>
      </c>
      <c r="C26" s="40">
        <v>21.95</v>
      </c>
      <c r="D26" s="40">
        <v>15.84</v>
      </c>
      <c r="E26" s="40">
        <v>6.42</v>
      </c>
      <c r="F26" s="40">
        <v>1.67</v>
      </c>
      <c r="G26" s="40">
        <v>37.54</v>
      </c>
      <c r="H26" s="40">
        <v>16.68</v>
      </c>
      <c r="I26" s="40">
        <v>12.21</v>
      </c>
      <c r="J26" s="40">
        <v>0.19</v>
      </c>
      <c r="K26" s="40">
        <v>165.54</v>
      </c>
      <c r="L26" s="40">
        <v>24.9</v>
      </c>
      <c r="M26" s="40">
        <v>47.66</v>
      </c>
      <c r="N26" s="40">
        <v>25.5</v>
      </c>
      <c r="O26" s="40">
        <v>0</v>
      </c>
      <c r="P26" s="40">
        <v>0.71</v>
      </c>
      <c r="Q26" s="40">
        <v>9.32</v>
      </c>
      <c r="R26" s="38"/>
      <c r="S26" s="38"/>
      <c r="T26" s="38"/>
      <c r="U26" s="38"/>
    </row>
    <row r="27" spans="1:21" customFormat="1">
      <c r="A27" s="39" t="s">
        <v>535</v>
      </c>
      <c r="B27" s="40">
        <v>7.95</v>
      </c>
      <c r="C27" s="40">
        <v>22.32</v>
      </c>
      <c r="D27" s="40">
        <v>17.989999999999998</v>
      </c>
      <c r="E27" s="40">
        <v>6.17</v>
      </c>
      <c r="F27" s="40">
        <v>1.49</v>
      </c>
      <c r="G27" s="40">
        <v>41.03</v>
      </c>
      <c r="H27" s="40">
        <v>16.45</v>
      </c>
      <c r="I27" s="40">
        <v>12.83</v>
      </c>
      <c r="J27" s="40">
        <v>0.32</v>
      </c>
      <c r="K27" s="40">
        <v>161.19999999999999</v>
      </c>
      <c r="L27" s="40">
        <v>22.65</v>
      </c>
      <c r="M27" s="40">
        <v>53.26</v>
      </c>
      <c r="N27" s="40">
        <v>18</v>
      </c>
      <c r="O27" s="40">
        <v>0</v>
      </c>
      <c r="P27" s="40">
        <v>0.78</v>
      </c>
      <c r="Q27" s="40">
        <v>9.32</v>
      </c>
      <c r="R27" s="38"/>
      <c r="S27" s="38"/>
      <c r="T27" s="38"/>
      <c r="U27" s="38"/>
    </row>
    <row r="28" spans="1:21" customFormat="1">
      <c r="A28" s="39" t="s">
        <v>536</v>
      </c>
      <c r="B28" s="40">
        <v>11.18</v>
      </c>
      <c r="C28" s="40">
        <v>22.06</v>
      </c>
      <c r="D28" s="40">
        <v>20.350000000000001</v>
      </c>
      <c r="E28" s="40">
        <v>6.14</v>
      </c>
      <c r="F28" s="40">
        <v>1.33</v>
      </c>
      <c r="G28" s="40">
        <v>44.19</v>
      </c>
      <c r="H28" s="40">
        <v>17.61</v>
      </c>
      <c r="I28" s="40">
        <v>13.82</v>
      </c>
      <c r="J28" s="40">
        <v>0.36</v>
      </c>
      <c r="K28" s="40">
        <v>189.49</v>
      </c>
      <c r="L28" s="40">
        <v>20.55</v>
      </c>
      <c r="M28" s="40">
        <v>66.150000000000006</v>
      </c>
      <c r="N28" s="40">
        <v>17.8</v>
      </c>
      <c r="O28" s="40">
        <v>0</v>
      </c>
      <c r="P28" s="40">
        <v>0.87</v>
      </c>
      <c r="Q28" s="40">
        <v>9.32</v>
      </c>
      <c r="R28" s="38"/>
      <c r="S28" s="38"/>
      <c r="T28" s="38"/>
      <c r="U28" s="38"/>
    </row>
    <row r="29" spans="1:21" customFormat="1">
      <c r="A29" s="39" t="s">
        <v>537</v>
      </c>
      <c r="B29" s="40">
        <v>14.36</v>
      </c>
      <c r="C29" s="40">
        <v>21.84</v>
      </c>
      <c r="D29" s="40">
        <v>22.54</v>
      </c>
      <c r="E29" s="40">
        <v>5.89</v>
      </c>
      <c r="F29" s="40">
        <v>1.36</v>
      </c>
      <c r="G29" s="40">
        <v>48.43</v>
      </c>
      <c r="H29" s="40">
        <v>17.989999999999998</v>
      </c>
      <c r="I29" s="40">
        <v>15.8</v>
      </c>
      <c r="J29" s="40">
        <v>0.24</v>
      </c>
      <c r="K29" s="40">
        <v>193.15</v>
      </c>
      <c r="L29" s="40">
        <v>18.89</v>
      </c>
      <c r="M29" s="40">
        <v>81.39</v>
      </c>
      <c r="N29" s="40">
        <v>17.8</v>
      </c>
      <c r="O29" s="40">
        <v>0</v>
      </c>
      <c r="P29" s="40">
        <v>0.96</v>
      </c>
      <c r="Q29" s="40">
        <v>9.32</v>
      </c>
      <c r="R29" s="38"/>
      <c r="S29" s="38"/>
      <c r="T29" s="38"/>
      <c r="U29" s="38"/>
    </row>
    <row r="30" spans="1:21" customFormat="1">
      <c r="A30" s="39" t="s">
        <v>538</v>
      </c>
      <c r="B30" s="40">
        <v>15.86</v>
      </c>
      <c r="C30" s="40">
        <v>20.74</v>
      </c>
      <c r="D30" s="40">
        <v>23.16</v>
      </c>
      <c r="E30" s="40">
        <v>5.62</v>
      </c>
      <c r="F30" s="40">
        <v>1.38</v>
      </c>
      <c r="G30" s="40">
        <v>49.32</v>
      </c>
      <c r="H30" s="40">
        <v>18.649999999999999</v>
      </c>
      <c r="I30" s="40">
        <v>16.66</v>
      </c>
      <c r="J30" s="40">
        <v>0.23</v>
      </c>
      <c r="K30" s="40">
        <v>205.63</v>
      </c>
      <c r="L30" s="40">
        <v>18.309999999999999</v>
      </c>
      <c r="M30" s="40">
        <v>82.92</v>
      </c>
      <c r="N30" s="40">
        <v>17.8</v>
      </c>
      <c r="O30" s="40">
        <v>0</v>
      </c>
      <c r="P30" s="40">
        <v>0.98</v>
      </c>
      <c r="Q30" s="40">
        <v>9.32</v>
      </c>
      <c r="R30" s="38"/>
      <c r="S30" s="38"/>
      <c r="T30" s="38"/>
      <c r="U30" s="38"/>
    </row>
    <row r="31" spans="1:21" customFormat="1">
      <c r="A31" s="39" t="s">
        <v>539</v>
      </c>
      <c r="B31" s="40">
        <v>17.37</v>
      </c>
      <c r="C31" s="40">
        <v>21.02</v>
      </c>
      <c r="D31" s="40">
        <v>24.72</v>
      </c>
      <c r="E31" s="40">
        <v>5.88</v>
      </c>
      <c r="F31" s="40">
        <v>1.36</v>
      </c>
      <c r="G31" s="40">
        <v>45.49</v>
      </c>
      <c r="H31" s="40">
        <v>18.38</v>
      </c>
      <c r="I31" s="40">
        <v>17.2</v>
      </c>
      <c r="J31" s="40">
        <v>0.27</v>
      </c>
      <c r="K31" s="40">
        <v>107.81</v>
      </c>
      <c r="L31" s="40">
        <v>19.760000000000002</v>
      </c>
      <c r="M31" s="40">
        <v>64.540000000000006</v>
      </c>
      <c r="N31" s="40">
        <v>17.399999999999999</v>
      </c>
      <c r="O31" s="40">
        <v>0</v>
      </c>
      <c r="P31" s="40">
        <v>1</v>
      </c>
      <c r="Q31" s="40">
        <v>9.32</v>
      </c>
      <c r="R31" s="38"/>
      <c r="S31" s="38"/>
      <c r="T31" s="38"/>
      <c r="U31" s="38"/>
    </row>
    <row r="32" spans="1:21" customFormat="1">
      <c r="A32" s="39" t="s">
        <v>540</v>
      </c>
      <c r="B32" s="40">
        <v>16.350000000000001</v>
      </c>
      <c r="C32" s="40">
        <v>21.16</v>
      </c>
      <c r="D32" s="40">
        <v>24.09</v>
      </c>
      <c r="E32" s="40">
        <v>5.81</v>
      </c>
      <c r="F32" s="40">
        <v>1.34</v>
      </c>
      <c r="G32" s="40">
        <v>44.4</v>
      </c>
      <c r="H32" s="40">
        <v>19.350000000000001</v>
      </c>
      <c r="I32" s="40">
        <v>17.059999999999999</v>
      </c>
      <c r="J32" s="40">
        <v>0.21</v>
      </c>
      <c r="K32" s="40">
        <v>215.09</v>
      </c>
      <c r="L32" s="40">
        <v>19.73</v>
      </c>
      <c r="M32" s="40">
        <v>69.08</v>
      </c>
      <c r="N32" s="40">
        <v>18.100000000000001</v>
      </c>
      <c r="O32" s="40">
        <v>0</v>
      </c>
      <c r="P32" s="40">
        <v>0.96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3.88</v>
      </c>
      <c r="C34" s="18">
        <f t="shared" si="0"/>
        <v>16.739999999999998</v>
      </c>
      <c r="D34" s="18">
        <f t="shared" si="0"/>
        <v>14.64</v>
      </c>
      <c r="E34" s="18">
        <f t="shared" si="0"/>
        <v>4.93</v>
      </c>
      <c r="F34" s="18">
        <f t="shared" si="0"/>
        <v>1.21</v>
      </c>
      <c r="G34" s="18">
        <f t="shared" si="0"/>
        <v>28.21</v>
      </c>
      <c r="H34" s="18">
        <f t="shared" si="0"/>
        <v>13.81</v>
      </c>
      <c r="I34" s="18">
        <f t="shared" si="0"/>
        <v>12.21</v>
      </c>
      <c r="J34" s="18">
        <f t="shared" si="0"/>
        <v>0.14000000000000001</v>
      </c>
      <c r="K34" s="18">
        <f t="shared" si="0"/>
        <v>49.46</v>
      </c>
      <c r="L34" s="18">
        <f t="shared" si="0"/>
        <v>14.57</v>
      </c>
      <c r="M34" s="18">
        <f t="shared" si="0"/>
        <v>31.15</v>
      </c>
      <c r="N34" s="18">
        <f t="shared" si="0"/>
        <v>17.399999999999999</v>
      </c>
      <c r="O34" s="18">
        <f t="shared" si="0"/>
        <v>0</v>
      </c>
      <c r="P34" s="18">
        <f t="shared" si="0"/>
        <v>0.71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22.71</v>
      </c>
      <c r="C35" s="3">
        <f t="shared" si="1"/>
        <v>22.59</v>
      </c>
      <c r="D35" s="3">
        <f t="shared" si="1"/>
        <v>27.65</v>
      </c>
      <c r="E35" s="3">
        <f t="shared" si="1"/>
        <v>7.93</v>
      </c>
      <c r="F35" s="3">
        <f t="shared" si="1"/>
        <v>3.28</v>
      </c>
      <c r="G35" s="3">
        <f t="shared" si="1"/>
        <v>49.32</v>
      </c>
      <c r="H35" s="3">
        <f t="shared" si="1"/>
        <v>19.350000000000001</v>
      </c>
      <c r="I35" s="3">
        <f t="shared" si="1"/>
        <v>19.41</v>
      </c>
      <c r="J35" s="3">
        <f t="shared" si="1"/>
        <v>1.04</v>
      </c>
      <c r="K35" s="3">
        <f t="shared" si="1"/>
        <v>359.54</v>
      </c>
      <c r="L35" s="3">
        <f t="shared" si="1"/>
        <v>28.08</v>
      </c>
      <c r="M35" s="3">
        <f t="shared" si="1"/>
        <v>91.26</v>
      </c>
      <c r="N35" s="3">
        <f t="shared" si="1"/>
        <v>548.4</v>
      </c>
      <c r="O35" s="3">
        <f t="shared" si="1"/>
        <v>0</v>
      </c>
      <c r="P35" s="3">
        <f t="shared" si="1"/>
        <v>1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15.084166666666668</v>
      </c>
      <c r="C36" s="18">
        <f t="shared" si="2"/>
        <v>19.982916666666664</v>
      </c>
      <c r="D36" s="18">
        <f t="shared" si="2"/>
        <v>22.377500000000001</v>
      </c>
      <c r="E36" s="18">
        <f t="shared" si="2"/>
        <v>6.0291666666666659</v>
      </c>
      <c r="F36" s="18">
        <f t="shared" si="2"/>
        <v>1.6800000000000004</v>
      </c>
      <c r="G36" s="18">
        <f t="shared" si="2"/>
        <v>37.830833333333331</v>
      </c>
      <c r="H36" s="18">
        <f t="shared" si="2"/>
        <v>16.29291666666667</v>
      </c>
      <c r="I36" s="18">
        <f t="shared" si="2"/>
        <v>15.700833333333334</v>
      </c>
      <c r="J36" s="18">
        <f t="shared" si="2"/>
        <v>0.38333333333333336</v>
      </c>
      <c r="K36" s="18">
        <f t="shared" si="2"/>
        <v>206.03958333333335</v>
      </c>
      <c r="L36" s="18">
        <f t="shared" si="2"/>
        <v>20.996666666666666</v>
      </c>
      <c r="M36" s="18">
        <f t="shared" si="2"/>
        <v>65.70083333333335</v>
      </c>
      <c r="N36" s="18">
        <f t="shared" si="2"/>
        <v>124.28750000000002</v>
      </c>
      <c r="O36" s="18">
        <f t="shared" si="2"/>
        <v>0</v>
      </c>
      <c r="P36" s="18">
        <f t="shared" si="2"/>
        <v>0.81458333333333355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6.0681469964903227</v>
      </c>
      <c r="C37" s="18">
        <f t="shared" ref="C37:Q37" si="3">STDEV(C9:C32)</f>
        <v>1.9886580119280937</v>
      </c>
      <c r="D37" s="18">
        <f t="shared" si="3"/>
        <v>4.1044125248216732</v>
      </c>
      <c r="E37" s="18">
        <f t="shared" si="3"/>
        <v>0.8516322775892704</v>
      </c>
      <c r="F37" s="18">
        <f t="shared" si="3"/>
        <v>0.64417793923053746</v>
      </c>
      <c r="G37" s="18">
        <f t="shared" si="3"/>
        <v>6.2942429987677135</v>
      </c>
      <c r="H37" s="18">
        <f t="shared" si="3"/>
        <v>1.474397383654602</v>
      </c>
      <c r="I37" s="18">
        <f t="shared" si="3"/>
        <v>2.1625969024112823</v>
      </c>
      <c r="J37" s="18">
        <f t="shared" si="3"/>
        <v>0.27035671551339058</v>
      </c>
      <c r="K37" s="18">
        <f t="shared" si="3"/>
        <v>96.059817934232839</v>
      </c>
      <c r="L37" s="18">
        <f t="shared" si="3"/>
        <v>4.8940981908262939</v>
      </c>
      <c r="M37" s="18">
        <f t="shared" si="3"/>
        <v>21.947033060186655</v>
      </c>
      <c r="N37" s="18">
        <f t="shared" si="3"/>
        <v>175.3651081067849</v>
      </c>
      <c r="O37" s="18">
        <f t="shared" si="3"/>
        <v>0</v>
      </c>
      <c r="P37" s="18">
        <f t="shared" si="3"/>
        <v>9.1079476362638856E-2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J15" sqref="J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541</v>
      </c>
      <c r="B9" s="40">
        <v>13.77</v>
      </c>
      <c r="C9" s="40">
        <v>20.23</v>
      </c>
      <c r="D9" s="40">
        <v>21.44</v>
      </c>
      <c r="E9" s="40">
        <v>5.81</v>
      </c>
      <c r="F9" s="40">
        <v>1.38</v>
      </c>
      <c r="G9" s="40">
        <v>40.53</v>
      </c>
      <c r="H9" s="40">
        <v>18.73</v>
      </c>
      <c r="I9" s="40">
        <v>16.16</v>
      </c>
      <c r="J9" s="40">
        <v>0.17</v>
      </c>
      <c r="K9" s="40">
        <v>215.68</v>
      </c>
      <c r="L9" s="40">
        <v>17.64</v>
      </c>
      <c r="M9" s="40">
        <v>80.709999999999994</v>
      </c>
      <c r="N9" s="40">
        <v>17.8</v>
      </c>
      <c r="O9" s="40">
        <v>0</v>
      </c>
      <c r="P9" s="40">
        <v>0.87</v>
      </c>
      <c r="Q9" s="40">
        <v>9.32</v>
      </c>
      <c r="R9" s="38"/>
      <c r="S9" s="38"/>
      <c r="T9" s="38"/>
      <c r="U9" s="38"/>
    </row>
    <row r="10" spans="1:21" customFormat="1">
      <c r="A10" s="39" t="s">
        <v>542</v>
      </c>
      <c r="B10" s="40">
        <v>13.15</v>
      </c>
      <c r="C10" s="40">
        <v>19.66</v>
      </c>
      <c r="D10" s="40">
        <v>20.69</v>
      </c>
      <c r="E10" s="40">
        <v>5.73</v>
      </c>
      <c r="F10" s="40">
        <v>1.28</v>
      </c>
      <c r="G10" s="40">
        <v>36.39</v>
      </c>
      <c r="H10" s="40">
        <v>16.71</v>
      </c>
      <c r="I10" s="40">
        <v>15.38</v>
      </c>
      <c r="J10" s="40">
        <v>0.27</v>
      </c>
      <c r="K10" s="40">
        <v>243.07</v>
      </c>
      <c r="L10" s="40">
        <v>16.920000000000002</v>
      </c>
      <c r="M10" s="40">
        <v>83.09</v>
      </c>
      <c r="N10" s="40">
        <v>17.8</v>
      </c>
      <c r="O10" s="40">
        <v>0</v>
      </c>
      <c r="P10" s="40">
        <v>0.83</v>
      </c>
      <c r="Q10" s="40">
        <v>9.32</v>
      </c>
      <c r="R10" s="38"/>
      <c r="S10" s="38"/>
      <c r="T10" s="38"/>
      <c r="U10" s="38"/>
    </row>
    <row r="11" spans="1:21" customFormat="1">
      <c r="A11" s="39" t="s">
        <v>543</v>
      </c>
      <c r="B11" s="40">
        <v>15.39</v>
      </c>
      <c r="C11" s="40">
        <v>18.8</v>
      </c>
      <c r="D11" s="40">
        <v>22.05</v>
      </c>
      <c r="E11" s="40">
        <v>6.38</v>
      </c>
      <c r="F11" s="40">
        <v>1.18</v>
      </c>
      <c r="G11" s="40">
        <v>31.28</v>
      </c>
      <c r="H11" s="40">
        <v>15.49</v>
      </c>
      <c r="I11" s="40">
        <v>13.77</v>
      </c>
      <c r="J11" s="40">
        <v>0.2</v>
      </c>
      <c r="K11" s="40">
        <v>212.59</v>
      </c>
      <c r="L11" s="40">
        <v>16.239999999999998</v>
      </c>
      <c r="M11" s="40">
        <v>87.71</v>
      </c>
      <c r="N11" s="40">
        <v>17.7</v>
      </c>
      <c r="O11" s="40">
        <v>0</v>
      </c>
      <c r="P11" s="40">
        <v>0.81</v>
      </c>
      <c r="Q11" s="40">
        <v>9.32</v>
      </c>
      <c r="R11" s="38"/>
      <c r="S11" s="38"/>
      <c r="T11" s="38"/>
      <c r="U11" s="38"/>
    </row>
    <row r="12" spans="1:21" customFormat="1">
      <c r="A12" s="39" t="s">
        <v>544</v>
      </c>
      <c r="B12" s="40">
        <v>15.21</v>
      </c>
      <c r="C12" s="40">
        <v>18.11</v>
      </c>
      <c r="D12" s="40">
        <v>21.66</v>
      </c>
      <c r="E12" s="40">
        <v>6.1</v>
      </c>
      <c r="F12" s="40">
        <v>1.4</v>
      </c>
      <c r="G12" s="40">
        <v>30.89</v>
      </c>
      <c r="H12" s="40">
        <v>15.57</v>
      </c>
      <c r="I12" s="40">
        <v>12.19</v>
      </c>
      <c r="J12" s="40">
        <v>0.19</v>
      </c>
      <c r="K12" s="40">
        <v>207.95</v>
      </c>
      <c r="L12" s="40">
        <v>15.59</v>
      </c>
      <c r="M12" s="40">
        <v>89.43</v>
      </c>
      <c r="N12" s="40">
        <v>17.8</v>
      </c>
      <c r="O12" s="40">
        <v>0</v>
      </c>
      <c r="P12" s="40">
        <v>0.81</v>
      </c>
      <c r="Q12" s="40">
        <v>9.32</v>
      </c>
      <c r="R12" s="38"/>
      <c r="S12" s="38"/>
      <c r="T12" s="38"/>
      <c r="U12" s="38"/>
    </row>
    <row r="13" spans="1:21" customFormat="1">
      <c r="A13" s="39" t="s">
        <v>545</v>
      </c>
      <c r="B13" s="40">
        <v>13.82</v>
      </c>
      <c r="C13" s="40">
        <v>16.760000000000002</v>
      </c>
      <c r="D13" s="40">
        <v>19.84</v>
      </c>
      <c r="E13" s="40">
        <v>6</v>
      </c>
      <c r="F13" s="40">
        <v>1.36</v>
      </c>
      <c r="G13" s="40">
        <v>27.43</v>
      </c>
      <c r="H13" s="40">
        <v>16.14</v>
      </c>
      <c r="I13" s="40">
        <v>12.17</v>
      </c>
      <c r="J13" s="40">
        <v>0.13</v>
      </c>
      <c r="K13" s="40">
        <v>211.35</v>
      </c>
      <c r="L13" s="40">
        <v>14.65</v>
      </c>
      <c r="M13" s="40">
        <v>90.36</v>
      </c>
      <c r="N13" s="40">
        <v>17.5</v>
      </c>
      <c r="O13" s="40">
        <v>0</v>
      </c>
      <c r="P13" s="40">
        <v>0.8</v>
      </c>
      <c r="Q13" s="40">
        <v>9.32</v>
      </c>
      <c r="R13" s="38"/>
      <c r="S13" s="38"/>
      <c r="T13" s="38"/>
      <c r="U13" s="38"/>
    </row>
    <row r="14" spans="1:21" customFormat="1">
      <c r="A14" s="39" t="s">
        <v>546</v>
      </c>
      <c r="B14" s="40">
        <v>15.02</v>
      </c>
      <c r="C14" s="40">
        <v>15.35</v>
      </c>
      <c r="D14" s="40">
        <v>20.07</v>
      </c>
      <c r="E14" s="40">
        <v>5.86</v>
      </c>
      <c r="F14" s="40">
        <v>1.4</v>
      </c>
      <c r="G14" s="40">
        <v>29.79</v>
      </c>
      <c r="H14" s="40">
        <v>16.05</v>
      </c>
      <c r="I14" s="40">
        <v>12.14</v>
      </c>
      <c r="J14" s="40">
        <v>0.16</v>
      </c>
      <c r="K14" s="40">
        <v>191.43</v>
      </c>
      <c r="L14" s="40">
        <v>14.34</v>
      </c>
      <c r="M14" s="40">
        <v>92.29</v>
      </c>
      <c r="N14" s="40">
        <v>17.600000000000001</v>
      </c>
      <c r="O14" s="40">
        <v>0</v>
      </c>
      <c r="P14" s="40">
        <v>0.79</v>
      </c>
      <c r="Q14" s="40">
        <v>9.32</v>
      </c>
      <c r="R14" s="38"/>
      <c r="S14" s="38"/>
      <c r="T14" s="38"/>
      <c r="U14" s="38"/>
    </row>
    <row r="15" spans="1:21" customFormat="1">
      <c r="A15" s="39" t="s">
        <v>547</v>
      </c>
      <c r="B15" s="40">
        <v>23.82</v>
      </c>
      <c r="C15" s="40">
        <v>17.43</v>
      </c>
      <c r="D15" s="40">
        <v>28.2</v>
      </c>
      <c r="E15" s="40">
        <v>5.66</v>
      </c>
      <c r="F15" s="40">
        <v>1.24</v>
      </c>
      <c r="G15" s="40">
        <v>28.8</v>
      </c>
      <c r="H15" s="40">
        <v>15.46</v>
      </c>
      <c r="I15" s="40">
        <v>12.31</v>
      </c>
      <c r="J15" s="40">
        <v>0.16</v>
      </c>
      <c r="K15" s="40">
        <v>221.7</v>
      </c>
      <c r="L15" s="40">
        <v>14.17</v>
      </c>
      <c r="M15" s="40">
        <v>90.54</v>
      </c>
      <c r="N15" s="40">
        <v>30.1</v>
      </c>
      <c r="O15" s="40">
        <v>0</v>
      </c>
      <c r="P15" s="40">
        <v>0.81</v>
      </c>
      <c r="Q15" s="40">
        <v>9.32</v>
      </c>
      <c r="R15" s="38"/>
      <c r="S15" s="38"/>
      <c r="T15" s="38"/>
      <c r="U15" s="38"/>
    </row>
    <row r="16" spans="1:21" customFormat="1">
      <c r="A16" s="39" t="s">
        <v>548</v>
      </c>
      <c r="B16" s="40">
        <v>27.91</v>
      </c>
      <c r="C16" s="40">
        <v>17.84</v>
      </c>
      <c r="D16" s="40">
        <v>31.63</v>
      </c>
      <c r="E16" s="40">
        <v>5.82</v>
      </c>
      <c r="F16" s="40">
        <v>1.3</v>
      </c>
      <c r="G16" s="40">
        <v>31.11</v>
      </c>
      <c r="H16" s="40">
        <v>17.47</v>
      </c>
      <c r="I16" s="40">
        <v>13.42</v>
      </c>
      <c r="J16" s="40">
        <v>0.17</v>
      </c>
      <c r="K16" s="40">
        <v>214.47</v>
      </c>
      <c r="L16" s="40">
        <v>16.260000000000002</v>
      </c>
      <c r="M16" s="40">
        <v>92.23</v>
      </c>
      <c r="N16" s="40">
        <v>75.099999999999994</v>
      </c>
      <c r="O16" s="40">
        <v>0</v>
      </c>
      <c r="P16" s="40">
        <v>0.82</v>
      </c>
      <c r="Q16" s="40">
        <v>9.32</v>
      </c>
      <c r="R16" s="38"/>
      <c r="S16" s="38"/>
      <c r="T16" s="38"/>
      <c r="U16" s="38"/>
    </row>
    <row r="17" spans="1:21" customFormat="1">
      <c r="A17" s="39" t="s">
        <v>549</v>
      </c>
      <c r="B17" s="40">
        <v>27.97</v>
      </c>
      <c r="C17" s="40">
        <v>19.850000000000001</v>
      </c>
      <c r="D17" s="40">
        <v>31.93</v>
      </c>
      <c r="E17" s="40">
        <v>6.23</v>
      </c>
      <c r="F17" s="40">
        <v>1.28</v>
      </c>
      <c r="G17" s="40">
        <v>31.83</v>
      </c>
      <c r="H17" s="40">
        <v>17.170000000000002</v>
      </c>
      <c r="I17" s="40">
        <v>13.77</v>
      </c>
      <c r="J17" s="40">
        <v>0.47</v>
      </c>
      <c r="K17" s="40">
        <v>116.49</v>
      </c>
      <c r="L17" s="40">
        <v>20.61</v>
      </c>
      <c r="M17" s="40">
        <v>73.569999999999993</v>
      </c>
      <c r="N17" s="40">
        <v>249.5</v>
      </c>
      <c r="O17" s="40">
        <v>0</v>
      </c>
      <c r="P17" s="40">
        <v>0.85</v>
      </c>
      <c r="Q17" s="40">
        <v>9.32</v>
      </c>
      <c r="R17" s="38"/>
      <c r="S17" s="38"/>
      <c r="T17" s="38"/>
      <c r="U17" s="38"/>
    </row>
    <row r="18" spans="1:21" customFormat="1">
      <c r="A18" s="39" t="s">
        <v>550</v>
      </c>
      <c r="B18" s="40">
        <v>25.62</v>
      </c>
      <c r="C18" s="40">
        <v>21</v>
      </c>
      <c r="D18" s="40">
        <v>31.13</v>
      </c>
      <c r="E18" s="40">
        <v>6.74</v>
      </c>
      <c r="F18" s="40">
        <v>1.36</v>
      </c>
      <c r="G18" s="40">
        <v>37.17</v>
      </c>
      <c r="H18" s="40">
        <v>19.53</v>
      </c>
      <c r="I18" s="40">
        <v>16.079999999999998</v>
      </c>
      <c r="J18" s="40">
        <v>0.74</v>
      </c>
      <c r="K18" s="40">
        <v>77.75</v>
      </c>
      <c r="L18" s="40">
        <v>23.35</v>
      </c>
      <c r="M18" s="40">
        <v>56.43</v>
      </c>
      <c r="N18" s="40">
        <v>175.5</v>
      </c>
      <c r="O18" s="40">
        <v>0</v>
      </c>
      <c r="P18" s="40">
        <v>0.84</v>
      </c>
      <c r="Q18" s="40">
        <v>9.32</v>
      </c>
      <c r="R18" s="38"/>
      <c r="S18" s="38"/>
      <c r="T18" s="38"/>
      <c r="U18" s="38"/>
    </row>
    <row r="19" spans="1:21" customFormat="1">
      <c r="A19" s="39" t="s">
        <v>551</v>
      </c>
      <c r="B19" s="40">
        <v>24.25</v>
      </c>
      <c r="C19" s="40">
        <v>22.75</v>
      </c>
      <c r="D19" s="40">
        <v>31.08</v>
      </c>
      <c r="E19" s="40">
        <v>6.07</v>
      </c>
      <c r="F19" s="40">
        <v>1.52</v>
      </c>
      <c r="G19" s="40">
        <v>44.52</v>
      </c>
      <c r="H19" s="40">
        <v>20.329999999999998</v>
      </c>
      <c r="I19" s="40">
        <v>18.350000000000001</v>
      </c>
      <c r="J19" s="40">
        <v>0.72</v>
      </c>
      <c r="K19" s="40">
        <v>67.95</v>
      </c>
      <c r="L19" s="40">
        <v>25.52</v>
      </c>
      <c r="M19" s="40">
        <v>42.33</v>
      </c>
      <c r="N19" s="40">
        <v>487.1</v>
      </c>
      <c r="O19" s="40">
        <v>0</v>
      </c>
      <c r="P19" s="40">
        <v>0.78</v>
      </c>
      <c r="Q19" s="40">
        <v>9.32</v>
      </c>
      <c r="R19" s="38"/>
      <c r="S19" s="38"/>
      <c r="T19" s="38"/>
      <c r="U19" s="38"/>
    </row>
    <row r="20" spans="1:21" customFormat="1">
      <c r="A20" s="39" t="s">
        <v>552</v>
      </c>
      <c r="B20" s="40">
        <v>23.33</v>
      </c>
      <c r="C20" s="40">
        <v>23.77</v>
      </c>
      <c r="D20" s="40">
        <v>30.76</v>
      </c>
      <c r="E20" s="40">
        <v>6.34</v>
      </c>
      <c r="F20" s="40">
        <v>1.46</v>
      </c>
      <c r="G20" s="40">
        <v>45.81</v>
      </c>
      <c r="H20" s="40">
        <v>19.05</v>
      </c>
      <c r="I20" s="40">
        <v>17.62</v>
      </c>
      <c r="J20" s="40">
        <v>0.51</v>
      </c>
      <c r="K20" s="40">
        <v>77.63</v>
      </c>
      <c r="L20" s="40">
        <v>27.2</v>
      </c>
      <c r="M20" s="40">
        <v>35.200000000000003</v>
      </c>
      <c r="N20" s="40">
        <v>523.70000000000005</v>
      </c>
      <c r="O20" s="40">
        <v>0</v>
      </c>
      <c r="P20" s="40">
        <v>0.72</v>
      </c>
      <c r="Q20" s="40">
        <v>9.32</v>
      </c>
      <c r="R20" s="38"/>
      <c r="S20" s="38"/>
      <c r="T20" s="38"/>
      <c r="U20" s="38"/>
    </row>
    <row r="21" spans="1:21" customFormat="1">
      <c r="A21" s="39" t="s">
        <v>553</v>
      </c>
      <c r="B21" s="40">
        <v>19.39</v>
      </c>
      <c r="C21" s="40">
        <v>24.07</v>
      </c>
      <c r="D21" s="40">
        <v>28.06</v>
      </c>
      <c r="E21" s="40">
        <v>5.94</v>
      </c>
      <c r="F21" s="40">
        <v>1.59</v>
      </c>
      <c r="G21" s="40">
        <v>39.22</v>
      </c>
      <c r="H21" s="40">
        <v>16.61</v>
      </c>
      <c r="I21" s="40">
        <v>12.39</v>
      </c>
      <c r="J21" s="40">
        <v>0.75</v>
      </c>
      <c r="K21" s="40">
        <v>294.93</v>
      </c>
      <c r="L21" s="40">
        <v>28.04</v>
      </c>
      <c r="M21" s="40">
        <v>30.75</v>
      </c>
      <c r="N21" s="40">
        <v>519</v>
      </c>
      <c r="O21" s="40">
        <v>0</v>
      </c>
      <c r="P21" s="40">
        <v>0.67</v>
      </c>
      <c r="Q21" s="40">
        <v>9.32</v>
      </c>
      <c r="R21" s="38"/>
      <c r="S21" s="38"/>
      <c r="T21" s="38"/>
      <c r="U21" s="38"/>
    </row>
    <row r="22" spans="1:21" customFormat="1">
      <c r="A22" s="39" t="s">
        <v>554</v>
      </c>
      <c r="B22" s="40">
        <v>16.34</v>
      </c>
      <c r="C22" s="40">
        <v>24.26</v>
      </c>
      <c r="D22" s="40">
        <v>25.68</v>
      </c>
      <c r="E22" s="40">
        <v>6.65</v>
      </c>
      <c r="F22" s="40">
        <v>1.79</v>
      </c>
      <c r="G22" s="40">
        <v>30.07</v>
      </c>
      <c r="H22" s="40">
        <v>14.3</v>
      </c>
      <c r="I22" s="40">
        <v>13.49</v>
      </c>
      <c r="J22" s="40">
        <v>0.71</v>
      </c>
      <c r="K22" s="40">
        <v>54.17</v>
      </c>
      <c r="L22" s="40">
        <v>28.12</v>
      </c>
      <c r="M22" s="40">
        <v>25.69</v>
      </c>
      <c r="N22" s="40">
        <v>327.60000000000002</v>
      </c>
      <c r="O22" s="40">
        <v>0</v>
      </c>
      <c r="P22" s="40">
        <v>0.62</v>
      </c>
      <c r="Q22" s="40">
        <v>9.32</v>
      </c>
      <c r="R22" s="38"/>
      <c r="S22" s="38"/>
      <c r="T22" s="38"/>
      <c r="U22" s="38"/>
    </row>
    <row r="23" spans="1:21" customFormat="1">
      <c r="A23" s="39" t="s">
        <v>555</v>
      </c>
      <c r="B23" s="40">
        <v>12.85</v>
      </c>
      <c r="C23" s="40">
        <v>24.37</v>
      </c>
      <c r="D23" s="40">
        <v>23.04</v>
      </c>
      <c r="E23" s="40">
        <v>6.4</v>
      </c>
      <c r="F23" s="40">
        <v>2.67</v>
      </c>
      <c r="G23" s="40">
        <v>33.54</v>
      </c>
      <c r="H23" s="40">
        <v>10.59</v>
      </c>
      <c r="I23" s="40">
        <v>13.03</v>
      </c>
      <c r="J23" s="40">
        <v>0.73</v>
      </c>
      <c r="K23" s="40">
        <v>309.81</v>
      </c>
      <c r="L23" s="40">
        <v>28.21</v>
      </c>
      <c r="M23" s="40">
        <v>26.21</v>
      </c>
      <c r="N23" s="40">
        <v>128.19999999999999</v>
      </c>
      <c r="O23" s="40">
        <v>0</v>
      </c>
      <c r="P23" s="40">
        <v>0.63</v>
      </c>
      <c r="Q23" s="40">
        <v>9.32</v>
      </c>
      <c r="R23" s="38"/>
      <c r="S23" s="38"/>
      <c r="T23" s="38"/>
      <c r="U23" s="38"/>
    </row>
    <row r="24" spans="1:21" customFormat="1">
      <c r="A24" s="39" t="s">
        <v>556</v>
      </c>
      <c r="B24" s="40">
        <v>9.41</v>
      </c>
      <c r="C24" s="40">
        <v>23.17</v>
      </c>
      <c r="D24" s="40">
        <v>19.649999999999999</v>
      </c>
      <c r="E24" s="40">
        <v>7.07</v>
      </c>
      <c r="F24" s="40">
        <v>4.04</v>
      </c>
      <c r="G24" s="40">
        <v>33.78</v>
      </c>
      <c r="H24" s="40">
        <v>15.11</v>
      </c>
      <c r="I24" s="40">
        <v>12.46</v>
      </c>
      <c r="J24" s="40">
        <v>0.59</v>
      </c>
      <c r="K24" s="40">
        <v>359.93</v>
      </c>
      <c r="L24" s="40">
        <v>28.21</v>
      </c>
      <c r="M24" s="40">
        <v>26.64</v>
      </c>
      <c r="N24" s="40">
        <v>91</v>
      </c>
      <c r="O24" s="40">
        <v>0</v>
      </c>
      <c r="P24" s="40">
        <v>0.63</v>
      </c>
      <c r="Q24" s="40">
        <v>9.32</v>
      </c>
      <c r="R24" s="38"/>
      <c r="S24" s="38"/>
      <c r="T24" s="38"/>
      <c r="U24" s="38"/>
    </row>
    <row r="25" spans="1:21" customFormat="1">
      <c r="A25" s="39" t="s">
        <v>557</v>
      </c>
      <c r="B25" s="40">
        <v>7.58</v>
      </c>
      <c r="C25" s="40">
        <v>22.28</v>
      </c>
      <c r="D25" s="40">
        <v>17.72</v>
      </c>
      <c r="E25" s="40">
        <v>6.1</v>
      </c>
      <c r="F25" s="40">
        <v>2.2599999999999998</v>
      </c>
      <c r="G25" s="40">
        <v>30.78</v>
      </c>
      <c r="H25" s="40">
        <v>15.08</v>
      </c>
      <c r="I25" s="40">
        <v>12.16</v>
      </c>
      <c r="J25" s="40">
        <v>0.44</v>
      </c>
      <c r="K25" s="40">
        <v>160.19999999999999</v>
      </c>
      <c r="L25" s="40">
        <v>27.64</v>
      </c>
      <c r="M25" s="40">
        <v>36.159999999999997</v>
      </c>
      <c r="N25" s="40">
        <v>56.5</v>
      </c>
      <c r="O25" s="40">
        <v>0</v>
      </c>
      <c r="P25" s="40">
        <v>0.65</v>
      </c>
      <c r="Q25" s="40">
        <v>9.32</v>
      </c>
      <c r="R25" s="38"/>
      <c r="S25" s="38"/>
      <c r="T25" s="38"/>
      <c r="U25" s="38"/>
    </row>
    <row r="26" spans="1:21" customFormat="1">
      <c r="A26" s="39" t="s">
        <v>558</v>
      </c>
      <c r="B26" s="40">
        <v>6.94</v>
      </c>
      <c r="C26" s="40">
        <v>20.64</v>
      </c>
      <c r="D26" s="40">
        <v>16.350000000000001</v>
      </c>
      <c r="E26" s="40">
        <v>5.36</v>
      </c>
      <c r="F26" s="40">
        <v>1.85</v>
      </c>
      <c r="G26" s="40">
        <v>33.08</v>
      </c>
      <c r="H26" s="40">
        <v>16.09</v>
      </c>
      <c r="I26" s="40">
        <v>12.06</v>
      </c>
      <c r="J26" s="40">
        <v>0.32</v>
      </c>
      <c r="K26" s="40">
        <v>172.05</v>
      </c>
      <c r="L26" s="40">
        <v>24.23</v>
      </c>
      <c r="M26" s="40">
        <v>50.51</v>
      </c>
      <c r="N26" s="40">
        <v>27.3</v>
      </c>
      <c r="O26" s="40">
        <v>0</v>
      </c>
      <c r="P26" s="40">
        <v>0.83</v>
      </c>
      <c r="Q26" s="40">
        <v>9.32</v>
      </c>
      <c r="R26" s="38"/>
      <c r="S26" s="38"/>
      <c r="T26" s="38"/>
      <c r="U26" s="38"/>
    </row>
    <row r="27" spans="1:21" customFormat="1">
      <c r="A27" s="39" t="s">
        <v>559</v>
      </c>
      <c r="B27" s="40">
        <v>7.75</v>
      </c>
      <c r="C27" s="40">
        <v>20.65</v>
      </c>
      <c r="D27" s="40">
        <v>16.920000000000002</v>
      </c>
      <c r="E27" s="40">
        <v>6.78</v>
      </c>
      <c r="F27" s="40">
        <v>1.4</v>
      </c>
      <c r="G27" s="40">
        <v>74.11</v>
      </c>
      <c r="H27" s="40">
        <v>23.65</v>
      </c>
      <c r="I27" s="40">
        <v>12.82</v>
      </c>
      <c r="J27" s="40">
        <v>0.28999999999999998</v>
      </c>
      <c r="K27" s="40">
        <v>182.11</v>
      </c>
      <c r="L27" s="40">
        <v>21.34</v>
      </c>
      <c r="M27" s="40">
        <v>65.03</v>
      </c>
      <c r="N27" s="40">
        <v>18</v>
      </c>
      <c r="O27" s="40">
        <v>0</v>
      </c>
      <c r="P27" s="40">
        <v>0.94</v>
      </c>
      <c r="Q27" s="40">
        <v>9.32</v>
      </c>
      <c r="R27" s="38"/>
      <c r="S27" s="38"/>
      <c r="T27" s="38"/>
      <c r="U27" s="38"/>
    </row>
    <row r="28" spans="1:21" customFormat="1">
      <c r="A28" s="39" t="s">
        <v>560</v>
      </c>
      <c r="B28" s="40">
        <v>7.74</v>
      </c>
      <c r="C28" s="40">
        <v>20.100000000000001</v>
      </c>
      <c r="D28" s="40">
        <v>16.71</v>
      </c>
      <c r="E28" s="40">
        <v>6.94</v>
      </c>
      <c r="F28" s="40">
        <v>1.46</v>
      </c>
      <c r="G28" s="40">
        <v>49.53</v>
      </c>
      <c r="H28" s="40">
        <v>23.98</v>
      </c>
      <c r="I28" s="40">
        <v>13.76</v>
      </c>
      <c r="J28" s="40">
        <v>0.23</v>
      </c>
      <c r="K28" s="40">
        <v>206.45</v>
      </c>
      <c r="L28" s="40">
        <v>19.63</v>
      </c>
      <c r="M28" s="40">
        <v>68.62</v>
      </c>
      <c r="N28" s="40">
        <v>17.8</v>
      </c>
      <c r="O28" s="40">
        <v>0</v>
      </c>
      <c r="P28" s="40">
        <v>0.94</v>
      </c>
      <c r="Q28" s="40">
        <v>9.32</v>
      </c>
      <c r="R28" s="38"/>
      <c r="S28" s="38"/>
      <c r="T28" s="38"/>
      <c r="U28" s="38"/>
    </row>
    <row r="29" spans="1:21" customFormat="1">
      <c r="A29" s="39" t="s">
        <v>561</v>
      </c>
      <c r="B29" s="40">
        <v>7.27</v>
      </c>
      <c r="C29" s="40">
        <v>19.61</v>
      </c>
      <c r="D29" s="40">
        <v>16.07</v>
      </c>
      <c r="E29" s="40">
        <v>7.01</v>
      </c>
      <c r="F29" s="40">
        <v>1.45</v>
      </c>
      <c r="G29" s="40">
        <v>38.799999999999997</v>
      </c>
      <c r="H29" s="40">
        <v>20.5</v>
      </c>
      <c r="I29" s="40">
        <v>14.94</v>
      </c>
      <c r="J29" s="40">
        <v>0.23</v>
      </c>
      <c r="K29" s="40">
        <v>203.28</v>
      </c>
      <c r="L29" s="40">
        <v>18.71</v>
      </c>
      <c r="M29" s="40">
        <v>77.45</v>
      </c>
      <c r="N29" s="40">
        <v>17.7</v>
      </c>
      <c r="O29" s="40">
        <v>0</v>
      </c>
      <c r="P29" s="40">
        <v>0.93</v>
      </c>
      <c r="Q29" s="40">
        <v>9.32</v>
      </c>
      <c r="R29" s="38"/>
      <c r="S29" s="38"/>
      <c r="T29" s="38"/>
      <c r="U29" s="38"/>
    </row>
    <row r="30" spans="1:21" customFormat="1">
      <c r="A30" s="39" t="s">
        <v>562</v>
      </c>
      <c r="B30" s="40">
        <v>7.24</v>
      </c>
      <c r="C30" s="40">
        <v>18.739999999999998</v>
      </c>
      <c r="D30" s="40">
        <v>15.48</v>
      </c>
      <c r="E30" s="40">
        <v>6.93</v>
      </c>
      <c r="F30" s="40">
        <v>1.37</v>
      </c>
      <c r="G30" s="40">
        <v>45.2</v>
      </c>
      <c r="H30" s="40">
        <v>20.76</v>
      </c>
      <c r="I30" s="40">
        <v>15.35</v>
      </c>
      <c r="J30" s="40">
        <v>0.21</v>
      </c>
      <c r="K30" s="40">
        <v>207.85</v>
      </c>
      <c r="L30" s="40">
        <v>18.3</v>
      </c>
      <c r="M30" s="40">
        <v>82.67</v>
      </c>
      <c r="N30" s="40">
        <v>17.8</v>
      </c>
      <c r="O30" s="40">
        <v>0</v>
      </c>
      <c r="P30" s="40">
        <v>0.94</v>
      </c>
      <c r="Q30" s="40">
        <v>9.32</v>
      </c>
      <c r="R30" s="38"/>
      <c r="S30" s="38"/>
      <c r="T30" s="38"/>
      <c r="U30" s="38"/>
    </row>
    <row r="31" spans="1:21" customFormat="1">
      <c r="A31" s="39" t="s">
        <v>563</v>
      </c>
      <c r="B31" s="40">
        <v>7.72</v>
      </c>
      <c r="C31" s="40">
        <v>17.86</v>
      </c>
      <c r="D31" s="40">
        <v>15.23</v>
      </c>
      <c r="E31" s="40">
        <v>6.95</v>
      </c>
      <c r="F31" s="40">
        <v>1.42</v>
      </c>
      <c r="G31" s="40">
        <v>42.19</v>
      </c>
      <c r="H31" s="40">
        <v>19.29</v>
      </c>
      <c r="I31" s="40">
        <v>14.13</v>
      </c>
      <c r="J31" s="40">
        <v>0.23</v>
      </c>
      <c r="K31" s="40">
        <v>218.18</v>
      </c>
      <c r="L31" s="40">
        <v>17.46</v>
      </c>
      <c r="M31" s="40">
        <v>85.82</v>
      </c>
      <c r="N31" s="40">
        <v>17.600000000000001</v>
      </c>
      <c r="O31" s="40">
        <v>0</v>
      </c>
      <c r="P31" s="40">
        <v>0.96</v>
      </c>
      <c r="Q31" s="40">
        <v>9.32</v>
      </c>
      <c r="R31" s="38"/>
      <c r="S31" s="38"/>
      <c r="T31" s="38"/>
      <c r="U31" s="38"/>
    </row>
    <row r="32" spans="1:21" customFormat="1">
      <c r="A32" s="39" t="s">
        <v>564</v>
      </c>
      <c r="B32" s="40">
        <v>8.39</v>
      </c>
      <c r="C32" s="40">
        <v>16.829999999999998</v>
      </c>
      <c r="D32" s="40">
        <v>15.21</v>
      </c>
      <c r="E32" s="40">
        <v>6.89</v>
      </c>
      <c r="F32" s="40">
        <v>1.36</v>
      </c>
      <c r="G32" s="40">
        <v>38.29</v>
      </c>
      <c r="H32" s="40">
        <v>19.329999999999998</v>
      </c>
      <c r="I32" s="40">
        <v>12.98</v>
      </c>
      <c r="J32" s="40">
        <v>0.22</v>
      </c>
      <c r="K32" s="40">
        <v>187.61</v>
      </c>
      <c r="L32" s="40">
        <v>16.84</v>
      </c>
      <c r="M32" s="40">
        <v>85.36</v>
      </c>
      <c r="N32" s="40">
        <v>17.7</v>
      </c>
      <c r="O32" s="40">
        <v>0</v>
      </c>
      <c r="P32" s="40">
        <v>0.99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6.94</v>
      </c>
      <c r="C34" s="18">
        <f t="shared" si="0"/>
        <v>15.35</v>
      </c>
      <c r="D34" s="18">
        <f t="shared" si="0"/>
        <v>15.21</v>
      </c>
      <c r="E34" s="18">
        <f t="shared" si="0"/>
        <v>5.36</v>
      </c>
      <c r="F34" s="18">
        <f t="shared" si="0"/>
        <v>1.18</v>
      </c>
      <c r="G34" s="18">
        <f t="shared" si="0"/>
        <v>27.43</v>
      </c>
      <c r="H34" s="18">
        <f t="shared" si="0"/>
        <v>10.59</v>
      </c>
      <c r="I34" s="18">
        <f t="shared" si="0"/>
        <v>12.06</v>
      </c>
      <c r="J34" s="18">
        <f t="shared" si="0"/>
        <v>0.13</v>
      </c>
      <c r="K34" s="18">
        <f t="shared" si="0"/>
        <v>54.17</v>
      </c>
      <c r="L34" s="18">
        <f t="shared" si="0"/>
        <v>14.17</v>
      </c>
      <c r="M34" s="18">
        <f t="shared" si="0"/>
        <v>25.69</v>
      </c>
      <c r="N34" s="18">
        <f t="shared" si="0"/>
        <v>17.5</v>
      </c>
      <c r="O34" s="18">
        <f t="shared" si="0"/>
        <v>0</v>
      </c>
      <c r="P34" s="18">
        <f t="shared" si="0"/>
        <v>0.62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27.97</v>
      </c>
      <c r="C35" s="3">
        <f t="shared" si="1"/>
        <v>24.37</v>
      </c>
      <c r="D35" s="3">
        <f t="shared" si="1"/>
        <v>31.93</v>
      </c>
      <c r="E35" s="3">
        <f t="shared" si="1"/>
        <v>7.07</v>
      </c>
      <c r="F35" s="3">
        <f t="shared" si="1"/>
        <v>4.04</v>
      </c>
      <c r="G35" s="3">
        <f t="shared" si="1"/>
        <v>74.11</v>
      </c>
      <c r="H35" s="3">
        <f t="shared" si="1"/>
        <v>23.98</v>
      </c>
      <c r="I35" s="3">
        <f t="shared" si="1"/>
        <v>18.350000000000001</v>
      </c>
      <c r="J35" s="3">
        <f t="shared" si="1"/>
        <v>0.75</v>
      </c>
      <c r="K35" s="3">
        <f t="shared" si="1"/>
        <v>359.93</v>
      </c>
      <c r="L35" s="3">
        <f t="shared" si="1"/>
        <v>28.21</v>
      </c>
      <c r="M35" s="3">
        <f t="shared" si="1"/>
        <v>92.29</v>
      </c>
      <c r="N35" s="3">
        <f t="shared" si="1"/>
        <v>523.70000000000005</v>
      </c>
      <c r="O35" s="3">
        <f t="shared" si="1"/>
        <v>0</v>
      </c>
      <c r="P35" s="3">
        <f t="shared" si="1"/>
        <v>0.99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14.911666666666667</v>
      </c>
      <c r="C36" s="18">
        <f t="shared" si="2"/>
        <v>20.172083333333337</v>
      </c>
      <c r="D36" s="18">
        <f t="shared" si="2"/>
        <v>22.358333333333334</v>
      </c>
      <c r="E36" s="18">
        <f t="shared" si="2"/>
        <v>6.3233333333333333</v>
      </c>
      <c r="F36" s="18">
        <f t="shared" si="2"/>
        <v>1.6174999999999999</v>
      </c>
      <c r="G36" s="18">
        <f t="shared" si="2"/>
        <v>37.672499999999992</v>
      </c>
      <c r="H36" s="18">
        <f t="shared" si="2"/>
        <v>17.624583333333334</v>
      </c>
      <c r="I36" s="18">
        <f t="shared" si="2"/>
        <v>13.872083333333336</v>
      </c>
      <c r="J36" s="18">
        <f t="shared" si="2"/>
        <v>0.36833333333333346</v>
      </c>
      <c r="K36" s="18">
        <f t="shared" si="2"/>
        <v>192.27625</v>
      </c>
      <c r="L36" s="18">
        <f t="shared" si="2"/>
        <v>20.800833333333326</v>
      </c>
      <c r="M36" s="18">
        <f t="shared" si="2"/>
        <v>65.61666666666666</v>
      </c>
      <c r="N36" s="18">
        <f t="shared" si="2"/>
        <v>120.97499999999998</v>
      </c>
      <c r="O36" s="18">
        <f t="shared" si="2"/>
        <v>0</v>
      </c>
      <c r="P36" s="18">
        <f t="shared" si="2"/>
        <v>0.81083333333333341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7.1798138928688005</v>
      </c>
      <c r="C37" s="18">
        <f t="shared" ref="C37:Q37" si="3">STDEV(C9:C32)</f>
        <v>2.6120572920786769</v>
      </c>
      <c r="D37" s="18">
        <f t="shared" si="3"/>
        <v>5.9354979767399625</v>
      </c>
      <c r="E37" s="18">
        <f t="shared" si="3"/>
        <v>0.50498098687123782</v>
      </c>
      <c r="F37" s="18">
        <f t="shared" si="3"/>
        <v>0.61576569513439727</v>
      </c>
      <c r="G37" s="18">
        <f t="shared" si="3"/>
        <v>9.8709852598410919</v>
      </c>
      <c r="H37" s="18">
        <f t="shared" si="3"/>
        <v>3.0260865517761717</v>
      </c>
      <c r="I37" s="18">
        <f t="shared" si="3"/>
        <v>1.7990431736285881</v>
      </c>
      <c r="J37" s="18">
        <f t="shared" si="3"/>
        <v>0.22309418300967324</v>
      </c>
      <c r="K37" s="18">
        <f t="shared" si="3"/>
        <v>74.396477231496164</v>
      </c>
      <c r="L37" s="18">
        <f t="shared" si="3"/>
        <v>5.1090702946194186</v>
      </c>
      <c r="M37" s="18">
        <f t="shared" si="3"/>
        <v>24.735582654859012</v>
      </c>
      <c r="N37" s="18">
        <f t="shared" si="3"/>
        <v>170.54849941343349</v>
      </c>
      <c r="O37" s="18">
        <f t="shared" si="3"/>
        <v>0</v>
      </c>
      <c r="P37" s="18">
        <f t="shared" si="3"/>
        <v>0.11084327622394517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18" activePane="bottomRight" state="frozen"/>
      <selection activeCell="G19" sqref="G19"/>
      <selection pane="topRight" activeCell="G19" sqref="G19"/>
      <selection pane="bottomLeft" activeCell="G19" sqref="G19"/>
      <selection pane="bottomRight" activeCell="L17" sqref="L1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565</v>
      </c>
      <c r="B9" s="40">
        <v>12.28</v>
      </c>
      <c r="C9" s="40">
        <v>16.47</v>
      </c>
      <c r="D9" s="40">
        <v>18.45</v>
      </c>
      <c r="E9" s="40">
        <v>6.92</v>
      </c>
      <c r="F9" s="40">
        <v>1.29</v>
      </c>
      <c r="G9" s="40">
        <v>35.26</v>
      </c>
      <c r="H9" s="40">
        <v>18.53</v>
      </c>
      <c r="I9" s="40">
        <v>14.78</v>
      </c>
      <c r="J9" s="40">
        <v>0.2</v>
      </c>
      <c r="K9" s="40">
        <v>260.69</v>
      </c>
      <c r="L9" s="40">
        <v>16.760000000000002</v>
      </c>
      <c r="M9" s="40">
        <v>86.14</v>
      </c>
      <c r="N9" s="40">
        <v>17.600000000000001</v>
      </c>
      <c r="O9" s="40">
        <v>0</v>
      </c>
      <c r="P9" s="40">
        <v>1.04</v>
      </c>
      <c r="Q9" s="40">
        <v>9.32</v>
      </c>
      <c r="R9" s="38"/>
      <c r="S9" s="38"/>
      <c r="T9" s="38"/>
      <c r="U9" s="38"/>
    </row>
    <row r="10" spans="1:21" customFormat="1">
      <c r="A10" s="39" t="s">
        <v>566</v>
      </c>
      <c r="B10" s="40">
        <v>20.149999999999999</v>
      </c>
      <c r="C10" s="40">
        <v>18.16</v>
      </c>
      <c r="D10" s="40">
        <v>25.65</v>
      </c>
      <c r="E10" s="40">
        <v>6.78</v>
      </c>
      <c r="F10" s="40">
        <v>1.28</v>
      </c>
      <c r="G10" s="40">
        <v>36.479999999999997</v>
      </c>
      <c r="H10" s="40">
        <v>19.79</v>
      </c>
      <c r="I10" s="40">
        <v>16.559999999999999</v>
      </c>
      <c r="J10" s="40">
        <v>0.17</v>
      </c>
      <c r="K10" s="40">
        <v>188.46</v>
      </c>
      <c r="L10" s="40">
        <v>16.72</v>
      </c>
      <c r="M10" s="40">
        <v>86.84</v>
      </c>
      <c r="N10" s="40">
        <v>17.7</v>
      </c>
      <c r="O10" s="40">
        <v>0</v>
      </c>
      <c r="P10" s="40">
        <v>1.1200000000000001</v>
      </c>
      <c r="Q10" s="40">
        <v>9.32</v>
      </c>
      <c r="R10" s="38"/>
      <c r="S10" s="38"/>
      <c r="T10" s="38"/>
      <c r="U10" s="38"/>
    </row>
    <row r="11" spans="1:21" customFormat="1">
      <c r="A11" s="39" t="s">
        <v>567</v>
      </c>
      <c r="B11" s="40">
        <v>25.04</v>
      </c>
      <c r="C11" s="40">
        <v>18.29</v>
      </c>
      <c r="D11" s="40">
        <v>29.64</v>
      </c>
      <c r="E11" s="40">
        <v>4.34</v>
      </c>
      <c r="F11" s="40">
        <v>1.3</v>
      </c>
      <c r="G11" s="40">
        <v>44.91</v>
      </c>
      <c r="H11" s="40">
        <v>20.6</v>
      </c>
      <c r="I11" s="40">
        <v>15.6</v>
      </c>
      <c r="J11" s="40">
        <v>0.17</v>
      </c>
      <c r="K11" s="40">
        <v>222.22</v>
      </c>
      <c r="L11" s="40">
        <v>15.91</v>
      </c>
      <c r="M11" s="40">
        <v>88.38</v>
      </c>
      <c r="N11" s="40">
        <v>17.7</v>
      </c>
      <c r="O11" s="40">
        <v>0</v>
      </c>
      <c r="P11" s="40">
        <v>1.17</v>
      </c>
      <c r="Q11" s="40">
        <v>9.32</v>
      </c>
      <c r="R11" s="38"/>
      <c r="S11" s="38"/>
      <c r="T11" s="38"/>
      <c r="U11" s="38"/>
    </row>
    <row r="12" spans="1:21" customFormat="1">
      <c r="A12" s="39" t="s">
        <v>568</v>
      </c>
      <c r="B12" s="40">
        <v>28.73</v>
      </c>
      <c r="C12" s="40">
        <v>18.559999999999999</v>
      </c>
      <c r="D12" s="40">
        <v>32.61</v>
      </c>
      <c r="E12" s="40">
        <v>4.6900000000000004</v>
      </c>
      <c r="F12" s="40">
        <v>1.19</v>
      </c>
      <c r="G12" s="40">
        <v>44.29</v>
      </c>
      <c r="H12" s="40">
        <v>20.38</v>
      </c>
      <c r="I12" s="40">
        <v>16.57</v>
      </c>
      <c r="J12" s="40">
        <v>0.17</v>
      </c>
      <c r="K12" s="40">
        <v>199.78</v>
      </c>
      <c r="L12" s="40">
        <v>15.86</v>
      </c>
      <c r="M12" s="40">
        <v>88.43</v>
      </c>
      <c r="N12" s="40">
        <v>17.7</v>
      </c>
      <c r="O12" s="40">
        <v>0</v>
      </c>
      <c r="P12" s="40">
        <v>1.18</v>
      </c>
      <c r="Q12" s="40">
        <v>9.32</v>
      </c>
      <c r="R12" s="38"/>
      <c r="S12" s="38"/>
      <c r="T12" s="38"/>
      <c r="U12" s="38"/>
    </row>
    <row r="13" spans="1:21" customFormat="1">
      <c r="A13" s="39" t="s">
        <v>569</v>
      </c>
      <c r="B13" s="40">
        <v>29.34</v>
      </c>
      <c r="C13" s="40">
        <v>18.260000000000002</v>
      </c>
      <c r="D13" s="40">
        <v>33</v>
      </c>
      <c r="E13" s="40">
        <v>4.5</v>
      </c>
      <c r="F13" s="40">
        <v>1.22</v>
      </c>
      <c r="G13" s="40">
        <v>38.01</v>
      </c>
      <c r="H13" s="40">
        <v>20.48</v>
      </c>
      <c r="I13" s="40">
        <v>16.62</v>
      </c>
      <c r="J13" s="40">
        <v>0.17</v>
      </c>
      <c r="K13" s="40">
        <v>225.22</v>
      </c>
      <c r="L13" s="40">
        <v>15.13</v>
      </c>
      <c r="M13" s="40">
        <v>90.39</v>
      </c>
      <c r="N13" s="40">
        <v>17.7</v>
      </c>
      <c r="O13" s="40">
        <v>0</v>
      </c>
      <c r="P13" s="40">
        <v>1.1599999999999999</v>
      </c>
      <c r="Q13" s="40">
        <v>9.32</v>
      </c>
      <c r="R13" s="38"/>
      <c r="S13" s="38"/>
      <c r="T13" s="38"/>
      <c r="U13" s="38"/>
    </row>
    <row r="14" spans="1:21" customFormat="1">
      <c r="A14" s="39" t="s">
        <v>570</v>
      </c>
      <c r="B14" s="40">
        <v>29.85</v>
      </c>
      <c r="C14" s="40">
        <v>18.07</v>
      </c>
      <c r="D14" s="40">
        <v>33.380000000000003</v>
      </c>
      <c r="E14" s="40">
        <v>4.5599999999999996</v>
      </c>
      <c r="F14" s="40">
        <v>1.28</v>
      </c>
      <c r="G14" s="40">
        <v>34.03</v>
      </c>
      <c r="H14" s="40">
        <v>19.16</v>
      </c>
      <c r="I14" s="40">
        <v>16.23</v>
      </c>
      <c r="J14" s="40">
        <v>0.17</v>
      </c>
      <c r="K14" s="40">
        <v>193.36</v>
      </c>
      <c r="L14" s="40">
        <v>14.83</v>
      </c>
      <c r="M14" s="40">
        <v>90.16</v>
      </c>
      <c r="N14" s="40">
        <v>17.5</v>
      </c>
      <c r="O14" s="40">
        <v>0</v>
      </c>
      <c r="P14" s="40">
        <v>1.07</v>
      </c>
      <c r="Q14" s="40">
        <v>9.32</v>
      </c>
      <c r="R14" s="38"/>
      <c r="S14" s="38"/>
      <c r="T14" s="38"/>
      <c r="U14" s="38"/>
    </row>
    <row r="15" spans="1:21" customFormat="1">
      <c r="A15" s="39" t="s">
        <v>571</v>
      </c>
      <c r="B15" s="40">
        <v>31.92</v>
      </c>
      <c r="C15" s="40">
        <v>18.760000000000002</v>
      </c>
      <c r="D15" s="40">
        <v>35.4</v>
      </c>
      <c r="E15" s="40">
        <v>4.8899999999999997</v>
      </c>
      <c r="F15" s="40">
        <v>1.18</v>
      </c>
      <c r="G15" s="40">
        <v>35.880000000000003</v>
      </c>
      <c r="H15" s="40">
        <v>18.79</v>
      </c>
      <c r="I15" s="40">
        <v>15.57</v>
      </c>
      <c r="J15" s="40">
        <v>0.18</v>
      </c>
      <c r="K15" s="40">
        <v>193.17</v>
      </c>
      <c r="L15" s="40">
        <v>14.83</v>
      </c>
      <c r="M15" s="40">
        <v>88.44</v>
      </c>
      <c r="N15" s="40">
        <v>28.4</v>
      </c>
      <c r="O15" s="40">
        <v>0</v>
      </c>
      <c r="P15" s="40">
        <v>1.01</v>
      </c>
      <c r="Q15" s="40">
        <v>9.32</v>
      </c>
      <c r="R15" s="38"/>
      <c r="S15" s="38"/>
      <c r="T15" s="38"/>
      <c r="U15" s="38"/>
    </row>
    <row r="16" spans="1:21" customFormat="1">
      <c r="A16" s="39" t="s">
        <v>572</v>
      </c>
      <c r="B16" s="40">
        <v>33.01</v>
      </c>
      <c r="C16" s="40">
        <v>19.440000000000001</v>
      </c>
      <c r="D16" s="40">
        <v>36.450000000000003</v>
      </c>
      <c r="E16" s="40">
        <v>4.6900000000000004</v>
      </c>
      <c r="F16" s="40">
        <v>1.36</v>
      </c>
      <c r="G16" s="40">
        <v>35.43</v>
      </c>
      <c r="H16" s="40">
        <v>19.71</v>
      </c>
      <c r="I16" s="40">
        <v>14.99</v>
      </c>
      <c r="J16" s="40">
        <v>0.4</v>
      </c>
      <c r="K16" s="40">
        <v>178.29</v>
      </c>
      <c r="L16" s="40">
        <v>17.21</v>
      </c>
      <c r="M16" s="40">
        <v>87.74</v>
      </c>
      <c r="N16" s="40">
        <v>74.3</v>
      </c>
      <c r="O16" s="40">
        <v>0</v>
      </c>
      <c r="P16" s="40">
        <v>0.96</v>
      </c>
      <c r="Q16" s="40">
        <v>9.32</v>
      </c>
      <c r="R16" s="38"/>
      <c r="S16" s="38"/>
      <c r="T16" s="38"/>
      <c r="U16" s="38"/>
    </row>
    <row r="17" spans="1:21" customFormat="1">
      <c r="A17" s="39" t="s">
        <v>573</v>
      </c>
      <c r="B17" s="40">
        <v>29.48</v>
      </c>
      <c r="C17" s="40">
        <v>21.64</v>
      </c>
      <c r="D17" s="40">
        <v>34.18</v>
      </c>
      <c r="E17" s="40">
        <v>4.99</v>
      </c>
      <c r="F17" s="40">
        <v>1.32</v>
      </c>
      <c r="G17" s="40">
        <v>36.33</v>
      </c>
      <c r="H17" s="40">
        <v>20.03</v>
      </c>
      <c r="I17" s="40">
        <v>19.54</v>
      </c>
      <c r="J17" s="40">
        <v>1.23</v>
      </c>
      <c r="K17" s="40">
        <v>88</v>
      </c>
      <c r="L17" s="40">
        <v>20.260000000000002</v>
      </c>
      <c r="M17" s="40">
        <v>67.540000000000006</v>
      </c>
      <c r="N17" s="40">
        <v>237.1</v>
      </c>
      <c r="O17" s="40">
        <v>0</v>
      </c>
      <c r="P17" s="40">
        <v>0.94</v>
      </c>
      <c r="Q17" s="40">
        <v>9.32</v>
      </c>
      <c r="R17" s="38"/>
      <c r="S17" s="38"/>
      <c r="T17" s="38"/>
      <c r="U17" s="38"/>
    </row>
    <row r="18" spans="1:21" customFormat="1">
      <c r="A18" s="39" t="s">
        <v>574</v>
      </c>
      <c r="B18" s="40">
        <v>25.74</v>
      </c>
      <c r="C18" s="40">
        <v>22.78</v>
      </c>
      <c r="D18" s="40">
        <v>32.26</v>
      </c>
      <c r="E18" s="40">
        <v>5.47</v>
      </c>
      <c r="F18" s="40">
        <v>1.44</v>
      </c>
      <c r="G18" s="40">
        <v>44.14</v>
      </c>
      <c r="H18" s="40">
        <v>20.04</v>
      </c>
      <c r="I18" s="40">
        <v>19.760000000000002</v>
      </c>
      <c r="J18" s="40">
        <v>1.52</v>
      </c>
      <c r="K18" s="40">
        <v>48.54</v>
      </c>
      <c r="L18" s="40">
        <v>22.72</v>
      </c>
      <c r="M18" s="40">
        <v>57.12</v>
      </c>
      <c r="N18" s="40">
        <v>175.5</v>
      </c>
      <c r="O18" s="40">
        <v>0</v>
      </c>
      <c r="P18" s="40">
        <v>0.92</v>
      </c>
      <c r="Q18" s="40">
        <v>9.32</v>
      </c>
      <c r="R18" s="38"/>
      <c r="S18" s="38"/>
      <c r="T18" s="38"/>
      <c r="U18" s="38"/>
    </row>
    <row r="19" spans="1:21" customFormat="1">
      <c r="A19" s="39" t="s">
        <v>575</v>
      </c>
      <c r="B19" s="40">
        <v>22.79</v>
      </c>
      <c r="C19" s="40">
        <v>23.08</v>
      </c>
      <c r="D19" s="40">
        <v>30.33</v>
      </c>
      <c r="E19" s="40">
        <v>6.56</v>
      </c>
      <c r="F19" s="40">
        <v>1.54</v>
      </c>
      <c r="G19" s="40">
        <v>37.29</v>
      </c>
      <c r="H19" s="40">
        <v>19.27</v>
      </c>
      <c r="I19" s="40">
        <v>18.97</v>
      </c>
      <c r="J19" s="40">
        <v>0.99</v>
      </c>
      <c r="K19" s="40">
        <v>52.12</v>
      </c>
      <c r="L19" s="40">
        <v>26.06</v>
      </c>
      <c r="M19" s="40">
        <v>47.1</v>
      </c>
      <c r="N19" s="40">
        <v>484.3</v>
      </c>
      <c r="O19" s="40">
        <v>0</v>
      </c>
      <c r="P19" s="40">
        <v>0.89</v>
      </c>
      <c r="Q19" s="40">
        <v>9.32</v>
      </c>
      <c r="R19" s="38"/>
      <c r="S19" s="38"/>
      <c r="T19" s="38"/>
      <c r="U19" s="38"/>
    </row>
    <row r="20" spans="1:21" customFormat="1">
      <c r="A20" s="39" t="s">
        <v>576</v>
      </c>
      <c r="B20" s="40">
        <v>20.12</v>
      </c>
      <c r="C20" s="40">
        <v>22.2</v>
      </c>
      <c r="D20" s="40">
        <v>27.73</v>
      </c>
      <c r="E20" s="40">
        <v>6.93</v>
      </c>
      <c r="F20" s="40">
        <v>1.7</v>
      </c>
      <c r="G20" s="40">
        <v>32.56</v>
      </c>
      <c r="H20" s="40">
        <v>19.059999999999999</v>
      </c>
      <c r="I20" s="40">
        <v>14.33</v>
      </c>
      <c r="J20" s="40">
        <v>1.02</v>
      </c>
      <c r="K20" s="40">
        <v>82.85</v>
      </c>
      <c r="L20" s="40">
        <v>27.79</v>
      </c>
      <c r="M20" s="40">
        <v>36.46</v>
      </c>
      <c r="N20" s="40">
        <v>523.6</v>
      </c>
      <c r="O20" s="40">
        <v>0</v>
      </c>
      <c r="P20" s="40">
        <v>0.85</v>
      </c>
      <c r="Q20" s="40">
        <v>9.32</v>
      </c>
      <c r="R20" s="38"/>
      <c r="S20" s="38"/>
      <c r="T20" s="38"/>
      <c r="U20" s="38"/>
    </row>
    <row r="21" spans="1:21" customFormat="1">
      <c r="A21" s="39" t="s">
        <v>577</v>
      </c>
      <c r="B21" s="40">
        <v>15.24</v>
      </c>
      <c r="C21" s="40">
        <v>21.65</v>
      </c>
      <c r="D21" s="40">
        <v>23.45</v>
      </c>
      <c r="E21" s="40">
        <v>6.91</v>
      </c>
      <c r="F21" s="40">
        <v>2.34</v>
      </c>
      <c r="G21" s="40">
        <v>30.79</v>
      </c>
      <c r="H21" s="40">
        <v>16.59</v>
      </c>
      <c r="I21" s="40">
        <v>15.56</v>
      </c>
      <c r="J21" s="40">
        <v>0.82</v>
      </c>
      <c r="K21" s="40">
        <v>59.11</v>
      </c>
      <c r="L21" s="40">
        <v>28.3</v>
      </c>
      <c r="M21" s="40">
        <v>30.71</v>
      </c>
      <c r="N21" s="40">
        <v>536.29999999999995</v>
      </c>
      <c r="O21" s="40">
        <v>0</v>
      </c>
      <c r="P21" s="40">
        <v>0.8</v>
      </c>
      <c r="Q21" s="40">
        <v>9.32</v>
      </c>
      <c r="R21" s="38"/>
      <c r="S21" s="38"/>
      <c r="T21" s="38"/>
      <c r="U21" s="38"/>
    </row>
    <row r="22" spans="1:21" customFormat="1">
      <c r="A22" s="39" t="s">
        <v>578</v>
      </c>
      <c r="B22" s="40">
        <v>10.01</v>
      </c>
      <c r="C22" s="40">
        <v>21.55</v>
      </c>
      <c r="D22" s="40">
        <v>19.29</v>
      </c>
      <c r="E22" s="40">
        <v>6.9</v>
      </c>
      <c r="F22" s="40">
        <v>2.65</v>
      </c>
      <c r="G22" s="40">
        <v>28.8</v>
      </c>
      <c r="H22" s="40">
        <v>15.01</v>
      </c>
      <c r="I22" s="40">
        <v>14.7</v>
      </c>
      <c r="J22" s="40">
        <v>0.44</v>
      </c>
      <c r="K22" s="40">
        <v>154.75</v>
      </c>
      <c r="L22" s="40">
        <v>28.64</v>
      </c>
      <c r="M22" s="40">
        <v>31.04</v>
      </c>
      <c r="N22" s="40">
        <v>363</v>
      </c>
      <c r="O22" s="40">
        <v>0</v>
      </c>
      <c r="P22" s="40">
        <v>0.76</v>
      </c>
      <c r="Q22" s="40">
        <v>9.32</v>
      </c>
      <c r="R22" s="38"/>
      <c r="S22" s="38"/>
      <c r="T22" s="38"/>
      <c r="U22" s="38"/>
    </row>
    <row r="23" spans="1:21" customFormat="1">
      <c r="A23" s="39" t="s">
        <v>579</v>
      </c>
      <c r="B23" s="40">
        <v>6.13</v>
      </c>
      <c r="C23" s="40">
        <v>20.09</v>
      </c>
      <c r="D23" s="40">
        <v>15.41</v>
      </c>
      <c r="E23" s="40">
        <v>7.05</v>
      </c>
      <c r="F23" s="40">
        <v>3.95</v>
      </c>
      <c r="G23" s="40">
        <v>25.62</v>
      </c>
      <c r="H23" s="40">
        <v>12.77</v>
      </c>
      <c r="I23" s="40">
        <v>13.85</v>
      </c>
      <c r="J23" s="40">
        <v>0.43</v>
      </c>
      <c r="K23" s="40">
        <v>120.92</v>
      </c>
      <c r="L23" s="40">
        <v>28.6</v>
      </c>
      <c r="M23" s="40">
        <v>29.64</v>
      </c>
      <c r="N23" s="40">
        <v>191.6</v>
      </c>
      <c r="O23" s="40">
        <v>0</v>
      </c>
      <c r="P23" s="40">
        <v>0.72</v>
      </c>
      <c r="Q23" s="40">
        <v>9.32</v>
      </c>
      <c r="R23" s="38"/>
      <c r="S23" s="38"/>
      <c r="T23" s="38"/>
      <c r="U23" s="38"/>
    </row>
    <row r="24" spans="1:21" customFormat="1">
      <c r="A24" s="39" t="s">
        <v>580</v>
      </c>
      <c r="B24" s="40">
        <v>4.1900000000000004</v>
      </c>
      <c r="C24" s="40">
        <v>19.87</v>
      </c>
      <c r="D24" s="40">
        <v>13.35</v>
      </c>
      <c r="E24" s="40">
        <v>7.31</v>
      </c>
      <c r="F24" s="40">
        <v>3.13</v>
      </c>
      <c r="G24" s="40">
        <v>24.74</v>
      </c>
      <c r="H24" s="40">
        <v>14.01</v>
      </c>
      <c r="I24" s="40">
        <v>13.3</v>
      </c>
      <c r="J24" s="40">
        <v>0.55000000000000004</v>
      </c>
      <c r="K24" s="40">
        <v>101.92</v>
      </c>
      <c r="L24" s="40">
        <v>28.38</v>
      </c>
      <c r="M24" s="40">
        <v>32.22</v>
      </c>
      <c r="N24" s="40">
        <v>96.4</v>
      </c>
      <c r="O24" s="40">
        <v>0</v>
      </c>
      <c r="P24" s="40">
        <v>0.68</v>
      </c>
      <c r="Q24" s="40">
        <v>9.32</v>
      </c>
      <c r="R24" s="38"/>
      <c r="S24" s="38"/>
      <c r="T24" s="38"/>
      <c r="U24" s="38"/>
    </row>
    <row r="25" spans="1:21" customFormat="1">
      <c r="A25" s="39" t="s">
        <v>581</v>
      </c>
      <c r="B25" s="40">
        <v>4.8099999999999996</v>
      </c>
      <c r="C25" s="40">
        <v>21.42</v>
      </c>
      <c r="D25" s="40">
        <v>15.04</v>
      </c>
      <c r="E25" s="40">
        <v>7.46</v>
      </c>
      <c r="F25" s="40">
        <v>2.67</v>
      </c>
      <c r="G25" s="40">
        <v>59.02</v>
      </c>
      <c r="H25" s="40">
        <v>32.18</v>
      </c>
      <c r="I25" s="40">
        <v>12.68</v>
      </c>
      <c r="J25" s="40">
        <v>0.46</v>
      </c>
      <c r="K25" s="40">
        <v>66.22</v>
      </c>
      <c r="L25" s="40">
        <v>27.93</v>
      </c>
      <c r="M25" s="40">
        <v>36.799999999999997</v>
      </c>
      <c r="N25" s="40">
        <v>57.9</v>
      </c>
      <c r="O25" s="40">
        <v>0</v>
      </c>
      <c r="P25" s="40">
        <v>0.65</v>
      </c>
      <c r="Q25" s="40">
        <v>9.32</v>
      </c>
      <c r="R25" s="38"/>
      <c r="S25" s="38"/>
      <c r="T25" s="38"/>
      <c r="U25" s="38"/>
    </row>
    <row r="26" spans="1:21" customFormat="1">
      <c r="A26" s="39" t="s">
        <v>582</v>
      </c>
      <c r="B26" s="40">
        <v>5.68</v>
      </c>
      <c r="C26" s="40">
        <v>21.64</v>
      </c>
      <c r="D26" s="40">
        <v>15.79</v>
      </c>
      <c r="E26" s="40">
        <v>6.82</v>
      </c>
      <c r="F26" s="40">
        <v>1.5</v>
      </c>
      <c r="G26" s="40">
        <v>60.95</v>
      </c>
      <c r="H26" s="40">
        <v>34.33</v>
      </c>
      <c r="I26" s="40">
        <v>12.18</v>
      </c>
      <c r="J26" s="40">
        <v>0.37</v>
      </c>
      <c r="K26" s="40">
        <v>161.35</v>
      </c>
      <c r="L26" s="40">
        <v>25.3</v>
      </c>
      <c r="M26" s="40">
        <v>52.88</v>
      </c>
      <c r="N26" s="40">
        <v>27.7</v>
      </c>
      <c r="O26" s="40">
        <v>0</v>
      </c>
      <c r="P26" s="40">
        <v>0.65</v>
      </c>
      <c r="Q26" s="40">
        <v>9.32</v>
      </c>
      <c r="R26" s="38"/>
      <c r="S26" s="38"/>
      <c r="T26" s="38"/>
      <c r="U26" s="38"/>
    </row>
    <row r="27" spans="1:21" customFormat="1">
      <c r="A27" s="39" t="s">
        <v>583</v>
      </c>
      <c r="B27" s="40">
        <v>9.73</v>
      </c>
      <c r="C27" s="40">
        <v>22.84</v>
      </c>
      <c r="D27" s="40">
        <v>19.73</v>
      </c>
      <c r="E27" s="40">
        <v>6.1</v>
      </c>
      <c r="F27" s="40">
        <v>1.37</v>
      </c>
      <c r="G27" s="40">
        <v>83.24</v>
      </c>
      <c r="H27" s="40">
        <v>37.659999999999997</v>
      </c>
      <c r="I27" s="40">
        <v>12.2</v>
      </c>
      <c r="J27" s="40">
        <v>0.22</v>
      </c>
      <c r="K27" s="40">
        <v>195.39</v>
      </c>
      <c r="L27" s="40">
        <v>22.88</v>
      </c>
      <c r="M27" s="40">
        <v>59.22</v>
      </c>
      <c r="N27" s="40">
        <v>20.100000000000001</v>
      </c>
      <c r="O27" s="40">
        <v>0</v>
      </c>
      <c r="P27" s="40">
        <v>0.74</v>
      </c>
      <c r="Q27" s="40">
        <v>9.32</v>
      </c>
      <c r="R27" s="38"/>
      <c r="S27" s="38"/>
      <c r="T27" s="38"/>
      <c r="U27" s="38"/>
    </row>
    <row r="28" spans="1:21" customFormat="1">
      <c r="A28" s="39" t="s">
        <v>584</v>
      </c>
      <c r="B28" s="40">
        <v>11.41</v>
      </c>
      <c r="C28" s="40">
        <v>23.18</v>
      </c>
      <c r="D28" s="40">
        <v>21.01</v>
      </c>
      <c r="E28" s="40">
        <v>6.12</v>
      </c>
      <c r="F28" s="40">
        <v>1.4</v>
      </c>
      <c r="G28" s="40">
        <v>105.61</v>
      </c>
      <c r="H28" s="40">
        <v>44.92</v>
      </c>
      <c r="I28" s="40">
        <v>13.84</v>
      </c>
      <c r="J28" s="40">
        <v>0.21</v>
      </c>
      <c r="K28" s="40">
        <v>193.7</v>
      </c>
      <c r="L28" s="40">
        <v>20.85</v>
      </c>
      <c r="M28" s="40">
        <v>75.459999999999994</v>
      </c>
      <c r="N28" s="40">
        <v>20.3</v>
      </c>
      <c r="O28" s="40">
        <v>0</v>
      </c>
      <c r="P28" s="40">
        <v>0.8</v>
      </c>
      <c r="Q28" s="40">
        <v>9.32</v>
      </c>
      <c r="R28" s="38"/>
      <c r="S28" s="38"/>
      <c r="T28" s="38"/>
      <c r="U28" s="38"/>
    </row>
    <row r="29" spans="1:21" customFormat="1">
      <c r="A29" s="39" t="s">
        <v>585</v>
      </c>
      <c r="B29" s="40">
        <v>12.2</v>
      </c>
      <c r="C29" s="40">
        <v>22.16</v>
      </c>
      <c r="D29" s="40">
        <v>20.93</v>
      </c>
      <c r="E29" s="40">
        <v>5.79</v>
      </c>
      <c r="F29" s="40">
        <v>1.41</v>
      </c>
      <c r="G29" s="40">
        <v>104.3</v>
      </c>
      <c r="H29" s="40">
        <v>45.67</v>
      </c>
      <c r="I29" s="40">
        <v>15.22</v>
      </c>
      <c r="J29" s="40">
        <v>0.16</v>
      </c>
      <c r="K29" s="40">
        <v>216.72</v>
      </c>
      <c r="L29" s="40">
        <v>19.5</v>
      </c>
      <c r="M29" s="40">
        <v>81.290000000000006</v>
      </c>
      <c r="N29" s="40">
        <v>20</v>
      </c>
      <c r="O29" s="40">
        <v>0</v>
      </c>
      <c r="P29" s="40">
        <v>0.86</v>
      </c>
      <c r="Q29" s="40">
        <v>9.32</v>
      </c>
      <c r="R29" s="38"/>
      <c r="S29" s="38"/>
      <c r="T29" s="38"/>
      <c r="U29" s="38"/>
    </row>
    <row r="30" spans="1:21" customFormat="1">
      <c r="A30" s="39" t="s">
        <v>586</v>
      </c>
      <c r="B30" s="40">
        <v>20.8</v>
      </c>
      <c r="C30" s="40">
        <v>22.17</v>
      </c>
      <c r="D30" s="40">
        <v>28.26</v>
      </c>
      <c r="E30" s="40">
        <v>5.62</v>
      </c>
      <c r="F30" s="40">
        <v>1.36</v>
      </c>
      <c r="G30" s="40">
        <v>100.77</v>
      </c>
      <c r="H30" s="40">
        <v>47.88</v>
      </c>
      <c r="I30" s="40">
        <v>16.37</v>
      </c>
      <c r="J30" s="40">
        <v>0.22</v>
      </c>
      <c r="K30" s="40">
        <v>202.79</v>
      </c>
      <c r="L30" s="40">
        <v>18.87</v>
      </c>
      <c r="M30" s="40">
        <v>82.05</v>
      </c>
      <c r="N30" s="40">
        <v>19.8</v>
      </c>
      <c r="O30" s="40">
        <v>0</v>
      </c>
      <c r="P30" s="40">
        <v>0.98</v>
      </c>
      <c r="Q30" s="40">
        <v>9.32</v>
      </c>
      <c r="R30" s="38"/>
      <c r="S30" s="38"/>
      <c r="T30" s="38"/>
      <c r="U30" s="38"/>
    </row>
    <row r="31" spans="1:21" customFormat="1">
      <c r="A31" s="39" t="s">
        <v>587</v>
      </c>
      <c r="B31" s="40">
        <v>30.03</v>
      </c>
      <c r="C31" s="40">
        <v>23.39</v>
      </c>
      <c r="D31" s="40">
        <v>36.22</v>
      </c>
      <c r="E31" s="40">
        <v>5.8</v>
      </c>
      <c r="F31" s="40">
        <v>1.3</v>
      </c>
      <c r="G31" s="40">
        <v>96.27</v>
      </c>
      <c r="H31" s="40">
        <v>53.01</v>
      </c>
      <c r="I31" s="40">
        <v>17.149999999999999</v>
      </c>
      <c r="J31" s="40">
        <v>0.21</v>
      </c>
      <c r="K31" s="40">
        <v>194.69</v>
      </c>
      <c r="L31" s="40">
        <v>18.649999999999999</v>
      </c>
      <c r="M31" s="40">
        <v>87.69</v>
      </c>
      <c r="N31" s="40">
        <v>20</v>
      </c>
      <c r="O31" s="40">
        <v>0</v>
      </c>
      <c r="P31" s="40">
        <v>1.1200000000000001</v>
      </c>
      <c r="Q31" s="40">
        <v>9.32</v>
      </c>
      <c r="R31" s="38"/>
      <c r="S31" s="38"/>
      <c r="T31" s="38"/>
      <c r="U31" s="38"/>
    </row>
    <row r="32" spans="1:21" customFormat="1">
      <c r="A32" s="39" t="s">
        <v>588</v>
      </c>
      <c r="B32" s="40">
        <v>30.73</v>
      </c>
      <c r="C32" s="40">
        <v>22.86</v>
      </c>
      <c r="D32" s="40">
        <v>36.35</v>
      </c>
      <c r="E32" s="40">
        <v>5.69</v>
      </c>
      <c r="F32" s="40">
        <v>1.26</v>
      </c>
      <c r="G32" s="40">
        <v>100.44</v>
      </c>
      <c r="H32" s="40">
        <v>56.51</v>
      </c>
      <c r="I32" s="40">
        <v>15.8</v>
      </c>
      <c r="J32" s="40">
        <v>0.2</v>
      </c>
      <c r="K32" s="40">
        <v>206.55</v>
      </c>
      <c r="L32" s="40">
        <v>17.600000000000001</v>
      </c>
      <c r="M32" s="40">
        <v>89.16</v>
      </c>
      <c r="N32" s="40">
        <v>19.899999999999999</v>
      </c>
      <c r="O32" s="40">
        <v>0</v>
      </c>
      <c r="P32" s="40">
        <v>1.1499999999999999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4.1900000000000004</v>
      </c>
      <c r="C34" s="18">
        <f t="shared" si="0"/>
        <v>16.47</v>
      </c>
      <c r="D34" s="18">
        <f t="shared" si="0"/>
        <v>13.35</v>
      </c>
      <c r="E34" s="18">
        <f t="shared" si="0"/>
        <v>4.34</v>
      </c>
      <c r="F34" s="18">
        <f t="shared" si="0"/>
        <v>1.18</v>
      </c>
      <c r="G34" s="18">
        <f t="shared" si="0"/>
        <v>24.74</v>
      </c>
      <c r="H34" s="18">
        <f t="shared" si="0"/>
        <v>12.77</v>
      </c>
      <c r="I34" s="18">
        <f t="shared" si="0"/>
        <v>12.18</v>
      </c>
      <c r="J34" s="18">
        <f t="shared" si="0"/>
        <v>0.16</v>
      </c>
      <c r="K34" s="18">
        <f t="shared" si="0"/>
        <v>48.54</v>
      </c>
      <c r="L34" s="18">
        <f t="shared" si="0"/>
        <v>14.83</v>
      </c>
      <c r="M34" s="18">
        <f t="shared" si="0"/>
        <v>29.64</v>
      </c>
      <c r="N34" s="18">
        <f t="shared" si="0"/>
        <v>17.5</v>
      </c>
      <c r="O34" s="18">
        <f t="shared" si="0"/>
        <v>0</v>
      </c>
      <c r="P34" s="18">
        <f t="shared" si="0"/>
        <v>0.65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33.01</v>
      </c>
      <c r="C35" s="3">
        <f t="shared" si="1"/>
        <v>23.39</v>
      </c>
      <c r="D35" s="3">
        <f t="shared" si="1"/>
        <v>36.450000000000003</v>
      </c>
      <c r="E35" s="3">
        <f t="shared" si="1"/>
        <v>7.46</v>
      </c>
      <c r="F35" s="3">
        <f t="shared" si="1"/>
        <v>3.95</v>
      </c>
      <c r="G35" s="3">
        <f t="shared" si="1"/>
        <v>105.61</v>
      </c>
      <c r="H35" s="3">
        <f t="shared" si="1"/>
        <v>56.51</v>
      </c>
      <c r="I35" s="3">
        <f t="shared" si="1"/>
        <v>19.760000000000002</v>
      </c>
      <c r="J35" s="3">
        <f t="shared" si="1"/>
        <v>1.52</v>
      </c>
      <c r="K35" s="3">
        <f t="shared" si="1"/>
        <v>260.69</v>
      </c>
      <c r="L35" s="3">
        <f t="shared" si="1"/>
        <v>28.64</v>
      </c>
      <c r="M35" s="3">
        <f t="shared" si="1"/>
        <v>90.39</v>
      </c>
      <c r="N35" s="3">
        <f t="shared" si="1"/>
        <v>536.29999999999995</v>
      </c>
      <c r="O35" s="3">
        <f t="shared" si="1"/>
        <v>0</v>
      </c>
      <c r="P35" s="3">
        <f t="shared" si="1"/>
        <v>1.18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19.558750000000003</v>
      </c>
      <c r="C36" s="18">
        <f t="shared" si="2"/>
        <v>20.772083333333335</v>
      </c>
      <c r="D36" s="18">
        <f t="shared" si="2"/>
        <v>26.412916666666671</v>
      </c>
      <c r="E36" s="18">
        <f t="shared" si="2"/>
        <v>5.9537499999999994</v>
      </c>
      <c r="F36" s="18">
        <f t="shared" si="2"/>
        <v>1.6849999999999994</v>
      </c>
      <c r="G36" s="18">
        <f t="shared" si="2"/>
        <v>53.131666666666668</v>
      </c>
      <c r="H36" s="18">
        <f t="shared" si="2"/>
        <v>26.932500000000001</v>
      </c>
      <c r="I36" s="18">
        <f t="shared" si="2"/>
        <v>15.515416666666667</v>
      </c>
      <c r="J36" s="18">
        <f t="shared" si="2"/>
        <v>0.44500000000000023</v>
      </c>
      <c r="K36" s="18">
        <f t="shared" si="2"/>
        <v>158.61708333333328</v>
      </c>
      <c r="L36" s="18">
        <f t="shared" si="2"/>
        <v>21.232500000000002</v>
      </c>
      <c r="M36" s="18">
        <f t="shared" si="2"/>
        <v>66.787500000000009</v>
      </c>
      <c r="N36" s="18">
        <f t="shared" si="2"/>
        <v>125.92083333333333</v>
      </c>
      <c r="O36" s="18">
        <f t="shared" si="2"/>
        <v>0</v>
      </c>
      <c r="P36" s="18">
        <f t="shared" si="2"/>
        <v>0.92583333333333329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9.8683676957367492</v>
      </c>
      <c r="C37" s="18">
        <f t="shared" ref="C37:Q37" si="3">STDEV(C9:C32)</f>
        <v>2.0532667061701133</v>
      </c>
      <c r="D37" s="18">
        <f t="shared" si="3"/>
        <v>7.7837698920178591</v>
      </c>
      <c r="E37" s="18">
        <f t="shared" si="3"/>
        <v>1.0051208558091971</v>
      </c>
      <c r="F37" s="18">
        <f t="shared" si="3"/>
        <v>0.72057344313853511</v>
      </c>
      <c r="G37" s="18">
        <f t="shared" si="3"/>
        <v>28.269893905872266</v>
      </c>
      <c r="H37" s="18">
        <f t="shared" si="3"/>
        <v>13.389371596125429</v>
      </c>
      <c r="I37" s="18">
        <f t="shared" si="3"/>
        <v>2.0557109828299263</v>
      </c>
      <c r="J37" s="18">
        <f t="shared" si="3"/>
        <v>0.38564457617142045</v>
      </c>
      <c r="K37" s="18">
        <f t="shared" si="3"/>
        <v>63.61062479472578</v>
      </c>
      <c r="L37" s="18">
        <f t="shared" si="3"/>
        <v>5.130149798643477</v>
      </c>
      <c r="M37" s="18">
        <f t="shared" si="3"/>
        <v>23.667996783402049</v>
      </c>
      <c r="N37" s="18">
        <f t="shared" si="3"/>
        <v>173.86714563053641</v>
      </c>
      <c r="O37" s="18">
        <f t="shared" si="3"/>
        <v>0</v>
      </c>
      <c r="P37" s="18">
        <f t="shared" si="3"/>
        <v>0.17569530608331574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H13" sqref="H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589</v>
      </c>
      <c r="B9" s="40">
        <v>30.85</v>
      </c>
      <c r="C9" s="40">
        <v>21.26</v>
      </c>
      <c r="D9" s="40">
        <v>35.770000000000003</v>
      </c>
      <c r="E9" s="40">
        <v>5.61</v>
      </c>
      <c r="F9" s="40">
        <v>1.1499999999999999</v>
      </c>
      <c r="G9" s="40">
        <v>98</v>
      </c>
      <c r="H9" s="40">
        <v>57.6</v>
      </c>
      <c r="I9" s="40">
        <v>16.21</v>
      </c>
      <c r="J9" s="40">
        <v>0.16</v>
      </c>
      <c r="K9" s="40">
        <v>189.31</v>
      </c>
      <c r="L9" s="40">
        <v>17.149999999999999</v>
      </c>
      <c r="M9" s="40">
        <v>90.61</v>
      </c>
      <c r="N9" s="40">
        <v>19.899999999999999</v>
      </c>
      <c r="O9" s="40">
        <v>0</v>
      </c>
      <c r="P9" s="40">
        <v>1.1499999999999999</v>
      </c>
      <c r="Q9" s="40">
        <v>9.32</v>
      </c>
      <c r="R9" s="38"/>
      <c r="S9" s="38"/>
      <c r="T9" s="38"/>
      <c r="U9" s="38"/>
    </row>
    <row r="10" spans="1:21" customFormat="1">
      <c r="A10" s="39" t="s">
        <v>590</v>
      </c>
      <c r="B10" s="40">
        <v>29.11</v>
      </c>
      <c r="C10" s="40">
        <v>20.95</v>
      </c>
      <c r="D10" s="40">
        <v>34.24</v>
      </c>
      <c r="E10" s="40">
        <v>5.81</v>
      </c>
      <c r="F10" s="40">
        <v>1.29</v>
      </c>
      <c r="G10" s="40">
        <v>93.09</v>
      </c>
      <c r="H10" s="40">
        <v>54.06</v>
      </c>
      <c r="I10" s="40">
        <v>16.16</v>
      </c>
      <c r="J10" s="40">
        <v>0.21</v>
      </c>
      <c r="K10" s="40">
        <v>240.97</v>
      </c>
      <c r="L10" s="40">
        <v>16.920000000000002</v>
      </c>
      <c r="M10" s="40">
        <v>90.96</v>
      </c>
      <c r="N10" s="40">
        <v>19.8</v>
      </c>
      <c r="O10" s="40">
        <v>0</v>
      </c>
      <c r="P10" s="40">
        <v>1.1100000000000001</v>
      </c>
      <c r="Q10" s="40">
        <v>9.32</v>
      </c>
      <c r="R10" s="38"/>
      <c r="S10" s="38"/>
      <c r="T10" s="38"/>
      <c r="U10" s="38"/>
    </row>
    <row r="11" spans="1:21" customFormat="1">
      <c r="A11" s="39" t="s">
        <v>591</v>
      </c>
      <c r="B11" s="40">
        <v>27.03</v>
      </c>
      <c r="C11" s="40">
        <v>20.56</v>
      </c>
      <c r="D11" s="40">
        <v>32.35</v>
      </c>
      <c r="E11" s="40">
        <v>5.26</v>
      </c>
      <c r="F11" s="40">
        <v>1.28</v>
      </c>
      <c r="G11" s="40">
        <v>86.48</v>
      </c>
      <c r="H11" s="40">
        <v>51.47</v>
      </c>
      <c r="I11" s="40">
        <v>15.82</v>
      </c>
      <c r="J11" s="40">
        <v>0.14000000000000001</v>
      </c>
      <c r="K11" s="40">
        <v>216.87</v>
      </c>
      <c r="L11" s="40">
        <v>16.25</v>
      </c>
      <c r="M11" s="40">
        <v>91.06</v>
      </c>
      <c r="N11" s="40">
        <v>19.8</v>
      </c>
      <c r="O11" s="40">
        <v>0</v>
      </c>
      <c r="P11" s="40">
        <v>1.08</v>
      </c>
      <c r="Q11" s="40">
        <v>9.32</v>
      </c>
      <c r="R11" s="38"/>
      <c r="S11" s="38"/>
      <c r="T11" s="38"/>
      <c r="U11" s="38"/>
    </row>
    <row r="12" spans="1:21" customFormat="1">
      <c r="A12" s="39" t="s">
        <v>592</v>
      </c>
      <c r="B12" s="40">
        <v>29.38</v>
      </c>
      <c r="C12" s="40">
        <v>21.06</v>
      </c>
      <c r="D12" s="40">
        <v>34.56</v>
      </c>
      <c r="E12" s="40">
        <v>5.33</v>
      </c>
      <c r="F12" s="40">
        <v>1.22</v>
      </c>
      <c r="G12" s="40">
        <v>87.68</v>
      </c>
      <c r="H12" s="40">
        <v>51.61</v>
      </c>
      <c r="I12" s="40">
        <v>15.22</v>
      </c>
      <c r="J12" s="40">
        <v>0.18</v>
      </c>
      <c r="K12" s="40">
        <v>231.36</v>
      </c>
      <c r="L12" s="40">
        <v>16</v>
      </c>
      <c r="M12" s="40">
        <v>89.38</v>
      </c>
      <c r="N12" s="40">
        <v>19.600000000000001</v>
      </c>
      <c r="O12" s="40">
        <v>0</v>
      </c>
      <c r="P12" s="40">
        <v>1.04</v>
      </c>
      <c r="Q12" s="40">
        <v>9.32</v>
      </c>
      <c r="R12" s="38"/>
      <c r="S12" s="38"/>
      <c r="T12" s="38"/>
      <c r="U12" s="38"/>
    </row>
    <row r="13" spans="1:21" customFormat="1">
      <c r="A13" s="39" t="s">
        <v>593</v>
      </c>
      <c r="B13" s="40">
        <v>29.01</v>
      </c>
      <c r="C13" s="40">
        <v>20.99</v>
      </c>
      <c r="D13" s="40">
        <v>34.229999999999997</v>
      </c>
      <c r="E13" s="40">
        <v>5.21</v>
      </c>
      <c r="F13" s="40">
        <v>1.25</v>
      </c>
      <c r="G13" s="40">
        <v>86.8</v>
      </c>
      <c r="H13" s="40">
        <v>52.91</v>
      </c>
      <c r="I13" s="40">
        <v>14.76</v>
      </c>
      <c r="J13" s="40">
        <v>0.19</v>
      </c>
      <c r="K13" s="40">
        <v>186.44</v>
      </c>
      <c r="L13" s="40">
        <v>15.57</v>
      </c>
      <c r="M13" s="40">
        <v>92.38</v>
      </c>
      <c r="N13" s="40">
        <v>20</v>
      </c>
      <c r="O13" s="40">
        <v>0</v>
      </c>
      <c r="P13" s="40">
        <v>1.02</v>
      </c>
      <c r="Q13" s="40">
        <v>9.32</v>
      </c>
      <c r="R13" s="38"/>
      <c r="S13" s="38"/>
      <c r="T13" s="38"/>
      <c r="U13" s="38"/>
    </row>
    <row r="14" spans="1:21" customFormat="1">
      <c r="A14" s="39" t="s">
        <v>594</v>
      </c>
      <c r="B14" s="40">
        <v>27.18</v>
      </c>
      <c r="C14" s="40">
        <v>19.559999999999999</v>
      </c>
      <c r="D14" s="40">
        <v>32.01</v>
      </c>
      <c r="E14" s="40">
        <v>4.91</v>
      </c>
      <c r="F14" s="40">
        <v>1.33</v>
      </c>
      <c r="G14" s="40">
        <v>77.930000000000007</v>
      </c>
      <c r="H14" s="40">
        <v>50.51</v>
      </c>
      <c r="I14" s="40">
        <v>17.22</v>
      </c>
      <c r="J14" s="40">
        <v>0.14000000000000001</v>
      </c>
      <c r="K14" s="40">
        <v>210.87</v>
      </c>
      <c r="L14" s="40">
        <v>15.23</v>
      </c>
      <c r="M14" s="40">
        <v>93.31</v>
      </c>
      <c r="N14" s="40">
        <v>19.8</v>
      </c>
      <c r="O14" s="40">
        <v>0</v>
      </c>
      <c r="P14" s="40">
        <v>1</v>
      </c>
      <c r="Q14" s="40">
        <v>9.32</v>
      </c>
      <c r="R14" s="38"/>
      <c r="S14" s="38"/>
      <c r="T14" s="38"/>
      <c r="U14" s="38"/>
    </row>
    <row r="15" spans="1:21" customFormat="1">
      <c r="A15" s="39" t="s">
        <v>595</v>
      </c>
      <c r="B15" s="40">
        <v>32.97</v>
      </c>
      <c r="C15" s="40">
        <v>20.440000000000001</v>
      </c>
      <c r="D15" s="40">
        <v>37.119999999999997</v>
      </c>
      <c r="E15" s="40">
        <v>5.07</v>
      </c>
      <c r="F15" s="40">
        <v>1.34</v>
      </c>
      <c r="G15" s="40">
        <v>74.849999999999994</v>
      </c>
      <c r="H15" s="40">
        <v>50.26</v>
      </c>
      <c r="I15" s="40">
        <v>14.91</v>
      </c>
      <c r="J15" s="40">
        <v>0.14000000000000001</v>
      </c>
      <c r="K15" s="40">
        <v>199.28</v>
      </c>
      <c r="L15" s="40">
        <v>15.01</v>
      </c>
      <c r="M15" s="40">
        <v>92.87</v>
      </c>
      <c r="N15" s="40">
        <v>30.4</v>
      </c>
      <c r="O15" s="40">
        <v>0</v>
      </c>
      <c r="P15" s="40">
        <v>1</v>
      </c>
      <c r="Q15" s="40">
        <v>9.32</v>
      </c>
      <c r="R15" s="38"/>
      <c r="S15" s="38"/>
      <c r="T15" s="38"/>
      <c r="U15" s="38"/>
    </row>
    <row r="16" spans="1:21" customFormat="1">
      <c r="A16" s="39" t="s">
        <v>596</v>
      </c>
      <c r="B16" s="40">
        <v>33.520000000000003</v>
      </c>
      <c r="C16" s="40">
        <v>20.79</v>
      </c>
      <c r="D16" s="40">
        <v>37.630000000000003</v>
      </c>
      <c r="E16" s="40">
        <v>4.6100000000000003</v>
      </c>
      <c r="F16" s="40">
        <v>1.23</v>
      </c>
      <c r="G16" s="40">
        <v>75.03</v>
      </c>
      <c r="H16" s="40">
        <v>52.29</v>
      </c>
      <c r="I16" s="40">
        <v>14.86</v>
      </c>
      <c r="J16" s="40">
        <v>0.2</v>
      </c>
      <c r="K16" s="40">
        <v>211.95</v>
      </c>
      <c r="L16" s="40">
        <v>16.760000000000002</v>
      </c>
      <c r="M16" s="40">
        <v>92.41</v>
      </c>
      <c r="N16" s="40">
        <v>77.099999999999994</v>
      </c>
      <c r="O16" s="40">
        <v>0</v>
      </c>
      <c r="P16" s="40">
        <v>0.98</v>
      </c>
      <c r="Q16" s="40">
        <v>9.32</v>
      </c>
      <c r="R16" s="38"/>
      <c r="S16" s="38"/>
      <c r="T16" s="38"/>
      <c r="U16" s="38"/>
    </row>
    <row r="17" spans="1:21" customFormat="1">
      <c r="A17" s="39" t="s">
        <v>597</v>
      </c>
      <c r="B17" s="40">
        <v>30.55</v>
      </c>
      <c r="C17" s="40">
        <v>21.95</v>
      </c>
      <c r="D17" s="40">
        <v>35.369999999999997</v>
      </c>
      <c r="E17" s="40">
        <v>4.67</v>
      </c>
      <c r="F17" s="40">
        <v>1.19</v>
      </c>
      <c r="G17" s="40">
        <v>72.209999999999994</v>
      </c>
      <c r="H17" s="40">
        <v>52.02</v>
      </c>
      <c r="I17" s="40">
        <v>14.68</v>
      </c>
      <c r="J17" s="40">
        <v>0.57999999999999996</v>
      </c>
      <c r="K17" s="40">
        <v>124.76</v>
      </c>
      <c r="L17" s="40">
        <v>20.57</v>
      </c>
      <c r="M17" s="40">
        <v>79.959999999999994</v>
      </c>
      <c r="N17" s="40">
        <v>230.2</v>
      </c>
      <c r="O17" s="40">
        <v>0</v>
      </c>
      <c r="P17" s="40">
        <v>0.97</v>
      </c>
      <c r="Q17" s="40">
        <v>9.32</v>
      </c>
      <c r="R17" s="38"/>
      <c r="S17" s="38"/>
      <c r="T17" s="38"/>
      <c r="U17" s="38"/>
    </row>
    <row r="18" spans="1:21" customFormat="1">
      <c r="A18" s="39" t="s">
        <v>598</v>
      </c>
      <c r="B18" s="40">
        <v>25.4</v>
      </c>
      <c r="C18" s="40">
        <v>21.5</v>
      </c>
      <c r="D18" s="40">
        <v>31.6</v>
      </c>
      <c r="E18" s="40">
        <v>4.78</v>
      </c>
      <c r="F18" s="40">
        <v>1.55</v>
      </c>
      <c r="G18" s="40">
        <v>73.33</v>
      </c>
      <c r="H18" s="40">
        <v>52.22</v>
      </c>
      <c r="I18" s="40">
        <v>14.58</v>
      </c>
      <c r="J18" s="40">
        <v>0.5</v>
      </c>
      <c r="K18" s="40">
        <v>65.510000000000005</v>
      </c>
      <c r="L18" s="40">
        <v>23.63</v>
      </c>
      <c r="M18" s="40">
        <v>60.41</v>
      </c>
      <c r="N18" s="40">
        <v>179.1</v>
      </c>
      <c r="O18" s="40">
        <v>0</v>
      </c>
      <c r="P18" s="40">
        <v>0.95</v>
      </c>
      <c r="Q18" s="40">
        <v>9.32</v>
      </c>
      <c r="R18" s="38"/>
      <c r="S18" s="38"/>
      <c r="T18" s="38"/>
      <c r="U18" s="38"/>
    </row>
    <row r="19" spans="1:21" customFormat="1">
      <c r="A19" s="39" t="s">
        <v>599</v>
      </c>
      <c r="B19" s="40">
        <v>20.96</v>
      </c>
      <c r="C19" s="40">
        <v>21.8</v>
      </c>
      <c r="D19" s="40">
        <v>28.04</v>
      </c>
      <c r="E19" s="40">
        <v>4.9800000000000004</v>
      </c>
      <c r="F19" s="40">
        <v>1.73</v>
      </c>
      <c r="G19" s="40">
        <v>74.27</v>
      </c>
      <c r="H19" s="40">
        <v>51.51</v>
      </c>
      <c r="I19" s="40">
        <v>14.03</v>
      </c>
      <c r="J19" s="40">
        <v>0.69</v>
      </c>
      <c r="K19" s="40">
        <v>92.32</v>
      </c>
      <c r="L19" s="40">
        <v>25.84</v>
      </c>
      <c r="M19" s="40">
        <v>49.56</v>
      </c>
      <c r="N19" s="40">
        <v>475.9</v>
      </c>
      <c r="O19" s="40">
        <v>0</v>
      </c>
      <c r="P19" s="40">
        <v>0.93</v>
      </c>
      <c r="Q19" s="40">
        <v>9.32</v>
      </c>
      <c r="R19" s="38"/>
      <c r="S19" s="38"/>
      <c r="T19" s="38"/>
      <c r="U19" s="38"/>
    </row>
    <row r="20" spans="1:21" customFormat="1">
      <c r="A20" s="39" t="s">
        <v>600</v>
      </c>
      <c r="B20" s="40">
        <v>15.63</v>
      </c>
      <c r="C20" s="40">
        <v>23.45</v>
      </c>
      <c r="D20" s="40">
        <v>24.26</v>
      </c>
      <c r="E20" s="40">
        <v>5.2</v>
      </c>
      <c r="F20" s="40">
        <v>1.79</v>
      </c>
      <c r="G20" s="40">
        <v>71.73</v>
      </c>
      <c r="H20" s="40">
        <v>46.91</v>
      </c>
      <c r="I20" s="40">
        <v>13.53</v>
      </c>
      <c r="J20" s="40">
        <v>0.93</v>
      </c>
      <c r="K20" s="40">
        <v>90.78</v>
      </c>
      <c r="L20" s="40">
        <v>27.42</v>
      </c>
      <c r="M20" s="40">
        <v>39.17</v>
      </c>
      <c r="N20" s="40">
        <v>493.3</v>
      </c>
      <c r="O20" s="40">
        <v>0</v>
      </c>
      <c r="P20" s="40">
        <v>0.86</v>
      </c>
      <c r="Q20" s="40">
        <v>9.32</v>
      </c>
      <c r="R20" s="38"/>
      <c r="S20" s="38"/>
      <c r="T20" s="38"/>
      <c r="U20" s="38"/>
    </row>
    <row r="21" spans="1:21" customFormat="1">
      <c r="A21" s="39" t="s">
        <v>601</v>
      </c>
      <c r="B21" s="40">
        <v>10.07</v>
      </c>
      <c r="C21" s="40">
        <v>24.29</v>
      </c>
      <c r="D21" s="40">
        <v>20.440000000000001</v>
      </c>
      <c r="E21" s="40">
        <v>5.75</v>
      </c>
      <c r="F21" s="40">
        <v>2.11</v>
      </c>
      <c r="G21" s="40">
        <v>71.400000000000006</v>
      </c>
      <c r="H21" s="40">
        <v>46.51</v>
      </c>
      <c r="I21" s="40">
        <v>12.5</v>
      </c>
      <c r="J21" s="40">
        <v>0.97</v>
      </c>
      <c r="K21" s="40">
        <v>152.33000000000001</v>
      </c>
      <c r="L21" s="40">
        <v>28.28</v>
      </c>
      <c r="M21" s="40">
        <v>34.450000000000003</v>
      </c>
      <c r="N21" s="40">
        <v>495.7</v>
      </c>
      <c r="O21" s="40">
        <v>0</v>
      </c>
      <c r="P21" s="40">
        <v>0.8</v>
      </c>
      <c r="Q21" s="40">
        <v>9.32</v>
      </c>
      <c r="R21" s="38"/>
      <c r="S21" s="38"/>
      <c r="T21" s="38"/>
      <c r="U21" s="38"/>
    </row>
    <row r="22" spans="1:21" customFormat="1">
      <c r="A22" s="39" t="s">
        <v>602</v>
      </c>
      <c r="B22" s="40">
        <v>6.79</v>
      </c>
      <c r="C22" s="40">
        <v>24.53</v>
      </c>
      <c r="D22" s="40">
        <v>18.260000000000002</v>
      </c>
      <c r="E22" s="40">
        <v>5.69</v>
      </c>
      <c r="F22" s="40">
        <v>3.48</v>
      </c>
      <c r="G22" s="40">
        <v>70.81</v>
      </c>
      <c r="H22" s="40">
        <v>43.21</v>
      </c>
      <c r="I22" s="40">
        <v>13.78</v>
      </c>
      <c r="J22" s="40">
        <v>0.78</v>
      </c>
      <c r="K22" s="40">
        <v>35.630000000000003</v>
      </c>
      <c r="L22" s="40">
        <v>28.58</v>
      </c>
      <c r="M22" s="40">
        <v>31.82</v>
      </c>
      <c r="N22" s="40">
        <v>385.9</v>
      </c>
      <c r="O22" s="40">
        <v>0</v>
      </c>
      <c r="P22" s="40">
        <v>0.75</v>
      </c>
      <c r="Q22" s="40">
        <v>9.32</v>
      </c>
      <c r="R22" s="38"/>
      <c r="S22" s="38"/>
      <c r="T22" s="38"/>
      <c r="U22" s="38"/>
    </row>
    <row r="23" spans="1:21" customFormat="1">
      <c r="A23" s="39" t="s">
        <v>603</v>
      </c>
      <c r="B23" s="40">
        <v>4.0199999999999996</v>
      </c>
      <c r="C23" s="40">
        <v>23.58</v>
      </c>
      <c r="D23" s="40">
        <v>15.55</v>
      </c>
      <c r="E23" s="40">
        <v>8.42</v>
      </c>
      <c r="F23" s="40">
        <v>14.88</v>
      </c>
      <c r="G23" s="40">
        <v>68.790000000000006</v>
      </c>
      <c r="H23" s="40">
        <v>38.270000000000003</v>
      </c>
      <c r="I23" s="40">
        <v>13.12</v>
      </c>
      <c r="J23" s="40">
        <v>0.74</v>
      </c>
      <c r="K23" s="40">
        <v>45.25</v>
      </c>
      <c r="L23" s="40">
        <v>23.79</v>
      </c>
      <c r="M23" s="40">
        <v>29.73</v>
      </c>
      <c r="N23" s="40">
        <v>119.4</v>
      </c>
      <c r="O23" s="40">
        <v>0</v>
      </c>
      <c r="P23" s="40">
        <v>0.66</v>
      </c>
      <c r="Q23" s="40">
        <v>9.32</v>
      </c>
      <c r="R23" s="38"/>
      <c r="S23" s="38"/>
      <c r="T23" s="38"/>
      <c r="U23" s="38"/>
    </row>
    <row r="24" spans="1:21" customFormat="1">
      <c r="A24" s="39" t="s">
        <v>604</v>
      </c>
      <c r="B24" s="40">
        <v>3.22</v>
      </c>
      <c r="C24" s="40">
        <v>24.71</v>
      </c>
      <c r="D24" s="40">
        <v>15.49</v>
      </c>
      <c r="E24" s="40">
        <v>8.1</v>
      </c>
      <c r="F24" s="40">
        <v>11.22</v>
      </c>
      <c r="G24" s="40">
        <v>62.56</v>
      </c>
      <c r="H24" s="40">
        <v>37.200000000000003</v>
      </c>
      <c r="I24" s="40">
        <v>12.13</v>
      </c>
      <c r="J24" s="40">
        <v>1</v>
      </c>
      <c r="K24" s="40">
        <v>37.35</v>
      </c>
      <c r="L24" s="40">
        <v>23.8</v>
      </c>
      <c r="M24" s="40">
        <v>28.94</v>
      </c>
      <c r="N24" s="40">
        <v>92.6</v>
      </c>
      <c r="O24" s="40">
        <v>0</v>
      </c>
      <c r="P24" s="40">
        <v>0.64</v>
      </c>
      <c r="Q24" s="40">
        <v>9.32</v>
      </c>
      <c r="R24" s="38"/>
      <c r="S24" s="38"/>
      <c r="T24" s="38"/>
      <c r="U24" s="38"/>
    </row>
    <row r="25" spans="1:21" customFormat="1">
      <c r="A25" s="39" t="s">
        <v>605</v>
      </c>
      <c r="B25" s="40">
        <v>6.02</v>
      </c>
      <c r="C25" s="40">
        <v>34.14</v>
      </c>
      <c r="D25" s="40">
        <v>22.37</v>
      </c>
      <c r="E25" s="40">
        <v>10.28</v>
      </c>
      <c r="F25" s="40">
        <v>11.51</v>
      </c>
      <c r="G25" s="40">
        <v>65.150000000000006</v>
      </c>
      <c r="H25" s="40">
        <v>37.94</v>
      </c>
      <c r="I25" s="40">
        <v>8.94</v>
      </c>
      <c r="J25" s="40">
        <v>0.59</v>
      </c>
      <c r="K25" s="40">
        <v>40.799999999999997</v>
      </c>
      <c r="L25" s="40">
        <v>23.34</v>
      </c>
      <c r="M25" s="40">
        <v>31.43</v>
      </c>
      <c r="N25" s="40">
        <v>53</v>
      </c>
      <c r="O25" s="40">
        <v>0</v>
      </c>
      <c r="P25" s="40">
        <v>0.65</v>
      </c>
      <c r="Q25" s="40">
        <v>9.32</v>
      </c>
      <c r="R25" s="38"/>
      <c r="S25" s="38"/>
      <c r="T25" s="38"/>
      <c r="U25" s="38"/>
    </row>
    <row r="26" spans="1:21" customFormat="1">
      <c r="A26" s="39" t="s">
        <v>606</v>
      </c>
      <c r="B26" s="40">
        <v>5.15</v>
      </c>
      <c r="C26" s="40">
        <v>34.18</v>
      </c>
      <c r="D26" s="40">
        <v>21.41</v>
      </c>
      <c r="E26" s="40">
        <v>4.26</v>
      </c>
      <c r="F26" s="40">
        <v>2.81</v>
      </c>
      <c r="G26" s="40">
        <v>65.48</v>
      </c>
      <c r="H26" s="40">
        <v>36.03</v>
      </c>
      <c r="I26" s="40">
        <v>10.72</v>
      </c>
      <c r="J26" s="40">
        <v>0.32</v>
      </c>
      <c r="K26" s="40">
        <v>176.23</v>
      </c>
      <c r="L26" s="40">
        <v>20.97</v>
      </c>
      <c r="M26" s="40">
        <v>49.05</v>
      </c>
      <c r="N26" s="40">
        <v>23.4</v>
      </c>
      <c r="O26" s="40">
        <v>0</v>
      </c>
      <c r="P26" s="40">
        <v>0.66</v>
      </c>
      <c r="Q26" s="40">
        <v>9.32</v>
      </c>
      <c r="R26" s="38"/>
      <c r="S26" s="38"/>
      <c r="T26" s="38"/>
      <c r="U26" s="38"/>
    </row>
    <row r="27" spans="1:21" customFormat="1">
      <c r="A27" s="39" t="s">
        <v>607</v>
      </c>
      <c r="B27" s="40">
        <v>7.24</v>
      </c>
      <c r="C27" s="40">
        <v>28.64</v>
      </c>
      <c r="D27" s="40">
        <v>19.48</v>
      </c>
      <c r="E27" s="40">
        <v>4.37</v>
      </c>
      <c r="F27" s="40">
        <v>1.37</v>
      </c>
      <c r="G27" s="40">
        <v>78.930000000000007</v>
      </c>
      <c r="H27" s="40">
        <v>39.19</v>
      </c>
      <c r="I27" s="40">
        <v>8.4600000000000009</v>
      </c>
      <c r="J27" s="40">
        <v>0.3</v>
      </c>
      <c r="K27" s="40">
        <v>174.3</v>
      </c>
      <c r="L27" s="40">
        <v>16.88</v>
      </c>
      <c r="M27" s="40">
        <v>69.83</v>
      </c>
      <c r="N27" s="40">
        <v>15.2</v>
      </c>
      <c r="O27" s="40">
        <v>0</v>
      </c>
      <c r="P27" s="40">
        <v>0.7</v>
      </c>
      <c r="Q27" s="40">
        <v>9.32</v>
      </c>
      <c r="R27" s="38"/>
      <c r="S27" s="38"/>
      <c r="T27" s="38"/>
      <c r="U27" s="38"/>
    </row>
    <row r="28" spans="1:21" customFormat="1">
      <c r="A28" s="39" t="s">
        <v>608</v>
      </c>
      <c r="B28" s="40">
        <v>8.6</v>
      </c>
      <c r="C28" s="40">
        <v>25.24</v>
      </c>
      <c r="D28" s="40">
        <v>19.440000000000001</v>
      </c>
      <c r="E28" s="40">
        <v>4.41</v>
      </c>
      <c r="F28" s="40">
        <v>1.36</v>
      </c>
      <c r="G28" s="40">
        <v>83.61</v>
      </c>
      <c r="H28" s="40">
        <v>41.22</v>
      </c>
      <c r="I28" s="40">
        <v>10.1</v>
      </c>
      <c r="J28" s="40">
        <v>0.21</v>
      </c>
      <c r="K28" s="40">
        <v>211.04</v>
      </c>
      <c r="L28" s="40">
        <v>15.01</v>
      </c>
      <c r="M28" s="40">
        <v>76.37</v>
      </c>
      <c r="N28" s="40">
        <v>15.1</v>
      </c>
      <c r="O28" s="40">
        <v>0</v>
      </c>
      <c r="P28" s="40">
        <v>0.76</v>
      </c>
      <c r="Q28" s="40">
        <v>9.32</v>
      </c>
      <c r="R28" s="38"/>
      <c r="S28" s="38"/>
      <c r="T28" s="38"/>
      <c r="U28" s="38"/>
    </row>
    <row r="29" spans="1:21" customFormat="1">
      <c r="A29" s="39" t="s">
        <v>609</v>
      </c>
      <c r="B29" s="40">
        <v>8.8800000000000008</v>
      </c>
      <c r="C29" s="40">
        <v>22.66</v>
      </c>
      <c r="D29" s="40">
        <v>18.829999999999998</v>
      </c>
      <c r="E29" s="40">
        <v>4.51</v>
      </c>
      <c r="F29" s="40">
        <v>1.33</v>
      </c>
      <c r="G29" s="40">
        <v>82.01</v>
      </c>
      <c r="H29" s="40">
        <v>41.55</v>
      </c>
      <c r="I29" s="40">
        <v>10.93</v>
      </c>
      <c r="J29" s="40">
        <v>0.16</v>
      </c>
      <c r="K29" s="40">
        <v>202.12</v>
      </c>
      <c r="L29" s="40">
        <v>14.03</v>
      </c>
      <c r="M29" s="40">
        <v>79.33</v>
      </c>
      <c r="N29" s="40">
        <v>14.7</v>
      </c>
      <c r="O29" s="40">
        <v>0</v>
      </c>
      <c r="P29" s="40">
        <v>0.77</v>
      </c>
      <c r="Q29" s="40">
        <v>9.32</v>
      </c>
      <c r="R29" s="38"/>
      <c r="S29" s="38"/>
      <c r="T29" s="38"/>
      <c r="U29" s="38"/>
    </row>
    <row r="30" spans="1:21" customFormat="1">
      <c r="A30" s="39" t="s">
        <v>610</v>
      </c>
      <c r="B30" s="40">
        <v>11.69</v>
      </c>
      <c r="C30" s="40">
        <v>20.67</v>
      </c>
      <c r="D30" s="40">
        <v>20.07</v>
      </c>
      <c r="E30" s="40">
        <v>5.01</v>
      </c>
      <c r="F30" s="40">
        <v>1.33</v>
      </c>
      <c r="G30" s="40">
        <v>79.64</v>
      </c>
      <c r="H30" s="40">
        <v>40.630000000000003</v>
      </c>
      <c r="I30" s="40">
        <v>11.69</v>
      </c>
      <c r="J30" s="40">
        <v>0.26</v>
      </c>
      <c r="K30" s="40">
        <v>171.23</v>
      </c>
      <c r="L30" s="40">
        <v>13.58</v>
      </c>
      <c r="M30" s="40">
        <v>80.02</v>
      </c>
      <c r="N30" s="40">
        <v>14.7</v>
      </c>
      <c r="O30" s="40">
        <v>0</v>
      </c>
      <c r="P30" s="40">
        <v>0.84</v>
      </c>
      <c r="Q30" s="40">
        <v>9.32</v>
      </c>
      <c r="R30" s="38"/>
      <c r="S30" s="38"/>
      <c r="T30" s="38"/>
      <c r="U30" s="38"/>
    </row>
    <row r="31" spans="1:21" customFormat="1">
      <c r="A31" s="39" t="s">
        <v>611</v>
      </c>
      <c r="B31" s="40">
        <v>15.8</v>
      </c>
      <c r="C31" s="40">
        <v>20.87</v>
      </c>
      <c r="D31" s="40">
        <v>23.4</v>
      </c>
      <c r="E31" s="40">
        <v>5.15</v>
      </c>
      <c r="F31" s="40">
        <v>1.21</v>
      </c>
      <c r="G31" s="40">
        <v>86.24</v>
      </c>
      <c r="H31" s="40">
        <v>46.42</v>
      </c>
      <c r="I31" s="40">
        <v>12.79</v>
      </c>
      <c r="J31" s="40">
        <v>0.2</v>
      </c>
      <c r="K31" s="40">
        <v>202.27</v>
      </c>
      <c r="L31" s="40">
        <v>13.34</v>
      </c>
      <c r="M31" s="40">
        <v>86.4</v>
      </c>
      <c r="N31" s="40">
        <v>14.9</v>
      </c>
      <c r="O31" s="40">
        <v>0</v>
      </c>
      <c r="P31" s="40">
        <v>0.94</v>
      </c>
      <c r="Q31" s="40">
        <v>9.32</v>
      </c>
      <c r="R31" s="38"/>
      <c r="S31" s="38"/>
      <c r="T31" s="38"/>
      <c r="U31" s="38"/>
    </row>
    <row r="32" spans="1:21" customFormat="1">
      <c r="A32" s="39" t="s">
        <v>612</v>
      </c>
      <c r="B32" s="40">
        <v>16.95</v>
      </c>
      <c r="C32" s="40">
        <v>19.91</v>
      </c>
      <c r="D32" s="40">
        <v>23.66</v>
      </c>
      <c r="E32" s="40">
        <v>5.41</v>
      </c>
      <c r="F32" s="40">
        <v>1.45</v>
      </c>
      <c r="G32" s="40">
        <v>85.2</v>
      </c>
      <c r="H32" s="40">
        <v>47.84</v>
      </c>
      <c r="I32" s="40">
        <v>13.75</v>
      </c>
      <c r="J32" s="40">
        <v>0.21</v>
      </c>
      <c r="K32" s="40">
        <v>182.42</v>
      </c>
      <c r="L32" s="40">
        <v>12.57</v>
      </c>
      <c r="M32" s="40">
        <v>86.69</v>
      </c>
      <c r="N32" s="40">
        <v>14.6</v>
      </c>
      <c r="O32" s="40">
        <v>0</v>
      </c>
      <c r="P32" s="40">
        <v>1.01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3.22</v>
      </c>
      <c r="C34" s="18">
        <f t="shared" si="0"/>
        <v>19.559999999999999</v>
      </c>
      <c r="D34" s="18">
        <f t="shared" si="0"/>
        <v>15.49</v>
      </c>
      <c r="E34" s="18">
        <f t="shared" si="0"/>
        <v>4.26</v>
      </c>
      <c r="F34" s="18">
        <f t="shared" si="0"/>
        <v>1.1499999999999999</v>
      </c>
      <c r="G34" s="18">
        <f t="shared" si="0"/>
        <v>62.56</v>
      </c>
      <c r="H34" s="18">
        <f t="shared" si="0"/>
        <v>36.03</v>
      </c>
      <c r="I34" s="18">
        <f t="shared" si="0"/>
        <v>8.4600000000000009</v>
      </c>
      <c r="J34" s="18">
        <f t="shared" si="0"/>
        <v>0.14000000000000001</v>
      </c>
      <c r="K34" s="18">
        <f t="shared" si="0"/>
        <v>35.630000000000003</v>
      </c>
      <c r="L34" s="18">
        <f t="shared" si="0"/>
        <v>12.57</v>
      </c>
      <c r="M34" s="18">
        <f t="shared" si="0"/>
        <v>28.94</v>
      </c>
      <c r="N34" s="18">
        <f t="shared" si="0"/>
        <v>14.6</v>
      </c>
      <c r="O34" s="18">
        <f t="shared" si="0"/>
        <v>0</v>
      </c>
      <c r="P34" s="18">
        <f t="shared" si="0"/>
        <v>0.64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33.520000000000003</v>
      </c>
      <c r="C35" s="3">
        <f t="shared" si="1"/>
        <v>34.18</v>
      </c>
      <c r="D35" s="3">
        <f t="shared" si="1"/>
        <v>37.630000000000003</v>
      </c>
      <c r="E35" s="3">
        <f t="shared" si="1"/>
        <v>10.28</v>
      </c>
      <c r="F35" s="3">
        <f t="shared" si="1"/>
        <v>14.88</v>
      </c>
      <c r="G35" s="3">
        <f t="shared" si="1"/>
        <v>98</v>
      </c>
      <c r="H35" s="3">
        <f t="shared" si="1"/>
        <v>57.6</v>
      </c>
      <c r="I35" s="3">
        <f t="shared" si="1"/>
        <v>17.22</v>
      </c>
      <c r="J35" s="3">
        <f t="shared" si="1"/>
        <v>1</v>
      </c>
      <c r="K35" s="3">
        <f t="shared" si="1"/>
        <v>240.97</v>
      </c>
      <c r="L35" s="3">
        <f t="shared" si="1"/>
        <v>28.58</v>
      </c>
      <c r="M35" s="3">
        <f t="shared" si="1"/>
        <v>93.31</v>
      </c>
      <c r="N35" s="3">
        <f t="shared" si="1"/>
        <v>495.7</v>
      </c>
      <c r="O35" s="3">
        <f t="shared" si="1"/>
        <v>0</v>
      </c>
      <c r="P35" s="3">
        <f t="shared" si="1"/>
        <v>1.1499999999999999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18.1675</v>
      </c>
      <c r="C36" s="18">
        <f t="shared" si="2"/>
        <v>23.238749999999996</v>
      </c>
      <c r="D36" s="18">
        <f t="shared" si="2"/>
        <v>26.482500000000005</v>
      </c>
      <c r="E36" s="18">
        <f t="shared" si="2"/>
        <v>5.5333333333333341</v>
      </c>
      <c r="F36" s="18">
        <f t="shared" si="2"/>
        <v>2.9337499999999999</v>
      </c>
      <c r="G36" s="18">
        <f t="shared" si="2"/>
        <v>77.967500000000015</v>
      </c>
      <c r="H36" s="18">
        <f t="shared" si="2"/>
        <v>46.64083333333334</v>
      </c>
      <c r="I36" s="18">
        <f t="shared" si="2"/>
        <v>13.370416666666669</v>
      </c>
      <c r="J36" s="18">
        <f t="shared" si="2"/>
        <v>0.40833333333333344</v>
      </c>
      <c r="K36" s="18">
        <f t="shared" si="2"/>
        <v>153.80791666666667</v>
      </c>
      <c r="L36" s="18">
        <f t="shared" si="2"/>
        <v>19.188333333333329</v>
      </c>
      <c r="M36" s="18">
        <f t="shared" si="2"/>
        <v>68.589166666666685</v>
      </c>
      <c r="N36" s="18">
        <f t="shared" si="2"/>
        <v>119.33749999999998</v>
      </c>
      <c r="O36" s="18">
        <f t="shared" si="2"/>
        <v>0</v>
      </c>
      <c r="P36" s="18">
        <f t="shared" si="2"/>
        <v>0.88625000000000009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10.71403518754722</v>
      </c>
      <c r="C37" s="18">
        <f t="shared" ref="C37:Q37" si="3">STDEV(C9:C32)</f>
        <v>3.960126603707443</v>
      </c>
      <c r="D37" s="18">
        <f t="shared" si="3"/>
        <v>7.4878215616513</v>
      </c>
      <c r="E37" s="18">
        <f t="shared" si="3"/>
        <v>1.4254173047755601</v>
      </c>
      <c r="F37" s="18">
        <f t="shared" si="3"/>
        <v>3.7951683384787183</v>
      </c>
      <c r="G37" s="18">
        <f t="shared" si="3"/>
        <v>9.1109910929410596</v>
      </c>
      <c r="H37" s="18">
        <f t="shared" si="3"/>
        <v>6.303915220039733</v>
      </c>
      <c r="I37" s="18">
        <f t="shared" si="3"/>
        <v>2.3171637069761526</v>
      </c>
      <c r="J37" s="18">
        <f t="shared" si="3"/>
        <v>0.296467120644412</v>
      </c>
      <c r="K37" s="18">
        <f t="shared" si="3"/>
        <v>68.238956678091768</v>
      </c>
      <c r="L37" s="18">
        <f t="shared" si="3"/>
        <v>5.1348220126358228</v>
      </c>
      <c r="M37" s="18">
        <f t="shared" si="3"/>
        <v>24.667862020585925</v>
      </c>
      <c r="N37" s="18">
        <f t="shared" si="3"/>
        <v>167.39386725169553</v>
      </c>
      <c r="O37" s="18">
        <f t="shared" si="3"/>
        <v>0</v>
      </c>
      <c r="P37" s="18">
        <f t="shared" si="3"/>
        <v>0.15830110274547854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G12" sqref="G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613</v>
      </c>
      <c r="B9" s="40">
        <v>21.52</v>
      </c>
      <c r="C9" s="40">
        <v>19.010000000000002</v>
      </c>
      <c r="D9" s="40">
        <v>27.05</v>
      </c>
      <c r="E9" s="40">
        <v>5.74</v>
      </c>
      <c r="F9" s="40">
        <v>1.33</v>
      </c>
      <c r="G9" s="40">
        <v>81.55</v>
      </c>
      <c r="H9" s="40">
        <v>49.94</v>
      </c>
      <c r="I9" s="40">
        <v>14.59</v>
      </c>
      <c r="J9" s="40">
        <v>0.19</v>
      </c>
      <c r="K9" s="40">
        <v>211.28</v>
      </c>
      <c r="L9" s="40">
        <v>12.29</v>
      </c>
      <c r="M9" s="40">
        <v>89.9</v>
      </c>
      <c r="N9" s="40">
        <v>14.8</v>
      </c>
      <c r="O9" s="40">
        <v>0</v>
      </c>
      <c r="P9" s="40">
        <v>1.08</v>
      </c>
      <c r="Q9" s="40">
        <v>9.32</v>
      </c>
      <c r="R9" s="38"/>
      <c r="S9" s="38"/>
      <c r="T9" s="38"/>
      <c r="U9" s="38"/>
    </row>
    <row r="10" spans="1:21" customFormat="1">
      <c r="A10" s="39" t="s">
        <v>614</v>
      </c>
      <c r="B10" s="40">
        <v>25.51</v>
      </c>
      <c r="C10" s="40">
        <v>18.68</v>
      </c>
      <c r="D10" s="40">
        <v>30.21</v>
      </c>
      <c r="E10" s="40">
        <v>5.7</v>
      </c>
      <c r="F10" s="40">
        <v>1.26</v>
      </c>
      <c r="G10" s="40">
        <v>80.39</v>
      </c>
      <c r="H10" s="40">
        <v>50.12</v>
      </c>
      <c r="I10" s="40">
        <v>15.59</v>
      </c>
      <c r="J10" s="40">
        <v>0.19</v>
      </c>
      <c r="K10" s="40">
        <v>208.25</v>
      </c>
      <c r="L10" s="40">
        <v>11.59</v>
      </c>
      <c r="M10" s="40">
        <v>89.33</v>
      </c>
      <c r="N10" s="40">
        <v>14.6</v>
      </c>
      <c r="O10" s="40">
        <v>0</v>
      </c>
      <c r="P10" s="40">
        <v>1.21</v>
      </c>
      <c r="Q10" s="40">
        <v>9.32</v>
      </c>
      <c r="R10" s="38"/>
      <c r="S10" s="38"/>
      <c r="T10" s="38"/>
      <c r="U10" s="38"/>
    </row>
    <row r="11" spans="1:21" customFormat="1">
      <c r="A11" s="39" t="s">
        <v>615</v>
      </c>
      <c r="B11" s="40">
        <v>29.45</v>
      </c>
      <c r="C11" s="40">
        <v>18.89</v>
      </c>
      <c r="D11" s="40">
        <v>33.299999999999997</v>
      </c>
      <c r="E11" s="40">
        <v>4.03</v>
      </c>
      <c r="F11" s="40">
        <v>1.36</v>
      </c>
      <c r="G11" s="40">
        <v>86.67</v>
      </c>
      <c r="H11" s="40">
        <v>48.69</v>
      </c>
      <c r="I11" s="40">
        <v>16.98</v>
      </c>
      <c r="J11" s="40">
        <v>0.21</v>
      </c>
      <c r="K11" s="40">
        <v>214.95</v>
      </c>
      <c r="L11" s="40">
        <v>11.37</v>
      </c>
      <c r="M11" s="40">
        <v>92.92</v>
      </c>
      <c r="N11" s="40">
        <v>15</v>
      </c>
      <c r="O11" s="40">
        <v>0</v>
      </c>
      <c r="P11" s="40">
        <v>1.33</v>
      </c>
      <c r="Q11" s="40">
        <v>9.32</v>
      </c>
      <c r="R11" s="38"/>
      <c r="S11" s="38"/>
      <c r="T11" s="38"/>
      <c r="U11" s="38"/>
    </row>
    <row r="12" spans="1:21" customFormat="1">
      <c r="A12" s="39" t="s">
        <v>616</v>
      </c>
      <c r="B12" s="40">
        <v>29.73</v>
      </c>
      <c r="C12" s="40">
        <v>18.36</v>
      </c>
      <c r="D12" s="40">
        <v>33.43</v>
      </c>
      <c r="E12" s="40">
        <v>4.0599999999999996</v>
      </c>
      <c r="F12" s="40">
        <v>1.2</v>
      </c>
      <c r="G12" s="40">
        <v>89.39</v>
      </c>
      <c r="H12" s="40">
        <v>52.21</v>
      </c>
      <c r="I12" s="40">
        <v>23.32</v>
      </c>
      <c r="J12" s="40">
        <v>0.14000000000000001</v>
      </c>
      <c r="K12" s="40">
        <v>221.44</v>
      </c>
      <c r="L12" s="40">
        <v>10.47</v>
      </c>
      <c r="M12" s="40">
        <v>93.68</v>
      </c>
      <c r="N12" s="40">
        <v>14.9</v>
      </c>
      <c r="O12" s="40">
        <v>0</v>
      </c>
      <c r="P12" s="40">
        <v>1.39</v>
      </c>
      <c r="Q12" s="40">
        <v>9.32</v>
      </c>
      <c r="R12" s="38"/>
      <c r="S12" s="38"/>
      <c r="T12" s="38"/>
      <c r="U12" s="38"/>
    </row>
    <row r="13" spans="1:21" customFormat="1">
      <c r="A13" s="39" t="s">
        <v>617</v>
      </c>
      <c r="B13" s="40">
        <v>28.26</v>
      </c>
      <c r="C13" s="40">
        <v>17.350000000000001</v>
      </c>
      <c r="D13" s="40">
        <v>31.72</v>
      </c>
      <c r="E13" s="40">
        <v>3.77</v>
      </c>
      <c r="F13" s="40">
        <v>1.29</v>
      </c>
      <c r="G13" s="40">
        <v>91.58</v>
      </c>
      <c r="H13" s="40">
        <v>53.07</v>
      </c>
      <c r="I13" s="40">
        <v>23.99</v>
      </c>
      <c r="J13" s="40">
        <v>0.18</v>
      </c>
      <c r="K13" s="40">
        <v>217.71</v>
      </c>
      <c r="L13" s="40">
        <v>10.210000000000001</v>
      </c>
      <c r="M13" s="40">
        <v>93.86</v>
      </c>
      <c r="N13" s="40">
        <v>15</v>
      </c>
      <c r="O13" s="40">
        <v>0</v>
      </c>
      <c r="P13" s="40">
        <v>1.43</v>
      </c>
      <c r="Q13" s="40">
        <v>9.32</v>
      </c>
      <c r="R13" s="38"/>
      <c r="S13" s="38"/>
      <c r="T13" s="38"/>
      <c r="U13" s="38"/>
    </row>
    <row r="14" spans="1:21" customFormat="1">
      <c r="A14" s="39" t="s">
        <v>618</v>
      </c>
      <c r="B14" s="40">
        <v>26.25</v>
      </c>
      <c r="C14" s="40">
        <v>16.649999999999999</v>
      </c>
      <c r="D14" s="40">
        <v>29.75</v>
      </c>
      <c r="E14" s="40">
        <v>3.84</v>
      </c>
      <c r="F14" s="40">
        <v>1.23</v>
      </c>
      <c r="G14" s="40">
        <v>88.8</v>
      </c>
      <c r="H14" s="40">
        <v>52.31</v>
      </c>
      <c r="I14" s="40">
        <v>25.1</v>
      </c>
      <c r="J14" s="40">
        <v>0.14000000000000001</v>
      </c>
      <c r="K14" s="40">
        <v>211.42</v>
      </c>
      <c r="L14" s="40">
        <v>9.7899999999999991</v>
      </c>
      <c r="M14" s="40">
        <v>93.88</v>
      </c>
      <c r="N14" s="40">
        <v>14.7</v>
      </c>
      <c r="O14" s="40">
        <v>0</v>
      </c>
      <c r="P14" s="40">
        <v>1.49</v>
      </c>
      <c r="Q14" s="40">
        <v>9.32</v>
      </c>
      <c r="R14" s="38"/>
      <c r="S14" s="38"/>
      <c r="T14" s="38"/>
      <c r="U14" s="38"/>
    </row>
    <row r="15" spans="1:21" customFormat="1">
      <c r="A15" s="39" t="s">
        <v>619</v>
      </c>
      <c r="B15" s="40">
        <v>25.84</v>
      </c>
      <c r="C15" s="40">
        <v>16.05</v>
      </c>
      <c r="D15" s="40">
        <v>29.09</v>
      </c>
      <c r="E15" s="40">
        <v>3.92</v>
      </c>
      <c r="F15" s="40">
        <v>1.38</v>
      </c>
      <c r="G15" s="40">
        <v>88.52</v>
      </c>
      <c r="H15" s="40">
        <v>53.09</v>
      </c>
      <c r="I15" s="40">
        <v>26.47</v>
      </c>
      <c r="J15" s="40">
        <v>0.19</v>
      </c>
      <c r="K15" s="40">
        <v>224.34</v>
      </c>
      <c r="L15" s="40">
        <v>9.52</v>
      </c>
      <c r="M15" s="40">
        <v>93.9</v>
      </c>
      <c r="N15" s="40">
        <v>23.9</v>
      </c>
      <c r="O15" s="40">
        <v>0</v>
      </c>
      <c r="P15" s="40">
        <v>1.58</v>
      </c>
      <c r="Q15" s="40">
        <v>9.32</v>
      </c>
      <c r="R15" s="38"/>
      <c r="S15" s="38"/>
      <c r="T15" s="38"/>
      <c r="U15" s="38"/>
    </row>
    <row r="16" spans="1:21" customFormat="1">
      <c r="A16" s="39" t="s">
        <v>620</v>
      </c>
      <c r="B16" s="40">
        <v>25.61</v>
      </c>
      <c r="C16" s="40">
        <v>16.350000000000001</v>
      </c>
      <c r="D16" s="40">
        <v>28.7</v>
      </c>
      <c r="E16" s="40">
        <v>4.37</v>
      </c>
      <c r="F16" s="40">
        <v>1.44</v>
      </c>
      <c r="G16" s="40">
        <v>86.98</v>
      </c>
      <c r="H16" s="40">
        <v>55.72</v>
      </c>
      <c r="I16" s="40">
        <v>28.32</v>
      </c>
      <c r="J16" s="40">
        <v>0.24</v>
      </c>
      <c r="K16" s="40">
        <v>161.66999999999999</v>
      </c>
      <c r="L16" s="40">
        <v>11.4</v>
      </c>
      <c r="M16" s="40">
        <v>93.9</v>
      </c>
      <c r="N16" s="40">
        <v>59</v>
      </c>
      <c r="O16" s="40">
        <v>0</v>
      </c>
      <c r="P16" s="40">
        <v>1.7</v>
      </c>
      <c r="Q16" s="40">
        <v>9.32</v>
      </c>
      <c r="R16" s="38"/>
      <c r="S16" s="38"/>
      <c r="T16" s="38"/>
      <c r="U16" s="38"/>
    </row>
    <row r="17" spans="1:21" customFormat="1">
      <c r="A17" s="39" t="s">
        <v>621</v>
      </c>
      <c r="B17" s="40">
        <v>24.42</v>
      </c>
      <c r="C17" s="40">
        <v>19.309999999999999</v>
      </c>
      <c r="D17" s="40">
        <v>28.38</v>
      </c>
      <c r="E17" s="40">
        <v>4.37</v>
      </c>
      <c r="F17" s="40">
        <v>1.47</v>
      </c>
      <c r="G17" s="40">
        <v>91.07</v>
      </c>
      <c r="H17" s="40">
        <v>61.51</v>
      </c>
      <c r="I17" s="40">
        <v>29.65</v>
      </c>
      <c r="J17" s="40">
        <v>0.69</v>
      </c>
      <c r="K17" s="40">
        <v>160.63</v>
      </c>
      <c r="L17" s="40">
        <v>16.54</v>
      </c>
      <c r="M17" s="40">
        <v>84.21</v>
      </c>
      <c r="N17" s="40">
        <v>269</v>
      </c>
      <c r="O17" s="40">
        <v>0</v>
      </c>
      <c r="P17" s="40">
        <v>1.72</v>
      </c>
      <c r="Q17" s="40">
        <v>9.32</v>
      </c>
      <c r="R17" s="38"/>
      <c r="S17" s="38"/>
      <c r="T17" s="38"/>
      <c r="U17" s="38"/>
    </row>
    <row r="18" spans="1:21" customFormat="1">
      <c r="A18" s="39" t="s">
        <v>622</v>
      </c>
      <c r="B18" s="40">
        <v>20.6</v>
      </c>
      <c r="C18" s="40">
        <v>20.61</v>
      </c>
      <c r="D18" s="40">
        <v>26.91</v>
      </c>
      <c r="E18" s="40">
        <v>4.4800000000000004</v>
      </c>
      <c r="F18" s="40">
        <v>1.49</v>
      </c>
      <c r="G18" s="40">
        <v>94.86</v>
      </c>
      <c r="H18" s="40">
        <v>64.72</v>
      </c>
      <c r="I18" s="40">
        <v>29.53</v>
      </c>
      <c r="J18" s="40">
        <v>0.65</v>
      </c>
      <c r="K18" s="40">
        <v>90.3</v>
      </c>
      <c r="L18" s="40">
        <v>20.69</v>
      </c>
      <c r="M18" s="40">
        <v>54.21</v>
      </c>
      <c r="N18" s="40">
        <v>172.3</v>
      </c>
      <c r="O18" s="40">
        <v>0</v>
      </c>
      <c r="P18" s="40">
        <v>1.63</v>
      </c>
      <c r="Q18" s="40">
        <v>9.32</v>
      </c>
      <c r="R18" s="38"/>
      <c r="S18" s="38"/>
      <c r="T18" s="38"/>
      <c r="U18" s="38"/>
    </row>
    <row r="19" spans="1:21" customFormat="1">
      <c r="A19" s="39" t="s">
        <v>623</v>
      </c>
      <c r="B19" s="40">
        <v>16.22</v>
      </c>
      <c r="C19" s="40">
        <v>21.2</v>
      </c>
      <c r="D19" s="40">
        <v>23.88</v>
      </c>
      <c r="E19" s="40">
        <v>6.08</v>
      </c>
      <c r="F19" s="40">
        <v>2.11</v>
      </c>
      <c r="G19" s="40">
        <v>81.3</v>
      </c>
      <c r="H19" s="40">
        <v>53.81</v>
      </c>
      <c r="I19" s="40">
        <v>27.18</v>
      </c>
      <c r="J19" s="40">
        <v>1.05</v>
      </c>
      <c r="K19" s="40">
        <v>76.260000000000005</v>
      </c>
      <c r="L19" s="40">
        <v>22.1</v>
      </c>
      <c r="M19" s="40">
        <v>40.450000000000003</v>
      </c>
      <c r="N19" s="40">
        <v>516.5</v>
      </c>
      <c r="O19" s="40">
        <v>0</v>
      </c>
      <c r="P19" s="40">
        <v>1.43</v>
      </c>
      <c r="Q19" s="40">
        <v>9.32</v>
      </c>
      <c r="R19" s="38"/>
      <c r="S19" s="38"/>
      <c r="T19" s="38"/>
      <c r="U19" s="38"/>
    </row>
    <row r="20" spans="1:21" customFormat="1">
      <c r="A20" s="39" t="s">
        <v>624</v>
      </c>
      <c r="B20" s="40">
        <v>11.24</v>
      </c>
      <c r="C20" s="40">
        <v>21.27</v>
      </c>
      <c r="D20" s="40">
        <v>20.13</v>
      </c>
      <c r="E20" s="40">
        <v>6.48</v>
      </c>
      <c r="F20" s="40">
        <v>3.53</v>
      </c>
      <c r="G20" s="40">
        <v>75.89</v>
      </c>
      <c r="H20" s="40">
        <v>43.06</v>
      </c>
      <c r="I20" s="40">
        <v>24.21</v>
      </c>
      <c r="J20" s="40">
        <v>1.18</v>
      </c>
      <c r="K20" s="40">
        <v>54.48</v>
      </c>
      <c r="L20" s="40">
        <v>24.02</v>
      </c>
      <c r="M20" s="40">
        <v>30.81</v>
      </c>
      <c r="N20" s="40">
        <v>587.5</v>
      </c>
      <c r="O20" s="40">
        <v>0</v>
      </c>
      <c r="P20" s="40">
        <v>1.18</v>
      </c>
      <c r="Q20" s="40">
        <v>9.32</v>
      </c>
      <c r="R20" s="38"/>
      <c r="S20" s="38"/>
      <c r="T20" s="38"/>
      <c r="U20" s="38"/>
    </row>
    <row r="21" spans="1:21" customFormat="1">
      <c r="A21" s="39" t="s">
        <v>625</v>
      </c>
      <c r="B21" s="40">
        <v>7.94</v>
      </c>
      <c r="C21" s="40">
        <v>20.13</v>
      </c>
      <c r="D21" s="40">
        <v>16.89</v>
      </c>
      <c r="E21" s="40">
        <v>7.08</v>
      </c>
      <c r="F21" s="40">
        <v>4.21</v>
      </c>
      <c r="G21" s="40">
        <v>64.08</v>
      </c>
      <c r="H21" s="40">
        <v>27.34</v>
      </c>
      <c r="I21" s="40">
        <v>18.57</v>
      </c>
      <c r="J21" s="40">
        <v>1.31</v>
      </c>
      <c r="K21" s="40">
        <v>60.24</v>
      </c>
      <c r="L21" s="40">
        <v>24.62</v>
      </c>
      <c r="M21" s="40">
        <v>26.12</v>
      </c>
      <c r="N21" s="40">
        <v>589.9</v>
      </c>
      <c r="O21" s="40">
        <v>0</v>
      </c>
      <c r="P21" s="40">
        <v>0.99</v>
      </c>
      <c r="Q21" s="40">
        <v>9.32</v>
      </c>
      <c r="R21" s="38"/>
      <c r="S21" s="38"/>
      <c r="T21" s="38"/>
      <c r="U21" s="38"/>
    </row>
    <row r="22" spans="1:21" customFormat="1">
      <c r="A22" s="39" t="s">
        <v>626</v>
      </c>
      <c r="B22" s="40">
        <v>6.66</v>
      </c>
      <c r="C22" s="40">
        <v>18.649999999999999</v>
      </c>
      <c r="D22" s="40">
        <v>15.09</v>
      </c>
      <c r="E22" s="40">
        <v>6.94</v>
      </c>
      <c r="F22" s="40">
        <v>2.86</v>
      </c>
      <c r="G22" s="40">
        <v>48.16</v>
      </c>
      <c r="H22" s="40">
        <v>16.37</v>
      </c>
      <c r="I22" s="40">
        <v>16.010000000000002</v>
      </c>
      <c r="J22" s="40">
        <v>1.07</v>
      </c>
      <c r="K22" s="40">
        <v>66.239999999999995</v>
      </c>
      <c r="L22" s="40">
        <v>24.92</v>
      </c>
      <c r="M22" s="40">
        <v>24.54</v>
      </c>
      <c r="N22" s="40">
        <v>394.3</v>
      </c>
      <c r="O22" s="40">
        <v>0</v>
      </c>
      <c r="P22" s="40">
        <v>0.86</v>
      </c>
      <c r="Q22" s="40">
        <v>9.32</v>
      </c>
      <c r="R22" s="38"/>
      <c r="S22" s="38"/>
      <c r="T22" s="38"/>
      <c r="U22" s="38"/>
    </row>
    <row r="23" spans="1:21" customFormat="1">
      <c r="A23" s="39" t="s">
        <v>627</v>
      </c>
      <c r="B23" s="40">
        <v>6.1</v>
      </c>
      <c r="C23" s="40">
        <v>17.8</v>
      </c>
      <c r="D23" s="40">
        <v>14.19</v>
      </c>
      <c r="E23" s="40">
        <v>6.95</v>
      </c>
      <c r="F23" s="40">
        <v>4.08</v>
      </c>
      <c r="G23" s="40">
        <v>38.18</v>
      </c>
      <c r="H23" s="40">
        <v>10.52</v>
      </c>
      <c r="I23" s="40">
        <v>15.55</v>
      </c>
      <c r="J23" s="40">
        <v>0.7</v>
      </c>
      <c r="K23" s="40">
        <v>66.16</v>
      </c>
      <c r="L23" s="40">
        <v>24.29</v>
      </c>
      <c r="M23" s="40">
        <v>25.4</v>
      </c>
      <c r="N23" s="40">
        <v>100.7</v>
      </c>
      <c r="O23" s="40">
        <v>0</v>
      </c>
      <c r="P23" s="40">
        <v>0.73</v>
      </c>
      <c r="Q23" s="40">
        <v>9.32</v>
      </c>
      <c r="R23" s="38"/>
      <c r="S23" s="38"/>
      <c r="T23" s="38"/>
      <c r="U23" s="38"/>
    </row>
    <row r="24" spans="1:21" customFormat="1">
      <c r="A24" s="39" t="s">
        <v>628</v>
      </c>
      <c r="B24" s="40">
        <v>5.42</v>
      </c>
      <c r="C24" s="40">
        <v>17.37</v>
      </c>
      <c r="D24" s="40">
        <v>13.42</v>
      </c>
      <c r="E24" s="40">
        <v>6.72</v>
      </c>
      <c r="F24" s="40">
        <v>4</v>
      </c>
      <c r="G24" s="40">
        <v>34.08</v>
      </c>
      <c r="H24" s="40">
        <v>12.75</v>
      </c>
      <c r="I24" s="40">
        <v>13.79</v>
      </c>
      <c r="J24" s="40">
        <v>0.78</v>
      </c>
      <c r="K24" s="40">
        <v>90.05</v>
      </c>
      <c r="L24" s="40">
        <v>24.26</v>
      </c>
      <c r="M24" s="40">
        <v>26.63</v>
      </c>
      <c r="N24" s="40">
        <v>80.900000000000006</v>
      </c>
      <c r="O24" s="40">
        <v>0</v>
      </c>
      <c r="P24" s="40">
        <v>0.67</v>
      </c>
      <c r="Q24" s="40">
        <v>9.32</v>
      </c>
      <c r="R24" s="38"/>
      <c r="S24" s="38"/>
      <c r="T24" s="38"/>
      <c r="U24" s="38"/>
    </row>
    <row r="25" spans="1:21" customFormat="1">
      <c r="A25" s="39" t="s">
        <v>629</v>
      </c>
      <c r="B25" s="40">
        <v>5</v>
      </c>
      <c r="C25" s="40">
        <v>19.260000000000002</v>
      </c>
      <c r="D25" s="40">
        <v>12.92</v>
      </c>
      <c r="E25" s="40">
        <v>7.25</v>
      </c>
      <c r="F25" s="40">
        <v>6.4</v>
      </c>
      <c r="G25" s="40">
        <v>36.58</v>
      </c>
      <c r="H25" s="40">
        <v>14.23</v>
      </c>
      <c r="I25" s="40">
        <v>12.68</v>
      </c>
      <c r="J25" s="40">
        <v>0.38</v>
      </c>
      <c r="K25" s="40">
        <v>158.88999999999999</v>
      </c>
      <c r="L25" s="40">
        <v>23.66</v>
      </c>
      <c r="M25" s="40">
        <v>31.72</v>
      </c>
      <c r="N25" s="40">
        <v>59.4</v>
      </c>
      <c r="O25" s="40">
        <v>0</v>
      </c>
      <c r="P25" s="40">
        <v>0.62</v>
      </c>
      <c r="Q25" s="40">
        <v>9.32</v>
      </c>
      <c r="R25" s="38"/>
      <c r="S25" s="38"/>
      <c r="T25" s="38"/>
      <c r="U25" s="38"/>
    </row>
    <row r="26" spans="1:21" customFormat="1">
      <c r="A26" s="39" t="s">
        <v>630</v>
      </c>
      <c r="B26" s="40">
        <v>4.16</v>
      </c>
      <c r="C26" s="40">
        <v>20.05</v>
      </c>
      <c r="D26" s="40">
        <v>13.71</v>
      </c>
      <c r="E26" s="40">
        <v>5.46</v>
      </c>
      <c r="F26" s="40">
        <v>3.23</v>
      </c>
      <c r="G26" s="40">
        <v>38</v>
      </c>
      <c r="H26" s="40">
        <v>13.63</v>
      </c>
      <c r="I26" s="40">
        <v>10.49</v>
      </c>
      <c r="J26" s="40">
        <v>0.23</v>
      </c>
      <c r="K26" s="40">
        <v>158.21</v>
      </c>
      <c r="L26" s="40">
        <v>21.77</v>
      </c>
      <c r="M26" s="40">
        <v>45.7</v>
      </c>
      <c r="N26" s="40">
        <v>23.9</v>
      </c>
      <c r="O26" s="40">
        <v>0</v>
      </c>
      <c r="P26" s="40">
        <v>0.45</v>
      </c>
      <c r="Q26" s="40">
        <v>9.32</v>
      </c>
      <c r="R26" s="38"/>
      <c r="S26" s="38"/>
      <c r="T26" s="38"/>
      <c r="U26" s="38"/>
    </row>
    <row r="27" spans="1:21" customFormat="1">
      <c r="A27" s="39" t="s">
        <v>631</v>
      </c>
      <c r="B27" s="40">
        <v>8.89</v>
      </c>
      <c r="C27" s="40">
        <v>21.11</v>
      </c>
      <c r="D27" s="40">
        <v>18.149999999999999</v>
      </c>
      <c r="E27" s="40">
        <v>5.52</v>
      </c>
      <c r="F27" s="40">
        <v>1.33</v>
      </c>
      <c r="G27" s="40">
        <v>47.96</v>
      </c>
      <c r="H27" s="40">
        <v>17.489999999999998</v>
      </c>
      <c r="I27" s="40">
        <v>10.119999999999999</v>
      </c>
      <c r="J27" s="40">
        <v>0.26</v>
      </c>
      <c r="K27" s="40">
        <v>172.73</v>
      </c>
      <c r="L27" s="40">
        <v>18.68</v>
      </c>
      <c r="M27" s="40">
        <v>58.52</v>
      </c>
      <c r="N27" s="40">
        <v>14.7</v>
      </c>
      <c r="O27" s="40">
        <v>0</v>
      </c>
      <c r="P27" s="40">
        <v>0.52</v>
      </c>
      <c r="Q27" s="40">
        <v>9.32</v>
      </c>
      <c r="R27" s="38"/>
      <c r="S27" s="38"/>
      <c r="T27" s="38"/>
      <c r="U27" s="38"/>
    </row>
    <row r="28" spans="1:21" customFormat="1">
      <c r="A28" s="39" t="s">
        <v>632</v>
      </c>
      <c r="B28" s="40">
        <v>10.3</v>
      </c>
      <c r="C28" s="40">
        <v>20.95</v>
      </c>
      <c r="D28" s="40">
        <v>18.88</v>
      </c>
      <c r="E28" s="40">
        <v>6.05</v>
      </c>
      <c r="F28" s="40">
        <v>1.27</v>
      </c>
      <c r="G28" s="40">
        <v>69.19</v>
      </c>
      <c r="H28" s="40">
        <v>23.76</v>
      </c>
      <c r="I28" s="40">
        <v>11.39</v>
      </c>
      <c r="J28" s="40">
        <v>0.22</v>
      </c>
      <c r="K28" s="40">
        <v>195.09</v>
      </c>
      <c r="L28" s="40">
        <v>16.47</v>
      </c>
      <c r="M28" s="40">
        <v>70.599999999999994</v>
      </c>
      <c r="N28" s="40">
        <v>14.7</v>
      </c>
      <c r="O28" s="40">
        <v>0</v>
      </c>
      <c r="P28" s="40">
        <v>0.56999999999999995</v>
      </c>
      <c r="Q28" s="40">
        <v>9.32</v>
      </c>
      <c r="R28" s="38"/>
      <c r="S28" s="38"/>
      <c r="T28" s="38"/>
      <c r="U28" s="38"/>
    </row>
    <row r="29" spans="1:21" customFormat="1">
      <c r="A29" s="39" t="s">
        <v>633</v>
      </c>
      <c r="B29" s="40">
        <v>10.6</v>
      </c>
      <c r="C29" s="40">
        <v>19.84</v>
      </c>
      <c r="D29" s="40">
        <v>18.75</v>
      </c>
      <c r="E29" s="40">
        <v>5.98</v>
      </c>
      <c r="F29" s="40">
        <v>1.36</v>
      </c>
      <c r="G29" s="40">
        <v>66.959999999999994</v>
      </c>
      <c r="H29" s="40">
        <v>22.57</v>
      </c>
      <c r="I29" s="40">
        <v>12.18</v>
      </c>
      <c r="J29" s="40">
        <v>0.19</v>
      </c>
      <c r="K29" s="40">
        <v>203.67</v>
      </c>
      <c r="L29" s="40">
        <v>14.88</v>
      </c>
      <c r="M29" s="40">
        <v>71.66</v>
      </c>
      <c r="N29" s="40">
        <v>14.3</v>
      </c>
      <c r="O29" s="40">
        <v>0</v>
      </c>
      <c r="P29" s="40">
        <v>0.6</v>
      </c>
      <c r="Q29" s="40">
        <v>9.32</v>
      </c>
      <c r="R29" s="38"/>
      <c r="S29" s="38"/>
      <c r="T29" s="38"/>
      <c r="U29" s="38"/>
    </row>
    <row r="30" spans="1:21" customFormat="1">
      <c r="A30" s="39" t="s">
        <v>634</v>
      </c>
      <c r="B30" s="40">
        <v>10.77</v>
      </c>
      <c r="C30" s="40">
        <v>18.64</v>
      </c>
      <c r="D30" s="40">
        <v>18.21</v>
      </c>
      <c r="E30" s="40">
        <v>5.9</v>
      </c>
      <c r="F30" s="40">
        <v>1.48</v>
      </c>
      <c r="G30" s="40">
        <v>70.23</v>
      </c>
      <c r="H30" s="40">
        <v>25.29</v>
      </c>
      <c r="I30" s="40">
        <v>12.71</v>
      </c>
      <c r="J30" s="40">
        <v>0.26</v>
      </c>
      <c r="K30" s="40">
        <v>180.2</v>
      </c>
      <c r="L30" s="40">
        <v>14.44</v>
      </c>
      <c r="M30" s="40">
        <v>77.489999999999995</v>
      </c>
      <c r="N30" s="40">
        <v>14.2</v>
      </c>
      <c r="O30" s="40">
        <v>0</v>
      </c>
      <c r="P30" s="40">
        <v>0.64</v>
      </c>
      <c r="Q30" s="40">
        <v>9.32</v>
      </c>
      <c r="R30" s="38"/>
      <c r="S30" s="38"/>
      <c r="T30" s="38"/>
      <c r="U30" s="38"/>
    </row>
    <row r="31" spans="1:21" customFormat="1">
      <c r="A31" s="39" t="s">
        <v>635</v>
      </c>
      <c r="B31" s="40">
        <v>16.02</v>
      </c>
      <c r="C31" s="40">
        <v>18.96</v>
      </c>
      <c r="D31" s="40">
        <v>22.75</v>
      </c>
      <c r="E31" s="40">
        <v>5.88</v>
      </c>
      <c r="F31" s="40">
        <v>1.29</v>
      </c>
      <c r="G31" s="40">
        <v>66.88</v>
      </c>
      <c r="H31" s="40">
        <v>25.56</v>
      </c>
      <c r="I31" s="40">
        <v>13.53</v>
      </c>
      <c r="J31" s="40">
        <v>0.2</v>
      </c>
      <c r="K31" s="40">
        <v>225.55</v>
      </c>
      <c r="L31" s="40">
        <v>14.17</v>
      </c>
      <c r="M31" s="40">
        <v>73.040000000000006</v>
      </c>
      <c r="N31" s="40">
        <v>14.4</v>
      </c>
      <c r="O31" s="40">
        <v>0</v>
      </c>
      <c r="P31" s="40">
        <v>0.73</v>
      </c>
      <c r="Q31" s="40">
        <v>9.32</v>
      </c>
      <c r="R31" s="38"/>
      <c r="S31" s="38"/>
      <c r="T31" s="38"/>
      <c r="U31" s="38"/>
    </row>
    <row r="32" spans="1:21" customFormat="1">
      <c r="A32" s="39" t="s">
        <v>636</v>
      </c>
      <c r="B32" s="40">
        <v>22.49</v>
      </c>
      <c r="C32" s="40">
        <v>19.75</v>
      </c>
      <c r="D32" s="40">
        <v>28.26</v>
      </c>
      <c r="E32" s="40">
        <v>5.78</v>
      </c>
      <c r="F32" s="40">
        <v>1.35</v>
      </c>
      <c r="G32" s="40">
        <v>71.38</v>
      </c>
      <c r="H32" s="40">
        <v>33.49</v>
      </c>
      <c r="I32" s="40">
        <v>14.42</v>
      </c>
      <c r="J32" s="40">
        <v>0.2</v>
      </c>
      <c r="K32" s="40">
        <v>207.38</v>
      </c>
      <c r="L32" s="40">
        <v>13.26</v>
      </c>
      <c r="M32" s="40">
        <v>85.38</v>
      </c>
      <c r="N32" s="40">
        <v>14.2</v>
      </c>
      <c r="O32" s="40">
        <v>0</v>
      </c>
      <c r="P32" s="40">
        <v>0.78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4.16</v>
      </c>
      <c r="C34" s="18">
        <f t="shared" si="0"/>
        <v>16.05</v>
      </c>
      <c r="D34" s="18">
        <f t="shared" si="0"/>
        <v>12.92</v>
      </c>
      <c r="E34" s="18">
        <f t="shared" si="0"/>
        <v>3.77</v>
      </c>
      <c r="F34" s="18">
        <f t="shared" si="0"/>
        <v>1.2</v>
      </c>
      <c r="G34" s="18">
        <f t="shared" si="0"/>
        <v>34.08</v>
      </c>
      <c r="H34" s="18">
        <f t="shared" si="0"/>
        <v>10.52</v>
      </c>
      <c r="I34" s="18">
        <f t="shared" si="0"/>
        <v>10.119999999999999</v>
      </c>
      <c r="J34" s="18">
        <f t="shared" si="0"/>
        <v>0.14000000000000001</v>
      </c>
      <c r="K34" s="18">
        <f t="shared" si="0"/>
        <v>54.48</v>
      </c>
      <c r="L34" s="18">
        <f t="shared" si="0"/>
        <v>9.52</v>
      </c>
      <c r="M34" s="18">
        <f t="shared" si="0"/>
        <v>24.54</v>
      </c>
      <c r="N34" s="18">
        <f t="shared" si="0"/>
        <v>14.2</v>
      </c>
      <c r="O34" s="18">
        <f t="shared" si="0"/>
        <v>0</v>
      </c>
      <c r="P34" s="18">
        <f t="shared" si="0"/>
        <v>0.45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29.73</v>
      </c>
      <c r="C35" s="3">
        <f t="shared" si="1"/>
        <v>21.27</v>
      </c>
      <c r="D35" s="3">
        <f t="shared" si="1"/>
        <v>33.43</v>
      </c>
      <c r="E35" s="3">
        <f t="shared" si="1"/>
        <v>7.25</v>
      </c>
      <c r="F35" s="3">
        <f t="shared" si="1"/>
        <v>6.4</v>
      </c>
      <c r="G35" s="3">
        <f t="shared" si="1"/>
        <v>94.86</v>
      </c>
      <c r="H35" s="3">
        <f t="shared" si="1"/>
        <v>64.72</v>
      </c>
      <c r="I35" s="3">
        <f t="shared" si="1"/>
        <v>29.65</v>
      </c>
      <c r="J35" s="3">
        <f t="shared" si="1"/>
        <v>1.31</v>
      </c>
      <c r="K35" s="3">
        <f t="shared" si="1"/>
        <v>225.55</v>
      </c>
      <c r="L35" s="3">
        <f t="shared" si="1"/>
        <v>24.92</v>
      </c>
      <c r="M35" s="3">
        <f t="shared" si="1"/>
        <v>93.9</v>
      </c>
      <c r="N35" s="3">
        <f t="shared" si="1"/>
        <v>589.9</v>
      </c>
      <c r="O35" s="3">
        <f t="shared" si="1"/>
        <v>0</v>
      </c>
      <c r="P35" s="3">
        <f t="shared" si="1"/>
        <v>1.72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16.625000000000007</v>
      </c>
      <c r="C36" s="18">
        <f t="shared" si="2"/>
        <v>19.009999999999998</v>
      </c>
      <c r="D36" s="18">
        <f t="shared" si="2"/>
        <v>23.07375</v>
      </c>
      <c r="E36" s="18">
        <f t="shared" si="2"/>
        <v>5.5145833333333334</v>
      </c>
      <c r="F36" s="18">
        <f t="shared" si="2"/>
        <v>2.1645833333333333</v>
      </c>
      <c r="G36" s="18">
        <f t="shared" si="2"/>
        <v>70.361666666666679</v>
      </c>
      <c r="H36" s="18">
        <f t="shared" si="2"/>
        <v>36.71875</v>
      </c>
      <c r="I36" s="18">
        <f t="shared" si="2"/>
        <v>18.598749999999999</v>
      </c>
      <c r="J36" s="18">
        <f t="shared" si="2"/>
        <v>0.45208333333333323</v>
      </c>
      <c r="K36" s="18">
        <f t="shared" si="2"/>
        <v>159.88083333333333</v>
      </c>
      <c r="L36" s="18">
        <f t="shared" si="2"/>
        <v>16.892083333333336</v>
      </c>
      <c r="M36" s="18">
        <f t="shared" si="2"/>
        <v>65.327083333333348</v>
      </c>
      <c r="N36" s="18">
        <f t="shared" si="2"/>
        <v>127.19999999999999</v>
      </c>
      <c r="O36" s="18">
        <f t="shared" si="2"/>
        <v>0</v>
      </c>
      <c r="P36" s="18">
        <f t="shared" si="2"/>
        <v>1.0554166666666667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8.9570661928227597</v>
      </c>
      <c r="C37" s="18">
        <f t="shared" ref="C37:Q37" si="3">STDEV(C9:C32)</f>
        <v>1.5250545250409326</v>
      </c>
      <c r="D37" s="18">
        <f t="shared" si="3"/>
        <v>6.8967243721362035</v>
      </c>
      <c r="E37" s="18">
        <f t="shared" si="3"/>
        <v>1.1345176303712488</v>
      </c>
      <c r="F37" s="18">
        <f t="shared" si="3"/>
        <v>1.3751900395681818</v>
      </c>
      <c r="G37" s="18">
        <f t="shared" si="3"/>
        <v>19.814255225592643</v>
      </c>
      <c r="H37" s="18">
        <f t="shared" si="3"/>
        <v>17.953273968712573</v>
      </c>
      <c r="I37" s="18">
        <f t="shared" si="3"/>
        <v>6.6180341968317729</v>
      </c>
      <c r="J37" s="18">
        <f t="shared" si="3"/>
        <v>0.37453715397827353</v>
      </c>
      <c r="K37" s="18">
        <f t="shared" si="3"/>
        <v>61.704232249791701</v>
      </c>
      <c r="L37" s="18">
        <f t="shared" si="3"/>
        <v>5.6334636647730925</v>
      </c>
      <c r="M37" s="18">
        <f t="shared" si="3"/>
        <v>27.049683993841136</v>
      </c>
      <c r="N37" s="18">
        <f t="shared" si="3"/>
        <v>192.9766622519756</v>
      </c>
      <c r="O37" s="18">
        <f t="shared" si="3"/>
        <v>0</v>
      </c>
      <c r="P37" s="18">
        <f t="shared" si="3"/>
        <v>0.42202389347839847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H18" sqref="H1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637</v>
      </c>
      <c r="B9" s="40">
        <v>25.82</v>
      </c>
      <c r="C9" s="40">
        <v>19.54</v>
      </c>
      <c r="D9" s="40">
        <v>30.91</v>
      </c>
      <c r="E9" s="40">
        <v>5.81</v>
      </c>
      <c r="F9" s="40">
        <v>1.31</v>
      </c>
      <c r="G9" s="40">
        <v>74.12</v>
      </c>
      <c r="H9" s="40">
        <v>32.92</v>
      </c>
      <c r="I9" s="40">
        <v>15.08</v>
      </c>
      <c r="J9" s="40">
        <v>0.2</v>
      </c>
      <c r="K9" s="40">
        <v>216.63</v>
      </c>
      <c r="L9" s="40">
        <v>12.33</v>
      </c>
      <c r="M9" s="40">
        <v>86.86</v>
      </c>
      <c r="N9" s="40">
        <v>14.4</v>
      </c>
      <c r="O9" s="40">
        <v>0</v>
      </c>
      <c r="P9" s="40">
        <v>0.84</v>
      </c>
      <c r="Q9" s="40">
        <v>9.32</v>
      </c>
      <c r="R9" s="38"/>
      <c r="S9" s="38"/>
      <c r="T9" s="38"/>
      <c r="U9" s="38"/>
    </row>
    <row r="10" spans="1:21" customFormat="1">
      <c r="A10" s="39" t="s">
        <v>638</v>
      </c>
      <c r="B10" s="40">
        <v>33.630000000000003</v>
      </c>
      <c r="C10" s="40">
        <v>20.71</v>
      </c>
      <c r="D10" s="40">
        <v>37.79</v>
      </c>
      <c r="E10" s="40">
        <v>5.78</v>
      </c>
      <c r="F10" s="40">
        <v>1.33</v>
      </c>
      <c r="G10" s="40">
        <v>72.05</v>
      </c>
      <c r="H10" s="40">
        <v>34.380000000000003</v>
      </c>
      <c r="I10" s="40">
        <v>15.93</v>
      </c>
      <c r="J10" s="40">
        <v>0.2</v>
      </c>
      <c r="K10" s="40">
        <v>171.83</v>
      </c>
      <c r="L10" s="40">
        <v>12.75</v>
      </c>
      <c r="M10" s="40">
        <v>80.62</v>
      </c>
      <c r="N10" s="40">
        <v>14.2</v>
      </c>
      <c r="O10" s="40">
        <v>0</v>
      </c>
      <c r="P10" s="40">
        <v>0.91</v>
      </c>
      <c r="Q10" s="40">
        <v>9.32</v>
      </c>
      <c r="R10" s="38"/>
      <c r="S10" s="38"/>
      <c r="T10" s="38"/>
      <c r="U10" s="38"/>
    </row>
    <row r="11" spans="1:21" customFormat="1">
      <c r="A11" s="39" t="s">
        <v>639</v>
      </c>
      <c r="B11" s="40">
        <v>34.33</v>
      </c>
      <c r="C11" s="40">
        <v>20.7</v>
      </c>
      <c r="D11" s="40">
        <v>38.35</v>
      </c>
      <c r="E11" s="40">
        <v>6.1</v>
      </c>
      <c r="F11" s="40">
        <v>1.25</v>
      </c>
      <c r="G11" s="40">
        <v>77.66</v>
      </c>
      <c r="H11" s="40">
        <v>35.74</v>
      </c>
      <c r="I11" s="40">
        <v>16.690000000000001</v>
      </c>
      <c r="J11" s="40">
        <v>0.18</v>
      </c>
      <c r="K11" s="40">
        <v>204.07</v>
      </c>
      <c r="L11" s="40">
        <v>11.86</v>
      </c>
      <c r="M11" s="40">
        <v>86.25</v>
      </c>
      <c r="N11" s="40">
        <v>14.5</v>
      </c>
      <c r="O11" s="40">
        <v>0</v>
      </c>
      <c r="P11" s="40">
        <v>0.92</v>
      </c>
      <c r="Q11" s="40">
        <v>9.32</v>
      </c>
      <c r="R11" s="38"/>
      <c r="S11" s="38"/>
      <c r="T11" s="38"/>
      <c r="U11" s="38"/>
    </row>
    <row r="12" spans="1:21" customFormat="1">
      <c r="A12" s="39" t="s">
        <v>640</v>
      </c>
      <c r="B12" s="40">
        <v>36.340000000000003</v>
      </c>
      <c r="C12" s="40">
        <v>20.61</v>
      </c>
      <c r="D12" s="40">
        <v>39.909999999999997</v>
      </c>
      <c r="E12" s="40">
        <v>6.32</v>
      </c>
      <c r="F12" s="40">
        <v>1.25</v>
      </c>
      <c r="G12" s="40">
        <v>75.260000000000005</v>
      </c>
      <c r="H12" s="40">
        <v>35.950000000000003</v>
      </c>
      <c r="I12" s="40">
        <v>15.25</v>
      </c>
      <c r="J12" s="40">
        <v>0.16</v>
      </c>
      <c r="K12" s="40">
        <v>203.31</v>
      </c>
      <c r="L12" s="40">
        <v>11.63</v>
      </c>
      <c r="M12" s="40">
        <v>89.04</v>
      </c>
      <c r="N12" s="40">
        <v>14.2</v>
      </c>
      <c r="O12" s="40">
        <v>0</v>
      </c>
      <c r="P12" s="40">
        <v>0.92</v>
      </c>
      <c r="Q12" s="40">
        <v>9.32</v>
      </c>
      <c r="R12" s="38"/>
      <c r="S12" s="38"/>
      <c r="T12" s="38"/>
      <c r="U12" s="38"/>
    </row>
    <row r="13" spans="1:21" customFormat="1">
      <c r="A13" s="39" t="s">
        <v>641</v>
      </c>
      <c r="B13" s="40">
        <v>38.44</v>
      </c>
      <c r="C13" s="40">
        <v>20.62</v>
      </c>
      <c r="D13" s="40">
        <v>41.6</v>
      </c>
      <c r="E13" s="40">
        <v>6.14</v>
      </c>
      <c r="F13" s="40">
        <v>1.21</v>
      </c>
      <c r="G13" s="40">
        <v>69.319999999999993</v>
      </c>
      <c r="H13" s="40">
        <v>36.57</v>
      </c>
      <c r="I13" s="40">
        <v>13.9</v>
      </c>
      <c r="J13" s="40">
        <v>0.31</v>
      </c>
      <c r="K13" s="40">
        <v>159.52000000000001</v>
      </c>
      <c r="L13" s="40">
        <v>11.78</v>
      </c>
      <c r="M13" s="40">
        <v>83.46</v>
      </c>
      <c r="N13" s="40">
        <v>14.1</v>
      </c>
      <c r="O13" s="40">
        <v>0</v>
      </c>
      <c r="P13" s="40">
        <v>0.91</v>
      </c>
      <c r="Q13" s="40">
        <v>9.32</v>
      </c>
      <c r="R13" s="38"/>
      <c r="S13" s="38"/>
      <c r="T13" s="38"/>
      <c r="U13" s="38"/>
    </row>
    <row r="14" spans="1:21" customFormat="1">
      <c r="A14" s="39" t="s">
        <v>642</v>
      </c>
      <c r="B14" s="40">
        <v>36.880000000000003</v>
      </c>
      <c r="C14" s="40">
        <v>20.260000000000002</v>
      </c>
      <c r="D14" s="40">
        <v>40.119999999999997</v>
      </c>
      <c r="E14" s="40">
        <v>6.02</v>
      </c>
      <c r="F14" s="40">
        <v>1.19</v>
      </c>
      <c r="G14" s="40">
        <v>67.34</v>
      </c>
      <c r="H14" s="40">
        <v>34.21</v>
      </c>
      <c r="I14" s="40">
        <v>14.6</v>
      </c>
      <c r="J14" s="40">
        <v>0.48</v>
      </c>
      <c r="K14" s="40">
        <v>189.08</v>
      </c>
      <c r="L14" s="40">
        <v>12.38</v>
      </c>
      <c r="M14" s="40">
        <v>82.35</v>
      </c>
      <c r="N14" s="40">
        <v>14.8</v>
      </c>
      <c r="O14" s="40">
        <v>0</v>
      </c>
      <c r="P14" s="40">
        <v>0.85</v>
      </c>
      <c r="Q14" s="40">
        <v>9.32</v>
      </c>
      <c r="R14" s="38"/>
      <c r="S14" s="38"/>
      <c r="T14" s="38"/>
      <c r="U14" s="38"/>
    </row>
    <row r="15" spans="1:21" customFormat="1">
      <c r="A15" s="39" t="s">
        <v>643</v>
      </c>
      <c r="B15" s="40">
        <v>32.6</v>
      </c>
      <c r="C15" s="40">
        <v>19.7</v>
      </c>
      <c r="D15" s="40">
        <v>36.43</v>
      </c>
      <c r="E15" s="40">
        <v>5.94</v>
      </c>
      <c r="F15" s="40">
        <v>1.26</v>
      </c>
      <c r="G15" s="40">
        <v>62</v>
      </c>
      <c r="H15" s="40">
        <v>34.159999999999997</v>
      </c>
      <c r="I15" s="40">
        <v>15.39</v>
      </c>
      <c r="J15" s="40">
        <v>0.23</v>
      </c>
      <c r="K15" s="40">
        <v>189.11</v>
      </c>
      <c r="L15" s="40">
        <v>11.26</v>
      </c>
      <c r="M15" s="40">
        <v>87.33</v>
      </c>
      <c r="N15" s="40">
        <v>23.7</v>
      </c>
      <c r="O15" s="40">
        <v>0</v>
      </c>
      <c r="P15" s="40">
        <v>0.79</v>
      </c>
      <c r="Q15" s="40">
        <v>9.32</v>
      </c>
      <c r="R15" s="38"/>
      <c r="S15" s="38"/>
      <c r="T15" s="38"/>
      <c r="U15" s="38"/>
    </row>
    <row r="16" spans="1:21" customFormat="1">
      <c r="A16" s="39" t="s">
        <v>644</v>
      </c>
      <c r="B16" s="40">
        <v>29.23</v>
      </c>
      <c r="C16" s="40">
        <v>18.22</v>
      </c>
      <c r="D16" s="40">
        <v>32.96</v>
      </c>
      <c r="E16" s="40">
        <v>5.78</v>
      </c>
      <c r="F16" s="40">
        <v>1.26</v>
      </c>
      <c r="G16" s="40">
        <v>54.36</v>
      </c>
      <c r="H16" s="40">
        <v>32.43</v>
      </c>
      <c r="I16" s="40">
        <v>15.16</v>
      </c>
      <c r="J16" s="40">
        <v>0.18</v>
      </c>
      <c r="K16" s="40">
        <v>186.35</v>
      </c>
      <c r="L16" s="40">
        <v>12.54</v>
      </c>
      <c r="M16" s="40">
        <v>88.44</v>
      </c>
      <c r="N16" s="40">
        <v>61.9</v>
      </c>
      <c r="O16" s="40">
        <v>0</v>
      </c>
      <c r="P16" s="40">
        <v>0.79</v>
      </c>
      <c r="Q16" s="40">
        <v>9.32</v>
      </c>
      <c r="R16" s="38"/>
      <c r="S16" s="38"/>
      <c r="T16" s="38"/>
      <c r="U16" s="38"/>
    </row>
    <row r="17" spans="1:21" customFormat="1">
      <c r="A17" s="39" t="s">
        <v>645</v>
      </c>
      <c r="B17" s="40">
        <v>25.9</v>
      </c>
      <c r="C17" s="40">
        <v>19.190000000000001</v>
      </c>
      <c r="D17" s="40">
        <v>30.26</v>
      </c>
      <c r="E17" s="40">
        <v>5.74</v>
      </c>
      <c r="F17" s="40">
        <v>1.4</v>
      </c>
      <c r="G17" s="40">
        <v>53.91</v>
      </c>
      <c r="H17" s="40">
        <v>32.25</v>
      </c>
      <c r="I17" s="40">
        <v>15.02</v>
      </c>
      <c r="J17" s="40">
        <v>0.47</v>
      </c>
      <c r="K17" s="40">
        <v>76.099999999999994</v>
      </c>
      <c r="L17" s="40">
        <v>17.03</v>
      </c>
      <c r="M17" s="40">
        <v>69.040000000000006</v>
      </c>
      <c r="N17" s="40">
        <v>251.6</v>
      </c>
      <c r="O17" s="40">
        <v>0</v>
      </c>
      <c r="P17" s="40">
        <v>0.78</v>
      </c>
      <c r="Q17" s="40">
        <v>9.32</v>
      </c>
      <c r="R17" s="38"/>
      <c r="S17" s="38"/>
      <c r="T17" s="38"/>
      <c r="U17" s="38"/>
    </row>
    <row r="18" spans="1:21" customFormat="1">
      <c r="A18" s="39" t="s">
        <v>646</v>
      </c>
      <c r="B18" s="40">
        <v>23.01</v>
      </c>
      <c r="C18" s="40">
        <v>19.149999999999999</v>
      </c>
      <c r="D18" s="40">
        <v>28.46</v>
      </c>
      <c r="E18" s="40">
        <v>5.43</v>
      </c>
      <c r="F18" s="40">
        <v>1.5</v>
      </c>
      <c r="G18" s="40">
        <v>53.85</v>
      </c>
      <c r="H18" s="40">
        <v>31.55</v>
      </c>
      <c r="I18" s="40">
        <v>14.51</v>
      </c>
      <c r="J18" s="40">
        <v>1</v>
      </c>
      <c r="K18" s="40">
        <v>71.78</v>
      </c>
      <c r="L18" s="40">
        <v>19.690000000000001</v>
      </c>
      <c r="M18" s="40">
        <v>51.33</v>
      </c>
      <c r="N18" s="40">
        <v>179.2</v>
      </c>
      <c r="O18" s="40">
        <v>0</v>
      </c>
      <c r="P18" s="40">
        <v>0.75</v>
      </c>
      <c r="Q18" s="40">
        <v>9.32</v>
      </c>
      <c r="R18" s="38"/>
      <c r="S18" s="38"/>
      <c r="T18" s="38"/>
      <c r="U18" s="38"/>
    </row>
    <row r="19" spans="1:21" customFormat="1">
      <c r="A19" s="39" t="s">
        <v>647</v>
      </c>
      <c r="B19" s="40">
        <v>18.12</v>
      </c>
      <c r="C19" s="40">
        <v>19.12</v>
      </c>
      <c r="D19" s="40">
        <v>24.51</v>
      </c>
      <c r="E19" s="40">
        <v>5.54</v>
      </c>
      <c r="F19" s="40">
        <v>1.54</v>
      </c>
      <c r="G19" s="40">
        <v>49.55</v>
      </c>
      <c r="H19" s="40">
        <v>29.34</v>
      </c>
      <c r="I19" s="40">
        <v>14.12</v>
      </c>
      <c r="J19" s="40">
        <v>0.91</v>
      </c>
      <c r="K19" s="40">
        <v>82.52</v>
      </c>
      <c r="L19" s="40">
        <v>21.75</v>
      </c>
      <c r="M19" s="40">
        <v>41.37</v>
      </c>
      <c r="N19" s="40">
        <v>504.8</v>
      </c>
      <c r="O19" s="40">
        <v>0</v>
      </c>
      <c r="P19" s="40">
        <v>0.7</v>
      </c>
      <c r="Q19" s="40">
        <v>9.32</v>
      </c>
      <c r="R19" s="38"/>
      <c r="S19" s="38"/>
      <c r="T19" s="38"/>
      <c r="U19" s="38"/>
    </row>
    <row r="20" spans="1:21" customFormat="1">
      <c r="A20" s="39" t="s">
        <v>648</v>
      </c>
      <c r="B20" s="40">
        <v>13.83</v>
      </c>
      <c r="C20" s="40">
        <v>19.12</v>
      </c>
      <c r="D20" s="40">
        <v>21.07</v>
      </c>
      <c r="E20" s="40">
        <v>5.96</v>
      </c>
      <c r="F20" s="40">
        <v>2.14</v>
      </c>
      <c r="G20" s="40">
        <v>45.81</v>
      </c>
      <c r="H20" s="40">
        <v>24.8</v>
      </c>
      <c r="I20" s="40">
        <v>12.84</v>
      </c>
      <c r="J20" s="40">
        <v>0.67</v>
      </c>
      <c r="K20" s="40">
        <v>175.86</v>
      </c>
      <c r="L20" s="40">
        <v>23.48</v>
      </c>
      <c r="M20" s="40">
        <v>34.97</v>
      </c>
      <c r="N20" s="40">
        <v>557.29999999999995</v>
      </c>
      <c r="O20" s="40">
        <v>0</v>
      </c>
      <c r="P20" s="40">
        <v>0.65</v>
      </c>
      <c r="Q20" s="40">
        <v>9.32</v>
      </c>
      <c r="R20" s="38"/>
      <c r="S20" s="38"/>
      <c r="T20" s="38"/>
      <c r="U20" s="38"/>
    </row>
    <row r="21" spans="1:21" customFormat="1">
      <c r="A21" s="39" t="s">
        <v>649</v>
      </c>
      <c r="B21" s="40">
        <v>9.7200000000000006</v>
      </c>
      <c r="C21" s="40">
        <v>19.43</v>
      </c>
      <c r="D21" s="40">
        <v>17.649999999999999</v>
      </c>
      <c r="E21" s="40">
        <v>5.94</v>
      </c>
      <c r="F21" s="40">
        <v>2.82</v>
      </c>
      <c r="G21" s="40">
        <v>39.46</v>
      </c>
      <c r="H21" s="40">
        <v>21.91</v>
      </c>
      <c r="I21" s="40">
        <v>11.99</v>
      </c>
      <c r="J21" s="40">
        <v>1.04</v>
      </c>
      <c r="K21" s="40">
        <v>142.85</v>
      </c>
      <c r="L21" s="40">
        <v>24.25</v>
      </c>
      <c r="M21" s="40">
        <v>31.62</v>
      </c>
      <c r="N21" s="40">
        <v>554.79999999999995</v>
      </c>
      <c r="O21" s="40">
        <v>0</v>
      </c>
      <c r="P21" s="40">
        <v>0.56999999999999995</v>
      </c>
      <c r="Q21" s="40">
        <v>9.32</v>
      </c>
      <c r="R21" s="38"/>
      <c r="S21" s="38"/>
      <c r="T21" s="38"/>
      <c r="U21" s="38"/>
    </row>
    <row r="22" spans="1:21" customFormat="1">
      <c r="A22" s="39" t="s">
        <v>650</v>
      </c>
      <c r="B22" s="40">
        <v>5.3</v>
      </c>
      <c r="C22" s="40">
        <v>19.579999999999998</v>
      </c>
      <c r="D22" s="40">
        <v>14.48</v>
      </c>
      <c r="E22" s="40">
        <v>6</v>
      </c>
      <c r="F22" s="40">
        <v>3.63</v>
      </c>
      <c r="G22" s="40">
        <v>37.36</v>
      </c>
      <c r="H22" s="40">
        <v>20.309999999999999</v>
      </c>
      <c r="I22" s="40">
        <v>11.05</v>
      </c>
      <c r="J22" s="40">
        <v>0.88</v>
      </c>
      <c r="K22" s="40">
        <v>333.93</v>
      </c>
      <c r="L22" s="40">
        <v>23.82</v>
      </c>
      <c r="M22" s="40">
        <v>31.48</v>
      </c>
      <c r="N22" s="40">
        <v>446.7</v>
      </c>
      <c r="O22" s="40">
        <v>0</v>
      </c>
      <c r="P22" s="40">
        <v>0.51</v>
      </c>
      <c r="Q22" s="40">
        <v>9.32</v>
      </c>
      <c r="R22" s="38"/>
      <c r="S22" s="38"/>
      <c r="T22" s="38"/>
      <c r="U22" s="38"/>
    </row>
    <row r="23" spans="1:21" customFormat="1">
      <c r="A23" s="39" t="s">
        <v>651</v>
      </c>
      <c r="B23" s="40">
        <v>3.45</v>
      </c>
      <c r="C23" s="40">
        <v>17.8</v>
      </c>
      <c r="D23" s="40">
        <v>12.07</v>
      </c>
      <c r="E23" s="40">
        <v>6.02</v>
      </c>
      <c r="F23" s="40">
        <v>4.42</v>
      </c>
      <c r="G23" s="40">
        <v>35.979999999999997</v>
      </c>
      <c r="H23" s="40">
        <v>16.59</v>
      </c>
      <c r="I23" s="40">
        <v>10.199999999999999</v>
      </c>
      <c r="J23" s="40">
        <v>0.34</v>
      </c>
      <c r="K23" s="40">
        <v>111.18</v>
      </c>
      <c r="L23" s="40">
        <v>23.8</v>
      </c>
      <c r="M23" s="40">
        <v>30</v>
      </c>
      <c r="N23" s="40">
        <v>109.4</v>
      </c>
      <c r="O23" s="40">
        <v>0</v>
      </c>
      <c r="P23" s="40">
        <v>0.46</v>
      </c>
      <c r="Q23" s="40">
        <v>9.32</v>
      </c>
      <c r="R23" s="38"/>
      <c r="S23" s="38"/>
      <c r="T23" s="38"/>
      <c r="U23" s="38"/>
    </row>
    <row r="24" spans="1:21" customFormat="1">
      <c r="A24" s="39" t="s">
        <v>652</v>
      </c>
      <c r="B24" s="40">
        <v>3.36</v>
      </c>
      <c r="C24" s="40">
        <v>17.05</v>
      </c>
      <c r="D24" s="40">
        <v>11.61</v>
      </c>
      <c r="E24" s="40">
        <v>6.31</v>
      </c>
      <c r="F24" s="40">
        <v>4.51</v>
      </c>
      <c r="G24" s="40">
        <v>35.19</v>
      </c>
      <c r="H24" s="40">
        <v>16.53</v>
      </c>
      <c r="I24" s="40">
        <v>9.36</v>
      </c>
      <c r="J24" s="40">
        <v>0.67</v>
      </c>
      <c r="K24" s="40">
        <v>177.64</v>
      </c>
      <c r="L24" s="40">
        <v>23.72</v>
      </c>
      <c r="M24" s="40">
        <v>34.06</v>
      </c>
      <c r="N24" s="40">
        <v>91.6</v>
      </c>
      <c r="O24" s="40">
        <v>0</v>
      </c>
      <c r="P24" s="40">
        <v>0.44</v>
      </c>
      <c r="Q24" s="40">
        <v>9.32</v>
      </c>
      <c r="R24" s="38"/>
      <c r="S24" s="38"/>
      <c r="T24" s="38"/>
      <c r="U24" s="38"/>
    </row>
    <row r="25" spans="1:21" customFormat="1">
      <c r="A25" s="39" t="s">
        <v>653</v>
      </c>
      <c r="B25" s="40">
        <v>3.47</v>
      </c>
      <c r="C25" s="40">
        <v>16.670000000000002</v>
      </c>
      <c r="D25" s="40">
        <v>11.44</v>
      </c>
      <c r="E25" s="40">
        <v>6.24</v>
      </c>
      <c r="F25" s="40">
        <v>3.39</v>
      </c>
      <c r="G25" s="40">
        <v>37.78</v>
      </c>
      <c r="H25" s="40">
        <v>20.059999999999999</v>
      </c>
      <c r="I25" s="40">
        <v>8.7899999999999991</v>
      </c>
      <c r="J25" s="40">
        <v>0.37</v>
      </c>
      <c r="K25" s="40">
        <v>167.53</v>
      </c>
      <c r="L25" s="40">
        <v>22.58</v>
      </c>
      <c r="M25" s="40">
        <v>45.01</v>
      </c>
      <c r="N25" s="40">
        <v>56</v>
      </c>
      <c r="O25" s="40">
        <v>0</v>
      </c>
      <c r="P25" s="40">
        <v>0.43</v>
      </c>
      <c r="Q25" s="40">
        <v>9.32</v>
      </c>
      <c r="R25" s="38"/>
      <c r="S25" s="38"/>
      <c r="T25" s="38"/>
      <c r="U25" s="38"/>
    </row>
    <row r="26" spans="1:21" customFormat="1">
      <c r="A26" s="39" t="s">
        <v>654</v>
      </c>
      <c r="B26" s="40">
        <v>5.29</v>
      </c>
      <c r="C26" s="40">
        <v>16.940000000000001</v>
      </c>
      <c r="D26" s="40">
        <v>13.09</v>
      </c>
      <c r="E26" s="40">
        <v>6</v>
      </c>
      <c r="F26" s="40">
        <v>2.4500000000000002</v>
      </c>
      <c r="G26" s="40">
        <v>41.58</v>
      </c>
      <c r="H26" s="40">
        <v>20.62</v>
      </c>
      <c r="I26" s="40">
        <v>8.44</v>
      </c>
      <c r="J26" s="40">
        <v>0.26</v>
      </c>
      <c r="K26" s="40">
        <v>170.44</v>
      </c>
      <c r="L26" s="40">
        <v>20.05</v>
      </c>
      <c r="M26" s="40">
        <v>50.93</v>
      </c>
      <c r="N26" s="40">
        <v>28.1</v>
      </c>
      <c r="O26" s="40">
        <v>0</v>
      </c>
      <c r="P26" s="40">
        <v>0.48</v>
      </c>
      <c r="Q26" s="40">
        <v>9.32</v>
      </c>
      <c r="R26" s="38"/>
      <c r="S26" s="38"/>
      <c r="T26" s="38"/>
      <c r="U26" s="38"/>
    </row>
    <row r="27" spans="1:21" customFormat="1">
      <c r="A27" s="39" t="s">
        <v>655</v>
      </c>
      <c r="B27" s="40">
        <v>8.51</v>
      </c>
      <c r="C27" s="40">
        <v>19.05</v>
      </c>
      <c r="D27" s="40">
        <v>16.78</v>
      </c>
      <c r="E27" s="40">
        <v>5.92</v>
      </c>
      <c r="F27" s="40">
        <v>1.24</v>
      </c>
      <c r="G27" s="40">
        <v>49.28</v>
      </c>
      <c r="H27" s="40">
        <v>22.08</v>
      </c>
      <c r="I27" s="40">
        <v>8.8800000000000008</v>
      </c>
      <c r="J27" s="40">
        <v>0.3</v>
      </c>
      <c r="K27" s="40">
        <v>158.38</v>
      </c>
      <c r="L27" s="40">
        <v>18.170000000000002</v>
      </c>
      <c r="M27" s="40">
        <v>56.65</v>
      </c>
      <c r="N27" s="40">
        <v>20.5</v>
      </c>
      <c r="O27" s="40">
        <v>0</v>
      </c>
      <c r="P27" s="40">
        <v>0.55000000000000004</v>
      </c>
      <c r="Q27" s="40">
        <v>9.32</v>
      </c>
      <c r="R27" s="38"/>
      <c r="S27" s="38"/>
      <c r="T27" s="38"/>
      <c r="U27" s="38"/>
    </row>
    <row r="28" spans="1:21" customFormat="1">
      <c r="A28" s="39" t="s">
        <v>656</v>
      </c>
      <c r="B28" s="40">
        <v>9.1999999999999993</v>
      </c>
      <c r="C28" s="40">
        <v>19.440000000000001</v>
      </c>
      <c r="D28" s="40">
        <v>17.489999999999998</v>
      </c>
      <c r="E28" s="40">
        <v>5.97</v>
      </c>
      <c r="F28" s="40">
        <v>1.1399999999999999</v>
      </c>
      <c r="G28" s="40">
        <v>61.35</v>
      </c>
      <c r="H28" s="40">
        <v>24.9</v>
      </c>
      <c r="I28" s="40">
        <v>9.52</v>
      </c>
      <c r="J28" s="40">
        <v>0.28999999999999998</v>
      </c>
      <c r="K28" s="40">
        <v>202.98</v>
      </c>
      <c r="L28" s="40">
        <v>16.77</v>
      </c>
      <c r="M28" s="40">
        <v>75.98</v>
      </c>
      <c r="N28" s="40">
        <v>20.3</v>
      </c>
      <c r="O28" s="40">
        <v>0</v>
      </c>
      <c r="P28" s="40">
        <v>0.62</v>
      </c>
      <c r="Q28" s="40">
        <v>9.32</v>
      </c>
      <c r="R28" s="38"/>
      <c r="S28" s="38"/>
      <c r="T28" s="38"/>
      <c r="U28" s="38"/>
    </row>
    <row r="29" spans="1:21" customFormat="1">
      <c r="A29" s="39" t="s">
        <v>657</v>
      </c>
      <c r="B29" s="40">
        <v>9.84</v>
      </c>
      <c r="C29" s="40">
        <v>19.18</v>
      </c>
      <c r="D29" s="40">
        <v>17.66</v>
      </c>
      <c r="E29" s="40">
        <v>5.7</v>
      </c>
      <c r="F29" s="40">
        <v>1.24</v>
      </c>
      <c r="G29" s="40">
        <v>61.36</v>
      </c>
      <c r="H29" s="40">
        <v>26.48</v>
      </c>
      <c r="I29" s="40">
        <v>10.4</v>
      </c>
      <c r="J29" s="40">
        <v>0.2</v>
      </c>
      <c r="K29" s="40">
        <v>225.73</v>
      </c>
      <c r="L29" s="40">
        <v>14.75</v>
      </c>
      <c r="M29" s="40">
        <v>80.400000000000006</v>
      </c>
      <c r="N29" s="40">
        <v>20.100000000000001</v>
      </c>
      <c r="O29" s="40">
        <v>0</v>
      </c>
      <c r="P29" s="40">
        <v>0.67</v>
      </c>
      <c r="Q29" s="40">
        <v>9.32</v>
      </c>
      <c r="R29" s="38"/>
      <c r="S29" s="38"/>
      <c r="T29" s="38"/>
      <c r="U29" s="38"/>
    </row>
    <row r="30" spans="1:21" customFormat="1">
      <c r="A30" s="39" t="s">
        <v>658</v>
      </c>
      <c r="B30" s="40">
        <v>10.25</v>
      </c>
      <c r="C30" s="40">
        <v>18.5</v>
      </c>
      <c r="D30" s="40">
        <v>17.649999999999999</v>
      </c>
      <c r="E30" s="40">
        <v>5.97</v>
      </c>
      <c r="F30" s="40">
        <v>1.28</v>
      </c>
      <c r="G30" s="40">
        <v>74.3</v>
      </c>
      <c r="H30" s="40">
        <v>28.71</v>
      </c>
      <c r="I30" s="40">
        <v>11.16</v>
      </c>
      <c r="J30" s="40">
        <v>0.17</v>
      </c>
      <c r="K30" s="40">
        <v>225.83</v>
      </c>
      <c r="L30" s="40">
        <v>13.94</v>
      </c>
      <c r="M30" s="40">
        <v>82.04</v>
      </c>
      <c r="N30" s="40">
        <v>19.899999999999999</v>
      </c>
      <c r="O30" s="40">
        <v>0</v>
      </c>
      <c r="P30" s="40">
        <v>0.69</v>
      </c>
      <c r="Q30" s="40">
        <v>9.32</v>
      </c>
      <c r="R30" s="38"/>
      <c r="S30" s="38"/>
      <c r="T30" s="38"/>
      <c r="U30" s="38"/>
    </row>
    <row r="31" spans="1:21" customFormat="1">
      <c r="A31" s="39" t="s">
        <v>659</v>
      </c>
      <c r="B31" s="40">
        <v>10.62</v>
      </c>
      <c r="C31" s="40">
        <v>17.489999999999998</v>
      </c>
      <c r="D31" s="40">
        <v>17.46</v>
      </c>
      <c r="E31" s="40">
        <v>5.72</v>
      </c>
      <c r="F31" s="40">
        <v>1.37</v>
      </c>
      <c r="G31" s="40">
        <v>80.58</v>
      </c>
      <c r="H31" s="40">
        <v>31.44</v>
      </c>
      <c r="I31" s="40">
        <v>12.3</v>
      </c>
      <c r="J31" s="40">
        <v>0.2</v>
      </c>
      <c r="K31" s="40">
        <v>191.59</v>
      </c>
      <c r="L31" s="40">
        <v>13.74</v>
      </c>
      <c r="M31" s="40">
        <v>85.34</v>
      </c>
      <c r="N31" s="40">
        <v>19.7</v>
      </c>
      <c r="O31" s="40">
        <v>0</v>
      </c>
      <c r="P31" s="40">
        <v>0.71</v>
      </c>
      <c r="Q31" s="40">
        <v>9.32</v>
      </c>
      <c r="R31" s="38"/>
      <c r="S31" s="38"/>
      <c r="T31" s="38"/>
      <c r="U31" s="38"/>
    </row>
    <row r="32" spans="1:21" customFormat="1">
      <c r="A32" s="39" t="s">
        <v>660</v>
      </c>
      <c r="B32" s="40">
        <v>10.7</v>
      </c>
      <c r="C32" s="40">
        <v>17.010000000000002</v>
      </c>
      <c r="D32" s="40">
        <v>17.47</v>
      </c>
      <c r="E32" s="40">
        <v>5.92</v>
      </c>
      <c r="F32" s="40">
        <v>1.25</v>
      </c>
      <c r="G32" s="40">
        <v>79.86</v>
      </c>
      <c r="H32" s="40">
        <v>34.82</v>
      </c>
      <c r="I32" s="40">
        <v>12.7</v>
      </c>
      <c r="J32" s="40">
        <v>0.25</v>
      </c>
      <c r="K32" s="40">
        <v>238.5</v>
      </c>
      <c r="L32" s="40">
        <v>13.32</v>
      </c>
      <c r="M32" s="40">
        <v>85.27</v>
      </c>
      <c r="N32" s="40">
        <v>19.899999999999999</v>
      </c>
      <c r="O32" s="40">
        <v>0</v>
      </c>
      <c r="P32" s="40">
        <v>0.73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3.36</v>
      </c>
      <c r="C34" s="18">
        <f t="shared" si="0"/>
        <v>16.670000000000002</v>
      </c>
      <c r="D34" s="18">
        <f t="shared" si="0"/>
        <v>11.44</v>
      </c>
      <c r="E34" s="18">
        <f t="shared" si="0"/>
        <v>5.43</v>
      </c>
      <c r="F34" s="18">
        <f t="shared" si="0"/>
        <v>1.1399999999999999</v>
      </c>
      <c r="G34" s="18">
        <f t="shared" si="0"/>
        <v>35.19</v>
      </c>
      <c r="H34" s="18">
        <f t="shared" si="0"/>
        <v>16.53</v>
      </c>
      <c r="I34" s="18">
        <f t="shared" si="0"/>
        <v>8.44</v>
      </c>
      <c r="J34" s="18">
        <f t="shared" si="0"/>
        <v>0.16</v>
      </c>
      <c r="K34" s="18">
        <f t="shared" si="0"/>
        <v>71.78</v>
      </c>
      <c r="L34" s="18">
        <f t="shared" si="0"/>
        <v>11.26</v>
      </c>
      <c r="M34" s="18">
        <f t="shared" si="0"/>
        <v>30</v>
      </c>
      <c r="N34" s="18">
        <f t="shared" si="0"/>
        <v>14.1</v>
      </c>
      <c r="O34" s="18">
        <f t="shared" si="0"/>
        <v>0</v>
      </c>
      <c r="P34" s="18">
        <f t="shared" si="0"/>
        <v>0.43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38.44</v>
      </c>
      <c r="C35" s="3">
        <f t="shared" si="1"/>
        <v>20.71</v>
      </c>
      <c r="D35" s="3">
        <f t="shared" si="1"/>
        <v>41.6</v>
      </c>
      <c r="E35" s="3">
        <f t="shared" si="1"/>
        <v>6.32</v>
      </c>
      <c r="F35" s="3">
        <f t="shared" si="1"/>
        <v>4.51</v>
      </c>
      <c r="G35" s="3">
        <f t="shared" si="1"/>
        <v>80.58</v>
      </c>
      <c r="H35" s="3">
        <f t="shared" si="1"/>
        <v>36.57</v>
      </c>
      <c r="I35" s="3">
        <f t="shared" si="1"/>
        <v>16.690000000000001</v>
      </c>
      <c r="J35" s="3">
        <f t="shared" si="1"/>
        <v>1.04</v>
      </c>
      <c r="K35" s="3">
        <f t="shared" si="1"/>
        <v>333.93</v>
      </c>
      <c r="L35" s="3">
        <f t="shared" si="1"/>
        <v>24.25</v>
      </c>
      <c r="M35" s="3">
        <f t="shared" si="1"/>
        <v>89.04</v>
      </c>
      <c r="N35" s="3">
        <f t="shared" si="1"/>
        <v>557.29999999999995</v>
      </c>
      <c r="O35" s="3">
        <f t="shared" si="1"/>
        <v>0</v>
      </c>
      <c r="P35" s="3">
        <f t="shared" si="1"/>
        <v>0.92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18.243333333333332</v>
      </c>
      <c r="C36" s="18">
        <f t="shared" si="2"/>
        <v>18.96166666666667</v>
      </c>
      <c r="D36" s="18">
        <f t="shared" si="2"/>
        <v>24.467499999999998</v>
      </c>
      <c r="E36" s="18">
        <f t="shared" si="2"/>
        <v>5.9279166666666656</v>
      </c>
      <c r="F36" s="18">
        <f t="shared" si="2"/>
        <v>1.8908333333333334</v>
      </c>
      <c r="G36" s="18">
        <f t="shared" si="2"/>
        <v>57.887916666666655</v>
      </c>
      <c r="H36" s="18">
        <f t="shared" si="2"/>
        <v>28.281250000000004</v>
      </c>
      <c r="I36" s="18">
        <f t="shared" si="2"/>
        <v>12.636666666666668</v>
      </c>
      <c r="J36" s="18">
        <f t="shared" si="2"/>
        <v>0.41499999999999987</v>
      </c>
      <c r="K36" s="18">
        <f t="shared" si="2"/>
        <v>178.03083333333333</v>
      </c>
      <c r="L36" s="18">
        <f t="shared" si="2"/>
        <v>16.974583333333332</v>
      </c>
      <c r="M36" s="18">
        <f t="shared" si="2"/>
        <v>65.410000000000011</v>
      </c>
      <c r="N36" s="18">
        <f t="shared" si="2"/>
        <v>127.9875</v>
      </c>
      <c r="O36" s="18">
        <f t="shared" si="2"/>
        <v>0</v>
      </c>
      <c r="P36" s="18">
        <f t="shared" si="2"/>
        <v>0.69458333333333344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12.434061096935254</v>
      </c>
      <c r="C37" s="18">
        <f t="shared" ref="C37:Q37" si="3">STDEV(C9:C32)</f>
        <v>1.2548225811424207</v>
      </c>
      <c r="D37" s="18">
        <f t="shared" si="3"/>
        <v>10.484052589321198</v>
      </c>
      <c r="E37" s="18">
        <f t="shared" si="3"/>
        <v>0.217754931390606</v>
      </c>
      <c r="F37" s="18">
        <f t="shared" si="3"/>
        <v>1.0626787999598268</v>
      </c>
      <c r="G37" s="18">
        <f t="shared" si="3"/>
        <v>15.386745278116024</v>
      </c>
      <c r="H37" s="18">
        <f t="shared" si="3"/>
        <v>6.5265366756236682</v>
      </c>
      <c r="I37" s="18">
        <f t="shared" si="3"/>
        <v>2.5880169790899603</v>
      </c>
      <c r="J37" s="18">
        <f t="shared" si="3"/>
        <v>0.28626530716619619</v>
      </c>
      <c r="K37" s="18">
        <f t="shared" si="3"/>
        <v>56.682392167974506</v>
      </c>
      <c r="L37" s="18">
        <f t="shared" si="3"/>
        <v>4.8421356940620859</v>
      </c>
      <c r="M37" s="18">
        <f t="shared" si="3"/>
        <v>22.516250170468584</v>
      </c>
      <c r="N37" s="18">
        <f t="shared" si="3"/>
        <v>187.35681909939518</v>
      </c>
      <c r="O37" s="18">
        <f t="shared" si="3"/>
        <v>0</v>
      </c>
      <c r="P37" s="18">
        <f t="shared" si="3"/>
        <v>0.15940048460639497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G15" sqref="G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661</v>
      </c>
      <c r="B9" s="40">
        <v>10.87</v>
      </c>
      <c r="C9" s="40">
        <v>16.23</v>
      </c>
      <c r="D9" s="40">
        <v>17.2</v>
      </c>
      <c r="E9" s="40">
        <v>5.77</v>
      </c>
      <c r="F9" s="40">
        <v>1.4</v>
      </c>
      <c r="G9" s="40">
        <v>70.48</v>
      </c>
      <c r="H9" s="40">
        <v>31.6</v>
      </c>
      <c r="I9" s="40">
        <v>12.71</v>
      </c>
      <c r="J9" s="40">
        <v>0.68</v>
      </c>
      <c r="K9" s="40">
        <v>201.81</v>
      </c>
      <c r="L9" s="40">
        <v>13.16</v>
      </c>
      <c r="M9" s="40">
        <v>84.31</v>
      </c>
      <c r="N9" s="40">
        <v>19.8</v>
      </c>
      <c r="O9" s="40">
        <v>0</v>
      </c>
      <c r="P9" s="40">
        <v>0.73</v>
      </c>
      <c r="Q9" s="40">
        <v>9.32</v>
      </c>
      <c r="R9" s="38"/>
      <c r="S9" s="38"/>
      <c r="T9" s="38"/>
      <c r="U9" s="38"/>
    </row>
    <row r="10" spans="1:21" customFormat="1">
      <c r="A10" s="39" t="s">
        <v>662</v>
      </c>
      <c r="B10" s="40">
        <v>14.96</v>
      </c>
      <c r="C10" s="40">
        <v>18.149999999999999</v>
      </c>
      <c r="D10" s="40">
        <v>21.48</v>
      </c>
      <c r="E10" s="40">
        <v>6.2</v>
      </c>
      <c r="F10" s="40">
        <v>1.29</v>
      </c>
      <c r="G10" s="40">
        <v>65.36</v>
      </c>
      <c r="H10" s="40">
        <v>32.299999999999997</v>
      </c>
      <c r="I10" s="40">
        <v>13.55</v>
      </c>
      <c r="J10" s="40">
        <v>0.64</v>
      </c>
      <c r="K10" s="40">
        <v>211.75</v>
      </c>
      <c r="L10" s="40">
        <v>13.54</v>
      </c>
      <c r="M10" s="40">
        <v>81.849999999999994</v>
      </c>
      <c r="N10" s="40">
        <v>20</v>
      </c>
      <c r="O10" s="40">
        <v>0</v>
      </c>
      <c r="P10" s="40">
        <v>0.83</v>
      </c>
      <c r="Q10" s="40">
        <v>9.32</v>
      </c>
      <c r="R10" s="38"/>
      <c r="S10" s="38"/>
      <c r="T10" s="38"/>
      <c r="U10" s="38"/>
    </row>
    <row r="11" spans="1:21" customFormat="1">
      <c r="A11" s="39" t="s">
        <v>663</v>
      </c>
      <c r="B11" s="40">
        <v>16.149999999999999</v>
      </c>
      <c r="C11" s="40">
        <v>18.190000000000001</v>
      </c>
      <c r="D11" s="40">
        <v>22.27</v>
      </c>
      <c r="E11" s="40">
        <v>5.97</v>
      </c>
      <c r="F11" s="40">
        <v>1.28</v>
      </c>
      <c r="G11" s="40">
        <v>81.95</v>
      </c>
      <c r="H11" s="40">
        <v>35.43</v>
      </c>
      <c r="I11" s="40">
        <v>14.76</v>
      </c>
      <c r="J11" s="40">
        <v>0.15</v>
      </c>
      <c r="K11" s="40">
        <v>218.75</v>
      </c>
      <c r="L11" s="40">
        <v>12.26</v>
      </c>
      <c r="M11" s="40">
        <v>87.41</v>
      </c>
      <c r="N11" s="40">
        <v>19.899999999999999</v>
      </c>
      <c r="O11" s="40">
        <v>0</v>
      </c>
      <c r="P11" s="40">
        <v>0.91</v>
      </c>
      <c r="Q11" s="40">
        <v>9.32</v>
      </c>
      <c r="R11" s="38"/>
      <c r="S11" s="38"/>
      <c r="T11" s="38"/>
      <c r="U11" s="38"/>
    </row>
    <row r="12" spans="1:21" customFormat="1">
      <c r="A12" s="39" t="s">
        <v>664</v>
      </c>
      <c r="B12" s="40">
        <v>18.77</v>
      </c>
      <c r="C12" s="40">
        <v>18.149999999999999</v>
      </c>
      <c r="D12" s="40">
        <v>24.39</v>
      </c>
      <c r="E12" s="40">
        <v>6.19</v>
      </c>
      <c r="F12" s="40">
        <v>1.25</v>
      </c>
      <c r="G12" s="40">
        <v>84.4</v>
      </c>
      <c r="H12" s="40">
        <v>39.06</v>
      </c>
      <c r="I12" s="40">
        <v>15.98</v>
      </c>
      <c r="J12" s="40">
        <v>0.17</v>
      </c>
      <c r="K12" s="40">
        <v>210.16</v>
      </c>
      <c r="L12" s="40">
        <v>11.75</v>
      </c>
      <c r="M12" s="40">
        <v>91.29</v>
      </c>
      <c r="N12" s="40">
        <v>19.899999999999999</v>
      </c>
      <c r="O12" s="40">
        <v>0</v>
      </c>
      <c r="P12" s="40">
        <v>1.01</v>
      </c>
      <c r="Q12" s="40">
        <v>9.32</v>
      </c>
      <c r="R12" s="38"/>
      <c r="S12" s="38"/>
      <c r="T12" s="38"/>
      <c r="U12" s="38"/>
    </row>
    <row r="13" spans="1:21" customFormat="1">
      <c r="A13" s="39" t="s">
        <v>665</v>
      </c>
      <c r="B13" s="40">
        <v>23.1</v>
      </c>
      <c r="C13" s="40">
        <v>17.68</v>
      </c>
      <c r="D13" s="40">
        <v>27.76</v>
      </c>
      <c r="E13" s="40">
        <v>5.93</v>
      </c>
      <c r="F13" s="40">
        <v>1.28</v>
      </c>
      <c r="G13" s="40">
        <v>90.14</v>
      </c>
      <c r="H13" s="40">
        <v>41.23</v>
      </c>
      <c r="I13" s="40">
        <v>16.78</v>
      </c>
      <c r="J13" s="40">
        <v>0.21</v>
      </c>
      <c r="K13" s="40">
        <v>179.63</v>
      </c>
      <c r="L13" s="40">
        <v>11.25</v>
      </c>
      <c r="M13" s="40">
        <v>90.77</v>
      </c>
      <c r="N13" s="40">
        <v>19.7</v>
      </c>
      <c r="O13" s="40">
        <v>0</v>
      </c>
      <c r="P13" s="40">
        <v>1.07</v>
      </c>
      <c r="Q13" s="40">
        <v>9.32</v>
      </c>
      <c r="R13" s="38"/>
      <c r="S13" s="38"/>
      <c r="T13" s="38"/>
      <c r="U13" s="38"/>
    </row>
    <row r="14" spans="1:21" customFormat="1">
      <c r="A14" s="39" t="s">
        <v>666</v>
      </c>
      <c r="B14" s="40">
        <v>26.34</v>
      </c>
      <c r="C14" s="40">
        <v>18.43</v>
      </c>
      <c r="D14" s="40">
        <v>30.76</v>
      </c>
      <c r="E14" s="40">
        <v>5.79</v>
      </c>
      <c r="F14" s="40">
        <v>1.2</v>
      </c>
      <c r="G14" s="40">
        <v>99.55</v>
      </c>
      <c r="H14" s="40">
        <v>44.06</v>
      </c>
      <c r="I14" s="40">
        <v>16.95</v>
      </c>
      <c r="J14" s="40">
        <v>0.13</v>
      </c>
      <c r="K14" s="40">
        <v>228.38</v>
      </c>
      <c r="L14" s="40">
        <v>11.23</v>
      </c>
      <c r="M14" s="40">
        <v>87.03</v>
      </c>
      <c r="N14" s="40">
        <v>19.7</v>
      </c>
      <c r="O14" s="40">
        <v>0</v>
      </c>
      <c r="P14" s="40">
        <v>1.06</v>
      </c>
      <c r="Q14" s="40">
        <v>9.32</v>
      </c>
      <c r="R14" s="38"/>
      <c r="S14" s="38"/>
      <c r="T14" s="38"/>
      <c r="U14" s="38"/>
    </row>
    <row r="15" spans="1:21" customFormat="1">
      <c r="A15" s="39" t="s">
        <v>667</v>
      </c>
      <c r="B15" s="40">
        <v>29</v>
      </c>
      <c r="C15" s="40">
        <v>19.079999999999998</v>
      </c>
      <c r="D15" s="40">
        <v>33.22</v>
      </c>
      <c r="E15" s="40">
        <v>5.73</v>
      </c>
      <c r="F15" s="40">
        <v>1.1399999999999999</v>
      </c>
      <c r="G15" s="40">
        <v>89.79</v>
      </c>
      <c r="H15" s="40">
        <v>43.32</v>
      </c>
      <c r="I15" s="40">
        <v>15.04</v>
      </c>
      <c r="J15" s="40">
        <v>0.12</v>
      </c>
      <c r="K15" s="40">
        <v>173.92</v>
      </c>
      <c r="L15" s="40">
        <v>11.24</v>
      </c>
      <c r="M15" s="40">
        <v>83.43</v>
      </c>
      <c r="N15" s="40">
        <v>29.3</v>
      </c>
      <c r="O15" s="40">
        <v>0</v>
      </c>
      <c r="P15" s="40">
        <v>1.02</v>
      </c>
      <c r="Q15" s="40">
        <v>9.32</v>
      </c>
      <c r="R15" s="38"/>
      <c r="S15" s="38"/>
      <c r="T15" s="38"/>
      <c r="U15" s="38"/>
    </row>
    <row r="16" spans="1:21" customFormat="1">
      <c r="A16" s="39" t="s">
        <v>668</v>
      </c>
      <c r="B16" s="40">
        <v>29.74</v>
      </c>
      <c r="C16" s="40">
        <v>19.68</v>
      </c>
      <c r="D16" s="40">
        <v>34.03</v>
      </c>
      <c r="E16" s="40">
        <v>5.82</v>
      </c>
      <c r="F16" s="40">
        <v>1.23</v>
      </c>
      <c r="G16" s="40">
        <v>78.099999999999994</v>
      </c>
      <c r="H16" s="40">
        <v>42.8</v>
      </c>
      <c r="I16" s="40">
        <v>13.05</v>
      </c>
      <c r="J16" s="40">
        <v>0.45</v>
      </c>
      <c r="K16" s="40">
        <v>158.53</v>
      </c>
      <c r="L16" s="40">
        <v>13.37</v>
      </c>
      <c r="M16" s="40">
        <v>82.04</v>
      </c>
      <c r="N16" s="40">
        <v>68.5</v>
      </c>
      <c r="O16" s="40">
        <v>0</v>
      </c>
      <c r="P16" s="40">
        <v>0.98</v>
      </c>
      <c r="Q16" s="40">
        <v>9.32</v>
      </c>
      <c r="R16" s="38"/>
      <c r="S16" s="38"/>
      <c r="T16" s="38"/>
      <c r="U16" s="38"/>
    </row>
    <row r="17" spans="1:21" customFormat="1">
      <c r="A17" s="39" t="s">
        <v>669</v>
      </c>
      <c r="B17" s="40">
        <v>28.5</v>
      </c>
      <c r="C17" s="40">
        <v>21.42</v>
      </c>
      <c r="D17" s="40">
        <v>33.369999999999997</v>
      </c>
      <c r="E17" s="40">
        <v>6.53</v>
      </c>
      <c r="F17" s="40">
        <v>1.41</v>
      </c>
      <c r="G17" s="40">
        <v>76.42</v>
      </c>
      <c r="H17" s="40">
        <v>40.770000000000003</v>
      </c>
      <c r="I17" s="40">
        <v>13.14</v>
      </c>
      <c r="J17" s="40">
        <v>0.86</v>
      </c>
      <c r="K17" s="40">
        <v>51.55</v>
      </c>
      <c r="L17" s="40">
        <v>16.43</v>
      </c>
      <c r="M17" s="40">
        <v>62.78</v>
      </c>
      <c r="N17" s="40">
        <v>258.89999999999998</v>
      </c>
      <c r="O17" s="40">
        <v>0</v>
      </c>
      <c r="P17" s="40">
        <v>0.92</v>
      </c>
      <c r="Q17" s="40">
        <v>9.32</v>
      </c>
      <c r="R17" s="38"/>
      <c r="S17" s="38"/>
      <c r="T17" s="38"/>
      <c r="U17" s="38"/>
    </row>
    <row r="18" spans="1:21" customFormat="1">
      <c r="A18" s="39" t="s">
        <v>670</v>
      </c>
      <c r="B18" s="40">
        <v>25.99</v>
      </c>
      <c r="C18" s="40">
        <v>21.96</v>
      </c>
      <c r="D18" s="40">
        <v>32.159999999999997</v>
      </c>
      <c r="E18" s="40">
        <v>6.37</v>
      </c>
      <c r="F18" s="40">
        <v>1.47</v>
      </c>
      <c r="G18" s="40">
        <v>81.38</v>
      </c>
      <c r="H18" s="40">
        <v>41.77</v>
      </c>
      <c r="I18" s="40">
        <v>13.58</v>
      </c>
      <c r="J18" s="40">
        <v>1.02</v>
      </c>
      <c r="K18" s="40">
        <v>89.05</v>
      </c>
      <c r="L18" s="40">
        <v>19.48</v>
      </c>
      <c r="M18" s="40">
        <v>48.24</v>
      </c>
      <c r="N18" s="40">
        <v>192.7</v>
      </c>
      <c r="O18" s="40">
        <v>0</v>
      </c>
      <c r="P18" s="40">
        <v>0.87</v>
      </c>
      <c r="Q18" s="40">
        <v>9.32</v>
      </c>
      <c r="R18" s="38"/>
      <c r="S18" s="38"/>
      <c r="T18" s="38"/>
      <c r="U18" s="38"/>
    </row>
    <row r="19" spans="1:21" customFormat="1">
      <c r="A19" s="39" t="s">
        <v>671</v>
      </c>
      <c r="B19" s="40">
        <v>22.8</v>
      </c>
      <c r="C19" s="40">
        <v>22.19</v>
      </c>
      <c r="D19" s="40">
        <v>29.87</v>
      </c>
      <c r="E19" s="40">
        <v>6.02</v>
      </c>
      <c r="F19" s="40">
        <v>1.74</v>
      </c>
      <c r="G19" s="40">
        <v>84.31</v>
      </c>
      <c r="H19" s="40">
        <v>38.06</v>
      </c>
      <c r="I19" s="40">
        <v>12.8</v>
      </c>
      <c r="J19" s="40">
        <v>0.86</v>
      </c>
      <c r="K19" s="40">
        <v>110.2</v>
      </c>
      <c r="L19" s="40">
        <v>21.56</v>
      </c>
      <c r="M19" s="40">
        <v>41.05</v>
      </c>
      <c r="N19" s="40">
        <v>491.8</v>
      </c>
      <c r="O19" s="40">
        <v>0</v>
      </c>
      <c r="P19" s="40">
        <v>0.79</v>
      </c>
      <c r="Q19" s="40">
        <v>9.32</v>
      </c>
      <c r="R19" s="38"/>
      <c r="S19" s="38"/>
      <c r="T19" s="38"/>
      <c r="U19" s="38"/>
    </row>
    <row r="20" spans="1:21" customFormat="1">
      <c r="A20" s="39" t="s">
        <v>672</v>
      </c>
      <c r="B20" s="40">
        <v>17.510000000000002</v>
      </c>
      <c r="C20" s="40">
        <v>22.42</v>
      </c>
      <c r="D20" s="40">
        <v>25.62</v>
      </c>
      <c r="E20" s="40">
        <v>5.94</v>
      </c>
      <c r="F20" s="40">
        <v>1.92</v>
      </c>
      <c r="G20" s="40">
        <v>73.64</v>
      </c>
      <c r="H20" s="40">
        <v>32.51</v>
      </c>
      <c r="I20" s="40">
        <v>13.5</v>
      </c>
      <c r="J20" s="40">
        <v>0.67</v>
      </c>
      <c r="K20" s="40">
        <v>70.05</v>
      </c>
      <c r="L20" s="40">
        <v>23.23</v>
      </c>
      <c r="M20" s="40">
        <v>34.950000000000003</v>
      </c>
      <c r="N20" s="40">
        <v>549.70000000000005</v>
      </c>
      <c r="O20" s="40">
        <v>0</v>
      </c>
      <c r="P20" s="40">
        <v>0.72</v>
      </c>
      <c r="Q20" s="40">
        <v>9.32</v>
      </c>
      <c r="R20" s="38"/>
      <c r="S20" s="38"/>
      <c r="T20" s="38"/>
      <c r="U20" s="38"/>
    </row>
    <row r="21" spans="1:21" customFormat="1">
      <c r="A21" s="39" t="s">
        <v>673</v>
      </c>
      <c r="B21" s="40">
        <v>11.97</v>
      </c>
      <c r="C21" s="40">
        <v>22.42</v>
      </c>
      <c r="D21" s="40">
        <v>21.3</v>
      </c>
      <c r="E21" s="40">
        <v>6.5</v>
      </c>
      <c r="F21" s="40">
        <v>2.9</v>
      </c>
      <c r="G21" s="40">
        <v>65.36</v>
      </c>
      <c r="H21" s="40">
        <v>27</v>
      </c>
      <c r="I21" s="40">
        <v>12.85</v>
      </c>
      <c r="J21" s="40">
        <v>0.5</v>
      </c>
      <c r="K21" s="40">
        <v>332.92</v>
      </c>
      <c r="L21" s="40">
        <v>23.71</v>
      </c>
      <c r="M21" s="40">
        <v>31.63</v>
      </c>
      <c r="N21" s="40">
        <v>541.1</v>
      </c>
      <c r="O21" s="40">
        <v>0</v>
      </c>
      <c r="P21" s="40">
        <v>0.64</v>
      </c>
      <c r="Q21" s="40">
        <v>9.32</v>
      </c>
      <c r="R21" s="38"/>
      <c r="S21" s="38"/>
      <c r="T21" s="38"/>
      <c r="U21" s="38"/>
    </row>
    <row r="22" spans="1:21" customFormat="1">
      <c r="A22" s="39" t="s">
        <v>674</v>
      </c>
      <c r="B22" s="40">
        <v>8.7799999999999994</v>
      </c>
      <c r="C22" s="40">
        <v>22.05</v>
      </c>
      <c r="D22" s="40">
        <v>18.559999999999999</v>
      </c>
      <c r="E22" s="40">
        <v>6.55</v>
      </c>
      <c r="F22" s="40">
        <v>2.68</v>
      </c>
      <c r="G22" s="40">
        <v>50.93</v>
      </c>
      <c r="H22" s="40">
        <v>25.67</v>
      </c>
      <c r="I22" s="40">
        <v>11.76</v>
      </c>
      <c r="J22" s="40">
        <v>0.51</v>
      </c>
      <c r="K22" s="40">
        <v>48.77</v>
      </c>
      <c r="L22" s="40">
        <v>23.87</v>
      </c>
      <c r="M22" s="40">
        <v>30.48</v>
      </c>
      <c r="N22" s="40">
        <v>418.5</v>
      </c>
      <c r="O22" s="40">
        <v>0</v>
      </c>
      <c r="P22" s="40">
        <v>0.62</v>
      </c>
      <c r="Q22" s="40">
        <v>9.32</v>
      </c>
      <c r="R22" s="38"/>
      <c r="S22" s="38"/>
      <c r="T22" s="38"/>
      <c r="U22" s="38"/>
    </row>
    <row r="23" spans="1:21" customFormat="1">
      <c r="A23" s="39" t="s">
        <v>675</v>
      </c>
      <c r="B23" s="40">
        <v>8.36</v>
      </c>
      <c r="C23" s="40">
        <v>20.57</v>
      </c>
      <c r="D23" s="40">
        <v>17.45</v>
      </c>
      <c r="E23" s="40">
        <v>6.86</v>
      </c>
      <c r="F23" s="40">
        <v>3.36</v>
      </c>
      <c r="G23" s="40">
        <v>49.77</v>
      </c>
      <c r="H23" s="40">
        <v>23.22</v>
      </c>
      <c r="I23" s="40">
        <v>11.26</v>
      </c>
      <c r="J23" s="40">
        <v>0.38</v>
      </c>
      <c r="K23" s="40">
        <v>293.97000000000003</v>
      </c>
      <c r="L23" s="40">
        <v>23.43</v>
      </c>
      <c r="M23" s="40">
        <v>31.23</v>
      </c>
      <c r="N23" s="40">
        <v>111.5</v>
      </c>
      <c r="O23" s="40">
        <v>0</v>
      </c>
      <c r="P23" s="40">
        <v>0.54</v>
      </c>
      <c r="Q23" s="40">
        <v>9.32</v>
      </c>
      <c r="R23" s="38"/>
      <c r="S23" s="38"/>
      <c r="T23" s="38"/>
      <c r="U23" s="38"/>
    </row>
    <row r="24" spans="1:21" customFormat="1">
      <c r="A24" s="39" t="s">
        <v>676</v>
      </c>
      <c r="B24" s="40">
        <v>7.13</v>
      </c>
      <c r="C24" s="40">
        <v>19.010000000000002</v>
      </c>
      <c r="D24" s="40">
        <v>15.61</v>
      </c>
      <c r="E24" s="40">
        <v>7.19</v>
      </c>
      <c r="F24" s="40">
        <v>4.6100000000000003</v>
      </c>
      <c r="G24" s="40">
        <v>48.55</v>
      </c>
      <c r="H24" s="40">
        <v>21.81</v>
      </c>
      <c r="I24" s="40">
        <v>10.73</v>
      </c>
      <c r="J24" s="40">
        <v>0.57999999999999996</v>
      </c>
      <c r="K24" s="40">
        <v>60.14</v>
      </c>
      <c r="L24" s="40">
        <v>23.55</v>
      </c>
      <c r="M24" s="40">
        <v>28.89</v>
      </c>
      <c r="N24" s="40">
        <v>90.8</v>
      </c>
      <c r="O24" s="40">
        <v>0</v>
      </c>
      <c r="P24" s="40">
        <v>0.54</v>
      </c>
      <c r="Q24" s="40">
        <v>9.32</v>
      </c>
      <c r="R24" s="38"/>
      <c r="S24" s="38"/>
      <c r="T24" s="38"/>
      <c r="U24" s="38"/>
    </row>
    <row r="25" spans="1:21" customFormat="1">
      <c r="A25" s="39" t="s">
        <v>677</v>
      </c>
      <c r="B25" s="40">
        <v>6.37</v>
      </c>
      <c r="C25" s="40">
        <v>18.77</v>
      </c>
      <c r="D25" s="40">
        <v>14.88</v>
      </c>
      <c r="E25" s="40">
        <v>6.59</v>
      </c>
      <c r="F25" s="40">
        <v>3.97</v>
      </c>
      <c r="G25" s="40">
        <v>49.86</v>
      </c>
      <c r="H25" s="40">
        <v>22.86</v>
      </c>
      <c r="I25" s="40">
        <v>10.31</v>
      </c>
      <c r="J25" s="40">
        <v>0.55000000000000004</v>
      </c>
      <c r="K25" s="40">
        <v>356.4</v>
      </c>
      <c r="L25" s="40">
        <v>23.26</v>
      </c>
      <c r="M25" s="40">
        <v>33.19</v>
      </c>
      <c r="N25" s="40">
        <v>58.1</v>
      </c>
      <c r="O25" s="40">
        <v>0</v>
      </c>
      <c r="P25" s="40">
        <v>0.53</v>
      </c>
      <c r="Q25" s="40">
        <v>9.32</v>
      </c>
      <c r="R25" s="38"/>
      <c r="S25" s="38"/>
      <c r="T25" s="38"/>
      <c r="U25" s="38"/>
    </row>
    <row r="26" spans="1:21" customFormat="1">
      <c r="A26" s="39" t="s">
        <v>678</v>
      </c>
      <c r="B26" s="40">
        <v>7.59</v>
      </c>
      <c r="C26" s="40">
        <v>18.87</v>
      </c>
      <c r="D26" s="40">
        <v>15.95</v>
      </c>
      <c r="E26" s="40">
        <v>6.32</v>
      </c>
      <c r="F26" s="40">
        <v>1.63</v>
      </c>
      <c r="G26" s="40">
        <v>48.99</v>
      </c>
      <c r="H26" s="40">
        <v>22.74</v>
      </c>
      <c r="I26" s="40">
        <v>10.1</v>
      </c>
      <c r="J26" s="40">
        <v>0.47</v>
      </c>
      <c r="K26" s="40">
        <v>153.56</v>
      </c>
      <c r="L26" s="40">
        <v>21.53</v>
      </c>
      <c r="M26" s="40">
        <v>44.34</v>
      </c>
      <c r="N26" s="40">
        <v>32.799999999999997</v>
      </c>
      <c r="O26" s="40">
        <v>0</v>
      </c>
      <c r="P26" s="40">
        <v>0.54</v>
      </c>
      <c r="Q26" s="40">
        <v>9.32</v>
      </c>
      <c r="R26" s="38"/>
      <c r="S26" s="38"/>
      <c r="T26" s="38"/>
      <c r="U26" s="38"/>
    </row>
    <row r="27" spans="1:21" customFormat="1">
      <c r="A27" s="39" t="s">
        <v>679</v>
      </c>
      <c r="B27" s="40">
        <v>9.64</v>
      </c>
      <c r="C27" s="40">
        <v>20.23</v>
      </c>
      <c r="D27" s="40">
        <v>18.3</v>
      </c>
      <c r="E27" s="40">
        <v>7.23</v>
      </c>
      <c r="F27" s="40">
        <v>1.34</v>
      </c>
      <c r="G27" s="40">
        <v>60.12</v>
      </c>
      <c r="H27" s="40">
        <v>22.96</v>
      </c>
      <c r="I27" s="40">
        <v>10.09</v>
      </c>
      <c r="J27" s="40">
        <v>0.34</v>
      </c>
      <c r="K27" s="40">
        <v>167.36</v>
      </c>
      <c r="L27" s="40">
        <v>18.329999999999998</v>
      </c>
      <c r="M27" s="40">
        <v>57.5</v>
      </c>
      <c r="N27" s="40">
        <v>25.6</v>
      </c>
      <c r="O27" s="40">
        <v>0</v>
      </c>
      <c r="P27" s="40">
        <v>0.56000000000000005</v>
      </c>
      <c r="Q27" s="40">
        <v>9.32</v>
      </c>
      <c r="R27" s="38"/>
      <c r="S27" s="38"/>
      <c r="T27" s="38"/>
      <c r="U27" s="38"/>
    </row>
    <row r="28" spans="1:21" customFormat="1">
      <c r="A28" s="39" t="s">
        <v>680</v>
      </c>
      <c r="B28" s="40">
        <v>12.26</v>
      </c>
      <c r="C28" s="40">
        <v>20.25</v>
      </c>
      <c r="D28" s="40">
        <v>20.22</v>
      </c>
      <c r="E28" s="40">
        <v>7.08</v>
      </c>
      <c r="F28" s="40">
        <v>1.44</v>
      </c>
      <c r="G28" s="40">
        <v>79.13</v>
      </c>
      <c r="H28" s="40">
        <v>26.26</v>
      </c>
      <c r="I28" s="40">
        <v>10.98</v>
      </c>
      <c r="J28" s="40">
        <v>0.23</v>
      </c>
      <c r="K28" s="40">
        <v>209.4</v>
      </c>
      <c r="L28" s="40">
        <v>16.27</v>
      </c>
      <c r="M28" s="40">
        <v>74.25</v>
      </c>
      <c r="N28" s="40">
        <v>25.2</v>
      </c>
      <c r="O28" s="40">
        <v>0</v>
      </c>
      <c r="P28" s="40">
        <v>0.66</v>
      </c>
      <c r="Q28" s="40">
        <v>9.32</v>
      </c>
      <c r="R28" s="38"/>
      <c r="S28" s="38"/>
      <c r="T28" s="38"/>
      <c r="U28" s="38"/>
    </row>
    <row r="29" spans="1:21" customFormat="1">
      <c r="A29" s="39" t="s">
        <v>681</v>
      </c>
      <c r="B29" s="40">
        <v>13.41</v>
      </c>
      <c r="C29" s="40">
        <v>19.760000000000002</v>
      </c>
      <c r="D29" s="40">
        <v>20.88</v>
      </c>
      <c r="E29" s="40">
        <v>7</v>
      </c>
      <c r="F29" s="40">
        <v>1.34</v>
      </c>
      <c r="G29" s="40">
        <v>75.06</v>
      </c>
      <c r="H29" s="40">
        <v>26.04</v>
      </c>
      <c r="I29" s="40">
        <v>12.62</v>
      </c>
      <c r="J29" s="40">
        <v>0.18</v>
      </c>
      <c r="K29" s="40">
        <v>208.36</v>
      </c>
      <c r="L29" s="40">
        <v>14.61</v>
      </c>
      <c r="M29" s="40">
        <v>75.290000000000006</v>
      </c>
      <c r="N29" s="40">
        <v>25.1</v>
      </c>
      <c r="O29" s="40">
        <v>0</v>
      </c>
      <c r="P29" s="40">
        <v>0.7</v>
      </c>
      <c r="Q29" s="40">
        <v>9.32</v>
      </c>
      <c r="R29" s="38"/>
      <c r="S29" s="38"/>
      <c r="T29" s="38"/>
      <c r="U29" s="38"/>
    </row>
    <row r="30" spans="1:21" customFormat="1">
      <c r="A30" s="39" t="s">
        <v>682</v>
      </c>
      <c r="B30" s="40">
        <v>13.35</v>
      </c>
      <c r="C30" s="40">
        <v>19.05</v>
      </c>
      <c r="D30" s="40">
        <v>20.66</v>
      </c>
      <c r="E30" s="40">
        <v>7.15</v>
      </c>
      <c r="F30" s="40">
        <v>1.22</v>
      </c>
      <c r="G30" s="40">
        <v>75.489999999999995</v>
      </c>
      <c r="H30" s="40">
        <v>27.65</v>
      </c>
      <c r="I30" s="40">
        <v>12.89</v>
      </c>
      <c r="J30" s="40">
        <v>0.19</v>
      </c>
      <c r="K30" s="40">
        <v>194.04</v>
      </c>
      <c r="L30" s="40">
        <v>13.94</v>
      </c>
      <c r="M30" s="40">
        <v>81.8</v>
      </c>
      <c r="N30" s="40">
        <v>24.8</v>
      </c>
      <c r="O30" s="40">
        <v>0</v>
      </c>
      <c r="P30" s="40">
        <v>0.71</v>
      </c>
      <c r="Q30" s="40">
        <v>9.32</v>
      </c>
      <c r="R30" s="38"/>
      <c r="S30" s="38"/>
      <c r="T30" s="38"/>
      <c r="U30" s="38"/>
    </row>
    <row r="31" spans="1:21" customFormat="1">
      <c r="A31" s="39" t="s">
        <v>683</v>
      </c>
      <c r="B31" s="40">
        <v>13.16</v>
      </c>
      <c r="C31" s="40">
        <v>18.13</v>
      </c>
      <c r="D31" s="40">
        <v>19.95</v>
      </c>
      <c r="E31" s="40">
        <v>6.86</v>
      </c>
      <c r="F31" s="40">
        <v>1.2</v>
      </c>
      <c r="G31" s="40">
        <v>77.58</v>
      </c>
      <c r="H31" s="40">
        <v>28.86</v>
      </c>
      <c r="I31" s="40">
        <v>13.49</v>
      </c>
      <c r="J31" s="40">
        <v>0.25</v>
      </c>
      <c r="K31" s="40">
        <v>208.79</v>
      </c>
      <c r="L31" s="40">
        <v>13.49</v>
      </c>
      <c r="M31" s="40">
        <v>82.48</v>
      </c>
      <c r="N31" s="40">
        <v>24.9</v>
      </c>
      <c r="O31" s="40">
        <v>0</v>
      </c>
      <c r="P31" s="40">
        <v>0.78</v>
      </c>
      <c r="Q31" s="40">
        <v>9.32</v>
      </c>
      <c r="R31" s="38"/>
      <c r="S31" s="38"/>
      <c r="T31" s="38"/>
      <c r="U31" s="38"/>
    </row>
    <row r="32" spans="1:21" customFormat="1">
      <c r="A32" s="39" t="s">
        <v>684</v>
      </c>
      <c r="B32" s="40">
        <v>13.72</v>
      </c>
      <c r="C32" s="40">
        <v>17.66</v>
      </c>
      <c r="D32" s="40">
        <v>19.89</v>
      </c>
      <c r="E32" s="40">
        <v>6.45</v>
      </c>
      <c r="F32" s="40">
        <v>1.34</v>
      </c>
      <c r="G32" s="40">
        <v>75.62</v>
      </c>
      <c r="H32" s="40">
        <v>31.68</v>
      </c>
      <c r="I32" s="40">
        <v>14.09</v>
      </c>
      <c r="J32" s="40">
        <v>0.56999999999999995</v>
      </c>
      <c r="K32" s="40">
        <v>208.3</v>
      </c>
      <c r="L32" s="40">
        <v>12.94</v>
      </c>
      <c r="M32" s="40">
        <v>85.73</v>
      </c>
      <c r="N32" s="40">
        <v>25</v>
      </c>
      <c r="O32" s="40">
        <v>0</v>
      </c>
      <c r="P32" s="40">
        <v>0.81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6.37</v>
      </c>
      <c r="C34" s="18">
        <f t="shared" si="0"/>
        <v>16.23</v>
      </c>
      <c r="D34" s="18">
        <f t="shared" si="0"/>
        <v>14.88</v>
      </c>
      <c r="E34" s="18">
        <f t="shared" si="0"/>
        <v>5.73</v>
      </c>
      <c r="F34" s="18">
        <f t="shared" si="0"/>
        <v>1.1399999999999999</v>
      </c>
      <c r="G34" s="18">
        <f t="shared" si="0"/>
        <v>48.55</v>
      </c>
      <c r="H34" s="18">
        <f t="shared" si="0"/>
        <v>21.81</v>
      </c>
      <c r="I34" s="18">
        <f t="shared" si="0"/>
        <v>10.09</v>
      </c>
      <c r="J34" s="18">
        <f t="shared" si="0"/>
        <v>0.12</v>
      </c>
      <c r="K34" s="18">
        <f t="shared" si="0"/>
        <v>48.77</v>
      </c>
      <c r="L34" s="18">
        <f t="shared" si="0"/>
        <v>11.23</v>
      </c>
      <c r="M34" s="18">
        <f t="shared" si="0"/>
        <v>28.89</v>
      </c>
      <c r="N34" s="18">
        <f t="shared" si="0"/>
        <v>19.7</v>
      </c>
      <c r="O34" s="18">
        <f t="shared" si="0"/>
        <v>0</v>
      </c>
      <c r="P34" s="18">
        <f t="shared" si="0"/>
        <v>0.53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29.74</v>
      </c>
      <c r="C35" s="3">
        <f t="shared" si="1"/>
        <v>22.42</v>
      </c>
      <c r="D35" s="3">
        <f t="shared" si="1"/>
        <v>34.03</v>
      </c>
      <c r="E35" s="3">
        <f t="shared" si="1"/>
        <v>7.23</v>
      </c>
      <c r="F35" s="3">
        <f t="shared" si="1"/>
        <v>4.6100000000000003</v>
      </c>
      <c r="G35" s="3">
        <f t="shared" si="1"/>
        <v>99.55</v>
      </c>
      <c r="H35" s="3">
        <f t="shared" si="1"/>
        <v>44.06</v>
      </c>
      <c r="I35" s="3">
        <f t="shared" si="1"/>
        <v>16.95</v>
      </c>
      <c r="J35" s="3">
        <f t="shared" si="1"/>
        <v>1.02</v>
      </c>
      <c r="K35" s="3">
        <f t="shared" si="1"/>
        <v>356.4</v>
      </c>
      <c r="L35" s="3">
        <f t="shared" si="1"/>
        <v>23.87</v>
      </c>
      <c r="M35" s="3">
        <f t="shared" si="1"/>
        <v>91.29</v>
      </c>
      <c r="N35" s="3">
        <f t="shared" si="1"/>
        <v>549.70000000000005</v>
      </c>
      <c r="O35" s="3">
        <f t="shared" si="1"/>
        <v>0</v>
      </c>
      <c r="P35" s="3">
        <f t="shared" si="1"/>
        <v>1.07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16.227916666666669</v>
      </c>
      <c r="C36" s="18">
        <f t="shared" si="2"/>
        <v>19.597916666666666</v>
      </c>
      <c r="D36" s="18">
        <f t="shared" si="2"/>
        <v>23.157499999999999</v>
      </c>
      <c r="E36" s="18">
        <f t="shared" si="2"/>
        <v>6.418333333333333</v>
      </c>
      <c r="F36" s="18">
        <f t="shared" si="2"/>
        <v>1.8183333333333336</v>
      </c>
      <c r="G36" s="18">
        <f t="shared" si="2"/>
        <v>72.165833333333339</v>
      </c>
      <c r="H36" s="18">
        <f t="shared" si="2"/>
        <v>32.069166666666661</v>
      </c>
      <c r="I36" s="18">
        <f t="shared" si="2"/>
        <v>13.042083333333332</v>
      </c>
      <c r="J36" s="18">
        <f t="shared" si="2"/>
        <v>0.44625000000000004</v>
      </c>
      <c r="K36" s="18">
        <f t="shared" si="2"/>
        <v>181.07458333333332</v>
      </c>
      <c r="L36" s="18">
        <f t="shared" si="2"/>
        <v>16.97625</v>
      </c>
      <c r="M36" s="18">
        <f t="shared" si="2"/>
        <v>63.831666666666656</v>
      </c>
      <c r="N36" s="18">
        <f t="shared" si="2"/>
        <v>129.72083333333333</v>
      </c>
      <c r="O36" s="18">
        <f t="shared" si="2"/>
        <v>0</v>
      </c>
      <c r="P36" s="18">
        <f t="shared" si="2"/>
        <v>0.77250000000000008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7.5291988020936955</v>
      </c>
      <c r="C37" s="18">
        <f t="shared" ref="C37:Q37" si="3">STDEV(C9:C32)</f>
        <v>1.7440856061126353</v>
      </c>
      <c r="D37" s="18">
        <f t="shared" si="3"/>
        <v>6.1669753350089529</v>
      </c>
      <c r="E37" s="18">
        <f t="shared" si="3"/>
        <v>0.49381097128589496</v>
      </c>
      <c r="F37" s="18">
        <f t="shared" si="3"/>
        <v>0.95933702953231359</v>
      </c>
      <c r="G37" s="18">
        <f t="shared" si="3"/>
        <v>14.463613390810709</v>
      </c>
      <c r="H37" s="18">
        <f t="shared" si="3"/>
        <v>7.6353525112475857</v>
      </c>
      <c r="I37" s="18">
        <f t="shared" si="3"/>
        <v>1.9397780670157465</v>
      </c>
      <c r="J37" s="18">
        <f t="shared" si="3"/>
        <v>0.25784748609780256</v>
      </c>
      <c r="K37" s="18">
        <f t="shared" si="3"/>
        <v>81.259380086195279</v>
      </c>
      <c r="L37" s="18">
        <f t="shared" si="3"/>
        <v>4.8359323659275972</v>
      </c>
      <c r="M37" s="18">
        <f t="shared" si="3"/>
        <v>23.602455595656348</v>
      </c>
      <c r="N37" s="18">
        <f t="shared" si="3"/>
        <v>180.46933975215771</v>
      </c>
      <c r="O37" s="18">
        <f t="shared" si="3"/>
        <v>0</v>
      </c>
      <c r="P37" s="18">
        <f t="shared" si="3"/>
        <v>0.17698562948295574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I41" sqref="I4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685</v>
      </c>
      <c r="B9" s="40">
        <v>17.82</v>
      </c>
      <c r="C9" s="40">
        <v>18.670000000000002</v>
      </c>
      <c r="D9" s="40">
        <v>24.04</v>
      </c>
      <c r="E9" s="40">
        <v>6.46</v>
      </c>
      <c r="F9" s="40">
        <v>1.21</v>
      </c>
      <c r="G9" s="40">
        <v>76.099999999999994</v>
      </c>
      <c r="H9" s="40">
        <v>33.340000000000003</v>
      </c>
      <c r="I9" s="40">
        <v>14.66</v>
      </c>
      <c r="J9" s="40">
        <v>0.15</v>
      </c>
      <c r="K9" s="40">
        <v>200.92</v>
      </c>
      <c r="L9" s="40">
        <v>13.47</v>
      </c>
      <c r="M9" s="40">
        <v>76.16</v>
      </c>
      <c r="N9" s="40">
        <v>25.1</v>
      </c>
      <c r="O9" s="40">
        <v>0</v>
      </c>
      <c r="P9" s="40">
        <v>0.84</v>
      </c>
      <c r="Q9" s="40">
        <v>9.32</v>
      </c>
      <c r="R9" s="38"/>
      <c r="S9" s="38"/>
      <c r="T9" s="38"/>
      <c r="U9" s="38"/>
    </row>
    <row r="10" spans="1:21" customFormat="1">
      <c r="A10" s="39" t="s">
        <v>686</v>
      </c>
      <c r="B10" s="40">
        <v>21.58</v>
      </c>
      <c r="C10" s="40">
        <v>19.170000000000002</v>
      </c>
      <c r="D10" s="40">
        <v>27.32</v>
      </c>
      <c r="E10" s="40">
        <v>6.6</v>
      </c>
      <c r="F10" s="40">
        <v>1.2</v>
      </c>
      <c r="G10" s="40">
        <v>75.650000000000006</v>
      </c>
      <c r="H10" s="40">
        <v>38.33</v>
      </c>
      <c r="I10" s="40">
        <v>15.16</v>
      </c>
      <c r="J10" s="40">
        <v>0.18</v>
      </c>
      <c r="K10" s="40">
        <v>182.66</v>
      </c>
      <c r="L10" s="40">
        <v>12.47</v>
      </c>
      <c r="M10" s="40">
        <v>83.16</v>
      </c>
      <c r="N10" s="40">
        <v>25</v>
      </c>
      <c r="O10" s="40">
        <v>0</v>
      </c>
      <c r="P10" s="40">
        <v>0.9</v>
      </c>
      <c r="Q10" s="40">
        <v>9.32</v>
      </c>
      <c r="R10" s="38"/>
      <c r="S10" s="38"/>
      <c r="T10" s="38"/>
      <c r="U10" s="38"/>
    </row>
    <row r="11" spans="1:21" customFormat="1">
      <c r="A11" s="39" t="s">
        <v>687</v>
      </c>
      <c r="B11" s="40">
        <v>22.3</v>
      </c>
      <c r="C11" s="40">
        <v>19.04</v>
      </c>
      <c r="D11" s="40">
        <v>27.74</v>
      </c>
      <c r="E11" s="40">
        <v>5.72</v>
      </c>
      <c r="F11" s="40">
        <v>1.29</v>
      </c>
      <c r="G11" s="40">
        <v>79.59</v>
      </c>
      <c r="H11" s="40">
        <v>37.03</v>
      </c>
      <c r="I11" s="40">
        <v>15.68</v>
      </c>
      <c r="J11" s="40">
        <v>0.19</v>
      </c>
      <c r="K11" s="40">
        <v>209.54</v>
      </c>
      <c r="L11" s="40">
        <v>11.55</v>
      </c>
      <c r="M11" s="40">
        <v>89.58</v>
      </c>
      <c r="N11" s="40">
        <v>25.1</v>
      </c>
      <c r="O11" s="40">
        <v>0</v>
      </c>
      <c r="P11" s="40">
        <v>0.91</v>
      </c>
      <c r="Q11" s="40">
        <v>9.32</v>
      </c>
      <c r="R11" s="38"/>
      <c r="S11" s="38"/>
      <c r="T11" s="38"/>
      <c r="U11" s="38"/>
    </row>
    <row r="12" spans="1:21" customFormat="1">
      <c r="A12" s="39" t="s">
        <v>688</v>
      </c>
      <c r="B12" s="40">
        <v>22.11</v>
      </c>
      <c r="C12" s="40">
        <v>17.95</v>
      </c>
      <c r="D12" s="40">
        <v>27.11</v>
      </c>
      <c r="E12" s="40">
        <v>5.67</v>
      </c>
      <c r="F12" s="40">
        <v>1.36</v>
      </c>
      <c r="G12" s="40">
        <v>75.59</v>
      </c>
      <c r="H12" s="40">
        <v>37.14</v>
      </c>
      <c r="I12" s="40">
        <v>15.69</v>
      </c>
      <c r="J12" s="40">
        <v>0.14000000000000001</v>
      </c>
      <c r="K12" s="40">
        <v>203.31</v>
      </c>
      <c r="L12" s="40">
        <v>10.71</v>
      </c>
      <c r="M12" s="40">
        <v>90.23</v>
      </c>
      <c r="N12" s="40">
        <v>24.8</v>
      </c>
      <c r="O12" s="40">
        <v>0</v>
      </c>
      <c r="P12" s="40">
        <v>0.91</v>
      </c>
      <c r="Q12" s="40">
        <v>9.32</v>
      </c>
      <c r="R12" s="38"/>
      <c r="S12" s="38"/>
      <c r="T12" s="38"/>
      <c r="U12" s="38"/>
    </row>
    <row r="13" spans="1:21" customFormat="1">
      <c r="A13" s="39" t="s">
        <v>689</v>
      </c>
      <c r="B13" s="40">
        <v>29.04</v>
      </c>
      <c r="C13" s="40">
        <v>18.57</v>
      </c>
      <c r="D13" s="40">
        <v>32.99</v>
      </c>
      <c r="E13" s="40">
        <v>5.7</v>
      </c>
      <c r="F13" s="40">
        <v>1.41</v>
      </c>
      <c r="G13" s="40">
        <v>71.260000000000005</v>
      </c>
      <c r="H13" s="40">
        <v>34.979999999999997</v>
      </c>
      <c r="I13" s="40">
        <v>15.54</v>
      </c>
      <c r="J13" s="40">
        <v>0.19</v>
      </c>
      <c r="K13" s="40">
        <v>178.15</v>
      </c>
      <c r="L13" s="40">
        <v>10.74</v>
      </c>
      <c r="M13" s="40">
        <v>89.34</v>
      </c>
      <c r="N13" s="40">
        <v>24.7</v>
      </c>
      <c r="O13" s="40">
        <v>0</v>
      </c>
      <c r="P13" s="40">
        <v>0.86</v>
      </c>
      <c r="Q13" s="40">
        <v>9.32</v>
      </c>
      <c r="R13" s="38"/>
      <c r="S13" s="38"/>
      <c r="T13" s="38"/>
      <c r="U13" s="38"/>
    </row>
    <row r="14" spans="1:21" customFormat="1">
      <c r="A14" s="39" t="s">
        <v>690</v>
      </c>
      <c r="B14" s="40">
        <v>31.62</v>
      </c>
      <c r="C14" s="40">
        <v>18.8</v>
      </c>
      <c r="D14" s="40">
        <v>35.119999999999997</v>
      </c>
      <c r="E14" s="40">
        <v>5.86</v>
      </c>
      <c r="F14" s="40">
        <v>1.28</v>
      </c>
      <c r="G14" s="40">
        <v>69.25</v>
      </c>
      <c r="H14" s="40">
        <v>35.159999999999997</v>
      </c>
      <c r="I14" s="40">
        <v>15.37</v>
      </c>
      <c r="J14" s="40">
        <v>0.18</v>
      </c>
      <c r="K14" s="40">
        <v>229.64</v>
      </c>
      <c r="L14" s="40">
        <v>10.68</v>
      </c>
      <c r="M14" s="40">
        <v>91.72</v>
      </c>
      <c r="N14" s="40">
        <v>25</v>
      </c>
      <c r="O14" s="40">
        <v>0</v>
      </c>
      <c r="P14" s="40">
        <v>0.85</v>
      </c>
      <c r="Q14" s="40">
        <v>9.32</v>
      </c>
      <c r="R14" s="38"/>
      <c r="S14" s="38"/>
      <c r="T14" s="38"/>
      <c r="U14" s="38"/>
    </row>
    <row r="15" spans="1:21" customFormat="1">
      <c r="A15" s="39" t="s">
        <v>691</v>
      </c>
      <c r="B15" s="40">
        <v>30.52</v>
      </c>
      <c r="C15" s="40">
        <v>17.91</v>
      </c>
      <c r="D15" s="40">
        <v>33.83</v>
      </c>
      <c r="E15" s="40">
        <v>6.03</v>
      </c>
      <c r="F15" s="40">
        <v>1.26</v>
      </c>
      <c r="G15" s="40">
        <v>61.61</v>
      </c>
      <c r="H15" s="40">
        <v>34.049999999999997</v>
      </c>
      <c r="I15" s="40">
        <v>15.13</v>
      </c>
      <c r="J15" s="40">
        <v>0.15</v>
      </c>
      <c r="K15" s="40">
        <v>212.35</v>
      </c>
      <c r="L15" s="40">
        <v>9.91</v>
      </c>
      <c r="M15" s="40">
        <v>93.34</v>
      </c>
      <c r="N15" s="40">
        <v>34.299999999999997</v>
      </c>
      <c r="O15" s="40">
        <v>0</v>
      </c>
      <c r="P15" s="40">
        <v>0.81</v>
      </c>
      <c r="Q15" s="40">
        <v>9.32</v>
      </c>
      <c r="R15" s="38"/>
      <c r="S15" s="38"/>
      <c r="T15" s="38"/>
      <c r="U15" s="38"/>
    </row>
    <row r="16" spans="1:21" customFormat="1">
      <c r="A16" s="39" t="s">
        <v>692</v>
      </c>
      <c r="B16" s="40">
        <v>28.2</v>
      </c>
      <c r="C16" s="40">
        <v>16.71</v>
      </c>
      <c r="D16" s="40">
        <v>31.35</v>
      </c>
      <c r="E16" s="40">
        <v>5.86</v>
      </c>
      <c r="F16" s="40">
        <v>1.33</v>
      </c>
      <c r="G16" s="40">
        <v>55.31</v>
      </c>
      <c r="H16" s="40">
        <v>33.67</v>
      </c>
      <c r="I16" s="40">
        <v>15.51</v>
      </c>
      <c r="J16" s="40">
        <v>0.17</v>
      </c>
      <c r="K16" s="40">
        <v>251.65</v>
      </c>
      <c r="L16" s="40">
        <v>11.54</v>
      </c>
      <c r="M16" s="40">
        <v>93.54</v>
      </c>
      <c r="N16" s="40">
        <v>75.5</v>
      </c>
      <c r="O16" s="40">
        <v>0</v>
      </c>
      <c r="P16" s="40">
        <v>0.81</v>
      </c>
      <c r="Q16" s="40">
        <v>9.32</v>
      </c>
      <c r="R16" s="38"/>
      <c r="S16" s="38"/>
      <c r="T16" s="38"/>
      <c r="U16" s="38"/>
    </row>
    <row r="17" spans="1:21" customFormat="1">
      <c r="A17" s="39" t="s">
        <v>693</v>
      </c>
      <c r="B17" s="40">
        <v>26.79</v>
      </c>
      <c r="C17" s="40">
        <v>18.989999999999998</v>
      </c>
      <c r="D17" s="40">
        <v>31.06</v>
      </c>
      <c r="E17" s="40">
        <v>5.8</v>
      </c>
      <c r="F17" s="40">
        <v>1.28</v>
      </c>
      <c r="G17" s="40">
        <v>50.36</v>
      </c>
      <c r="H17" s="40">
        <v>32.14</v>
      </c>
      <c r="I17" s="40">
        <v>15.69</v>
      </c>
      <c r="J17" s="40">
        <v>0.91</v>
      </c>
      <c r="K17" s="40">
        <v>51.88</v>
      </c>
      <c r="L17" s="40">
        <v>15.39</v>
      </c>
      <c r="M17" s="40">
        <v>75.03</v>
      </c>
      <c r="N17" s="40">
        <v>246.7</v>
      </c>
      <c r="O17" s="40">
        <v>0</v>
      </c>
      <c r="P17" s="40">
        <v>0.83</v>
      </c>
      <c r="Q17" s="40">
        <v>9.32</v>
      </c>
      <c r="R17" s="38"/>
      <c r="S17" s="38"/>
      <c r="T17" s="38"/>
      <c r="U17" s="38"/>
    </row>
    <row r="18" spans="1:21" customFormat="1">
      <c r="A18" s="39" t="s">
        <v>694</v>
      </c>
      <c r="B18" s="40">
        <v>25.57</v>
      </c>
      <c r="C18" s="40">
        <v>19.47</v>
      </c>
      <c r="D18" s="40">
        <v>30.56</v>
      </c>
      <c r="E18" s="40">
        <v>6.22</v>
      </c>
      <c r="F18" s="40">
        <v>1.37</v>
      </c>
      <c r="G18" s="40">
        <v>59.39</v>
      </c>
      <c r="H18" s="40">
        <v>35.840000000000003</v>
      </c>
      <c r="I18" s="40">
        <v>15.78</v>
      </c>
      <c r="J18" s="40">
        <v>1.03</v>
      </c>
      <c r="K18" s="40">
        <v>71.349999999999994</v>
      </c>
      <c r="L18" s="40">
        <v>18.57</v>
      </c>
      <c r="M18" s="40">
        <v>55.16</v>
      </c>
      <c r="N18" s="40">
        <v>200.4</v>
      </c>
      <c r="O18" s="40">
        <v>0</v>
      </c>
      <c r="P18" s="40">
        <v>0.81</v>
      </c>
      <c r="Q18" s="40">
        <v>9.32</v>
      </c>
      <c r="R18" s="38"/>
      <c r="S18" s="38"/>
      <c r="T18" s="38"/>
      <c r="U18" s="38"/>
    </row>
    <row r="19" spans="1:21" customFormat="1">
      <c r="A19" s="39" t="s">
        <v>695</v>
      </c>
      <c r="B19" s="40">
        <v>21.22</v>
      </c>
      <c r="C19" s="40">
        <v>23.75</v>
      </c>
      <c r="D19" s="40">
        <v>27.19</v>
      </c>
      <c r="E19" s="40">
        <v>5.9</v>
      </c>
      <c r="F19" s="40">
        <v>2.62</v>
      </c>
      <c r="G19" s="40">
        <v>72.650000000000006</v>
      </c>
      <c r="H19" s="40">
        <v>37.43</v>
      </c>
      <c r="I19" s="40">
        <v>15.34</v>
      </c>
      <c r="J19" s="40">
        <v>1.07</v>
      </c>
      <c r="K19" s="40">
        <v>45.01</v>
      </c>
      <c r="L19" s="40">
        <v>20.57</v>
      </c>
      <c r="M19" s="40">
        <v>46.69</v>
      </c>
      <c r="N19" s="40">
        <v>505.3</v>
      </c>
      <c r="O19" s="40">
        <v>0</v>
      </c>
      <c r="P19" s="40">
        <v>0.75</v>
      </c>
      <c r="Q19" s="40">
        <v>9.32</v>
      </c>
      <c r="R19" s="38"/>
      <c r="S19" s="38"/>
      <c r="T19" s="38"/>
      <c r="U19" s="38"/>
    </row>
    <row r="20" spans="1:21" customFormat="1">
      <c r="A20" s="39" t="s">
        <v>696</v>
      </c>
      <c r="B20" s="40">
        <v>8.49</v>
      </c>
      <c r="C20" s="40">
        <v>25.17</v>
      </c>
      <c r="D20" s="40">
        <v>19.63</v>
      </c>
      <c r="E20" s="40">
        <v>20.93</v>
      </c>
      <c r="F20" s="40">
        <v>11.81</v>
      </c>
      <c r="G20" s="40">
        <v>69.819999999999993</v>
      </c>
      <c r="H20" s="40">
        <v>35.94</v>
      </c>
      <c r="I20" s="40">
        <v>13.3</v>
      </c>
      <c r="J20" s="40">
        <v>0.64</v>
      </c>
      <c r="K20" s="40">
        <v>345.27</v>
      </c>
      <c r="L20" s="40">
        <v>22.7</v>
      </c>
      <c r="M20" s="40">
        <v>38.880000000000003</v>
      </c>
      <c r="N20" s="40">
        <v>591.5</v>
      </c>
      <c r="O20" s="40">
        <v>0</v>
      </c>
      <c r="P20" s="40">
        <v>0.62</v>
      </c>
      <c r="Q20" s="40">
        <v>9.32</v>
      </c>
      <c r="R20" s="38"/>
      <c r="S20" s="38"/>
      <c r="T20" s="38"/>
      <c r="U20" s="38"/>
    </row>
    <row r="21" spans="1:21" customFormat="1">
      <c r="A21" s="39" t="s">
        <v>697</v>
      </c>
      <c r="B21" s="40">
        <v>3.45</v>
      </c>
      <c r="C21" s="40">
        <v>23.95</v>
      </c>
      <c r="D21" s="40">
        <v>15.28</v>
      </c>
      <c r="E21" s="40">
        <v>5.95</v>
      </c>
      <c r="F21" s="40">
        <v>7.66</v>
      </c>
      <c r="G21" s="10" t="s">
        <v>12</v>
      </c>
      <c r="H21" s="10" t="s">
        <v>12</v>
      </c>
      <c r="I21" s="40">
        <v>9.56</v>
      </c>
      <c r="J21" s="40">
        <v>0.75</v>
      </c>
      <c r="K21" s="40">
        <v>315.45</v>
      </c>
      <c r="L21" s="40">
        <v>23.72</v>
      </c>
      <c r="M21" s="40">
        <v>33.659999999999997</v>
      </c>
      <c r="N21" s="40">
        <v>582.70000000000005</v>
      </c>
      <c r="O21" s="40">
        <v>0</v>
      </c>
      <c r="P21" s="40">
        <v>0.47</v>
      </c>
      <c r="Q21" s="40">
        <v>9.32</v>
      </c>
      <c r="R21" s="38"/>
      <c r="S21" s="38"/>
      <c r="T21" s="38"/>
      <c r="U21" s="38"/>
    </row>
    <row r="22" spans="1:21" customFormat="1">
      <c r="A22" s="39" t="s">
        <v>698</v>
      </c>
      <c r="B22" s="40">
        <v>2.37</v>
      </c>
      <c r="C22" s="40">
        <v>25.75</v>
      </c>
      <c r="D22" s="40">
        <v>15.35</v>
      </c>
      <c r="E22" s="40">
        <v>5.82</v>
      </c>
      <c r="F22" s="40">
        <v>3.14</v>
      </c>
      <c r="G22" s="40">
        <v>79.989999999999995</v>
      </c>
      <c r="H22" s="40">
        <v>23.94</v>
      </c>
      <c r="I22" s="40">
        <v>8.8699999999999992</v>
      </c>
      <c r="J22" s="40">
        <v>0.55000000000000004</v>
      </c>
      <c r="K22" s="40">
        <v>336.27</v>
      </c>
      <c r="L22" s="40">
        <v>23.51</v>
      </c>
      <c r="M22" s="40">
        <v>32.619999999999997</v>
      </c>
      <c r="N22" s="40">
        <v>426.3</v>
      </c>
      <c r="O22" s="40">
        <v>0</v>
      </c>
      <c r="P22" s="40">
        <v>0.5</v>
      </c>
      <c r="Q22" s="40">
        <v>9.32</v>
      </c>
      <c r="R22" s="38"/>
      <c r="S22" s="38"/>
      <c r="T22" s="38"/>
      <c r="U22" s="38"/>
    </row>
    <row r="23" spans="1:21" customFormat="1">
      <c r="A23" s="39" t="s">
        <v>699</v>
      </c>
      <c r="B23" s="40">
        <v>2.41</v>
      </c>
      <c r="C23" s="40">
        <v>26.47</v>
      </c>
      <c r="D23" s="40">
        <v>15.76</v>
      </c>
      <c r="E23" s="40">
        <v>3.78</v>
      </c>
      <c r="F23" s="40">
        <v>4.4000000000000004</v>
      </c>
      <c r="G23" s="40">
        <v>79.989999999999995</v>
      </c>
      <c r="H23" s="40">
        <v>24.16</v>
      </c>
      <c r="I23" s="40">
        <v>8.3699999999999992</v>
      </c>
      <c r="J23" s="40">
        <v>0.67</v>
      </c>
      <c r="K23" s="40">
        <v>332.99</v>
      </c>
      <c r="L23" s="40">
        <v>23.48</v>
      </c>
      <c r="M23" s="40">
        <v>28.17</v>
      </c>
      <c r="N23" s="40">
        <v>122.8</v>
      </c>
      <c r="O23" s="40">
        <v>0</v>
      </c>
      <c r="P23" s="40">
        <v>0.5</v>
      </c>
      <c r="Q23" s="40">
        <v>9.32</v>
      </c>
      <c r="R23" s="38"/>
      <c r="S23" s="38"/>
      <c r="T23" s="38"/>
      <c r="U23" s="38"/>
    </row>
    <row r="24" spans="1:21" customFormat="1">
      <c r="A24" s="39" t="s">
        <v>700</v>
      </c>
      <c r="B24" s="40">
        <v>2.5</v>
      </c>
      <c r="C24" s="40">
        <v>25.68</v>
      </c>
      <c r="D24" s="40">
        <v>18.95</v>
      </c>
      <c r="E24" s="40">
        <v>3.51</v>
      </c>
      <c r="F24" s="40">
        <v>6.6</v>
      </c>
      <c r="G24" s="40">
        <v>73.430000000000007</v>
      </c>
      <c r="H24" s="40">
        <v>24.6</v>
      </c>
      <c r="I24" s="40">
        <v>7.57</v>
      </c>
      <c r="J24" s="40">
        <v>0.53</v>
      </c>
      <c r="K24" s="40">
        <v>353.2</v>
      </c>
      <c r="L24" s="40">
        <v>23.51</v>
      </c>
      <c r="M24" s="40">
        <v>27.44</v>
      </c>
      <c r="N24" s="40">
        <v>97.7</v>
      </c>
      <c r="O24" s="40">
        <v>0</v>
      </c>
      <c r="P24" s="40">
        <v>0.47</v>
      </c>
      <c r="Q24" s="40">
        <v>9.32</v>
      </c>
      <c r="R24" s="38"/>
      <c r="S24" s="38"/>
      <c r="T24" s="38"/>
      <c r="U24" s="38"/>
    </row>
    <row r="25" spans="1:21" customFormat="1">
      <c r="A25" s="39" t="s">
        <v>701</v>
      </c>
      <c r="B25" s="40">
        <v>3.16</v>
      </c>
      <c r="C25" s="40">
        <v>25.86</v>
      </c>
      <c r="D25" s="40">
        <v>15.68</v>
      </c>
      <c r="E25" s="40">
        <v>2.1800000000000002</v>
      </c>
      <c r="F25" s="40">
        <v>4.62</v>
      </c>
      <c r="G25" s="40">
        <v>59.29</v>
      </c>
      <c r="H25" s="40">
        <v>24.6</v>
      </c>
      <c r="I25" s="40">
        <v>7.38</v>
      </c>
      <c r="J25" s="40">
        <v>0.48</v>
      </c>
      <c r="K25" s="40">
        <v>72.94</v>
      </c>
      <c r="L25" s="40">
        <v>23.34</v>
      </c>
      <c r="M25" s="40">
        <v>33.28</v>
      </c>
      <c r="N25" s="40">
        <v>65.7</v>
      </c>
      <c r="O25" s="40">
        <v>0</v>
      </c>
      <c r="P25" s="40">
        <v>0.44</v>
      </c>
      <c r="Q25" s="40">
        <v>9.32</v>
      </c>
      <c r="R25" s="38"/>
      <c r="S25" s="38"/>
      <c r="T25" s="38"/>
      <c r="U25" s="38"/>
    </row>
    <row r="26" spans="1:21" customFormat="1">
      <c r="A26" s="39" t="s">
        <v>702</v>
      </c>
      <c r="B26" s="40">
        <v>4.49</v>
      </c>
      <c r="C26" s="40">
        <v>24.47</v>
      </c>
      <c r="D26" s="40">
        <v>16.12</v>
      </c>
      <c r="E26" s="40">
        <v>1.95</v>
      </c>
      <c r="F26" s="40">
        <v>0.48</v>
      </c>
      <c r="G26" s="40">
        <v>67.55</v>
      </c>
      <c r="H26" s="40">
        <v>23.43</v>
      </c>
      <c r="I26" s="40">
        <v>7.52</v>
      </c>
      <c r="J26" s="40">
        <v>0.24</v>
      </c>
      <c r="K26" s="40">
        <v>191.03</v>
      </c>
      <c r="L26" s="40">
        <v>21.07</v>
      </c>
      <c r="M26" s="40">
        <v>46.77</v>
      </c>
      <c r="N26" s="40">
        <v>41.6</v>
      </c>
      <c r="O26" s="40">
        <v>0</v>
      </c>
      <c r="P26" s="40">
        <v>0.47</v>
      </c>
      <c r="Q26" s="40">
        <v>9.32</v>
      </c>
      <c r="R26" s="38"/>
      <c r="S26" s="38"/>
      <c r="T26" s="38"/>
      <c r="U26" s="38"/>
    </row>
    <row r="27" spans="1:21" customFormat="1">
      <c r="A27" s="39" t="s">
        <v>703</v>
      </c>
      <c r="B27" s="40">
        <v>6.34</v>
      </c>
      <c r="C27" s="40">
        <v>24.07</v>
      </c>
      <c r="D27" s="40">
        <v>17.2</v>
      </c>
      <c r="E27" s="40">
        <v>4.34</v>
      </c>
      <c r="F27" s="40">
        <v>0.08</v>
      </c>
      <c r="G27" s="40">
        <v>86.39</v>
      </c>
      <c r="H27" s="40">
        <v>31</v>
      </c>
      <c r="I27" s="40">
        <v>8.2200000000000006</v>
      </c>
      <c r="J27" s="40">
        <v>0.28999999999999998</v>
      </c>
      <c r="K27" s="40">
        <v>167.89</v>
      </c>
      <c r="L27" s="40">
        <v>17.670000000000002</v>
      </c>
      <c r="M27" s="40">
        <v>65.31</v>
      </c>
      <c r="N27" s="40">
        <v>32.6</v>
      </c>
      <c r="O27" s="40">
        <v>0</v>
      </c>
      <c r="P27" s="40">
        <v>0.52</v>
      </c>
      <c r="Q27" s="40">
        <v>9.32</v>
      </c>
      <c r="R27" s="38"/>
      <c r="S27" s="38"/>
      <c r="T27" s="38"/>
      <c r="U27" s="38"/>
    </row>
    <row r="28" spans="1:21" customFormat="1">
      <c r="A28" s="39" t="s">
        <v>704</v>
      </c>
      <c r="B28" s="40">
        <v>7.35</v>
      </c>
      <c r="C28" s="40">
        <v>22.4</v>
      </c>
      <c r="D28" s="40">
        <v>16.989999999999998</v>
      </c>
      <c r="E28" s="40">
        <v>4.3899999999999997</v>
      </c>
      <c r="F28" s="40">
        <v>0.13</v>
      </c>
      <c r="G28" s="40">
        <v>89.12</v>
      </c>
      <c r="H28" s="40">
        <v>31.99</v>
      </c>
      <c r="I28" s="40">
        <v>9.64</v>
      </c>
      <c r="J28" s="40">
        <v>0.17</v>
      </c>
      <c r="K28" s="40">
        <v>218.5</v>
      </c>
      <c r="L28" s="40">
        <v>15.28</v>
      </c>
      <c r="M28" s="40">
        <v>77.08</v>
      </c>
      <c r="N28" s="40">
        <v>32.299999999999997</v>
      </c>
      <c r="O28" s="40">
        <v>0</v>
      </c>
      <c r="P28" s="40">
        <v>0.57999999999999996</v>
      </c>
      <c r="Q28" s="40">
        <v>9.32</v>
      </c>
      <c r="R28" s="38"/>
      <c r="S28" s="38"/>
      <c r="T28" s="38"/>
      <c r="U28" s="38"/>
    </row>
    <row r="29" spans="1:21" customFormat="1">
      <c r="A29" s="39" t="s">
        <v>705</v>
      </c>
      <c r="B29" s="40">
        <v>8.7100000000000009</v>
      </c>
      <c r="C29" s="40">
        <v>20.47</v>
      </c>
      <c r="D29" s="40">
        <v>17.39</v>
      </c>
      <c r="E29" s="40">
        <v>4.2</v>
      </c>
      <c r="F29" s="40">
        <v>0.09</v>
      </c>
      <c r="G29" s="40">
        <v>89.12</v>
      </c>
      <c r="H29" s="40">
        <v>31.99</v>
      </c>
      <c r="I29" s="40">
        <v>10.58</v>
      </c>
      <c r="J29" s="40">
        <v>0.25</v>
      </c>
      <c r="K29" s="40">
        <v>223.93</v>
      </c>
      <c r="L29" s="40">
        <v>13.96</v>
      </c>
      <c r="M29" s="40">
        <v>77.790000000000006</v>
      </c>
      <c r="N29" s="40">
        <v>32.299999999999997</v>
      </c>
      <c r="O29" s="40">
        <v>0</v>
      </c>
      <c r="P29" s="40">
        <v>0.63</v>
      </c>
      <c r="Q29" s="40">
        <v>9.32</v>
      </c>
      <c r="R29" s="38"/>
      <c r="S29" s="38"/>
      <c r="T29" s="38"/>
      <c r="U29" s="38"/>
    </row>
    <row r="30" spans="1:21" customFormat="1">
      <c r="A30" s="39" t="s">
        <v>706</v>
      </c>
      <c r="B30" s="40">
        <v>9.06</v>
      </c>
      <c r="C30" s="40">
        <v>19.79</v>
      </c>
      <c r="D30" s="40">
        <v>17.41</v>
      </c>
      <c r="E30" s="40">
        <v>4.2300000000000004</v>
      </c>
      <c r="F30" s="40">
        <v>0.28000000000000003</v>
      </c>
      <c r="G30" s="40">
        <v>89.39</v>
      </c>
      <c r="H30" s="40">
        <v>37.369999999999997</v>
      </c>
      <c r="I30" s="40">
        <v>11.78</v>
      </c>
      <c r="J30" s="40">
        <v>0.28999999999999998</v>
      </c>
      <c r="K30" s="40">
        <v>161.57</v>
      </c>
      <c r="L30" s="40">
        <v>13.35</v>
      </c>
      <c r="M30" s="40">
        <v>78.91</v>
      </c>
      <c r="N30" s="40">
        <v>32.200000000000003</v>
      </c>
      <c r="O30" s="40">
        <v>0</v>
      </c>
      <c r="P30" s="40">
        <v>0.71</v>
      </c>
      <c r="Q30" s="40">
        <v>9.32</v>
      </c>
      <c r="R30" s="38"/>
      <c r="S30" s="38"/>
      <c r="T30" s="38"/>
      <c r="U30" s="38"/>
    </row>
    <row r="31" spans="1:21" customFormat="1">
      <c r="A31" s="39" t="s">
        <v>707</v>
      </c>
      <c r="B31" s="40">
        <v>10.33</v>
      </c>
      <c r="C31" s="40">
        <v>19.190000000000001</v>
      </c>
      <c r="D31" s="40">
        <v>18.239999999999998</v>
      </c>
      <c r="E31" s="40">
        <v>4.5999999999999996</v>
      </c>
      <c r="F31" s="40">
        <v>0.45</v>
      </c>
      <c r="G31" s="40">
        <v>89.39</v>
      </c>
      <c r="H31" s="40">
        <v>40.840000000000003</v>
      </c>
      <c r="I31" s="40">
        <v>13.31</v>
      </c>
      <c r="J31" s="40">
        <v>0.28000000000000003</v>
      </c>
      <c r="K31" s="40">
        <v>231.41</v>
      </c>
      <c r="L31" s="40">
        <v>12.9</v>
      </c>
      <c r="M31" s="40">
        <v>83.41</v>
      </c>
      <c r="N31" s="40">
        <v>32.299999999999997</v>
      </c>
      <c r="O31" s="40">
        <v>0</v>
      </c>
      <c r="P31" s="40">
        <v>0.78</v>
      </c>
      <c r="Q31" s="40">
        <v>9.32</v>
      </c>
      <c r="R31" s="38"/>
      <c r="S31" s="38"/>
      <c r="T31" s="38"/>
      <c r="U31" s="38"/>
    </row>
    <row r="32" spans="1:21" customFormat="1">
      <c r="A32" s="39" t="s">
        <v>708</v>
      </c>
      <c r="B32" s="40">
        <v>17.239999999999998</v>
      </c>
      <c r="C32" s="40">
        <v>20.21</v>
      </c>
      <c r="D32" s="40">
        <v>24.38</v>
      </c>
      <c r="E32" s="40">
        <v>4.6399999999999997</v>
      </c>
      <c r="F32" s="40">
        <v>0.54</v>
      </c>
      <c r="G32" s="40">
        <v>89.1</v>
      </c>
      <c r="H32" s="40">
        <v>43.17</v>
      </c>
      <c r="I32" s="40">
        <v>14.8</v>
      </c>
      <c r="J32" s="40">
        <v>0.25</v>
      </c>
      <c r="K32" s="40">
        <v>190.96</v>
      </c>
      <c r="L32" s="40">
        <v>12.5</v>
      </c>
      <c r="M32" s="40">
        <v>85.64</v>
      </c>
      <c r="N32" s="40">
        <v>32.1</v>
      </c>
      <c r="O32" s="40">
        <v>0</v>
      </c>
      <c r="P32" s="40">
        <v>0.88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2.37</v>
      </c>
      <c r="C34" s="18">
        <f t="shared" si="0"/>
        <v>16.71</v>
      </c>
      <c r="D34" s="18">
        <f t="shared" si="0"/>
        <v>15.28</v>
      </c>
      <c r="E34" s="18">
        <f t="shared" si="0"/>
        <v>1.95</v>
      </c>
      <c r="F34" s="18">
        <f t="shared" si="0"/>
        <v>0.08</v>
      </c>
      <c r="G34" s="18">
        <f t="shared" si="0"/>
        <v>50.36</v>
      </c>
      <c r="H34" s="18">
        <f t="shared" si="0"/>
        <v>23.43</v>
      </c>
      <c r="I34" s="18">
        <f t="shared" si="0"/>
        <v>7.38</v>
      </c>
      <c r="J34" s="18">
        <f t="shared" si="0"/>
        <v>0.14000000000000001</v>
      </c>
      <c r="K34" s="18">
        <f t="shared" si="0"/>
        <v>45.01</v>
      </c>
      <c r="L34" s="18">
        <f t="shared" si="0"/>
        <v>9.91</v>
      </c>
      <c r="M34" s="18">
        <f t="shared" si="0"/>
        <v>27.44</v>
      </c>
      <c r="N34" s="18">
        <f t="shared" si="0"/>
        <v>24.7</v>
      </c>
      <c r="O34" s="18">
        <f t="shared" si="0"/>
        <v>0</v>
      </c>
      <c r="P34" s="18">
        <f t="shared" si="0"/>
        <v>0.44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31.62</v>
      </c>
      <c r="C35" s="3">
        <f t="shared" si="1"/>
        <v>26.47</v>
      </c>
      <c r="D35" s="3">
        <f t="shared" si="1"/>
        <v>35.119999999999997</v>
      </c>
      <c r="E35" s="3">
        <f t="shared" si="1"/>
        <v>20.93</v>
      </c>
      <c r="F35" s="3">
        <f t="shared" si="1"/>
        <v>11.81</v>
      </c>
      <c r="G35" s="3">
        <f t="shared" si="1"/>
        <v>89.39</v>
      </c>
      <c r="H35" s="3">
        <f t="shared" si="1"/>
        <v>43.17</v>
      </c>
      <c r="I35" s="3">
        <f t="shared" si="1"/>
        <v>15.78</v>
      </c>
      <c r="J35" s="3">
        <f t="shared" si="1"/>
        <v>1.07</v>
      </c>
      <c r="K35" s="3">
        <f t="shared" si="1"/>
        <v>353.2</v>
      </c>
      <c r="L35" s="3">
        <f t="shared" si="1"/>
        <v>23.72</v>
      </c>
      <c r="M35" s="3">
        <f t="shared" si="1"/>
        <v>93.54</v>
      </c>
      <c r="N35" s="3">
        <f t="shared" si="1"/>
        <v>591.5</v>
      </c>
      <c r="O35" s="3">
        <f t="shared" si="1"/>
        <v>0</v>
      </c>
      <c r="P35" s="3">
        <f t="shared" si="1"/>
        <v>0.91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15.11125</v>
      </c>
      <c r="C36" s="18">
        <f t="shared" si="2"/>
        <v>21.354583333333334</v>
      </c>
      <c r="D36" s="18">
        <f t="shared" si="2"/>
        <v>23.195416666666663</v>
      </c>
      <c r="E36" s="18">
        <f t="shared" si="2"/>
        <v>5.680833333333335</v>
      </c>
      <c r="F36" s="18">
        <f t="shared" si="2"/>
        <v>2.3287499999999999</v>
      </c>
      <c r="G36" s="18">
        <f t="shared" si="2"/>
        <v>74.319130434782622</v>
      </c>
      <c r="H36" s="18">
        <f t="shared" si="2"/>
        <v>33.136521739130437</v>
      </c>
      <c r="I36" s="18">
        <f t="shared" si="2"/>
        <v>12.518749999999999</v>
      </c>
      <c r="J36" s="18">
        <f t="shared" si="2"/>
        <v>0.40624999999999994</v>
      </c>
      <c r="K36" s="18">
        <f t="shared" si="2"/>
        <v>207.41125</v>
      </c>
      <c r="L36" s="18">
        <f t="shared" si="2"/>
        <v>16.357916666666664</v>
      </c>
      <c r="M36" s="18">
        <f t="shared" si="2"/>
        <v>66.371250000000003</v>
      </c>
      <c r="N36" s="18">
        <f t="shared" si="2"/>
        <v>138.91666666666669</v>
      </c>
      <c r="O36" s="18">
        <f t="shared" si="2"/>
        <v>0</v>
      </c>
      <c r="P36" s="18">
        <f t="shared" si="2"/>
        <v>0.70208333333333339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10.359963199741589</v>
      </c>
      <c r="C37" s="18">
        <f t="shared" ref="C37:Q37" si="3">STDEV(C9:C32)</f>
        <v>3.1257193664772727</v>
      </c>
      <c r="D37" s="18">
        <f t="shared" si="3"/>
        <v>6.8772574027774969</v>
      </c>
      <c r="E37" s="18">
        <f t="shared" si="3"/>
        <v>3.4837260370828913</v>
      </c>
      <c r="F37" s="18">
        <f t="shared" si="3"/>
        <v>2.8493833238241137</v>
      </c>
      <c r="G37" s="18">
        <f t="shared" si="3"/>
        <v>11.688354699149132</v>
      </c>
      <c r="H37" s="18">
        <f t="shared" si="3"/>
        <v>5.6070293615130495</v>
      </c>
      <c r="I37" s="18">
        <f t="shared" si="3"/>
        <v>3.2701739250382356</v>
      </c>
      <c r="J37" s="18">
        <f t="shared" si="3"/>
        <v>0.2946156302120061</v>
      </c>
      <c r="K37" s="18">
        <f t="shared" si="3"/>
        <v>88.624194179816072</v>
      </c>
      <c r="L37" s="18">
        <f t="shared" si="3"/>
        <v>5.0800393520956799</v>
      </c>
      <c r="M37" s="18">
        <f t="shared" si="3"/>
        <v>23.95043528922756</v>
      </c>
      <c r="N37" s="18">
        <f t="shared" si="3"/>
        <v>187.88157154850563</v>
      </c>
      <c r="O37" s="18">
        <f t="shared" si="3"/>
        <v>0</v>
      </c>
      <c r="P37" s="18">
        <f t="shared" si="3"/>
        <v>0.16872872920155277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G13" sqref="G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709</v>
      </c>
      <c r="B9" s="40">
        <v>20.53</v>
      </c>
      <c r="C9" s="40">
        <v>20.56</v>
      </c>
      <c r="D9" s="40">
        <v>27.21</v>
      </c>
      <c r="E9" s="40">
        <v>4.8899999999999997</v>
      </c>
      <c r="F9" s="40">
        <v>0.53</v>
      </c>
      <c r="G9" s="40">
        <v>89.1</v>
      </c>
      <c r="H9" s="40">
        <v>43.17</v>
      </c>
      <c r="I9" s="40">
        <v>13.78</v>
      </c>
      <c r="J9" s="40">
        <v>0.43</v>
      </c>
      <c r="K9" s="40">
        <v>209.74</v>
      </c>
      <c r="L9" s="40">
        <v>12.54</v>
      </c>
      <c r="M9" s="40">
        <v>86.49</v>
      </c>
      <c r="N9" s="40">
        <v>32.4</v>
      </c>
      <c r="O9" s="40">
        <v>0</v>
      </c>
      <c r="P9" s="40">
        <v>0.99</v>
      </c>
      <c r="Q9" s="40">
        <v>9.32</v>
      </c>
      <c r="R9" s="38"/>
      <c r="S9" s="38"/>
      <c r="T9" s="38"/>
      <c r="U9" s="38"/>
    </row>
    <row r="10" spans="1:21" customFormat="1">
      <c r="A10" s="39" t="s">
        <v>710</v>
      </c>
      <c r="B10" s="40">
        <v>25.41</v>
      </c>
      <c r="C10" s="40">
        <v>21.88</v>
      </c>
      <c r="D10" s="40">
        <v>31.74</v>
      </c>
      <c r="E10" s="40">
        <v>5.0599999999999996</v>
      </c>
      <c r="F10" s="40">
        <v>0.68</v>
      </c>
      <c r="G10" s="40">
        <v>93.92</v>
      </c>
      <c r="H10" s="40">
        <v>50.06</v>
      </c>
      <c r="I10" s="40">
        <v>14.73</v>
      </c>
      <c r="J10" s="40">
        <v>0.21</v>
      </c>
      <c r="K10" s="40">
        <v>206.31</v>
      </c>
      <c r="L10" s="40">
        <v>12.41</v>
      </c>
      <c r="M10" s="40">
        <v>85.05</v>
      </c>
      <c r="N10" s="40">
        <v>32.299999999999997</v>
      </c>
      <c r="O10" s="40">
        <v>0</v>
      </c>
      <c r="P10" s="40">
        <v>1.1000000000000001</v>
      </c>
      <c r="Q10" s="40">
        <v>9.32</v>
      </c>
      <c r="R10" s="38"/>
      <c r="S10" s="38"/>
      <c r="T10" s="38"/>
      <c r="U10" s="38"/>
    </row>
    <row r="11" spans="1:21" customFormat="1">
      <c r="A11" s="39" t="s">
        <v>711</v>
      </c>
      <c r="B11" s="40">
        <v>28.96</v>
      </c>
      <c r="C11" s="40">
        <v>21.54</v>
      </c>
      <c r="D11" s="40">
        <v>34.44</v>
      </c>
      <c r="E11" s="40">
        <v>3.21</v>
      </c>
      <c r="F11" s="40">
        <v>0.39</v>
      </c>
      <c r="G11" s="40">
        <v>100.9</v>
      </c>
      <c r="H11" s="40">
        <v>52.86</v>
      </c>
      <c r="I11" s="40">
        <v>15.83</v>
      </c>
      <c r="J11" s="40">
        <v>0.19</v>
      </c>
      <c r="K11" s="40">
        <v>172.24</v>
      </c>
      <c r="L11" s="40">
        <v>11.2</v>
      </c>
      <c r="M11" s="40">
        <v>88</v>
      </c>
      <c r="N11" s="40">
        <v>32.299999999999997</v>
      </c>
      <c r="O11" s="40">
        <v>0</v>
      </c>
      <c r="P11" s="40">
        <v>1.17</v>
      </c>
      <c r="Q11" s="40">
        <v>9.32</v>
      </c>
      <c r="R11" s="38"/>
      <c r="S11" s="38"/>
      <c r="T11" s="38"/>
      <c r="U11" s="38"/>
    </row>
    <row r="12" spans="1:21" customFormat="1">
      <c r="A12" s="39" t="s">
        <v>712</v>
      </c>
      <c r="B12" s="40">
        <v>36.9</v>
      </c>
      <c r="C12" s="40">
        <v>22.18</v>
      </c>
      <c r="D12" s="40">
        <v>41.18</v>
      </c>
      <c r="E12" s="40">
        <v>3.04</v>
      </c>
      <c r="F12" s="40">
        <v>0.46</v>
      </c>
      <c r="G12" s="40">
        <v>100.9</v>
      </c>
      <c r="H12" s="40">
        <v>54.17</v>
      </c>
      <c r="I12" s="40">
        <v>16.54</v>
      </c>
      <c r="J12" s="40">
        <v>0.17</v>
      </c>
      <c r="K12" s="40">
        <v>173.75</v>
      </c>
      <c r="L12" s="40">
        <v>10.68</v>
      </c>
      <c r="M12" s="40">
        <v>88.04</v>
      </c>
      <c r="N12" s="40">
        <v>32.1</v>
      </c>
      <c r="O12" s="40">
        <v>0</v>
      </c>
      <c r="P12" s="40">
        <v>1.2</v>
      </c>
      <c r="Q12" s="40">
        <v>9.32</v>
      </c>
      <c r="R12" s="38"/>
      <c r="S12" s="38"/>
      <c r="T12" s="38"/>
      <c r="U12" s="38"/>
    </row>
    <row r="13" spans="1:21" customFormat="1">
      <c r="A13" s="39" t="s">
        <v>713</v>
      </c>
      <c r="B13" s="40">
        <v>39.729999999999997</v>
      </c>
      <c r="C13" s="40">
        <v>22.75</v>
      </c>
      <c r="D13" s="40">
        <v>43.7</v>
      </c>
      <c r="E13" s="40">
        <v>3.16</v>
      </c>
      <c r="F13" s="40">
        <v>0.55000000000000004</v>
      </c>
      <c r="G13" s="40">
        <v>91.17</v>
      </c>
      <c r="H13" s="40">
        <v>54.17</v>
      </c>
      <c r="I13" s="40">
        <v>16.71</v>
      </c>
      <c r="J13" s="40">
        <v>0.17</v>
      </c>
      <c r="K13" s="40">
        <v>168.2</v>
      </c>
      <c r="L13" s="40">
        <v>10.62</v>
      </c>
      <c r="M13" s="40">
        <v>88.55</v>
      </c>
      <c r="N13" s="40">
        <v>32.200000000000003</v>
      </c>
      <c r="O13" s="40">
        <v>0</v>
      </c>
      <c r="P13" s="40">
        <v>1.2</v>
      </c>
      <c r="Q13" s="40">
        <v>9.32</v>
      </c>
      <c r="R13" s="38"/>
      <c r="S13" s="38"/>
      <c r="T13" s="38"/>
      <c r="U13" s="38"/>
    </row>
    <row r="14" spans="1:21" customFormat="1">
      <c r="A14" s="39" t="s">
        <v>714</v>
      </c>
      <c r="B14" s="40">
        <v>39.43</v>
      </c>
      <c r="C14" s="40">
        <v>22.3</v>
      </c>
      <c r="D14" s="40">
        <v>43.24</v>
      </c>
      <c r="E14" s="40">
        <v>3.11</v>
      </c>
      <c r="F14" s="40">
        <v>0.42</v>
      </c>
      <c r="G14" s="40">
        <v>90.02</v>
      </c>
      <c r="H14" s="40">
        <v>52.72</v>
      </c>
      <c r="I14" s="40">
        <v>16.57</v>
      </c>
      <c r="J14" s="40">
        <v>0.17</v>
      </c>
      <c r="K14" s="40">
        <v>216.36</v>
      </c>
      <c r="L14" s="40">
        <v>9.94</v>
      </c>
      <c r="M14" s="40">
        <v>92.46</v>
      </c>
      <c r="N14" s="40">
        <v>32.4</v>
      </c>
      <c r="O14" s="40">
        <v>0</v>
      </c>
      <c r="P14" s="40">
        <v>1.17</v>
      </c>
      <c r="Q14" s="40">
        <v>9.32</v>
      </c>
      <c r="R14" s="38"/>
      <c r="S14" s="38"/>
      <c r="T14" s="38"/>
      <c r="U14" s="38"/>
    </row>
    <row r="15" spans="1:21" customFormat="1">
      <c r="A15" s="39" t="s">
        <v>715</v>
      </c>
      <c r="B15" s="40">
        <v>38</v>
      </c>
      <c r="C15" s="40">
        <v>21.17</v>
      </c>
      <c r="D15" s="40">
        <v>41.54</v>
      </c>
      <c r="E15" s="40">
        <v>3</v>
      </c>
      <c r="F15" s="40">
        <v>0.42</v>
      </c>
      <c r="G15" s="40">
        <v>75.569999999999993</v>
      </c>
      <c r="H15" s="40">
        <v>46.91</v>
      </c>
      <c r="I15" s="40">
        <v>16.3</v>
      </c>
      <c r="J15" s="40">
        <v>0.13</v>
      </c>
      <c r="K15" s="40">
        <v>232.57</v>
      </c>
      <c r="L15" s="40">
        <v>9.3699999999999992</v>
      </c>
      <c r="M15" s="40">
        <v>93.74</v>
      </c>
      <c r="N15" s="40">
        <v>41.6</v>
      </c>
      <c r="O15" s="40">
        <v>0</v>
      </c>
      <c r="P15" s="40">
        <v>1.1100000000000001</v>
      </c>
      <c r="Q15" s="40">
        <v>9.32</v>
      </c>
      <c r="R15" s="38"/>
      <c r="S15" s="38"/>
      <c r="T15" s="38"/>
      <c r="U15" s="38"/>
    </row>
    <row r="16" spans="1:21" customFormat="1">
      <c r="A16" s="39" t="s">
        <v>716</v>
      </c>
      <c r="B16" s="40">
        <v>37.08</v>
      </c>
      <c r="C16" s="40">
        <v>20.71</v>
      </c>
      <c r="D16" s="40">
        <v>40.549999999999997</v>
      </c>
      <c r="E16" s="40">
        <v>2.92</v>
      </c>
      <c r="F16" s="40">
        <v>0.52</v>
      </c>
      <c r="G16" s="40">
        <v>69.92</v>
      </c>
      <c r="H16" s="40">
        <v>46.21</v>
      </c>
      <c r="I16" s="40">
        <v>16.559999999999999</v>
      </c>
      <c r="J16" s="40">
        <v>0.15</v>
      </c>
      <c r="K16" s="40">
        <v>220.3</v>
      </c>
      <c r="L16" s="40">
        <v>11.16</v>
      </c>
      <c r="M16" s="40">
        <v>93.84</v>
      </c>
      <c r="N16" s="40">
        <v>82.5</v>
      </c>
      <c r="O16" s="40">
        <v>0</v>
      </c>
      <c r="P16" s="40">
        <v>1.1100000000000001</v>
      </c>
      <c r="Q16" s="40">
        <v>9.32</v>
      </c>
      <c r="R16" s="38"/>
      <c r="S16" s="38"/>
      <c r="T16" s="38"/>
      <c r="U16" s="38"/>
    </row>
    <row r="17" spans="1:21" customFormat="1">
      <c r="A17" s="39" t="s">
        <v>717</v>
      </c>
      <c r="B17" s="40">
        <v>35.049999999999997</v>
      </c>
      <c r="C17" s="40">
        <v>22.06</v>
      </c>
      <c r="D17" s="40">
        <v>38.799999999999997</v>
      </c>
      <c r="E17" s="40">
        <v>2.69</v>
      </c>
      <c r="F17" s="40">
        <v>0.55000000000000004</v>
      </c>
      <c r="G17" s="40">
        <v>70.989999999999995</v>
      </c>
      <c r="H17" s="40">
        <v>44.84</v>
      </c>
      <c r="I17" s="40">
        <v>19.02</v>
      </c>
      <c r="J17" s="40">
        <v>0.68</v>
      </c>
      <c r="K17" s="40">
        <v>89.61</v>
      </c>
      <c r="L17" s="40">
        <v>15.53</v>
      </c>
      <c r="M17" s="40">
        <v>80.739999999999995</v>
      </c>
      <c r="N17" s="40">
        <v>281.2</v>
      </c>
      <c r="O17" s="40">
        <v>0</v>
      </c>
      <c r="P17" s="40">
        <v>1.1000000000000001</v>
      </c>
      <c r="Q17" s="40">
        <v>9.32</v>
      </c>
      <c r="R17" s="38"/>
      <c r="S17" s="38"/>
      <c r="T17" s="38"/>
      <c r="U17" s="38"/>
    </row>
    <row r="18" spans="1:21" customFormat="1">
      <c r="A18" s="39" t="s">
        <v>718</v>
      </c>
      <c r="B18" s="40">
        <v>29.95</v>
      </c>
      <c r="C18" s="40">
        <v>23.31</v>
      </c>
      <c r="D18" s="40">
        <v>35.96</v>
      </c>
      <c r="E18" s="40">
        <v>3.06</v>
      </c>
      <c r="F18" s="40">
        <v>0.56000000000000005</v>
      </c>
      <c r="G18" s="40">
        <v>72.680000000000007</v>
      </c>
      <c r="H18" s="40">
        <v>45.84</v>
      </c>
      <c r="I18" s="40">
        <v>18.190000000000001</v>
      </c>
      <c r="J18" s="40">
        <v>0.83</v>
      </c>
      <c r="K18" s="40">
        <v>102.28</v>
      </c>
      <c r="L18" s="40">
        <v>18.43</v>
      </c>
      <c r="M18" s="40">
        <v>52.38</v>
      </c>
      <c r="N18" s="40">
        <v>224.7</v>
      </c>
      <c r="O18" s="40">
        <v>0</v>
      </c>
      <c r="P18" s="40">
        <v>1.03</v>
      </c>
      <c r="Q18" s="40">
        <v>9.32</v>
      </c>
      <c r="R18" s="38"/>
      <c r="S18" s="38"/>
      <c r="T18" s="38"/>
      <c r="U18" s="38"/>
    </row>
    <row r="19" spans="1:21" customFormat="1">
      <c r="A19" s="39" t="s">
        <v>719</v>
      </c>
      <c r="B19" s="40">
        <v>22.7</v>
      </c>
      <c r="C19" s="40">
        <v>24.26</v>
      </c>
      <c r="D19" s="40">
        <v>30.57</v>
      </c>
      <c r="E19" s="40">
        <v>3.54</v>
      </c>
      <c r="F19" s="40">
        <v>0.56000000000000005</v>
      </c>
      <c r="G19" s="40">
        <v>72.680000000000007</v>
      </c>
      <c r="H19" s="40">
        <v>45.84</v>
      </c>
      <c r="I19" s="40">
        <v>15.42</v>
      </c>
      <c r="J19" s="40">
        <v>0.79</v>
      </c>
      <c r="K19" s="40">
        <v>71.08</v>
      </c>
      <c r="L19" s="40">
        <v>20.66</v>
      </c>
      <c r="M19" s="40">
        <v>41.22</v>
      </c>
      <c r="N19" s="40">
        <v>533.20000000000005</v>
      </c>
      <c r="O19" s="40">
        <v>0</v>
      </c>
      <c r="P19" s="40">
        <v>0.93</v>
      </c>
      <c r="Q19" s="40">
        <v>9.32</v>
      </c>
      <c r="R19" s="38"/>
      <c r="S19" s="38"/>
      <c r="T19" s="38"/>
      <c r="U19" s="38"/>
    </row>
    <row r="20" spans="1:21" customFormat="1">
      <c r="A20" s="39" t="s">
        <v>720</v>
      </c>
      <c r="B20" s="40">
        <v>15.11</v>
      </c>
      <c r="C20" s="40">
        <v>24.41</v>
      </c>
      <c r="D20" s="40">
        <v>24.83</v>
      </c>
      <c r="E20" s="40">
        <v>3.39</v>
      </c>
      <c r="F20" s="40">
        <v>0.97</v>
      </c>
      <c r="G20" s="40">
        <v>70.010000000000005</v>
      </c>
      <c r="H20" s="40">
        <v>39</v>
      </c>
      <c r="I20" s="40">
        <v>13.89</v>
      </c>
      <c r="J20" s="40">
        <v>0.43</v>
      </c>
      <c r="K20" s="40">
        <v>194.71</v>
      </c>
      <c r="L20" s="40">
        <v>23.14</v>
      </c>
      <c r="M20" s="40">
        <v>35.72</v>
      </c>
      <c r="N20" s="40">
        <v>574.5</v>
      </c>
      <c r="O20" s="40">
        <v>0</v>
      </c>
      <c r="P20" s="40">
        <v>0.81</v>
      </c>
      <c r="Q20" s="40">
        <v>9.32</v>
      </c>
      <c r="R20" s="38"/>
      <c r="S20" s="38"/>
      <c r="T20" s="38"/>
      <c r="U20" s="38"/>
    </row>
    <row r="21" spans="1:21" customFormat="1">
      <c r="A21" s="39" t="s">
        <v>721</v>
      </c>
      <c r="B21" s="40">
        <v>7.93</v>
      </c>
      <c r="C21" s="40">
        <v>24.13</v>
      </c>
      <c r="D21" s="40">
        <v>18.96</v>
      </c>
      <c r="E21" s="40">
        <v>3.29</v>
      </c>
      <c r="F21" s="40">
        <v>1.52</v>
      </c>
      <c r="G21" s="40">
        <v>67.36</v>
      </c>
      <c r="H21" s="40">
        <v>32.119999999999997</v>
      </c>
      <c r="I21" s="40">
        <v>14.28</v>
      </c>
      <c r="J21" s="40">
        <v>0.46</v>
      </c>
      <c r="K21" s="40">
        <v>348.29</v>
      </c>
      <c r="L21" s="40">
        <v>23.71</v>
      </c>
      <c r="M21" s="40">
        <v>30.9</v>
      </c>
      <c r="N21" s="40">
        <v>582.29999999999995</v>
      </c>
      <c r="O21" s="40">
        <v>0</v>
      </c>
      <c r="P21" s="40">
        <v>0.71</v>
      </c>
      <c r="Q21" s="40">
        <v>9.32</v>
      </c>
      <c r="R21" s="38"/>
      <c r="S21" s="38"/>
      <c r="T21" s="38"/>
      <c r="U21" s="38"/>
    </row>
    <row r="22" spans="1:21" customFormat="1">
      <c r="A22" s="39" t="s">
        <v>722</v>
      </c>
      <c r="B22" s="40">
        <v>3.89</v>
      </c>
      <c r="C22" s="40">
        <v>23.09</v>
      </c>
      <c r="D22" s="40">
        <v>15.18</v>
      </c>
      <c r="E22" s="40">
        <v>3.64</v>
      </c>
      <c r="F22" s="40">
        <v>2.4</v>
      </c>
      <c r="G22" s="40">
        <v>58.59</v>
      </c>
      <c r="H22" s="40">
        <v>28.56</v>
      </c>
      <c r="I22" s="40">
        <v>13.39</v>
      </c>
      <c r="J22" s="40">
        <v>0.63</v>
      </c>
      <c r="K22" s="40">
        <v>132.13999999999999</v>
      </c>
      <c r="L22" s="40">
        <v>23.72</v>
      </c>
      <c r="M22" s="40">
        <v>30.42</v>
      </c>
      <c r="N22" s="40">
        <v>459</v>
      </c>
      <c r="O22" s="40">
        <v>0</v>
      </c>
      <c r="P22" s="40">
        <v>0.65</v>
      </c>
      <c r="Q22" s="40">
        <v>9.32</v>
      </c>
      <c r="R22" s="38"/>
      <c r="S22" s="38"/>
      <c r="T22" s="38"/>
      <c r="U22" s="38"/>
    </row>
    <row r="23" spans="1:21" customFormat="1">
      <c r="A23" s="39" t="s">
        <v>723</v>
      </c>
      <c r="B23" s="40">
        <v>3.24</v>
      </c>
      <c r="C23" s="40">
        <v>22.38</v>
      </c>
      <c r="D23" s="40">
        <v>14.14</v>
      </c>
      <c r="E23" s="40">
        <v>4.6900000000000004</v>
      </c>
      <c r="F23" s="40">
        <v>1.94</v>
      </c>
      <c r="G23" s="40">
        <v>69.239999999999995</v>
      </c>
      <c r="H23" s="40">
        <v>32.04</v>
      </c>
      <c r="I23" s="40">
        <v>12.38</v>
      </c>
      <c r="J23" s="40">
        <v>0.53</v>
      </c>
      <c r="K23" s="40">
        <v>337.76</v>
      </c>
      <c r="L23" s="40">
        <v>23.64</v>
      </c>
      <c r="M23" s="40">
        <v>29.93</v>
      </c>
      <c r="N23" s="40">
        <v>133.19999999999999</v>
      </c>
      <c r="O23" s="40">
        <v>0</v>
      </c>
      <c r="P23" s="40">
        <v>0.57999999999999996</v>
      </c>
      <c r="Q23" s="40">
        <v>9.32</v>
      </c>
      <c r="R23" s="38"/>
      <c r="S23" s="38"/>
      <c r="T23" s="38"/>
      <c r="U23" s="38"/>
    </row>
    <row r="24" spans="1:21" customFormat="1">
      <c r="A24" s="39" t="s">
        <v>724</v>
      </c>
      <c r="B24" s="40">
        <v>3.64</v>
      </c>
      <c r="C24" s="40">
        <v>21.69</v>
      </c>
      <c r="D24" s="40">
        <v>14.09</v>
      </c>
      <c r="E24" s="40">
        <v>4.42</v>
      </c>
      <c r="F24" s="40">
        <v>0.88</v>
      </c>
      <c r="G24" s="40">
        <v>69.239999999999995</v>
      </c>
      <c r="H24" s="40">
        <v>32.04</v>
      </c>
      <c r="I24" s="40">
        <v>11.97</v>
      </c>
      <c r="J24" s="40">
        <v>0.32</v>
      </c>
      <c r="K24" s="40">
        <v>308.89999999999998</v>
      </c>
      <c r="L24" s="40">
        <v>23.58</v>
      </c>
      <c r="M24" s="40">
        <v>26.5</v>
      </c>
      <c r="N24" s="40">
        <v>98.9</v>
      </c>
      <c r="O24" s="40">
        <v>0</v>
      </c>
      <c r="P24" s="40">
        <v>0.56999999999999995</v>
      </c>
      <c r="Q24" s="40">
        <v>9.32</v>
      </c>
      <c r="R24" s="38"/>
      <c r="S24" s="38"/>
      <c r="T24" s="38"/>
      <c r="U24" s="38"/>
    </row>
    <row r="25" spans="1:21" customFormat="1">
      <c r="A25" s="39" t="s">
        <v>725</v>
      </c>
      <c r="B25" s="40">
        <v>4.34</v>
      </c>
      <c r="C25" s="40">
        <v>20.190000000000001</v>
      </c>
      <c r="D25" s="40">
        <v>13.7</v>
      </c>
      <c r="E25" s="40">
        <v>4.25</v>
      </c>
      <c r="F25" s="40">
        <v>0.67</v>
      </c>
      <c r="G25" s="40">
        <v>68.13</v>
      </c>
      <c r="H25" s="40">
        <v>31.83</v>
      </c>
      <c r="I25" s="40">
        <v>11.68</v>
      </c>
      <c r="J25" s="40">
        <v>0.25</v>
      </c>
      <c r="K25" s="40">
        <v>172.98</v>
      </c>
      <c r="L25" s="40">
        <v>23.34</v>
      </c>
      <c r="M25" s="40">
        <v>30.32</v>
      </c>
      <c r="N25" s="40">
        <v>63.3</v>
      </c>
      <c r="O25" s="40">
        <v>0</v>
      </c>
      <c r="P25" s="40">
        <v>0.55000000000000004</v>
      </c>
      <c r="Q25" s="40">
        <v>9.32</v>
      </c>
      <c r="R25" s="38"/>
      <c r="S25" s="38"/>
      <c r="T25" s="38"/>
      <c r="U25" s="38"/>
    </row>
    <row r="26" spans="1:21" customFormat="1">
      <c r="A26" s="39" t="s">
        <v>726</v>
      </c>
      <c r="B26" s="40">
        <v>5.2</v>
      </c>
      <c r="C26" s="40">
        <v>19.48</v>
      </c>
      <c r="D26" s="40">
        <v>14.31</v>
      </c>
      <c r="E26" s="40">
        <v>3.36</v>
      </c>
      <c r="F26" s="40">
        <v>0.38</v>
      </c>
      <c r="G26" s="40">
        <v>81.540000000000006</v>
      </c>
      <c r="H26" s="40">
        <v>27.79</v>
      </c>
      <c r="I26" s="40">
        <v>11.37</v>
      </c>
      <c r="J26" s="40">
        <v>0.36</v>
      </c>
      <c r="K26" s="40">
        <v>164.6</v>
      </c>
      <c r="L26" s="40">
        <v>20.14</v>
      </c>
      <c r="M26" s="40">
        <v>47.81</v>
      </c>
      <c r="N26" s="40">
        <v>40.1</v>
      </c>
      <c r="O26" s="40">
        <v>0</v>
      </c>
      <c r="P26" s="40">
        <v>0.53</v>
      </c>
      <c r="Q26" s="40">
        <v>9.32</v>
      </c>
      <c r="R26" s="38"/>
      <c r="S26" s="38"/>
      <c r="T26" s="38"/>
      <c r="U26" s="38"/>
    </row>
    <row r="27" spans="1:21" customFormat="1">
      <c r="A27" s="39" t="s">
        <v>727</v>
      </c>
      <c r="B27" s="40">
        <v>11.93</v>
      </c>
      <c r="C27" s="40">
        <v>21.46</v>
      </c>
      <c r="D27" s="40">
        <v>20.78</v>
      </c>
      <c r="E27" s="40">
        <v>3.2</v>
      </c>
      <c r="F27" s="40">
        <v>0.06</v>
      </c>
      <c r="G27" s="40">
        <v>143.13999999999999</v>
      </c>
      <c r="H27" s="40">
        <v>31.56</v>
      </c>
      <c r="I27" s="40">
        <v>10.85</v>
      </c>
      <c r="J27" s="40">
        <v>0.33</v>
      </c>
      <c r="K27" s="40">
        <v>176.4</v>
      </c>
      <c r="L27" s="40">
        <v>17.02</v>
      </c>
      <c r="M27" s="40">
        <v>64.73</v>
      </c>
      <c r="N27" s="40">
        <v>30.8</v>
      </c>
      <c r="O27" s="40">
        <v>0</v>
      </c>
      <c r="P27" s="40">
        <v>0.64</v>
      </c>
      <c r="Q27" s="40">
        <v>9.32</v>
      </c>
      <c r="R27" s="38"/>
      <c r="S27" s="38"/>
      <c r="T27" s="38"/>
      <c r="U27" s="38"/>
    </row>
    <row r="28" spans="1:21" customFormat="1">
      <c r="A28" s="39" t="s">
        <v>728</v>
      </c>
      <c r="B28" s="40">
        <v>16.190000000000001</v>
      </c>
      <c r="C28" s="40">
        <v>22.09</v>
      </c>
      <c r="D28" s="40">
        <v>24.53</v>
      </c>
      <c r="E28" s="40">
        <v>3.37</v>
      </c>
      <c r="F28" s="40">
        <v>0.3</v>
      </c>
      <c r="G28" s="40">
        <v>143.13999999999999</v>
      </c>
      <c r="H28" s="40">
        <v>31.56</v>
      </c>
      <c r="I28" s="40">
        <v>11.9</v>
      </c>
      <c r="J28" s="40">
        <v>0.28999999999999998</v>
      </c>
      <c r="K28" s="40">
        <v>202.96</v>
      </c>
      <c r="L28" s="40">
        <v>15.13</v>
      </c>
      <c r="M28" s="40">
        <v>75.55</v>
      </c>
      <c r="N28" s="40">
        <v>30.4</v>
      </c>
      <c r="O28" s="40">
        <v>0</v>
      </c>
      <c r="P28" s="40">
        <v>0.76</v>
      </c>
      <c r="Q28" s="40">
        <v>9.32</v>
      </c>
      <c r="R28" s="38"/>
      <c r="S28" s="38"/>
      <c r="T28" s="38"/>
      <c r="U28" s="38"/>
    </row>
    <row r="29" spans="1:21" customFormat="1">
      <c r="A29" s="39" t="s">
        <v>729</v>
      </c>
      <c r="B29" s="40">
        <v>17.27</v>
      </c>
      <c r="C29" s="40">
        <v>22.07</v>
      </c>
      <c r="D29" s="40">
        <v>25.25</v>
      </c>
      <c r="E29" s="40">
        <v>3.16</v>
      </c>
      <c r="F29" s="40">
        <v>0.2</v>
      </c>
      <c r="G29" s="40">
        <v>92.94</v>
      </c>
      <c r="H29" s="40">
        <v>31.2</v>
      </c>
      <c r="I29" s="40">
        <v>12.84</v>
      </c>
      <c r="J29" s="40">
        <v>0.18</v>
      </c>
      <c r="K29" s="40">
        <v>205.5</v>
      </c>
      <c r="L29" s="40">
        <v>13.5</v>
      </c>
      <c r="M29" s="40">
        <v>77.59</v>
      </c>
      <c r="N29" s="40">
        <v>30.4</v>
      </c>
      <c r="O29" s="40">
        <v>0</v>
      </c>
      <c r="P29" s="40">
        <v>0.8</v>
      </c>
      <c r="Q29" s="40">
        <v>9.32</v>
      </c>
      <c r="R29" s="38"/>
      <c r="S29" s="38"/>
      <c r="T29" s="38"/>
      <c r="U29" s="38"/>
    </row>
    <row r="30" spans="1:21" customFormat="1">
      <c r="A30" s="39" t="s">
        <v>730</v>
      </c>
      <c r="B30" s="40">
        <v>16.89</v>
      </c>
      <c r="C30" s="40">
        <v>20.87</v>
      </c>
      <c r="D30" s="40">
        <v>24.08</v>
      </c>
      <c r="E30" s="40">
        <v>3.02</v>
      </c>
      <c r="F30" s="40">
        <v>0.27</v>
      </c>
      <c r="G30" s="40">
        <v>92.37</v>
      </c>
      <c r="H30" s="40">
        <v>33.69</v>
      </c>
      <c r="I30" s="40">
        <v>13.93</v>
      </c>
      <c r="J30" s="40">
        <v>0.22</v>
      </c>
      <c r="K30" s="40">
        <v>227.95</v>
      </c>
      <c r="L30" s="40">
        <v>12.85</v>
      </c>
      <c r="M30" s="40">
        <v>82.27</v>
      </c>
      <c r="N30" s="40">
        <v>30.4</v>
      </c>
      <c r="O30" s="40">
        <v>0</v>
      </c>
      <c r="P30" s="40">
        <v>0.86</v>
      </c>
      <c r="Q30" s="40">
        <v>9.32</v>
      </c>
      <c r="R30" s="38"/>
      <c r="S30" s="38"/>
      <c r="T30" s="38"/>
      <c r="U30" s="38"/>
    </row>
    <row r="31" spans="1:21" customFormat="1">
      <c r="A31" s="39" t="s">
        <v>731</v>
      </c>
      <c r="B31" s="40">
        <v>16.71</v>
      </c>
      <c r="C31" s="40">
        <v>20.059999999999999</v>
      </c>
      <c r="D31" s="40">
        <v>23.88</v>
      </c>
      <c r="E31" s="40">
        <v>2.93</v>
      </c>
      <c r="F31" s="40">
        <v>0.35</v>
      </c>
      <c r="G31" s="40">
        <v>78.8</v>
      </c>
      <c r="H31" s="40">
        <v>34.700000000000003</v>
      </c>
      <c r="I31" s="40">
        <v>14.89</v>
      </c>
      <c r="J31" s="40">
        <v>0.22</v>
      </c>
      <c r="K31" s="40">
        <v>206.65</v>
      </c>
      <c r="L31" s="40">
        <v>12.53</v>
      </c>
      <c r="M31" s="40">
        <v>82.99</v>
      </c>
      <c r="N31" s="40">
        <v>30.3</v>
      </c>
      <c r="O31" s="40">
        <v>0</v>
      </c>
      <c r="P31" s="40">
        <v>0.87</v>
      </c>
      <c r="Q31" s="40">
        <v>9.32</v>
      </c>
      <c r="R31" s="38"/>
      <c r="S31" s="38"/>
      <c r="T31" s="38"/>
      <c r="U31" s="38"/>
    </row>
    <row r="32" spans="1:21" customFormat="1">
      <c r="A32" s="39" t="s">
        <v>732</v>
      </c>
      <c r="B32" s="40">
        <v>16.649999999999999</v>
      </c>
      <c r="C32" s="40">
        <v>19.88</v>
      </c>
      <c r="D32" s="40">
        <v>23.74</v>
      </c>
      <c r="E32" s="40">
        <v>3.06</v>
      </c>
      <c r="F32" s="40">
        <v>0.37</v>
      </c>
      <c r="G32" s="40">
        <v>78.8</v>
      </c>
      <c r="H32" s="40">
        <v>36.36</v>
      </c>
      <c r="I32" s="40">
        <v>15.63</v>
      </c>
      <c r="J32" s="40">
        <v>0.24</v>
      </c>
      <c r="K32" s="40">
        <v>233.33</v>
      </c>
      <c r="L32" s="40">
        <v>11.9</v>
      </c>
      <c r="M32" s="40">
        <v>81.540000000000006</v>
      </c>
      <c r="N32" s="40">
        <v>30.5</v>
      </c>
      <c r="O32" s="40">
        <v>0</v>
      </c>
      <c r="P32" s="40">
        <v>0.94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3.24</v>
      </c>
      <c r="C34" s="18">
        <f t="shared" si="0"/>
        <v>19.48</v>
      </c>
      <c r="D34" s="18">
        <f t="shared" si="0"/>
        <v>13.7</v>
      </c>
      <c r="E34" s="18">
        <f t="shared" si="0"/>
        <v>2.69</v>
      </c>
      <c r="F34" s="18">
        <f t="shared" si="0"/>
        <v>0.06</v>
      </c>
      <c r="G34" s="18">
        <f t="shared" si="0"/>
        <v>58.59</v>
      </c>
      <c r="H34" s="18">
        <f t="shared" si="0"/>
        <v>27.79</v>
      </c>
      <c r="I34" s="18">
        <f t="shared" si="0"/>
        <v>10.85</v>
      </c>
      <c r="J34" s="18">
        <f t="shared" si="0"/>
        <v>0.13</v>
      </c>
      <c r="K34" s="18">
        <f t="shared" si="0"/>
        <v>71.08</v>
      </c>
      <c r="L34" s="18">
        <f t="shared" si="0"/>
        <v>9.3699999999999992</v>
      </c>
      <c r="M34" s="18">
        <f t="shared" si="0"/>
        <v>26.5</v>
      </c>
      <c r="N34" s="18">
        <f t="shared" si="0"/>
        <v>30.3</v>
      </c>
      <c r="O34" s="18">
        <f t="shared" si="0"/>
        <v>0</v>
      </c>
      <c r="P34" s="18">
        <f t="shared" si="0"/>
        <v>0.53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39.729999999999997</v>
      </c>
      <c r="C35" s="3">
        <f t="shared" si="1"/>
        <v>24.41</v>
      </c>
      <c r="D35" s="3">
        <f t="shared" si="1"/>
        <v>43.7</v>
      </c>
      <c r="E35" s="3">
        <f t="shared" si="1"/>
        <v>5.0599999999999996</v>
      </c>
      <c r="F35" s="3">
        <f t="shared" si="1"/>
        <v>2.4</v>
      </c>
      <c r="G35" s="3">
        <f t="shared" si="1"/>
        <v>143.13999999999999</v>
      </c>
      <c r="H35" s="3">
        <f t="shared" si="1"/>
        <v>54.17</v>
      </c>
      <c r="I35" s="3">
        <f t="shared" si="1"/>
        <v>19.02</v>
      </c>
      <c r="J35" s="3">
        <f t="shared" si="1"/>
        <v>0.83</v>
      </c>
      <c r="K35" s="3">
        <f t="shared" si="1"/>
        <v>348.29</v>
      </c>
      <c r="L35" s="3">
        <f t="shared" si="1"/>
        <v>23.72</v>
      </c>
      <c r="M35" s="3">
        <f t="shared" si="1"/>
        <v>93.84</v>
      </c>
      <c r="N35" s="3">
        <f t="shared" si="1"/>
        <v>582.29999999999995</v>
      </c>
      <c r="O35" s="3">
        <f t="shared" si="1"/>
        <v>0</v>
      </c>
      <c r="P35" s="3">
        <f t="shared" si="1"/>
        <v>1.2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20.530416666666664</v>
      </c>
      <c r="C36" s="18">
        <f t="shared" si="2"/>
        <v>21.855</v>
      </c>
      <c r="D36" s="18">
        <f t="shared" si="2"/>
        <v>27.766666666666662</v>
      </c>
      <c r="E36" s="18">
        <f t="shared" si="2"/>
        <v>3.4775000000000005</v>
      </c>
      <c r="F36" s="18">
        <f t="shared" si="2"/>
        <v>0.66458333333333341</v>
      </c>
      <c r="G36" s="18">
        <f t="shared" si="2"/>
        <v>85.047916666666637</v>
      </c>
      <c r="H36" s="18">
        <f t="shared" si="2"/>
        <v>39.968333333333327</v>
      </c>
      <c r="I36" s="18">
        <f t="shared" si="2"/>
        <v>14.52708333333333</v>
      </c>
      <c r="J36" s="18">
        <f t="shared" si="2"/>
        <v>0.34916666666666668</v>
      </c>
      <c r="K36" s="18">
        <f t="shared" si="2"/>
        <v>198.94208333333327</v>
      </c>
      <c r="L36" s="18">
        <f t="shared" si="2"/>
        <v>16.114166666666662</v>
      </c>
      <c r="M36" s="18">
        <f t="shared" si="2"/>
        <v>66.115833333333327</v>
      </c>
      <c r="N36" s="18">
        <f t="shared" si="2"/>
        <v>145.45833333333334</v>
      </c>
      <c r="O36" s="18">
        <f t="shared" si="2"/>
        <v>0</v>
      </c>
      <c r="P36" s="18">
        <f t="shared" si="2"/>
        <v>0.89083333333333359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12.622912390179421</v>
      </c>
      <c r="C37" s="18">
        <f t="shared" ref="C37:Q37" si="3">STDEV(C9:C32)</f>
        <v>1.365726435144379</v>
      </c>
      <c r="D37" s="18">
        <f t="shared" si="3"/>
        <v>10.194875382169778</v>
      </c>
      <c r="E37" s="18">
        <f t="shared" si="3"/>
        <v>0.66745623533453913</v>
      </c>
      <c r="F37" s="18">
        <f t="shared" si="3"/>
        <v>0.55052527617734759</v>
      </c>
      <c r="G37" s="18">
        <f t="shared" si="3"/>
        <v>21.328515303139081</v>
      </c>
      <c r="H37" s="18">
        <f t="shared" si="3"/>
        <v>8.981915001905195</v>
      </c>
      <c r="I37" s="18">
        <f t="shared" si="3"/>
        <v>2.215743037932199</v>
      </c>
      <c r="J37" s="18">
        <f t="shared" si="3"/>
        <v>0.20738363246527602</v>
      </c>
      <c r="K37" s="18">
        <f t="shared" si="3"/>
        <v>67.453767096219494</v>
      </c>
      <c r="L37" s="18">
        <f t="shared" si="3"/>
        <v>5.2769605189768773</v>
      </c>
      <c r="M37" s="18">
        <f t="shared" si="3"/>
        <v>25.042812197387601</v>
      </c>
      <c r="N37" s="18">
        <f t="shared" si="3"/>
        <v>191.03530726854757</v>
      </c>
      <c r="O37" s="18">
        <f t="shared" si="3"/>
        <v>0</v>
      </c>
      <c r="P37" s="18">
        <f t="shared" si="3"/>
        <v>0.22809068880346783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19" workbookViewId="0">
      <selection activeCell="I14" sqref="I14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29/12/2025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39" t="s">
        <v>733</v>
      </c>
      <c r="B9" s="40">
        <v>20.71</v>
      </c>
      <c r="C9" s="40">
        <v>20.85</v>
      </c>
      <c r="D9" s="40">
        <v>27.38</v>
      </c>
      <c r="E9" s="40">
        <v>3.07</v>
      </c>
      <c r="F9" s="40">
        <v>0.46</v>
      </c>
      <c r="G9" s="40">
        <v>83.35</v>
      </c>
      <c r="H9" s="40">
        <v>38.619999999999997</v>
      </c>
      <c r="I9" s="40">
        <v>16.61</v>
      </c>
      <c r="J9" s="40">
        <v>0.24</v>
      </c>
      <c r="K9" s="40">
        <v>208.25</v>
      </c>
      <c r="L9" s="40">
        <v>11.73</v>
      </c>
      <c r="M9" s="40">
        <v>86.69</v>
      </c>
      <c r="N9" s="40">
        <v>30.6</v>
      </c>
      <c r="O9" s="40">
        <v>0</v>
      </c>
      <c r="P9" s="40">
        <v>0.96</v>
      </c>
      <c r="Q9" s="40">
        <v>9.32</v>
      </c>
      <c r="R9" s="38"/>
      <c r="S9" s="38"/>
      <c r="T9" s="38"/>
      <c r="U9" s="38"/>
    </row>
    <row r="10" spans="1:21">
      <c r="A10" s="39" t="s">
        <v>734</v>
      </c>
      <c r="B10" s="40">
        <v>23.56</v>
      </c>
      <c r="C10" s="40">
        <v>21.36</v>
      </c>
      <c r="D10" s="40">
        <v>30</v>
      </c>
      <c r="E10" s="40">
        <v>3.27</v>
      </c>
      <c r="F10" s="40">
        <v>0.36</v>
      </c>
      <c r="G10" s="40">
        <v>83.35</v>
      </c>
      <c r="H10" s="40">
        <v>39.409999999999997</v>
      </c>
      <c r="I10" s="40">
        <v>17.28</v>
      </c>
      <c r="J10" s="40">
        <v>0.27</v>
      </c>
      <c r="K10" s="40">
        <v>210.77</v>
      </c>
      <c r="L10" s="40">
        <v>12</v>
      </c>
      <c r="M10" s="40">
        <v>79.06</v>
      </c>
      <c r="N10" s="40">
        <v>30.6</v>
      </c>
      <c r="O10" s="40">
        <v>0</v>
      </c>
      <c r="P10" s="40">
        <v>1.02</v>
      </c>
      <c r="Q10" s="40">
        <v>9.32</v>
      </c>
      <c r="R10" s="38"/>
      <c r="S10" s="38"/>
      <c r="T10" s="38"/>
      <c r="U10" s="38"/>
    </row>
    <row r="11" spans="1:21">
      <c r="A11" s="39" t="s">
        <v>735</v>
      </c>
      <c r="B11" s="40">
        <v>23.46</v>
      </c>
      <c r="C11" s="40">
        <v>21.38</v>
      </c>
      <c r="D11" s="40">
        <v>29.98</v>
      </c>
      <c r="E11" s="40">
        <v>3.36</v>
      </c>
      <c r="F11" s="40">
        <v>0.47</v>
      </c>
      <c r="G11" s="40">
        <v>79.819999999999993</v>
      </c>
      <c r="H11" s="40">
        <v>40.33</v>
      </c>
      <c r="I11" s="40">
        <v>17.79</v>
      </c>
      <c r="J11" s="40">
        <v>0.15</v>
      </c>
      <c r="K11" s="40">
        <v>209.14</v>
      </c>
      <c r="L11" s="40">
        <v>11.04</v>
      </c>
      <c r="M11" s="40">
        <v>89.2</v>
      </c>
      <c r="N11" s="40">
        <v>30.6</v>
      </c>
      <c r="O11" s="40">
        <v>0</v>
      </c>
      <c r="P11" s="40">
        <v>1.05</v>
      </c>
      <c r="Q11" s="40">
        <v>9.32</v>
      </c>
      <c r="R11" s="38"/>
      <c r="S11" s="38"/>
      <c r="T11" s="38"/>
      <c r="U11" s="38"/>
    </row>
    <row r="12" spans="1:21">
      <c r="A12" s="39" t="s">
        <v>736</v>
      </c>
      <c r="B12" s="40">
        <v>23.97</v>
      </c>
      <c r="C12" s="40">
        <v>20.21</v>
      </c>
      <c r="D12" s="40">
        <v>29.79</v>
      </c>
      <c r="E12" s="40">
        <v>3.3</v>
      </c>
      <c r="F12" s="40">
        <v>0.43</v>
      </c>
      <c r="G12" s="40">
        <v>79.819999999999993</v>
      </c>
      <c r="H12" s="40">
        <v>41.84</v>
      </c>
      <c r="I12" s="40">
        <v>14.93</v>
      </c>
      <c r="J12" s="40">
        <v>0.17</v>
      </c>
      <c r="K12" s="40">
        <v>227.74</v>
      </c>
      <c r="L12" s="40">
        <v>9.7899999999999991</v>
      </c>
      <c r="M12" s="40">
        <v>89.73</v>
      </c>
      <c r="N12" s="40">
        <v>30.6</v>
      </c>
      <c r="O12" s="40">
        <v>0</v>
      </c>
      <c r="P12" s="40">
        <v>1.05</v>
      </c>
      <c r="Q12" s="40">
        <v>9.32</v>
      </c>
      <c r="R12" s="38"/>
      <c r="S12" s="38"/>
      <c r="T12" s="38"/>
      <c r="U12" s="38"/>
    </row>
    <row r="13" spans="1:21">
      <c r="A13" s="39" t="s">
        <v>737</v>
      </c>
      <c r="B13" s="40">
        <v>23.7</v>
      </c>
      <c r="C13" s="40">
        <v>19.920000000000002</v>
      </c>
      <c r="D13" s="40">
        <v>29.41</v>
      </c>
      <c r="E13" s="40">
        <v>3.35</v>
      </c>
      <c r="F13" s="40">
        <v>0.43</v>
      </c>
      <c r="G13" s="40">
        <v>68.959999999999994</v>
      </c>
      <c r="H13" s="40">
        <v>41.84</v>
      </c>
      <c r="I13" s="40">
        <v>14.95</v>
      </c>
      <c r="J13" s="40">
        <v>0.19</v>
      </c>
      <c r="K13" s="40">
        <v>240.01</v>
      </c>
      <c r="L13" s="40">
        <v>9.42</v>
      </c>
      <c r="M13" s="40">
        <v>90.43</v>
      </c>
      <c r="N13" s="40">
        <v>30.4</v>
      </c>
      <c r="O13" s="40">
        <v>0</v>
      </c>
      <c r="P13" s="40">
        <v>1.02</v>
      </c>
      <c r="Q13" s="40">
        <v>9.32</v>
      </c>
      <c r="R13" s="38"/>
      <c r="S13" s="38"/>
      <c r="T13" s="38"/>
      <c r="U13" s="38"/>
    </row>
    <row r="14" spans="1:21">
      <c r="A14" s="39" t="s">
        <v>738</v>
      </c>
      <c r="B14" s="40">
        <v>23.34</v>
      </c>
      <c r="C14" s="40">
        <v>19.190000000000001</v>
      </c>
      <c r="D14" s="40">
        <v>28.74</v>
      </c>
      <c r="E14" s="40">
        <v>2.99</v>
      </c>
      <c r="F14" s="40">
        <v>0.27</v>
      </c>
      <c r="G14" s="40">
        <v>64.05</v>
      </c>
      <c r="H14" s="40">
        <v>40.69</v>
      </c>
      <c r="I14" s="40">
        <v>14.84</v>
      </c>
      <c r="J14" s="40">
        <v>0.22</v>
      </c>
      <c r="K14" s="40">
        <v>224.17</v>
      </c>
      <c r="L14" s="40">
        <v>9.1999999999999993</v>
      </c>
      <c r="M14" s="40">
        <v>91.66</v>
      </c>
      <c r="N14" s="40">
        <v>30.7</v>
      </c>
      <c r="O14" s="40">
        <v>0</v>
      </c>
      <c r="P14" s="40">
        <v>0.98</v>
      </c>
      <c r="Q14" s="40">
        <v>9.32</v>
      </c>
      <c r="R14" s="38"/>
      <c r="S14" s="38"/>
      <c r="T14" s="38"/>
      <c r="U14" s="38"/>
    </row>
    <row r="15" spans="1:21">
      <c r="A15" s="39" t="s">
        <v>739</v>
      </c>
      <c r="B15" s="40">
        <v>20.67</v>
      </c>
      <c r="C15" s="40">
        <v>18.11</v>
      </c>
      <c r="D15" s="40">
        <v>26.04</v>
      </c>
      <c r="E15" s="40">
        <v>2.96</v>
      </c>
      <c r="F15" s="40">
        <v>0.34</v>
      </c>
      <c r="G15" s="40">
        <v>54.08</v>
      </c>
      <c r="H15" s="40">
        <v>39.24</v>
      </c>
      <c r="I15" s="40">
        <v>14.61</v>
      </c>
      <c r="J15" s="40">
        <v>0.13</v>
      </c>
      <c r="K15" s="40">
        <v>191.79</v>
      </c>
      <c r="L15" s="40">
        <v>8.6</v>
      </c>
      <c r="M15" s="40">
        <v>93.29</v>
      </c>
      <c r="N15" s="40">
        <v>39.6</v>
      </c>
      <c r="O15" s="40">
        <v>0</v>
      </c>
      <c r="P15" s="40">
        <v>0.94</v>
      </c>
      <c r="Q15" s="40">
        <v>9.32</v>
      </c>
      <c r="R15" s="38"/>
      <c r="S15" s="38"/>
      <c r="T15" s="38"/>
      <c r="U15" s="38"/>
    </row>
    <row r="16" spans="1:21">
      <c r="A16" s="39" t="s">
        <v>740</v>
      </c>
      <c r="B16" s="40">
        <v>17.95</v>
      </c>
      <c r="C16" s="40">
        <v>16.690000000000001</v>
      </c>
      <c r="D16" s="40">
        <v>23.11</v>
      </c>
      <c r="E16" s="40">
        <v>2.84</v>
      </c>
      <c r="F16" s="40">
        <v>0.42</v>
      </c>
      <c r="G16" s="40">
        <v>50.88</v>
      </c>
      <c r="H16" s="40">
        <v>37.979999999999997</v>
      </c>
      <c r="I16" s="40">
        <v>14.53</v>
      </c>
      <c r="J16" s="40">
        <v>0.12</v>
      </c>
      <c r="K16" s="40">
        <v>216.11</v>
      </c>
      <c r="L16" s="40">
        <v>10.75</v>
      </c>
      <c r="M16" s="40">
        <v>93.5</v>
      </c>
      <c r="N16" s="40">
        <v>79.900000000000006</v>
      </c>
      <c r="O16" s="40">
        <v>0</v>
      </c>
      <c r="P16" s="40">
        <v>0.91</v>
      </c>
      <c r="Q16" s="40">
        <v>9.32</v>
      </c>
      <c r="R16" s="38"/>
      <c r="S16" s="38"/>
      <c r="T16" s="38"/>
      <c r="U16" s="38"/>
    </row>
    <row r="17" spans="1:21">
      <c r="A17" s="39" t="s">
        <v>741</v>
      </c>
      <c r="B17" s="40">
        <v>15.74</v>
      </c>
      <c r="C17" s="40">
        <v>18.89</v>
      </c>
      <c r="D17" s="40">
        <v>21.58</v>
      </c>
      <c r="E17" s="40">
        <v>2.88</v>
      </c>
      <c r="F17" s="40">
        <v>0.41</v>
      </c>
      <c r="G17" s="40">
        <v>64.61</v>
      </c>
      <c r="H17" s="40">
        <v>39.24</v>
      </c>
      <c r="I17" s="40">
        <v>14.4</v>
      </c>
      <c r="J17" s="40">
        <v>0.51</v>
      </c>
      <c r="K17" s="40">
        <v>166.5</v>
      </c>
      <c r="L17" s="40">
        <v>15.61</v>
      </c>
      <c r="M17" s="40">
        <v>84.76</v>
      </c>
      <c r="N17" s="40">
        <v>267.8</v>
      </c>
      <c r="O17" s="40">
        <v>0</v>
      </c>
      <c r="P17" s="40">
        <v>0.89</v>
      </c>
      <c r="Q17" s="40">
        <v>9.32</v>
      </c>
      <c r="R17" s="38"/>
      <c r="S17" s="38"/>
      <c r="T17" s="38"/>
      <c r="U17" s="38"/>
    </row>
    <row r="18" spans="1:21">
      <c r="A18" s="39" t="s">
        <v>742</v>
      </c>
      <c r="B18" s="40">
        <v>14.06</v>
      </c>
      <c r="C18" s="40">
        <v>20.92</v>
      </c>
      <c r="D18" s="40">
        <v>21.51</v>
      </c>
      <c r="E18" s="40">
        <v>3.2</v>
      </c>
      <c r="F18" s="40">
        <v>0.56999999999999995</v>
      </c>
      <c r="G18" s="40">
        <v>64.61</v>
      </c>
      <c r="H18" s="40">
        <v>39.24</v>
      </c>
      <c r="I18" s="40">
        <v>13.93</v>
      </c>
      <c r="J18" s="40">
        <v>0.56999999999999995</v>
      </c>
      <c r="K18" s="40">
        <v>57.13</v>
      </c>
      <c r="L18" s="40">
        <v>18.88</v>
      </c>
      <c r="M18" s="40">
        <v>55.24</v>
      </c>
      <c r="N18" s="40">
        <v>225.5</v>
      </c>
      <c r="O18" s="40">
        <v>0</v>
      </c>
      <c r="P18" s="40">
        <v>0.85</v>
      </c>
      <c r="Q18" s="40">
        <v>9.32</v>
      </c>
      <c r="R18" s="38"/>
      <c r="S18" s="38"/>
      <c r="T18" s="38"/>
      <c r="U18" s="38"/>
    </row>
    <row r="19" spans="1:21">
      <c r="A19" s="39" t="s">
        <v>743</v>
      </c>
      <c r="B19" s="40">
        <v>12.97</v>
      </c>
      <c r="C19" s="40">
        <v>22.68</v>
      </c>
      <c r="D19" s="40">
        <v>22.26</v>
      </c>
      <c r="E19" s="40">
        <v>2.48</v>
      </c>
      <c r="F19" s="40">
        <v>0.4</v>
      </c>
      <c r="G19" s="40">
        <v>60.26</v>
      </c>
      <c r="H19" s="40">
        <v>38.83</v>
      </c>
      <c r="I19" s="40">
        <v>15.67</v>
      </c>
      <c r="J19" s="40">
        <v>0.98</v>
      </c>
      <c r="K19" s="40">
        <v>63.32</v>
      </c>
      <c r="L19" s="40">
        <v>20.63</v>
      </c>
      <c r="M19" s="40">
        <v>42.73</v>
      </c>
      <c r="N19" s="40">
        <v>519</v>
      </c>
      <c r="O19" s="40">
        <v>0</v>
      </c>
      <c r="P19" s="40">
        <v>0.8</v>
      </c>
      <c r="Q19" s="40">
        <v>9.32</v>
      </c>
      <c r="R19" s="38"/>
      <c r="S19" s="38"/>
      <c r="T19" s="38"/>
      <c r="U19" s="38"/>
    </row>
    <row r="20" spans="1:21">
      <c r="A20" s="39" t="s">
        <v>744</v>
      </c>
      <c r="B20" s="40">
        <v>12.78</v>
      </c>
      <c r="C20" s="40">
        <v>22.84</v>
      </c>
      <c r="D20" s="40">
        <v>22.18</v>
      </c>
      <c r="E20" s="40">
        <v>2.29</v>
      </c>
      <c r="F20" s="40">
        <v>0.44</v>
      </c>
      <c r="G20" s="40">
        <v>60.26</v>
      </c>
      <c r="H20" s="40">
        <v>37.369999999999997</v>
      </c>
      <c r="I20" s="40">
        <v>15.31</v>
      </c>
      <c r="J20" s="40">
        <v>0.62</v>
      </c>
      <c r="K20" s="40">
        <v>338.66</v>
      </c>
      <c r="L20" s="40">
        <v>22.63</v>
      </c>
      <c r="M20" s="40">
        <v>37.03</v>
      </c>
      <c r="N20" s="40">
        <v>566.4</v>
      </c>
      <c r="O20" s="40">
        <v>0</v>
      </c>
      <c r="P20" s="40">
        <v>0.74</v>
      </c>
      <c r="Q20" s="40">
        <v>9.32</v>
      </c>
      <c r="R20" s="38"/>
      <c r="S20" s="38"/>
      <c r="T20" s="38"/>
      <c r="U20" s="38"/>
    </row>
    <row r="21" spans="1:21">
      <c r="A21" s="39" t="s">
        <v>745</v>
      </c>
      <c r="B21" s="40">
        <v>10.18</v>
      </c>
      <c r="C21" s="40">
        <v>22.49</v>
      </c>
      <c r="D21" s="40">
        <v>19.89</v>
      </c>
      <c r="E21" s="40">
        <v>2.61</v>
      </c>
      <c r="F21" s="40">
        <v>0.56999999999999995</v>
      </c>
      <c r="G21" s="40">
        <v>59.45</v>
      </c>
      <c r="H21" s="40">
        <v>34.86</v>
      </c>
      <c r="I21" s="40">
        <v>14.46</v>
      </c>
      <c r="J21" s="40">
        <v>0.63</v>
      </c>
      <c r="K21" s="40">
        <v>353.99</v>
      </c>
      <c r="L21" s="40">
        <v>23.78</v>
      </c>
      <c r="M21" s="40">
        <v>31.21</v>
      </c>
      <c r="N21" s="40">
        <v>572.79999999999995</v>
      </c>
      <c r="O21" s="40">
        <v>0</v>
      </c>
      <c r="P21" s="40">
        <v>0.69</v>
      </c>
      <c r="Q21" s="40">
        <v>9.32</v>
      </c>
      <c r="R21" s="38"/>
      <c r="S21" s="38"/>
      <c r="T21" s="38"/>
      <c r="U21" s="38"/>
    </row>
    <row r="22" spans="1:21">
      <c r="A22" s="39" t="s">
        <v>746</v>
      </c>
      <c r="B22" s="40">
        <v>7.06</v>
      </c>
      <c r="C22" s="40">
        <v>22.19</v>
      </c>
      <c r="D22" s="40">
        <v>17.25</v>
      </c>
      <c r="E22" s="40">
        <v>3.55</v>
      </c>
      <c r="F22" s="40">
        <v>0.95</v>
      </c>
      <c r="G22" s="40">
        <v>50.03</v>
      </c>
      <c r="H22" s="40">
        <v>28.38</v>
      </c>
      <c r="I22" s="40">
        <v>13.27</v>
      </c>
      <c r="J22" s="40">
        <v>0.44</v>
      </c>
      <c r="K22" s="40">
        <v>317.08999999999997</v>
      </c>
      <c r="L22" s="40">
        <v>23.83</v>
      </c>
      <c r="M22" s="40">
        <v>28.3</v>
      </c>
      <c r="N22" s="40">
        <v>474.5</v>
      </c>
      <c r="O22" s="40">
        <v>0</v>
      </c>
      <c r="P22" s="40">
        <v>0.64</v>
      </c>
      <c r="Q22" s="40">
        <v>9.32</v>
      </c>
      <c r="R22" s="38"/>
      <c r="S22" s="38"/>
      <c r="T22" s="38"/>
      <c r="U22" s="38"/>
    </row>
    <row r="23" spans="1:21">
      <c r="A23" s="39" t="s">
        <v>747</v>
      </c>
      <c r="B23" s="40">
        <v>4.7</v>
      </c>
      <c r="C23" s="40">
        <v>22.55</v>
      </c>
      <c r="D23" s="40">
        <v>15.12</v>
      </c>
      <c r="E23" s="40">
        <v>9.09</v>
      </c>
      <c r="F23" s="40">
        <v>10.44</v>
      </c>
      <c r="G23" s="40">
        <v>63.96</v>
      </c>
      <c r="H23" s="40">
        <v>28.56</v>
      </c>
      <c r="I23" s="40">
        <v>12.52</v>
      </c>
      <c r="J23" s="40">
        <v>0.52</v>
      </c>
      <c r="K23" s="40">
        <v>240.58</v>
      </c>
      <c r="L23" s="40">
        <v>23.94</v>
      </c>
      <c r="M23" s="40">
        <v>30.57</v>
      </c>
      <c r="N23" s="40">
        <v>124.5</v>
      </c>
      <c r="O23" s="40">
        <v>0</v>
      </c>
      <c r="P23" s="40">
        <v>0.63</v>
      </c>
      <c r="Q23" s="40">
        <v>9.32</v>
      </c>
      <c r="R23" s="38"/>
      <c r="S23" s="38"/>
      <c r="T23" s="38"/>
      <c r="U23" s="38"/>
    </row>
    <row r="24" spans="1:21">
      <c r="A24" s="39" t="s">
        <v>748</v>
      </c>
      <c r="B24" s="40">
        <v>2.72</v>
      </c>
      <c r="C24" s="40">
        <v>25.61</v>
      </c>
      <c r="D24" s="40">
        <v>15.56</v>
      </c>
      <c r="E24" s="40">
        <v>6.06</v>
      </c>
      <c r="F24" s="40">
        <v>7.33</v>
      </c>
      <c r="G24" s="40">
        <v>81.87</v>
      </c>
      <c r="H24" s="40">
        <v>32.299999999999997</v>
      </c>
      <c r="I24" s="40">
        <v>12.12</v>
      </c>
      <c r="J24" s="40">
        <v>0.66</v>
      </c>
      <c r="K24" s="40">
        <v>26.06</v>
      </c>
      <c r="L24" s="40">
        <v>24.01</v>
      </c>
      <c r="M24" s="40">
        <v>29.84</v>
      </c>
      <c r="N24" s="40">
        <v>96.7</v>
      </c>
      <c r="O24" s="40">
        <v>0</v>
      </c>
      <c r="P24" s="40">
        <v>0.66</v>
      </c>
      <c r="Q24" s="40">
        <v>9.32</v>
      </c>
      <c r="R24" s="38"/>
      <c r="S24" s="38"/>
      <c r="T24" s="38"/>
      <c r="U24" s="38"/>
    </row>
    <row r="25" spans="1:21">
      <c r="A25" s="39" t="s">
        <v>749</v>
      </c>
      <c r="B25" s="40">
        <v>3.44</v>
      </c>
      <c r="C25" s="40">
        <v>27.4</v>
      </c>
      <c r="D25" s="40">
        <v>17.07</v>
      </c>
      <c r="E25" s="40">
        <v>3.95</v>
      </c>
      <c r="F25" s="40">
        <v>3.38</v>
      </c>
      <c r="G25" s="40">
        <v>81.87</v>
      </c>
      <c r="H25" s="40">
        <v>32.299999999999997</v>
      </c>
      <c r="I25" s="40">
        <v>11.94</v>
      </c>
      <c r="J25" s="40">
        <v>0.36</v>
      </c>
      <c r="K25" s="40">
        <v>134.41</v>
      </c>
      <c r="L25" s="40">
        <v>23.51</v>
      </c>
      <c r="M25" s="40">
        <v>37.020000000000003</v>
      </c>
      <c r="N25" s="40">
        <v>62.4</v>
      </c>
      <c r="O25" s="40">
        <v>0</v>
      </c>
      <c r="P25" s="40">
        <v>0.68</v>
      </c>
      <c r="Q25" s="40">
        <v>9.32</v>
      </c>
      <c r="R25" s="38"/>
      <c r="S25" s="38"/>
      <c r="T25" s="38"/>
      <c r="U25" s="38"/>
    </row>
    <row r="26" spans="1:21">
      <c r="A26" s="39" t="s">
        <v>750</v>
      </c>
      <c r="B26" s="40">
        <v>4.5</v>
      </c>
      <c r="C26" s="40">
        <v>29.24</v>
      </c>
      <c r="D26" s="40">
        <v>18.54</v>
      </c>
      <c r="E26" s="40">
        <v>2.8</v>
      </c>
      <c r="F26" s="40">
        <v>2.12</v>
      </c>
      <c r="G26" s="40">
        <v>86.57</v>
      </c>
      <c r="H26" s="40">
        <v>33.42</v>
      </c>
      <c r="I26" s="40">
        <v>10.45</v>
      </c>
      <c r="J26" s="40">
        <v>0.21</v>
      </c>
      <c r="K26" s="40">
        <v>153.11000000000001</v>
      </c>
      <c r="L26" s="40">
        <v>20.8</v>
      </c>
      <c r="M26" s="40">
        <v>44.03</v>
      </c>
      <c r="N26" s="40">
        <v>36.200000000000003</v>
      </c>
      <c r="O26" s="40">
        <v>0</v>
      </c>
      <c r="P26" s="40">
        <v>0.7</v>
      </c>
      <c r="Q26" s="40">
        <v>9.32</v>
      </c>
      <c r="R26" s="38"/>
      <c r="S26" s="38"/>
      <c r="T26" s="38"/>
      <c r="U26" s="38"/>
    </row>
    <row r="27" spans="1:21">
      <c r="A27" s="39" t="s">
        <v>751</v>
      </c>
      <c r="B27" s="40">
        <v>6.57</v>
      </c>
      <c r="C27" s="40">
        <v>28.28</v>
      </c>
      <c r="D27" s="40">
        <v>19.440000000000001</v>
      </c>
      <c r="E27" s="40">
        <v>3.08</v>
      </c>
      <c r="F27" s="40">
        <v>0.2</v>
      </c>
      <c r="G27" s="40">
        <v>153.16999999999999</v>
      </c>
      <c r="H27" s="40">
        <v>36.33</v>
      </c>
      <c r="I27" s="40">
        <v>10.050000000000001</v>
      </c>
      <c r="J27" s="40">
        <v>0.34</v>
      </c>
      <c r="K27" s="40">
        <v>177.99</v>
      </c>
      <c r="L27" s="40">
        <v>18.420000000000002</v>
      </c>
      <c r="M27" s="40">
        <v>69.09</v>
      </c>
      <c r="N27" s="40">
        <v>27.7</v>
      </c>
      <c r="O27" s="40">
        <v>0</v>
      </c>
      <c r="P27" s="40">
        <v>0.74</v>
      </c>
      <c r="Q27" s="40">
        <v>9.32</v>
      </c>
      <c r="R27" s="38"/>
      <c r="S27" s="38"/>
      <c r="T27" s="38"/>
      <c r="U27" s="38"/>
    </row>
    <row r="28" spans="1:21">
      <c r="A28" s="39" t="s">
        <v>752</v>
      </c>
      <c r="B28" s="40">
        <v>7.31</v>
      </c>
      <c r="C28" s="40">
        <v>26.08</v>
      </c>
      <c r="D28" s="40">
        <v>19.010000000000002</v>
      </c>
      <c r="E28" s="40">
        <v>3.3</v>
      </c>
      <c r="F28" s="40">
        <v>0.28000000000000003</v>
      </c>
      <c r="G28" s="40">
        <v>153.16999999999999</v>
      </c>
      <c r="H28" s="40">
        <v>36.33</v>
      </c>
      <c r="I28" s="40">
        <v>12.06</v>
      </c>
      <c r="J28" s="40">
        <v>0.24</v>
      </c>
      <c r="K28" s="40">
        <v>190.1</v>
      </c>
      <c r="L28" s="40">
        <v>15.57</v>
      </c>
      <c r="M28" s="40">
        <v>74.739999999999995</v>
      </c>
      <c r="N28" s="40">
        <v>27.3</v>
      </c>
      <c r="O28" s="40">
        <v>0</v>
      </c>
      <c r="P28" s="40">
        <v>0.77</v>
      </c>
      <c r="Q28" s="40">
        <v>9.32</v>
      </c>
      <c r="R28" s="38"/>
      <c r="S28" s="38"/>
      <c r="T28" s="38"/>
      <c r="U28" s="38"/>
    </row>
    <row r="29" spans="1:21">
      <c r="A29" s="39" t="s">
        <v>753</v>
      </c>
      <c r="B29" s="40">
        <v>10.15</v>
      </c>
      <c r="C29" s="40">
        <v>23.57</v>
      </c>
      <c r="D29" s="40">
        <v>20.170000000000002</v>
      </c>
      <c r="E29" s="40">
        <v>3.08</v>
      </c>
      <c r="F29" s="40">
        <v>0.25</v>
      </c>
      <c r="G29" s="40">
        <v>105.1</v>
      </c>
      <c r="H29" s="40">
        <v>37.31</v>
      </c>
      <c r="I29" s="40">
        <v>14.2</v>
      </c>
      <c r="J29" s="40">
        <v>0.21</v>
      </c>
      <c r="K29" s="40">
        <v>179.1</v>
      </c>
      <c r="L29" s="40">
        <v>14.38</v>
      </c>
      <c r="M29" s="40">
        <v>82.34</v>
      </c>
      <c r="N29" s="40">
        <v>27.3</v>
      </c>
      <c r="O29" s="40">
        <v>0</v>
      </c>
      <c r="P29" s="40">
        <v>0.82</v>
      </c>
      <c r="Q29" s="40">
        <v>9.32</v>
      </c>
      <c r="R29" s="38"/>
      <c r="S29" s="38"/>
      <c r="T29" s="38"/>
      <c r="U29" s="38"/>
    </row>
    <row r="30" spans="1:21">
      <c r="A30" s="39" t="s">
        <v>754</v>
      </c>
      <c r="B30" s="40">
        <v>11.68</v>
      </c>
      <c r="C30" s="40">
        <v>22.7</v>
      </c>
      <c r="D30" s="40">
        <v>20.81</v>
      </c>
      <c r="E30" s="40">
        <v>3.11</v>
      </c>
      <c r="F30" s="40">
        <v>0.12</v>
      </c>
      <c r="G30" s="40">
        <v>101</v>
      </c>
      <c r="H30" s="40">
        <v>40.36</v>
      </c>
      <c r="I30" s="40">
        <v>14.86</v>
      </c>
      <c r="J30" s="40">
        <v>0.25</v>
      </c>
      <c r="K30" s="40">
        <v>233.49</v>
      </c>
      <c r="L30" s="40">
        <v>13.31</v>
      </c>
      <c r="M30" s="40">
        <v>86.04</v>
      </c>
      <c r="N30" s="40">
        <v>27.3</v>
      </c>
      <c r="O30" s="40">
        <v>0</v>
      </c>
      <c r="P30" s="40">
        <v>0.87</v>
      </c>
      <c r="Q30" s="40">
        <v>9.32</v>
      </c>
      <c r="R30" s="38"/>
      <c r="S30" s="38"/>
      <c r="T30" s="38"/>
      <c r="U30" s="38"/>
    </row>
    <row r="31" spans="1:21">
      <c r="A31" s="39" t="s">
        <v>755</v>
      </c>
      <c r="B31" s="40">
        <v>13.83</v>
      </c>
      <c r="C31" s="40">
        <v>21.88</v>
      </c>
      <c r="D31" s="40">
        <v>22.1</v>
      </c>
      <c r="E31" s="40">
        <v>2.97</v>
      </c>
      <c r="F31" s="40">
        <v>0.19</v>
      </c>
      <c r="G31" s="40">
        <v>96.37</v>
      </c>
      <c r="H31" s="40">
        <v>40.36</v>
      </c>
      <c r="I31" s="40">
        <v>15.5</v>
      </c>
      <c r="J31" s="40">
        <v>0.21</v>
      </c>
      <c r="K31" s="40">
        <v>221.52</v>
      </c>
      <c r="L31" s="40">
        <v>12.45</v>
      </c>
      <c r="M31" s="40">
        <v>88.68</v>
      </c>
      <c r="N31" s="40">
        <v>27.2</v>
      </c>
      <c r="O31" s="40">
        <v>0</v>
      </c>
      <c r="P31" s="40">
        <v>0.91</v>
      </c>
      <c r="Q31" s="40">
        <v>9.32</v>
      </c>
      <c r="R31" s="38"/>
      <c r="S31" s="38"/>
      <c r="T31" s="38"/>
      <c r="U31" s="38"/>
    </row>
    <row r="32" spans="1:21">
      <c r="A32" s="39" t="s">
        <v>756</v>
      </c>
      <c r="B32" s="40">
        <v>13.83</v>
      </c>
      <c r="C32" s="40">
        <v>20.83</v>
      </c>
      <c r="D32" s="40">
        <v>21.97</v>
      </c>
      <c r="E32" s="40">
        <v>3.13</v>
      </c>
      <c r="F32" s="40">
        <v>0.38</v>
      </c>
      <c r="G32" s="40">
        <v>96.37</v>
      </c>
      <c r="H32" s="40">
        <v>39.520000000000003</v>
      </c>
      <c r="I32" s="40">
        <v>15.75</v>
      </c>
      <c r="J32" s="40">
        <v>0.18</v>
      </c>
      <c r="K32" s="40">
        <v>221.81</v>
      </c>
      <c r="L32" s="40">
        <v>11.84</v>
      </c>
      <c r="M32" s="40">
        <v>88.66</v>
      </c>
      <c r="N32" s="40">
        <v>27.3</v>
      </c>
      <c r="O32" s="40">
        <v>0</v>
      </c>
      <c r="P32" s="40">
        <v>0.92</v>
      </c>
      <c r="Q32" s="40">
        <v>9.32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2.72</v>
      </c>
      <c r="C34" s="18">
        <f t="shared" si="0"/>
        <v>16.690000000000001</v>
      </c>
      <c r="D34" s="18">
        <f t="shared" si="0"/>
        <v>15.12</v>
      </c>
      <c r="E34" s="18">
        <f t="shared" si="0"/>
        <v>2.29</v>
      </c>
      <c r="F34" s="18">
        <f t="shared" si="0"/>
        <v>0.12</v>
      </c>
      <c r="G34" s="18">
        <f t="shared" si="0"/>
        <v>50.03</v>
      </c>
      <c r="H34" s="18">
        <f t="shared" si="0"/>
        <v>28.38</v>
      </c>
      <c r="I34" s="18">
        <f t="shared" si="0"/>
        <v>10.050000000000001</v>
      </c>
      <c r="J34" s="18">
        <f t="shared" si="0"/>
        <v>0.12</v>
      </c>
      <c r="K34" s="18">
        <f t="shared" si="0"/>
        <v>26.06</v>
      </c>
      <c r="L34" s="18">
        <f t="shared" si="0"/>
        <v>8.6</v>
      </c>
      <c r="M34" s="18">
        <f t="shared" si="0"/>
        <v>28.3</v>
      </c>
      <c r="N34" s="18">
        <f t="shared" si="0"/>
        <v>27.2</v>
      </c>
      <c r="O34" s="18">
        <f t="shared" si="0"/>
        <v>0</v>
      </c>
      <c r="P34" s="18">
        <f t="shared" si="0"/>
        <v>0.63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23.97</v>
      </c>
      <c r="C35" s="3">
        <f t="shared" si="1"/>
        <v>29.24</v>
      </c>
      <c r="D35" s="3">
        <f t="shared" si="1"/>
        <v>30</v>
      </c>
      <c r="E35" s="3">
        <f t="shared" si="1"/>
        <v>9.09</v>
      </c>
      <c r="F35" s="3">
        <f t="shared" si="1"/>
        <v>10.44</v>
      </c>
      <c r="G35" s="3">
        <f t="shared" si="1"/>
        <v>153.16999999999999</v>
      </c>
      <c r="H35" s="3">
        <f t="shared" si="1"/>
        <v>41.84</v>
      </c>
      <c r="I35" s="3">
        <f t="shared" si="1"/>
        <v>17.79</v>
      </c>
      <c r="J35" s="3">
        <f t="shared" si="1"/>
        <v>0.98</v>
      </c>
      <c r="K35" s="3">
        <f t="shared" si="1"/>
        <v>353.99</v>
      </c>
      <c r="L35" s="3">
        <f t="shared" si="1"/>
        <v>24.01</v>
      </c>
      <c r="M35" s="3">
        <f t="shared" si="1"/>
        <v>93.5</v>
      </c>
      <c r="N35" s="3">
        <f t="shared" si="1"/>
        <v>572.79999999999995</v>
      </c>
      <c r="O35" s="3">
        <f t="shared" si="1"/>
        <v>0</v>
      </c>
      <c r="P35" s="3">
        <f t="shared" si="1"/>
        <v>1.05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13.703333333333331</v>
      </c>
      <c r="C36" s="18">
        <f t="shared" si="2"/>
        <v>22.327500000000004</v>
      </c>
      <c r="D36" s="18">
        <f t="shared" si="2"/>
        <v>22.454583333333332</v>
      </c>
      <c r="E36" s="18">
        <f t="shared" si="2"/>
        <v>3.4466666666666659</v>
      </c>
      <c r="F36" s="18">
        <f t="shared" si="2"/>
        <v>1.3004166666666668</v>
      </c>
      <c r="G36" s="18">
        <f t="shared" si="2"/>
        <v>80.957499999999996</v>
      </c>
      <c r="H36" s="18">
        <f t="shared" si="2"/>
        <v>37.277499999999996</v>
      </c>
      <c r="I36" s="18">
        <f t="shared" si="2"/>
        <v>14.251250000000001</v>
      </c>
      <c r="J36" s="18">
        <f t="shared" si="2"/>
        <v>0.35083333333333339</v>
      </c>
      <c r="K36" s="18">
        <f t="shared" si="2"/>
        <v>200.11833333333334</v>
      </c>
      <c r="L36" s="18">
        <f t="shared" si="2"/>
        <v>16.088333333333331</v>
      </c>
      <c r="M36" s="18">
        <f t="shared" si="2"/>
        <v>67.66</v>
      </c>
      <c r="N36" s="18">
        <f t="shared" si="2"/>
        <v>142.20416666666668</v>
      </c>
      <c r="O36" s="18">
        <f t="shared" si="2"/>
        <v>0</v>
      </c>
      <c r="P36" s="18">
        <f t="shared" si="2"/>
        <v>0.8433333333333336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7.1282266022310026</v>
      </c>
      <c r="C37" s="18">
        <f t="shared" ref="C37:Q37" si="3">STDEV(C9:C32)</f>
        <v>3.1340697947334575</v>
      </c>
      <c r="D37" s="18">
        <f t="shared" si="3"/>
        <v>4.677067066076761</v>
      </c>
      <c r="E37" s="18">
        <f t="shared" si="3"/>
        <v>1.3904852661435581</v>
      </c>
      <c r="F37" s="18">
        <f t="shared" si="3"/>
        <v>2.4830021785815206</v>
      </c>
      <c r="G37" s="18">
        <f t="shared" si="3"/>
        <v>27.260623019133348</v>
      </c>
      <c r="H37" s="18">
        <f t="shared" si="3"/>
        <v>3.8146003836518081</v>
      </c>
      <c r="I37" s="18">
        <f t="shared" si="3"/>
        <v>1.9447707196926596</v>
      </c>
      <c r="J37" s="18">
        <f t="shared" si="3"/>
        <v>0.21869010567202279</v>
      </c>
      <c r="K37" s="18">
        <f t="shared" si="3"/>
        <v>78.545470556407906</v>
      </c>
      <c r="L37" s="18">
        <f t="shared" si="3"/>
        <v>5.5841449983250744</v>
      </c>
      <c r="M37" s="18">
        <f t="shared" si="3"/>
        <v>25.141303795184136</v>
      </c>
      <c r="N37" s="18">
        <f t="shared" si="3"/>
        <v>189.8244531807278</v>
      </c>
      <c r="O37" s="18">
        <f t="shared" si="3"/>
        <v>0</v>
      </c>
      <c r="P37" s="18">
        <f t="shared" si="3"/>
        <v>0.13633930393360941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56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19" zoomScale="85" zoomScaleNormal="85" workbookViewId="0">
      <selection activeCell="H13" sqref="H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757</v>
      </c>
      <c r="B9" s="40">
        <v>13.35</v>
      </c>
      <c r="C9" s="40">
        <v>19.29</v>
      </c>
      <c r="D9" s="40">
        <v>20.7</v>
      </c>
      <c r="E9" s="40">
        <v>3.11</v>
      </c>
      <c r="F9" s="40">
        <v>0.35</v>
      </c>
      <c r="G9" s="40">
        <v>84.11</v>
      </c>
      <c r="H9" s="40">
        <v>41.64</v>
      </c>
      <c r="I9" s="40">
        <v>15.79</v>
      </c>
      <c r="J9" s="40">
        <v>0.18</v>
      </c>
      <c r="K9" s="40">
        <v>194.33</v>
      </c>
      <c r="L9" s="40">
        <v>11.4</v>
      </c>
      <c r="M9" s="40">
        <v>90.2</v>
      </c>
      <c r="N9" s="40">
        <v>27.2</v>
      </c>
      <c r="O9" s="40">
        <v>0</v>
      </c>
      <c r="P9" s="40">
        <v>0.96</v>
      </c>
      <c r="Q9" s="40">
        <v>9.32</v>
      </c>
      <c r="R9" s="38"/>
      <c r="S9" s="38"/>
      <c r="T9" s="38"/>
      <c r="U9" s="38"/>
    </row>
    <row r="10" spans="1:21" customFormat="1">
      <c r="A10" s="39" t="s">
        <v>758</v>
      </c>
      <c r="B10" s="40">
        <v>15.21</v>
      </c>
      <c r="C10" s="40">
        <v>19.190000000000001</v>
      </c>
      <c r="D10" s="40">
        <v>22.22</v>
      </c>
      <c r="E10" s="40">
        <v>3.06</v>
      </c>
      <c r="F10" s="40">
        <v>0.35</v>
      </c>
      <c r="G10" s="40">
        <v>69.510000000000005</v>
      </c>
      <c r="H10" s="40">
        <v>43.63</v>
      </c>
      <c r="I10" s="40">
        <v>13.77</v>
      </c>
      <c r="J10" s="40">
        <v>0.55000000000000004</v>
      </c>
      <c r="K10" s="40">
        <v>201.21</v>
      </c>
      <c r="L10" s="40">
        <v>11.83</v>
      </c>
      <c r="M10" s="40">
        <v>90.29</v>
      </c>
      <c r="N10" s="40">
        <v>27.1</v>
      </c>
      <c r="O10" s="40">
        <v>0</v>
      </c>
      <c r="P10" s="40">
        <v>1.02</v>
      </c>
      <c r="Q10" s="40">
        <v>9.32</v>
      </c>
      <c r="R10" s="38"/>
      <c r="S10" s="38"/>
      <c r="T10" s="38"/>
      <c r="U10" s="38"/>
    </row>
    <row r="11" spans="1:21" customFormat="1">
      <c r="A11" s="39" t="s">
        <v>759</v>
      </c>
      <c r="B11" s="40">
        <v>20.91</v>
      </c>
      <c r="C11" s="40">
        <v>20.61</v>
      </c>
      <c r="D11" s="40">
        <v>27.54</v>
      </c>
      <c r="E11" s="40">
        <v>4.25</v>
      </c>
      <c r="F11" s="40">
        <v>0.42</v>
      </c>
      <c r="G11" s="40">
        <v>99.35</v>
      </c>
      <c r="H11" s="40">
        <v>46.24</v>
      </c>
      <c r="I11" s="40">
        <v>14.93</v>
      </c>
      <c r="J11" s="40">
        <v>0.19</v>
      </c>
      <c r="K11" s="40">
        <v>222.2</v>
      </c>
      <c r="L11" s="40">
        <v>11.69</v>
      </c>
      <c r="M11" s="40">
        <v>87.83</v>
      </c>
      <c r="N11" s="40">
        <v>27.2</v>
      </c>
      <c r="O11" s="40">
        <v>0</v>
      </c>
      <c r="P11" s="40">
        <v>1.1299999999999999</v>
      </c>
      <c r="Q11" s="40">
        <v>9.32</v>
      </c>
      <c r="R11" s="38"/>
      <c r="S11" s="38"/>
      <c r="T11" s="38"/>
      <c r="U11" s="38"/>
    </row>
    <row r="12" spans="1:21" customFormat="1">
      <c r="A12" s="39" t="s">
        <v>760</v>
      </c>
      <c r="B12" s="40">
        <v>23.11</v>
      </c>
      <c r="C12" s="40">
        <v>20.48</v>
      </c>
      <c r="D12" s="40">
        <v>28.83</v>
      </c>
      <c r="E12" s="40">
        <v>4.18</v>
      </c>
      <c r="F12" s="40">
        <v>0.27</v>
      </c>
      <c r="G12" s="40">
        <v>99.35</v>
      </c>
      <c r="H12" s="40">
        <v>49.69</v>
      </c>
      <c r="I12" s="40">
        <v>16.36</v>
      </c>
      <c r="J12" s="40">
        <v>0.15</v>
      </c>
      <c r="K12" s="40">
        <v>198.35</v>
      </c>
      <c r="L12" s="40">
        <v>10.37</v>
      </c>
      <c r="M12" s="40">
        <v>90.64</v>
      </c>
      <c r="N12" s="40">
        <v>27.1</v>
      </c>
      <c r="O12" s="40">
        <v>0</v>
      </c>
      <c r="P12" s="40">
        <v>1.23</v>
      </c>
      <c r="Q12" s="40">
        <v>9.32</v>
      </c>
      <c r="R12" s="38"/>
      <c r="S12" s="38"/>
      <c r="T12" s="38"/>
      <c r="U12" s="38"/>
    </row>
    <row r="13" spans="1:21" customFormat="1">
      <c r="A13" s="39" t="s">
        <v>761</v>
      </c>
      <c r="B13" s="40">
        <v>23.92</v>
      </c>
      <c r="C13" s="40">
        <v>19.489999999999998</v>
      </c>
      <c r="D13" s="40">
        <v>29.1</v>
      </c>
      <c r="E13" s="40">
        <v>4.28</v>
      </c>
      <c r="F13" s="40">
        <v>0.42</v>
      </c>
      <c r="G13" s="40">
        <v>97.95</v>
      </c>
      <c r="H13" s="40">
        <v>50.62</v>
      </c>
      <c r="I13" s="40">
        <v>17.32</v>
      </c>
      <c r="J13" s="40">
        <v>0.15</v>
      </c>
      <c r="K13" s="40">
        <v>225.03</v>
      </c>
      <c r="L13" s="40">
        <v>10.029999999999999</v>
      </c>
      <c r="M13" s="40">
        <v>92.67</v>
      </c>
      <c r="N13" s="40">
        <v>27.1</v>
      </c>
      <c r="O13" s="40">
        <v>0</v>
      </c>
      <c r="P13" s="40">
        <v>1.27</v>
      </c>
      <c r="Q13" s="40">
        <v>9.32</v>
      </c>
      <c r="R13" s="38"/>
      <c r="S13" s="38"/>
      <c r="T13" s="38"/>
      <c r="U13" s="38"/>
    </row>
    <row r="14" spans="1:21" customFormat="1">
      <c r="A14" s="39" t="s">
        <v>762</v>
      </c>
      <c r="B14" s="40">
        <v>25.55</v>
      </c>
      <c r="C14" s="40">
        <v>18.850000000000001</v>
      </c>
      <c r="D14" s="40">
        <v>30.24</v>
      </c>
      <c r="E14" s="40">
        <v>4.03</v>
      </c>
      <c r="F14" s="40">
        <v>0.5</v>
      </c>
      <c r="G14" s="40">
        <v>93.1</v>
      </c>
      <c r="H14" s="40">
        <v>50.62</v>
      </c>
      <c r="I14" s="40">
        <v>17.38</v>
      </c>
      <c r="J14" s="40">
        <v>0.16</v>
      </c>
      <c r="K14" s="40">
        <v>209.7</v>
      </c>
      <c r="L14" s="40">
        <v>9.48</v>
      </c>
      <c r="M14" s="40">
        <v>93.32</v>
      </c>
      <c r="N14" s="40">
        <v>27.2</v>
      </c>
      <c r="O14" s="40">
        <v>0</v>
      </c>
      <c r="P14" s="40">
        <v>1.29</v>
      </c>
      <c r="Q14" s="40">
        <v>9.32</v>
      </c>
      <c r="R14" s="38"/>
      <c r="S14" s="38"/>
      <c r="T14" s="38"/>
      <c r="U14" s="38"/>
    </row>
    <row r="15" spans="1:21" customFormat="1">
      <c r="A15" s="39" t="s">
        <v>763</v>
      </c>
      <c r="B15" s="40">
        <v>25.5</v>
      </c>
      <c r="C15" s="40">
        <v>18.32</v>
      </c>
      <c r="D15" s="40">
        <v>30.02</v>
      </c>
      <c r="E15" s="40">
        <v>3.97</v>
      </c>
      <c r="F15" s="40">
        <v>0.43</v>
      </c>
      <c r="G15" s="40">
        <v>84.45</v>
      </c>
      <c r="H15" s="40">
        <v>49.27</v>
      </c>
      <c r="I15" s="40">
        <v>17.329999999999998</v>
      </c>
      <c r="J15" s="40">
        <v>0.16</v>
      </c>
      <c r="K15" s="40">
        <v>220.82</v>
      </c>
      <c r="L15" s="40">
        <v>9.08</v>
      </c>
      <c r="M15" s="40">
        <v>93.9</v>
      </c>
      <c r="N15" s="40">
        <v>36</v>
      </c>
      <c r="O15" s="40">
        <v>0</v>
      </c>
      <c r="P15" s="40">
        <v>1.28</v>
      </c>
      <c r="Q15" s="40">
        <v>9.32</v>
      </c>
      <c r="R15" s="38"/>
      <c r="S15" s="38"/>
      <c r="T15" s="38"/>
      <c r="U15" s="38"/>
    </row>
    <row r="16" spans="1:21" customFormat="1">
      <c r="A16" s="39" t="s">
        <v>764</v>
      </c>
      <c r="B16" s="40">
        <v>24.12</v>
      </c>
      <c r="C16" s="40">
        <v>17.46</v>
      </c>
      <c r="D16" s="40">
        <v>28.46</v>
      </c>
      <c r="E16" s="40">
        <v>3.96</v>
      </c>
      <c r="F16" s="40">
        <v>0.37</v>
      </c>
      <c r="G16" s="40">
        <v>74.62</v>
      </c>
      <c r="H16" s="40">
        <v>49.07</v>
      </c>
      <c r="I16" s="40">
        <v>17.170000000000002</v>
      </c>
      <c r="J16" s="40">
        <v>0.25</v>
      </c>
      <c r="K16" s="40">
        <v>184.73</v>
      </c>
      <c r="L16" s="40">
        <v>10.49</v>
      </c>
      <c r="M16" s="40">
        <v>93.9</v>
      </c>
      <c r="N16" s="40">
        <v>73.5</v>
      </c>
      <c r="O16" s="40">
        <v>0</v>
      </c>
      <c r="P16" s="40">
        <v>1.25</v>
      </c>
      <c r="Q16" s="40">
        <v>9.32</v>
      </c>
      <c r="R16" s="38"/>
      <c r="S16" s="38"/>
      <c r="T16" s="38"/>
      <c r="U16" s="38"/>
    </row>
    <row r="17" spans="1:21" customFormat="1">
      <c r="A17" s="39" t="s">
        <v>765</v>
      </c>
      <c r="B17" s="40">
        <v>22.08</v>
      </c>
      <c r="C17" s="40">
        <v>19.16</v>
      </c>
      <c r="D17" s="40">
        <v>27.08</v>
      </c>
      <c r="E17" s="40">
        <v>3.92</v>
      </c>
      <c r="F17" s="40">
        <v>0.48</v>
      </c>
      <c r="G17" s="40">
        <v>70.84</v>
      </c>
      <c r="H17" s="40">
        <v>45.92</v>
      </c>
      <c r="I17" s="40">
        <v>16.8</v>
      </c>
      <c r="J17" s="40">
        <v>0.16</v>
      </c>
      <c r="K17" s="40">
        <v>190.85</v>
      </c>
      <c r="L17" s="40">
        <v>16.32</v>
      </c>
      <c r="M17" s="40">
        <v>83.87</v>
      </c>
      <c r="N17" s="40">
        <v>276.60000000000002</v>
      </c>
      <c r="O17" s="40">
        <v>0</v>
      </c>
      <c r="P17" s="40">
        <v>1.21</v>
      </c>
      <c r="Q17" s="40">
        <v>9.32</v>
      </c>
      <c r="R17" s="38"/>
      <c r="S17" s="38"/>
      <c r="T17" s="38"/>
      <c r="U17" s="38"/>
    </row>
    <row r="18" spans="1:21" customFormat="1">
      <c r="A18" s="39" t="s">
        <v>766</v>
      </c>
      <c r="B18" s="40">
        <v>18.52</v>
      </c>
      <c r="C18" s="40">
        <v>21.01</v>
      </c>
      <c r="D18" s="40">
        <v>25.11</v>
      </c>
      <c r="E18" s="40">
        <v>4.2699999999999996</v>
      </c>
      <c r="F18" s="40">
        <v>0.64</v>
      </c>
      <c r="G18" s="40">
        <v>70.84</v>
      </c>
      <c r="H18" s="40">
        <v>45.29</v>
      </c>
      <c r="I18" s="40">
        <v>16.39</v>
      </c>
      <c r="J18" s="40">
        <v>0.59</v>
      </c>
      <c r="K18" s="40">
        <v>144.51</v>
      </c>
      <c r="L18" s="40">
        <v>19.13</v>
      </c>
      <c r="M18" s="40">
        <v>46.1</v>
      </c>
      <c r="N18" s="40">
        <v>227.9</v>
      </c>
      <c r="O18" s="40">
        <v>0</v>
      </c>
      <c r="P18" s="40">
        <v>1.1399999999999999</v>
      </c>
      <c r="Q18" s="40">
        <v>9.32</v>
      </c>
      <c r="R18" s="38"/>
      <c r="S18" s="38"/>
      <c r="T18" s="38"/>
      <c r="U18" s="38"/>
    </row>
    <row r="19" spans="1:21" customFormat="1">
      <c r="A19" s="39" t="s">
        <v>767</v>
      </c>
      <c r="B19" s="40">
        <v>15.85</v>
      </c>
      <c r="C19" s="40">
        <v>25.01</v>
      </c>
      <c r="D19" s="40">
        <v>23.98</v>
      </c>
      <c r="E19" s="40">
        <v>3.72</v>
      </c>
      <c r="F19" s="40">
        <v>0.98</v>
      </c>
      <c r="G19" s="40">
        <v>75.63</v>
      </c>
      <c r="H19" s="40">
        <v>44.95</v>
      </c>
      <c r="I19" s="40">
        <v>15.55</v>
      </c>
      <c r="J19" s="40">
        <v>0.56000000000000005</v>
      </c>
      <c r="K19" s="40">
        <v>164</v>
      </c>
      <c r="L19" s="40">
        <v>22.66</v>
      </c>
      <c r="M19" s="40">
        <v>37.950000000000003</v>
      </c>
      <c r="N19" s="40">
        <v>499</v>
      </c>
      <c r="O19" s="40">
        <v>0</v>
      </c>
      <c r="P19" s="40">
        <v>1.07</v>
      </c>
      <c r="Q19" s="40">
        <v>9.32</v>
      </c>
      <c r="R19" s="38"/>
      <c r="S19" s="38"/>
      <c r="T19" s="38"/>
      <c r="U19" s="38"/>
    </row>
    <row r="20" spans="1:21" customFormat="1">
      <c r="A20" s="39" t="s">
        <v>768</v>
      </c>
      <c r="B20" s="40">
        <v>8.76</v>
      </c>
      <c r="C20" s="40">
        <v>26.44</v>
      </c>
      <c r="D20" s="40">
        <v>20.53</v>
      </c>
      <c r="E20" s="40">
        <v>4.03</v>
      </c>
      <c r="F20" s="40">
        <v>1.59</v>
      </c>
      <c r="G20" s="40">
        <v>75.63</v>
      </c>
      <c r="H20" s="40">
        <v>40.380000000000003</v>
      </c>
      <c r="I20" s="40">
        <v>16.989999999999998</v>
      </c>
      <c r="J20" s="40">
        <v>0.41</v>
      </c>
      <c r="K20" s="40">
        <v>357.28</v>
      </c>
      <c r="L20" s="40">
        <v>24</v>
      </c>
      <c r="M20" s="40">
        <v>29.88</v>
      </c>
      <c r="N20" s="40">
        <v>549.1</v>
      </c>
      <c r="O20" s="40">
        <v>0</v>
      </c>
      <c r="P20" s="40">
        <v>0.96</v>
      </c>
      <c r="Q20" s="40">
        <v>9.32</v>
      </c>
      <c r="R20" s="38"/>
      <c r="S20" s="38"/>
      <c r="T20" s="38"/>
      <c r="U20" s="38"/>
    </row>
    <row r="21" spans="1:21" customFormat="1">
      <c r="A21" s="39" t="s">
        <v>769</v>
      </c>
      <c r="B21" s="40">
        <v>3.8</v>
      </c>
      <c r="C21" s="40">
        <v>25.78</v>
      </c>
      <c r="D21" s="40">
        <v>16.510000000000002</v>
      </c>
      <c r="E21" s="40">
        <v>3.81</v>
      </c>
      <c r="F21" s="40">
        <v>2.7</v>
      </c>
      <c r="G21" s="40">
        <v>61.87</v>
      </c>
      <c r="H21" s="40">
        <v>37.56</v>
      </c>
      <c r="I21" s="40">
        <v>16.739999999999998</v>
      </c>
      <c r="J21" s="40">
        <v>0.61</v>
      </c>
      <c r="K21" s="40">
        <v>342.36</v>
      </c>
      <c r="L21" s="40">
        <v>24.86</v>
      </c>
      <c r="M21" s="40">
        <v>25.56</v>
      </c>
      <c r="N21" s="40">
        <v>558.5</v>
      </c>
      <c r="O21" s="40">
        <v>0</v>
      </c>
      <c r="P21" s="40">
        <v>0.88</v>
      </c>
      <c r="Q21" s="40">
        <v>9.32</v>
      </c>
      <c r="R21" s="38"/>
      <c r="S21" s="38"/>
      <c r="T21" s="38"/>
      <c r="U21" s="38"/>
    </row>
    <row r="22" spans="1:21" customFormat="1">
      <c r="A22" s="39" t="s">
        <v>770</v>
      </c>
      <c r="B22" s="40">
        <v>2.57</v>
      </c>
      <c r="C22" s="40">
        <v>22.44</v>
      </c>
      <c r="D22" s="40">
        <v>13.79</v>
      </c>
      <c r="E22" s="40">
        <v>3.46</v>
      </c>
      <c r="F22" s="40">
        <v>3.49</v>
      </c>
      <c r="G22" s="40">
        <v>53.26</v>
      </c>
      <c r="H22" s="40">
        <v>32.299999999999997</v>
      </c>
      <c r="I22" s="40">
        <v>15.52</v>
      </c>
      <c r="J22" s="40">
        <v>0.38</v>
      </c>
      <c r="K22" s="40">
        <v>295.68</v>
      </c>
      <c r="L22" s="40">
        <v>25.02</v>
      </c>
      <c r="M22" s="40">
        <v>20</v>
      </c>
      <c r="N22" s="40">
        <v>501.1</v>
      </c>
      <c r="O22" s="40">
        <v>0</v>
      </c>
      <c r="P22" s="40">
        <v>0.78</v>
      </c>
      <c r="Q22" s="40">
        <v>9.32</v>
      </c>
      <c r="R22" s="38"/>
      <c r="S22" s="38"/>
      <c r="T22" s="38"/>
      <c r="U22" s="38"/>
    </row>
    <row r="23" spans="1:21" customFormat="1">
      <c r="A23" s="39" t="s">
        <v>771</v>
      </c>
      <c r="B23" s="40">
        <v>2.39</v>
      </c>
      <c r="C23" s="40">
        <v>19.75</v>
      </c>
      <c r="D23" s="40">
        <v>12.23</v>
      </c>
      <c r="E23" s="40">
        <v>3.87</v>
      </c>
      <c r="F23" s="40">
        <v>3.96</v>
      </c>
      <c r="G23" s="40">
        <v>42.36</v>
      </c>
      <c r="H23" s="40">
        <v>25.24</v>
      </c>
      <c r="I23" s="40">
        <v>14.23</v>
      </c>
      <c r="J23" s="40">
        <v>0.31</v>
      </c>
      <c r="K23" s="40">
        <v>237.15</v>
      </c>
      <c r="L23" s="40">
        <v>24.77</v>
      </c>
      <c r="M23" s="40">
        <v>22.51</v>
      </c>
      <c r="N23" s="40">
        <v>112.5</v>
      </c>
      <c r="O23" s="40">
        <v>0</v>
      </c>
      <c r="P23" s="40">
        <v>0.69</v>
      </c>
      <c r="Q23" s="40">
        <v>9.32</v>
      </c>
      <c r="R23" s="38"/>
      <c r="S23" s="38"/>
      <c r="T23" s="38"/>
      <c r="U23" s="38"/>
    </row>
    <row r="24" spans="1:21" customFormat="1">
      <c r="A24" s="39" t="s">
        <v>772</v>
      </c>
      <c r="B24" s="40">
        <v>2.44</v>
      </c>
      <c r="C24" s="40">
        <v>18.350000000000001</v>
      </c>
      <c r="D24" s="40">
        <v>11.39</v>
      </c>
      <c r="E24" s="40">
        <v>3.99</v>
      </c>
      <c r="F24" s="40">
        <v>4.3099999999999996</v>
      </c>
      <c r="G24" s="40">
        <v>45.04</v>
      </c>
      <c r="H24" s="40">
        <v>25.24</v>
      </c>
      <c r="I24" s="40">
        <v>13.26</v>
      </c>
      <c r="J24" s="40">
        <v>0.28000000000000003</v>
      </c>
      <c r="K24" s="40">
        <v>221.23</v>
      </c>
      <c r="L24" s="40">
        <v>24.55</v>
      </c>
      <c r="M24" s="40">
        <v>23.98</v>
      </c>
      <c r="N24" s="40">
        <v>91.9</v>
      </c>
      <c r="O24" s="40">
        <v>0</v>
      </c>
      <c r="P24" s="40">
        <v>0.66</v>
      </c>
      <c r="Q24" s="40">
        <v>9.32</v>
      </c>
      <c r="R24" s="38"/>
      <c r="S24" s="38"/>
      <c r="T24" s="38"/>
      <c r="U24" s="38"/>
    </row>
    <row r="25" spans="1:21" customFormat="1">
      <c r="A25" s="39" t="s">
        <v>773</v>
      </c>
      <c r="B25" s="40">
        <v>2.68</v>
      </c>
      <c r="C25" s="40">
        <v>16.77</v>
      </c>
      <c r="D25" s="40">
        <v>10.76</v>
      </c>
      <c r="E25" s="40">
        <v>3.84</v>
      </c>
      <c r="F25" s="40">
        <v>1.89</v>
      </c>
      <c r="G25" s="40">
        <v>48.47</v>
      </c>
      <c r="H25" s="40">
        <v>24.34</v>
      </c>
      <c r="I25" s="40">
        <v>12.39</v>
      </c>
      <c r="J25" s="40">
        <v>0.3</v>
      </c>
      <c r="K25" s="40">
        <v>179.95</v>
      </c>
      <c r="L25" s="40">
        <v>23.31</v>
      </c>
      <c r="M25" s="40">
        <v>29.39</v>
      </c>
      <c r="N25" s="40">
        <v>59.1</v>
      </c>
      <c r="O25" s="40">
        <v>0</v>
      </c>
      <c r="P25" s="40">
        <v>0.62</v>
      </c>
      <c r="Q25" s="40">
        <v>9.32</v>
      </c>
      <c r="R25" s="38"/>
      <c r="S25" s="38"/>
      <c r="T25" s="38"/>
      <c r="U25" s="38"/>
    </row>
    <row r="26" spans="1:21" customFormat="1">
      <c r="A26" s="39" t="s">
        <v>774</v>
      </c>
      <c r="B26" s="40">
        <v>3.17</v>
      </c>
      <c r="C26" s="40">
        <v>15.76</v>
      </c>
      <c r="D26" s="40">
        <v>10.77</v>
      </c>
      <c r="E26" s="40">
        <v>3.81</v>
      </c>
      <c r="F26" s="40">
        <v>1.66</v>
      </c>
      <c r="G26" s="40">
        <v>52.53</v>
      </c>
      <c r="H26" s="40">
        <v>28.03</v>
      </c>
      <c r="I26" s="40">
        <v>11.86</v>
      </c>
      <c r="J26" s="40">
        <v>0.27</v>
      </c>
      <c r="K26" s="40">
        <v>175.85</v>
      </c>
      <c r="L26" s="40">
        <v>20.81</v>
      </c>
      <c r="M26" s="40">
        <v>40.770000000000003</v>
      </c>
      <c r="N26" s="40">
        <v>33.299999999999997</v>
      </c>
      <c r="O26" s="40">
        <v>0</v>
      </c>
      <c r="P26" s="40">
        <v>0.61</v>
      </c>
      <c r="Q26" s="40">
        <v>9.32</v>
      </c>
      <c r="R26" s="38"/>
      <c r="S26" s="38"/>
      <c r="T26" s="38"/>
      <c r="U26" s="38"/>
    </row>
    <row r="27" spans="1:21" customFormat="1">
      <c r="A27" s="39" t="s">
        <v>775</v>
      </c>
      <c r="B27" s="40">
        <v>6.88</v>
      </c>
      <c r="C27" s="40">
        <v>20.02</v>
      </c>
      <c r="D27" s="40">
        <v>15.98</v>
      </c>
      <c r="E27" s="40">
        <v>3.98</v>
      </c>
      <c r="F27" s="40">
        <v>0.36</v>
      </c>
      <c r="G27" s="40">
        <v>75.37</v>
      </c>
      <c r="H27" s="40">
        <v>29.06</v>
      </c>
      <c r="I27" s="40">
        <v>14.91</v>
      </c>
      <c r="J27" s="40">
        <v>0.37</v>
      </c>
      <c r="K27" s="40">
        <v>180.57</v>
      </c>
      <c r="L27" s="40">
        <v>18.27</v>
      </c>
      <c r="M27" s="40">
        <v>53.62</v>
      </c>
      <c r="N27" s="40">
        <v>23.7</v>
      </c>
      <c r="O27" s="40">
        <v>0</v>
      </c>
      <c r="P27" s="40">
        <v>0.69</v>
      </c>
      <c r="Q27" s="40">
        <v>9.32</v>
      </c>
      <c r="R27" s="38"/>
      <c r="S27" s="38"/>
      <c r="T27" s="38"/>
      <c r="U27" s="38"/>
    </row>
    <row r="28" spans="1:21" customFormat="1">
      <c r="A28" s="39" t="s">
        <v>776</v>
      </c>
      <c r="B28" s="40">
        <v>7.52</v>
      </c>
      <c r="C28" s="40">
        <v>21.1</v>
      </c>
      <c r="D28" s="40">
        <v>17.04</v>
      </c>
      <c r="E28" s="40">
        <v>4.1900000000000004</v>
      </c>
      <c r="F28" s="40">
        <v>0.4</v>
      </c>
      <c r="G28" s="40">
        <v>75.37</v>
      </c>
      <c r="H28" s="40">
        <v>30.35</v>
      </c>
      <c r="I28" s="40">
        <v>17.149999999999999</v>
      </c>
      <c r="J28" s="40">
        <v>0.23</v>
      </c>
      <c r="K28" s="40">
        <v>188.48</v>
      </c>
      <c r="L28" s="40">
        <v>15.81</v>
      </c>
      <c r="M28" s="40">
        <v>65.58</v>
      </c>
      <c r="N28" s="40">
        <v>23.2</v>
      </c>
      <c r="O28" s="40">
        <v>0</v>
      </c>
      <c r="P28" s="40">
        <v>0.77</v>
      </c>
      <c r="Q28" s="40">
        <v>9.32</v>
      </c>
      <c r="R28" s="38"/>
      <c r="S28" s="38"/>
      <c r="T28" s="38"/>
      <c r="U28" s="38"/>
    </row>
    <row r="29" spans="1:21" customFormat="1">
      <c r="A29" s="39" t="s">
        <v>777</v>
      </c>
      <c r="B29" s="40">
        <v>7.5</v>
      </c>
      <c r="C29" s="40">
        <v>20.89</v>
      </c>
      <c r="D29" s="40">
        <v>16.93</v>
      </c>
      <c r="E29" s="40">
        <v>4</v>
      </c>
      <c r="F29" s="40">
        <v>0.28999999999999998</v>
      </c>
      <c r="G29" s="40">
        <v>73.239999999999995</v>
      </c>
      <c r="H29" s="40">
        <v>31.6</v>
      </c>
      <c r="I29" s="40">
        <v>17.97</v>
      </c>
      <c r="J29" s="40">
        <v>0.22</v>
      </c>
      <c r="K29" s="40">
        <v>199.51</v>
      </c>
      <c r="L29" s="40">
        <v>14.31</v>
      </c>
      <c r="M29" s="40">
        <v>78.260000000000005</v>
      </c>
      <c r="N29" s="40">
        <v>22.6</v>
      </c>
      <c r="O29" s="40">
        <v>0</v>
      </c>
      <c r="P29" s="40">
        <v>0.83</v>
      </c>
      <c r="Q29" s="40">
        <v>9.32</v>
      </c>
      <c r="R29" s="38"/>
      <c r="S29" s="38"/>
      <c r="T29" s="38"/>
      <c r="U29" s="38"/>
    </row>
    <row r="30" spans="1:21" customFormat="1">
      <c r="A30" s="39" t="s">
        <v>778</v>
      </c>
      <c r="B30" s="40">
        <v>7.23</v>
      </c>
      <c r="C30" s="40">
        <v>19.510000000000002</v>
      </c>
      <c r="D30" s="40">
        <v>15.99</v>
      </c>
      <c r="E30" s="40">
        <v>4.01</v>
      </c>
      <c r="F30" s="40">
        <v>0.47</v>
      </c>
      <c r="G30" s="40">
        <v>73.239999999999995</v>
      </c>
      <c r="H30" s="40">
        <v>33.75</v>
      </c>
      <c r="I30" s="40">
        <v>16.39</v>
      </c>
      <c r="J30" s="40">
        <v>0.27</v>
      </c>
      <c r="K30" s="40">
        <v>210.28</v>
      </c>
      <c r="L30" s="40">
        <v>13.57</v>
      </c>
      <c r="M30" s="40">
        <v>80.010000000000005</v>
      </c>
      <c r="N30" s="40">
        <v>22.4</v>
      </c>
      <c r="O30" s="40">
        <v>0</v>
      </c>
      <c r="P30" s="40">
        <v>0.87</v>
      </c>
      <c r="Q30" s="40">
        <v>9.32</v>
      </c>
      <c r="R30" s="38"/>
      <c r="S30" s="38"/>
      <c r="T30" s="38"/>
      <c r="U30" s="38"/>
    </row>
    <row r="31" spans="1:21" customFormat="1">
      <c r="A31" s="39" t="s">
        <v>779</v>
      </c>
      <c r="B31" s="40">
        <v>7.03</v>
      </c>
      <c r="C31" s="40">
        <v>18.739999999999998</v>
      </c>
      <c r="D31" s="40">
        <v>15.43</v>
      </c>
      <c r="E31" s="40">
        <v>4.0199999999999996</v>
      </c>
      <c r="F31" s="40">
        <v>0.45</v>
      </c>
      <c r="G31" s="40">
        <v>72.66</v>
      </c>
      <c r="H31" s="40">
        <v>33.950000000000003</v>
      </c>
      <c r="I31" s="40">
        <v>15.61</v>
      </c>
      <c r="J31" s="40">
        <v>0.2</v>
      </c>
      <c r="K31" s="40">
        <v>212.47</v>
      </c>
      <c r="L31" s="40">
        <v>13.11</v>
      </c>
      <c r="M31" s="40">
        <v>81.819999999999993</v>
      </c>
      <c r="N31" s="40">
        <v>22.3</v>
      </c>
      <c r="O31" s="40">
        <v>0</v>
      </c>
      <c r="P31" s="40">
        <v>0.9</v>
      </c>
      <c r="Q31" s="40">
        <v>9.32</v>
      </c>
      <c r="R31" s="38"/>
      <c r="S31" s="38"/>
      <c r="T31" s="38"/>
      <c r="U31" s="38"/>
    </row>
    <row r="32" spans="1:21" customFormat="1">
      <c r="A32" s="39" t="s">
        <v>780</v>
      </c>
      <c r="B32" s="40">
        <v>7.22</v>
      </c>
      <c r="C32" s="40">
        <v>18.52</v>
      </c>
      <c r="D32" s="40">
        <v>15.46</v>
      </c>
      <c r="E32" s="40">
        <v>3.96</v>
      </c>
      <c r="F32" s="40">
        <v>0.54</v>
      </c>
      <c r="G32" s="40">
        <v>72.66</v>
      </c>
      <c r="H32" s="40">
        <v>37.47</v>
      </c>
      <c r="I32" s="40">
        <v>15.87</v>
      </c>
      <c r="J32" s="40">
        <v>0.23</v>
      </c>
      <c r="K32" s="40">
        <v>183.31</v>
      </c>
      <c r="L32" s="40">
        <v>12.39</v>
      </c>
      <c r="M32" s="40">
        <v>83.44</v>
      </c>
      <c r="N32" s="40">
        <v>22.4</v>
      </c>
      <c r="O32" s="40">
        <v>0</v>
      </c>
      <c r="P32" s="40">
        <v>0.93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2.39</v>
      </c>
      <c r="C34" s="18">
        <f t="shared" si="0"/>
        <v>15.76</v>
      </c>
      <c r="D34" s="18">
        <f t="shared" si="0"/>
        <v>10.76</v>
      </c>
      <c r="E34" s="18">
        <f t="shared" si="0"/>
        <v>3.06</v>
      </c>
      <c r="F34" s="18">
        <f t="shared" si="0"/>
        <v>0.27</v>
      </c>
      <c r="G34" s="18">
        <f t="shared" si="0"/>
        <v>42.36</v>
      </c>
      <c r="H34" s="18">
        <f t="shared" si="0"/>
        <v>24.34</v>
      </c>
      <c r="I34" s="18">
        <f t="shared" si="0"/>
        <v>11.86</v>
      </c>
      <c r="J34" s="18">
        <f t="shared" si="0"/>
        <v>0.15</v>
      </c>
      <c r="K34" s="18">
        <f t="shared" si="0"/>
        <v>144.51</v>
      </c>
      <c r="L34" s="18">
        <f t="shared" si="0"/>
        <v>9.08</v>
      </c>
      <c r="M34" s="18">
        <f t="shared" si="0"/>
        <v>20</v>
      </c>
      <c r="N34" s="18">
        <f t="shared" si="0"/>
        <v>22.3</v>
      </c>
      <c r="O34" s="18">
        <f t="shared" si="0"/>
        <v>0</v>
      </c>
      <c r="P34" s="18">
        <f t="shared" si="0"/>
        <v>0.61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25.55</v>
      </c>
      <c r="C35" s="3">
        <f t="shared" si="1"/>
        <v>26.44</v>
      </c>
      <c r="D35" s="3">
        <f t="shared" si="1"/>
        <v>30.24</v>
      </c>
      <c r="E35" s="3">
        <f t="shared" si="1"/>
        <v>4.28</v>
      </c>
      <c r="F35" s="3">
        <f t="shared" si="1"/>
        <v>4.3099999999999996</v>
      </c>
      <c r="G35" s="3">
        <f t="shared" si="1"/>
        <v>99.35</v>
      </c>
      <c r="H35" s="3">
        <f t="shared" si="1"/>
        <v>50.62</v>
      </c>
      <c r="I35" s="3">
        <f t="shared" si="1"/>
        <v>17.97</v>
      </c>
      <c r="J35" s="3">
        <f t="shared" si="1"/>
        <v>0.61</v>
      </c>
      <c r="K35" s="3">
        <f t="shared" si="1"/>
        <v>357.28</v>
      </c>
      <c r="L35" s="3">
        <f t="shared" si="1"/>
        <v>25.02</v>
      </c>
      <c r="M35" s="3">
        <f t="shared" si="1"/>
        <v>93.9</v>
      </c>
      <c r="N35" s="3">
        <f t="shared" si="1"/>
        <v>558.5</v>
      </c>
      <c r="O35" s="3">
        <f t="shared" si="1"/>
        <v>0</v>
      </c>
      <c r="P35" s="3">
        <f t="shared" si="1"/>
        <v>1.29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12.387916666666667</v>
      </c>
      <c r="C36" s="18">
        <f t="shared" si="2"/>
        <v>20.122499999999999</v>
      </c>
      <c r="D36" s="18">
        <f t="shared" si="2"/>
        <v>20.253750000000004</v>
      </c>
      <c r="E36" s="18">
        <f t="shared" si="2"/>
        <v>3.9049999999999998</v>
      </c>
      <c r="F36" s="18">
        <f t="shared" si="2"/>
        <v>1.138333333333333</v>
      </c>
      <c r="G36" s="18">
        <f t="shared" si="2"/>
        <v>72.560416666666654</v>
      </c>
      <c r="H36" s="18">
        <f t="shared" si="2"/>
        <v>38.592083333333342</v>
      </c>
      <c r="I36" s="18">
        <f t="shared" si="2"/>
        <v>15.73666666666667</v>
      </c>
      <c r="J36" s="18">
        <f t="shared" si="2"/>
        <v>0.29916666666666669</v>
      </c>
      <c r="K36" s="18">
        <f t="shared" si="2"/>
        <v>214.16041666666669</v>
      </c>
      <c r="L36" s="18">
        <f t="shared" si="2"/>
        <v>16.552499999999998</v>
      </c>
      <c r="M36" s="18">
        <f t="shared" si="2"/>
        <v>63.978749999999991</v>
      </c>
      <c r="N36" s="18">
        <f t="shared" si="2"/>
        <v>138.25</v>
      </c>
      <c r="O36" s="18">
        <f t="shared" si="2"/>
        <v>0</v>
      </c>
      <c r="P36" s="18">
        <f t="shared" si="2"/>
        <v>0.96000000000000008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8.5393829219918302</v>
      </c>
      <c r="C37" s="18">
        <f t="shared" ref="C37:Q37" si="3">STDEV(C9:C32)</f>
        <v>2.6138148864962991</v>
      </c>
      <c r="D37" s="18">
        <f t="shared" si="3"/>
        <v>6.7193302024506005</v>
      </c>
      <c r="E37" s="18">
        <f t="shared" si="3"/>
        <v>0.3120340003770492</v>
      </c>
      <c r="F37" s="18">
        <f t="shared" si="3"/>
        <v>1.2408961231327131</v>
      </c>
      <c r="G37" s="18">
        <f t="shared" si="3"/>
        <v>16.110301451627741</v>
      </c>
      <c r="H37" s="18">
        <f t="shared" si="3"/>
        <v>8.9381400551192129</v>
      </c>
      <c r="I37" s="18">
        <f t="shared" si="3"/>
        <v>1.6377255348611162</v>
      </c>
      <c r="J37" s="18">
        <f t="shared" si="3"/>
        <v>0.1467004243100668</v>
      </c>
      <c r="K37" s="18">
        <f t="shared" si="3"/>
        <v>50.899371438774331</v>
      </c>
      <c r="L37" s="18">
        <f t="shared" si="3"/>
        <v>5.8157591377073157</v>
      </c>
      <c r="M37" s="18">
        <f t="shared" si="3"/>
        <v>28.301421428813523</v>
      </c>
      <c r="N37" s="18">
        <f t="shared" si="3"/>
        <v>189.1863355668622</v>
      </c>
      <c r="O37" s="18">
        <f t="shared" si="3"/>
        <v>0</v>
      </c>
      <c r="P37" s="18">
        <f t="shared" si="3"/>
        <v>0.22671568097509182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topLeftCell="A16" zoomScale="85" zoomScaleNormal="85" workbookViewId="0">
      <selection activeCell="B36" sqref="B36:Q3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31/12/2025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781</v>
      </c>
      <c r="B9" s="40">
        <v>6.82</v>
      </c>
      <c r="C9" s="40">
        <v>17.95</v>
      </c>
      <c r="D9" s="40">
        <v>14.82</v>
      </c>
      <c r="E9" s="40">
        <v>3.72</v>
      </c>
      <c r="F9" s="40">
        <v>0.39</v>
      </c>
      <c r="G9" s="40">
        <v>66.42</v>
      </c>
      <c r="H9" s="40">
        <v>39.9</v>
      </c>
      <c r="I9" s="40">
        <v>18.420000000000002</v>
      </c>
      <c r="J9" s="40">
        <v>0.18</v>
      </c>
      <c r="K9" s="40">
        <v>212.24</v>
      </c>
      <c r="L9" s="40">
        <v>11.9</v>
      </c>
      <c r="M9" s="40">
        <v>86.69</v>
      </c>
      <c r="N9" s="40">
        <v>22.2</v>
      </c>
      <c r="O9" s="40">
        <v>0</v>
      </c>
      <c r="P9" s="40">
        <v>0.94</v>
      </c>
      <c r="Q9" s="40">
        <v>9.32</v>
      </c>
      <c r="R9" s="38"/>
      <c r="S9" s="38"/>
      <c r="T9" s="38"/>
      <c r="U9" s="38"/>
    </row>
    <row r="10" spans="1:21" customFormat="1">
      <c r="A10" s="39" t="s">
        <v>782</v>
      </c>
      <c r="B10" s="40">
        <v>6.81</v>
      </c>
      <c r="C10" s="40">
        <v>17.28</v>
      </c>
      <c r="D10" s="40">
        <v>14.35</v>
      </c>
      <c r="E10" s="40">
        <v>3.71</v>
      </c>
      <c r="F10" s="40">
        <v>0.37</v>
      </c>
      <c r="G10" s="40">
        <v>63.45</v>
      </c>
      <c r="H10" s="40">
        <v>39.9</v>
      </c>
      <c r="I10" s="40">
        <v>15.79</v>
      </c>
      <c r="J10" s="40">
        <v>0.14000000000000001</v>
      </c>
      <c r="K10" s="40">
        <v>177.46</v>
      </c>
      <c r="L10" s="40">
        <v>11.24</v>
      </c>
      <c r="M10" s="40">
        <v>87.61</v>
      </c>
      <c r="N10" s="40">
        <v>22.3</v>
      </c>
      <c r="O10" s="40">
        <v>0</v>
      </c>
      <c r="P10" s="40">
        <v>0.94</v>
      </c>
      <c r="Q10" s="40">
        <v>9.32</v>
      </c>
      <c r="R10" s="38"/>
      <c r="S10" s="38"/>
      <c r="T10" s="38"/>
      <c r="U10" s="38"/>
    </row>
    <row r="11" spans="1:21" customFormat="1">
      <c r="A11" s="39" t="s">
        <v>783</v>
      </c>
      <c r="B11" s="40">
        <v>6.93</v>
      </c>
      <c r="C11" s="40">
        <v>16.559999999999999</v>
      </c>
      <c r="D11" s="40">
        <v>14.15</v>
      </c>
      <c r="E11" s="40">
        <v>3.7</v>
      </c>
      <c r="F11" s="40">
        <v>0.39</v>
      </c>
      <c r="G11" s="40">
        <v>57.39</v>
      </c>
      <c r="H11" s="40">
        <v>38.65</v>
      </c>
      <c r="I11" s="40">
        <v>15.38</v>
      </c>
      <c r="J11" s="40">
        <v>0.18</v>
      </c>
      <c r="K11" s="40">
        <v>201.23</v>
      </c>
      <c r="L11" s="40">
        <v>10.52</v>
      </c>
      <c r="M11" s="40">
        <v>90.67</v>
      </c>
      <c r="N11" s="40">
        <v>22.1</v>
      </c>
      <c r="O11" s="40">
        <v>0</v>
      </c>
      <c r="P11" s="40">
        <v>0.93</v>
      </c>
      <c r="Q11" s="40">
        <v>9.32</v>
      </c>
      <c r="R11" s="38"/>
      <c r="S11" s="38"/>
      <c r="T11" s="38"/>
      <c r="U11" s="38"/>
    </row>
    <row r="12" spans="1:21" customFormat="1">
      <c r="A12" s="39" t="s">
        <v>784</v>
      </c>
      <c r="B12" s="40">
        <v>6.97</v>
      </c>
      <c r="C12" s="40">
        <v>15.89</v>
      </c>
      <c r="D12" s="40">
        <v>13.89</v>
      </c>
      <c r="E12" s="40">
        <v>3.41</v>
      </c>
      <c r="F12" s="40">
        <v>0.35</v>
      </c>
      <c r="G12" s="40">
        <v>50.84</v>
      </c>
      <c r="H12" s="40">
        <v>37.81</v>
      </c>
      <c r="I12" s="40">
        <v>15</v>
      </c>
      <c r="J12" s="40">
        <v>0.15</v>
      </c>
      <c r="K12" s="40">
        <v>222.88</v>
      </c>
      <c r="L12" s="40">
        <v>10.07</v>
      </c>
      <c r="M12" s="40">
        <v>90.08</v>
      </c>
      <c r="N12" s="40">
        <v>22.2</v>
      </c>
      <c r="O12" s="40">
        <v>0</v>
      </c>
      <c r="P12" s="40">
        <v>0.9</v>
      </c>
      <c r="Q12" s="40">
        <v>9.32</v>
      </c>
      <c r="R12" s="38"/>
      <c r="S12" s="38"/>
      <c r="T12" s="38"/>
      <c r="U12" s="38"/>
    </row>
    <row r="13" spans="1:21" customFormat="1">
      <c r="A13" s="39" t="s">
        <v>785</v>
      </c>
      <c r="B13" s="40">
        <v>6.68</v>
      </c>
      <c r="C13" s="40">
        <v>15.75</v>
      </c>
      <c r="D13" s="40">
        <v>13.59</v>
      </c>
      <c r="E13" s="40">
        <v>3.3</v>
      </c>
      <c r="F13" s="40">
        <v>0.38</v>
      </c>
      <c r="G13" s="40">
        <v>50.84</v>
      </c>
      <c r="H13" s="40">
        <v>36.630000000000003</v>
      </c>
      <c r="I13" s="40">
        <v>14.48</v>
      </c>
      <c r="J13" s="40">
        <v>0.19</v>
      </c>
      <c r="K13" s="40">
        <v>208.36</v>
      </c>
      <c r="L13" s="40">
        <v>10.17</v>
      </c>
      <c r="M13" s="40">
        <v>93.31</v>
      </c>
      <c r="N13" s="40">
        <v>22.5</v>
      </c>
      <c r="O13" s="40">
        <v>0</v>
      </c>
      <c r="P13" s="40">
        <v>0.88</v>
      </c>
      <c r="Q13" s="40">
        <v>9.32</v>
      </c>
      <c r="R13" s="38"/>
      <c r="S13" s="38"/>
      <c r="T13" s="38"/>
      <c r="U13" s="38"/>
    </row>
    <row r="14" spans="1:21" customFormat="1">
      <c r="A14" s="39" t="s">
        <v>786</v>
      </c>
      <c r="B14" s="40">
        <v>6.45</v>
      </c>
      <c r="C14" s="40">
        <v>15.46</v>
      </c>
      <c r="D14" s="40">
        <v>13.25</v>
      </c>
      <c r="E14" s="40">
        <v>3.39</v>
      </c>
      <c r="F14" s="40">
        <v>0.51</v>
      </c>
      <c r="G14" s="40">
        <v>48.68</v>
      </c>
      <c r="H14" s="40">
        <v>36.630000000000003</v>
      </c>
      <c r="I14" s="40">
        <v>14.28</v>
      </c>
      <c r="J14" s="40">
        <v>0.2</v>
      </c>
      <c r="K14" s="40">
        <v>204.74</v>
      </c>
      <c r="L14" s="40">
        <v>9.61</v>
      </c>
      <c r="M14" s="40">
        <v>93.67</v>
      </c>
      <c r="N14" s="40">
        <v>22.4</v>
      </c>
      <c r="O14" s="40">
        <v>0</v>
      </c>
      <c r="P14" s="40">
        <v>0.86</v>
      </c>
      <c r="Q14" s="40">
        <v>9.32</v>
      </c>
      <c r="R14" s="38"/>
      <c r="S14" s="38"/>
      <c r="T14" s="38"/>
      <c r="U14" s="38"/>
    </row>
    <row r="15" spans="1:21" customFormat="1">
      <c r="A15" s="39" t="s">
        <v>787</v>
      </c>
      <c r="B15" s="40">
        <v>6.08</v>
      </c>
      <c r="C15" s="40">
        <v>15.25</v>
      </c>
      <c r="D15" s="40">
        <v>12.84</v>
      </c>
      <c r="E15" s="40">
        <v>3.15</v>
      </c>
      <c r="F15" s="40">
        <v>0.42</v>
      </c>
      <c r="G15" s="40">
        <v>47.67</v>
      </c>
      <c r="H15" s="40">
        <v>36.44</v>
      </c>
      <c r="I15" s="40">
        <v>18.05</v>
      </c>
      <c r="J15" s="40">
        <v>0.18</v>
      </c>
      <c r="K15" s="40">
        <v>175.09</v>
      </c>
      <c r="L15" s="40">
        <v>9.42</v>
      </c>
      <c r="M15" s="40">
        <v>93.65</v>
      </c>
      <c r="N15" s="40">
        <v>30.7</v>
      </c>
      <c r="O15" s="40">
        <v>0</v>
      </c>
      <c r="P15" s="40">
        <v>0.82</v>
      </c>
      <c r="Q15" s="40">
        <v>9.32</v>
      </c>
      <c r="R15" s="38"/>
      <c r="S15" s="38"/>
      <c r="T15" s="38"/>
      <c r="U15" s="38"/>
    </row>
    <row r="16" spans="1:21" customFormat="1">
      <c r="A16" s="39" t="s">
        <v>788</v>
      </c>
      <c r="B16" s="40">
        <v>5.89</v>
      </c>
      <c r="C16" s="40">
        <v>14.99</v>
      </c>
      <c r="D16" s="40">
        <v>12.52</v>
      </c>
      <c r="E16" s="40">
        <v>3.48</v>
      </c>
      <c r="F16" s="40">
        <v>0.39</v>
      </c>
      <c r="G16" s="40">
        <v>46.15</v>
      </c>
      <c r="H16" s="40">
        <v>35.619999999999997</v>
      </c>
      <c r="I16" s="40">
        <v>17.66</v>
      </c>
      <c r="J16" s="40">
        <v>0.15</v>
      </c>
      <c r="K16" s="40">
        <v>210.54</v>
      </c>
      <c r="L16" s="40">
        <v>11.41</v>
      </c>
      <c r="M16" s="40">
        <v>92.56</v>
      </c>
      <c r="N16" s="40">
        <v>64.099999999999994</v>
      </c>
      <c r="O16" s="40">
        <v>0</v>
      </c>
      <c r="P16" s="40">
        <v>0.84</v>
      </c>
      <c r="Q16" s="40">
        <v>9.32</v>
      </c>
      <c r="R16" s="38"/>
      <c r="S16" s="38"/>
      <c r="T16" s="38"/>
      <c r="U16" s="38"/>
    </row>
    <row r="17" spans="1:21" customFormat="1">
      <c r="A17" s="39" t="s">
        <v>789</v>
      </c>
      <c r="B17" s="40">
        <v>5.65</v>
      </c>
      <c r="C17" s="40">
        <v>17.41</v>
      </c>
      <c r="D17" s="40">
        <v>12.94</v>
      </c>
      <c r="E17" s="40">
        <v>3.43</v>
      </c>
      <c r="F17" s="40">
        <v>0.63</v>
      </c>
      <c r="G17" s="40">
        <v>51.13</v>
      </c>
      <c r="H17" s="40">
        <v>40.33</v>
      </c>
      <c r="I17" s="40">
        <v>18.399999999999999</v>
      </c>
      <c r="J17" s="40">
        <v>0.27</v>
      </c>
      <c r="K17" s="40">
        <v>242.13</v>
      </c>
      <c r="L17" s="40">
        <v>16.38</v>
      </c>
      <c r="M17" s="40">
        <v>77.22</v>
      </c>
      <c r="N17" s="40">
        <v>271</v>
      </c>
      <c r="O17" s="40">
        <v>0</v>
      </c>
      <c r="P17" s="40">
        <v>0.87</v>
      </c>
      <c r="Q17" s="40">
        <v>9.32</v>
      </c>
      <c r="R17" s="38"/>
      <c r="S17" s="38"/>
      <c r="T17" s="38"/>
      <c r="U17" s="38"/>
    </row>
    <row r="18" spans="1:21" customFormat="1">
      <c r="A18" s="39" t="s">
        <v>790</v>
      </c>
      <c r="B18" s="40">
        <v>4.41</v>
      </c>
      <c r="C18" s="40">
        <v>17.690000000000001</v>
      </c>
      <c r="D18" s="40">
        <v>12.71</v>
      </c>
      <c r="E18" s="40">
        <v>3.74</v>
      </c>
      <c r="F18" s="40">
        <v>1.42</v>
      </c>
      <c r="G18" s="40">
        <v>51.49</v>
      </c>
      <c r="H18" s="40">
        <v>40.33</v>
      </c>
      <c r="I18" s="40">
        <v>18.38</v>
      </c>
      <c r="J18" s="40">
        <v>0.38</v>
      </c>
      <c r="K18" s="40">
        <v>269.36</v>
      </c>
      <c r="L18" s="40">
        <v>19.600000000000001</v>
      </c>
      <c r="M18" s="40">
        <v>56.49</v>
      </c>
      <c r="N18" s="40">
        <v>231.2</v>
      </c>
      <c r="O18" s="40">
        <v>0</v>
      </c>
      <c r="P18" s="40">
        <v>0.86</v>
      </c>
      <c r="Q18" s="40">
        <v>9.32</v>
      </c>
      <c r="R18" s="38"/>
      <c r="S18" s="38"/>
      <c r="T18" s="38"/>
      <c r="U18" s="38"/>
    </row>
    <row r="19" spans="1:21" customFormat="1">
      <c r="A19" s="39" t="s">
        <v>791</v>
      </c>
      <c r="B19" s="40">
        <v>2.99</v>
      </c>
      <c r="C19" s="40">
        <v>17.72</v>
      </c>
      <c r="D19" s="40">
        <v>11.65</v>
      </c>
      <c r="E19" s="40">
        <v>4.5999999999999996</v>
      </c>
      <c r="F19" s="40">
        <v>3.9</v>
      </c>
      <c r="G19" s="40">
        <v>59.61</v>
      </c>
      <c r="H19" s="40">
        <v>38.46</v>
      </c>
      <c r="I19" s="40">
        <v>21.51</v>
      </c>
      <c r="J19" s="40">
        <v>0.26</v>
      </c>
      <c r="K19" s="40">
        <v>352.91</v>
      </c>
      <c r="L19" s="40">
        <v>22.24</v>
      </c>
      <c r="M19" s="40">
        <v>45.02</v>
      </c>
      <c r="N19" s="40">
        <v>503.1</v>
      </c>
      <c r="O19" s="40">
        <v>0</v>
      </c>
      <c r="P19" s="40">
        <v>0.88</v>
      </c>
      <c r="Q19" s="40">
        <v>9.32</v>
      </c>
      <c r="R19" s="38"/>
      <c r="S19" s="38"/>
      <c r="T19" s="38"/>
      <c r="U19" s="38"/>
    </row>
    <row r="20" spans="1:21" customFormat="1">
      <c r="A20" s="39" t="s">
        <v>792</v>
      </c>
      <c r="B20" s="40">
        <v>2.98</v>
      </c>
      <c r="C20" s="40">
        <v>18.25</v>
      </c>
      <c r="D20" s="40">
        <v>11.92</v>
      </c>
      <c r="E20" s="40">
        <v>4.68</v>
      </c>
      <c r="F20" s="40">
        <v>2.73</v>
      </c>
      <c r="G20" s="40">
        <v>59.61</v>
      </c>
      <c r="H20" s="40">
        <v>38.46</v>
      </c>
      <c r="I20" s="40">
        <v>23.28</v>
      </c>
      <c r="J20" s="40">
        <v>0.54</v>
      </c>
      <c r="K20" s="40">
        <v>352.19</v>
      </c>
      <c r="L20" s="40">
        <v>23.99</v>
      </c>
      <c r="M20" s="40">
        <v>32.409999999999997</v>
      </c>
      <c r="N20" s="40">
        <v>531.79999999999995</v>
      </c>
      <c r="O20" s="40">
        <v>0</v>
      </c>
      <c r="P20" s="40">
        <v>0.89</v>
      </c>
      <c r="Q20" s="40">
        <v>9.32</v>
      </c>
      <c r="R20" s="38"/>
      <c r="S20" s="38"/>
      <c r="T20" s="38"/>
      <c r="U20" s="38"/>
    </row>
    <row r="21" spans="1:21" customFormat="1">
      <c r="A21" s="39" t="s">
        <v>793</v>
      </c>
      <c r="B21" s="40">
        <v>2.93</v>
      </c>
      <c r="C21" s="40">
        <v>18.809999999999999</v>
      </c>
      <c r="D21" s="40">
        <v>12.02</v>
      </c>
      <c r="E21" s="40">
        <v>5.65</v>
      </c>
      <c r="F21" s="40">
        <v>8.98</v>
      </c>
      <c r="G21" s="40">
        <v>57.25</v>
      </c>
      <c r="H21" s="40">
        <v>32.97</v>
      </c>
      <c r="I21" s="40">
        <v>23</v>
      </c>
      <c r="J21" s="40">
        <v>0.64</v>
      </c>
      <c r="K21" s="40">
        <v>304.24</v>
      </c>
      <c r="L21" s="40">
        <v>24.68</v>
      </c>
      <c r="M21" s="40">
        <v>27.51</v>
      </c>
      <c r="N21" s="40">
        <v>554.6</v>
      </c>
      <c r="O21" s="40">
        <v>0</v>
      </c>
      <c r="P21" s="40">
        <v>0.86</v>
      </c>
      <c r="Q21" s="40">
        <v>9.32</v>
      </c>
      <c r="R21" s="38"/>
      <c r="S21" s="38"/>
      <c r="T21" s="38"/>
      <c r="U21" s="38"/>
    </row>
    <row r="22" spans="1:21" customFormat="1">
      <c r="A22" s="39" t="s">
        <v>794</v>
      </c>
      <c r="B22" s="40">
        <v>2.11</v>
      </c>
      <c r="C22" s="40">
        <v>21.97</v>
      </c>
      <c r="D22" s="40">
        <v>13.17</v>
      </c>
      <c r="E22" s="40">
        <v>6.99</v>
      </c>
      <c r="F22" s="40">
        <v>14.1</v>
      </c>
      <c r="G22" s="40">
        <v>47.16</v>
      </c>
      <c r="H22" s="40">
        <v>32.97</v>
      </c>
      <c r="I22" s="40">
        <v>20.27</v>
      </c>
      <c r="J22" s="40">
        <v>0.54</v>
      </c>
      <c r="K22" s="40">
        <v>340.7</v>
      </c>
      <c r="L22" s="40">
        <v>24.6</v>
      </c>
      <c r="M22" s="40">
        <v>27.44</v>
      </c>
      <c r="N22" s="40">
        <v>490.7</v>
      </c>
      <c r="O22" s="40">
        <v>0</v>
      </c>
      <c r="P22" s="40">
        <v>0.68</v>
      </c>
      <c r="Q22" s="40">
        <v>9.32</v>
      </c>
      <c r="R22" s="38"/>
      <c r="S22" s="38"/>
      <c r="T22" s="38"/>
      <c r="U22" s="38"/>
    </row>
    <row r="23" spans="1:21" customFormat="1">
      <c r="A23" s="39" t="s">
        <v>795</v>
      </c>
      <c r="B23" s="40">
        <v>2.2000000000000002</v>
      </c>
      <c r="C23" s="40">
        <v>23.48</v>
      </c>
      <c r="D23" s="40">
        <v>14.03</v>
      </c>
      <c r="E23" s="40">
        <v>8.98</v>
      </c>
      <c r="F23" s="40">
        <v>15.71</v>
      </c>
      <c r="G23" s="40">
        <v>43.28</v>
      </c>
      <c r="H23" s="40">
        <v>25.43</v>
      </c>
      <c r="I23" s="40">
        <v>18.29</v>
      </c>
      <c r="J23" s="40">
        <v>0.56000000000000005</v>
      </c>
      <c r="K23" s="40">
        <v>321.12</v>
      </c>
      <c r="L23" s="40">
        <v>24.32</v>
      </c>
      <c r="M23" s="40">
        <v>28.13</v>
      </c>
      <c r="N23" s="40">
        <v>137</v>
      </c>
      <c r="O23" s="40">
        <v>0</v>
      </c>
      <c r="P23" s="40">
        <v>0.8</v>
      </c>
      <c r="Q23" s="40">
        <v>9.32</v>
      </c>
      <c r="R23" s="38"/>
      <c r="S23" s="38"/>
      <c r="T23" s="38"/>
      <c r="U23" s="38"/>
    </row>
    <row r="24" spans="1:21" customFormat="1">
      <c r="A24" s="39" t="s">
        <v>796</v>
      </c>
      <c r="B24" s="40">
        <v>2.21</v>
      </c>
      <c r="C24" s="40">
        <v>26.68</v>
      </c>
      <c r="D24" s="40">
        <v>15.61</v>
      </c>
      <c r="E24" s="40">
        <v>12.36</v>
      </c>
      <c r="F24" s="40">
        <v>21.98</v>
      </c>
      <c r="G24" s="40">
        <v>51.67</v>
      </c>
      <c r="H24" s="40">
        <v>26.9</v>
      </c>
      <c r="I24" s="40">
        <v>21.51</v>
      </c>
      <c r="J24" s="40">
        <v>0.53</v>
      </c>
      <c r="K24" s="40">
        <v>336.22</v>
      </c>
      <c r="L24" s="40">
        <v>24.43</v>
      </c>
      <c r="M24" s="40">
        <v>29.66</v>
      </c>
      <c r="N24" s="40">
        <v>114.4</v>
      </c>
      <c r="O24" s="40">
        <v>0</v>
      </c>
      <c r="P24" s="40">
        <v>0.84</v>
      </c>
      <c r="Q24" s="40">
        <v>9.32</v>
      </c>
      <c r="R24" s="38"/>
      <c r="S24" s="38"/>
      <c r="T24" s="38"/>
      <c r="U24" s="38"/>
    </row>
    <row r="25" spans="1:21" customFormat="1">
      <c r="A25" s="39" t="s">
        <v>797</v>
      </c>
      <c r="B25" s="40">
        <v>2.25</v>
      </c>
      <c r="C25" s="40">
        <v>24.44</v>
      </c>
      <c r="D25" s="40">
        <v>14.35</v>
      </c>
      <c r="E25" s="40">
        <v>4.99</v>
      </c>
      <c r="F25" s="40">
        <v>10.14</v>
      </c>
      <c r="G25" s="40">
        <v>51.67</v>
      </c>
      <c r="H25" s="40">
        <v>26.9</v>
      </c>
      <c r="I25" s="40">
        <v>20.100000000000001</v>
      </c>
      <c r="J25" s="40">
        <v>0.23</v>
      </c>
      <c r="K25" s="40">
        <v>292.95</v>
      </c>
      <c r="L25" s="40">
        <v>23.56</v>
      </c>
      <c r="M25" s="40">
        <v>34.51</v>
      </c>
      <c r="N25" s="40">
        <v>79.2</v>
      </c>
      <c r="O25" s="40">
        <v>0</v>
      </c>
      <c r="P25" s="40">
        <v>0.74</v>
      </c>
      <c r="Q25" s="40">
        <v>9.32</v>
      </c>
      <c r="R25" s="38"/>
      <c r="S25" s="38"/>
      <c r="T25" s="38"/>
      <c r="U25" s="38"/>
    </row>
    <row r="26" spans="1:21" customFormat="1">
      <c r="A26" s="39" t="s">
        <v>798</v>
      </c>
      <c r="B26" s="40">
        <v>2.56</v>
      </c>
      <c r="C26" s="40">
        <v>25.57</v>
      </c>
      <c r="D26" s="40">
        <v>15.29</v>
      </c>
      <c r="E26" s="40">
        <v>4.4000000000000004</v>
      </c>
      <c r="F26" s="40">
        <v>5.8</v>
      </c>
      <c r="G26" s="40">
        <v>50.62</v>
      </c>
      <c r="H26" s="40">
        <v>26.55</v>
      </c>
      <c r="I26" s="40">
        <v>18.37</v>
      </c>
      <c r="J26" s="40">
        <v>0.31</v>
      </c>
      <c r="K26" s="40">
        <v>166.75</v>
      </c>
      <c r="L26" s="40">
        <v>21.53</v>
      </c>
      <c r="M26" s="40">
        <v>48.44</v>
      </c>
      <c r="N26" s="40">
        <v>12.8</v>
      </c>
      <c r="O26" s="40">
        <v>0</v>
      </c>
      <c r="P26" s="40">
        <v>0.69</v>
      </c>
      <c r="Q26" s="40">
        <v>9.32</v>
      </c>
      <c r="R26" s="38"/>
      <c r="S26" s="38"/>
      <c r="T26" s="38"/>
      <c r="U26" s="38"/>
    </row>
    <row r="27" spans="1:21" customFormat="1">
      <c r="A27" s="39" t="s">
        <v>799</v>
      </c>
      <c r="B27" s="40">
        <v>5.17</v>
      </c>
      <c r="C27" s="40">
        <v>24.8</v>
      </c>
      <c r="D27" s="40">
        <v>17.010000000000002</v>
      </c>
      <c r="E27" s="40">
        <v>2.86</v>
      </c>
      <c r="F27" s="40">
        <v>0.46</v>
      </c>
      <c r="G27" s="40">
        <v>118.57</v>
      </c>
      <c r="H27" s="40">
        <v>29.04</v>
      </c>
      <c r="I27" s="40">
        <v>17.04</v>
      </c>
      <c r="J27" s="40">
        <v>0.3</v>
      </c>
      <c r="K27" s="40">
        <v>176.58</v>
      </c>
      <c r="L27" s="40">
        <v>18.329999999999998</v>
      </c>
      <c r="M27" s="40">
        <v>61.01</v>
      </c>
      <c r="N27" s="40">
        <v>4.2</v>
      </c>
      <c r="O27" s="40">
        <v>0</v>
      </c>
      <c r="P27" s="40">
        <v>0.73</v>
      </c>
      <c r="Q27" s="40">
        <v>9.32</v>
      </c>
      <c r="R27" s="38"/>
      <c r="S27" s="38"/>
      <c r="T27" s="38"/>
      <c r="U27" s="38"/>
    </row>
    <row r="28" spans="1:21" customFormat="1">
      <c r="A28" s="39" t="s">
        <v>800</v>
      </c>
      <c r="B28" s="40">
        <v>6.14</v>
      </c>
      <c r="C28" s="40">
        <v>24.42</v>
      </c>
      <c r="D28" s="40">
        <v>17.46</v>
      </c>
      <c r="E28" s="40">
        <v>2.96</v>
      </c>
      <c r="F28" s="40">
        <v>0.16</v>
      </c>
      <c r="G28" s="40">
        <v>118.57</v>
      </c>
      <c r="H28" s="40">
        <v>29.33</v>
      </c>
      <c r="I28" s="40">
        <v>17.440000000000001</v>
      </c>
      <c r="J28" s="40">
        <v>0.27</v>
      </c>
      <c r="K28" s="40">
        <v>188.05</v>
      </c>
      <c r="L28" s="40">
        <v>16.52</v>
      </c>
      <c r="M28" s="40">
        <v>65.94</v>
      </c>
      <c r="N28" s="40">
        <v>4.2</v>
      </c>
      <c r="O28" s="40">
        <v>0</v>
      </c>
      <c r="P28" s="40">
        <v>0.8</v>
      </c>
      <c r="Q28" s="40">
        <v>9.32</v>
      </c>
      <c r="R28" s="38"/>
      <c r="S28" s="38"/>
      <c r="T28" s="38"/>
      <c r="U28" s="38"/>
    </row>
    <row r="29" spans="1:21" customFormat="1">
      <c r="A29" s="39" t="s">
        <v>801</v>
      </c>
      <c r="B29" s="40">
        <v>6.19</v>
      </c>
      <c r="C29" s="40">
        <v>23.23</v>
      </c>
      <c r="D29" s="40">
        <v>17.05</v>
      </c>
      <c r="E29" s="40">
        <v>3.32</v>
      </c>
      <c r="F29" s="40">
        <v>0.14000000000000001</v>
      </c>
      <c r="G29" s="40">
        <v>82.86</v>
      </c>
      <c r="H29" s="40">
        <v>33.979999999999997</v>
      </c>
      <c r="I29" s="40">
        <v>18.38</v>
      </c>
      <c r="J29" s="40">
        <v>0.23</v>
      </c>
      <c r="K29" s="40">
        <v>185.22</v>
      </c>
      <c r="L29" s="40">
        <v>15.07</v>
      </c>
      <c r="M29" s="40">
        <v>75.13</v>
      </c>
      <c r="N29" s="40">
        <v>3.6</v>
      </c>
      <c r="O29" s="40">
        <v>0</v>
      </c>
      <c r="P29" s="40">
        <v>0.84</v>
      </c>
      <c r="Q29" s="40">
        <v>9.32</v>
      </c>
      <c r="R29" s="38"/>
      <c r="S29" s="38"/>
      <c r="T29" s="38"/>
      <c r="U29" s="38"/>
    </row>
    <row r="30" spans="1:21" customFormat="1">
      <c r="A30" s="39" t="s">
        <v>802</v>
      </c>
      <c r="B30" s="40">
        <v>6.96</v>
      </c>
      <c r="C30" s="40">
        <v>21.04</v>
      </c>
      <c r="D30" s="40">
        <v>16.12</v>
      </c>
      <c r="E30" s="40">
        <v>3.22</v>
      </c>
      <c r="F30" s="40">
        <v>0.08</v>
      </c>
      <c r="G30" s="40">
        <v>82.56</v>
      </c>
      <c r="H30" s="40">
        <v>36.32</v>
      </c>
      <c r="I30" s="40">
        <v>18.850000000000001</v>
      </c>
      <c r="J30" s="40">
        <v>0.2</v>
      </c>
      <c r="K30" s="40">
        <v>212.77</v>
      </c>
      <c r="L30" s="40">
        <v>14.02</v>
      </c>
      <c r="M30" s="40">
        <v>79.97</v>
      </c>
      <c r="N30" s="40">
        <v>3.8</v>
      </c>
      <c r="O30" s="40">
        <v>0</v>
      </c>
      <c r="P30" s="40">
        <v>0.87</v>
      </c>
      <c r="Q30" s="40">
        <v>9.32</v>
      </c>
      <c r="R30" s="38"/>
      <c r="S30" s="38"/>
      <c r="T30" s="38"/>
      <c r="U30" s="38"/>
    </row>
    <row r="31" spans="1:21" customFormat="1">
      <c r="A31" s="39" t="s">
        <v>803</v>
      </c>
      <c r="B31" s="40">
        <v>10.48</v>
      </c>
      <c r="C31" s="40">
        <v>19.39</v>
      </c>
      <c r="D31" s="40">
        <v>18.53</v>
      </c>
      <c r="E31" s="40">
        <v>3.23</v>
      </c>
      <c r="F31" s="40">
        <v>0.03</v>
      </c>
      <c r="G31" s="40">
        <v>86.53</v>
      </c>
      <c r="H31" s="40">
        <v>39.33</v>
      </c>
      <c r="I31" s="40">
        <v>19.88</v>
      </c>
      <c r="J31" s="40">
        <v>0.32</v>
      </c>
      <c r="K31" s="40">
        <v>220.89</v>
      </c>
      <c r="L31" s="40">
        <v>13.6</v>
      </c>
      <c r="M31" s="40">
        <v>82.13</v>
      </c>
      <c r="N31" s="40">
        <v>3.6</v>
      </c>
      <c r="O31" s="40">
        <v>0</v>
      </c>
      <c r="P31" s="40">
        <v>0.99</v>
      </c>
      <c r="Q31" s="40">
        <v>9.32</v>
      </c>
      <c r="R31" s="38"/>
      <c r="S31" s="38"/>
      <c r="T31" s="38"/>
      <c r="U31" s="38"/>
    </row>
    <row r="32" spans="1:21" customFormat="1">
      <c r="A32" s="39" t="s">
        <v>804</v>
      </c>
      <c r="B32" s="40">
        <v>16.36</v>
      </c>
      <c r="C32" s="40">
        <v>20.04</v>
      </c>
      <c r="D32" s="40">
        <v>23.59</v>
      </c>
      <c r="E32" s="40">
        <v>3.48</v>
      </c>
      <c r="F32" s="40">
        <v>0.03</v>
      </c>
      <c r="G32" s="40">
        <v>101.03</v>
      </c>
      <c r="H32" s="40">
        <v>42.21</v>
      </c>
      <c r="I32" s="40">
        <v>21.84</v>
      </c>
      <c r="J32" s="40">
        <v>0.19</v>
      </c>
      <c r="K32" s="40">
        <v>197.96</v>
      </c>
      <c r="L32" s="40">
        <v>13.14</v>
      </c>
      <c r="M32" s="40">
        <v>83.01</v>
      </c>
      <c r="N32" s="40">
        <v>3.8</v>
      </c>
      <c r="O32" s="40">
        <v>0</v>
      </c>
      <c r="P32" s="40">
        <v>1.1599999999999999</v>
      </c>
      <c r="Q32" s="40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2.11</v>
      </c>
      <c r="C34" s="18">
        <f t="shared" si="0"/>
        <v>14.99</v>
      </c>
      <c r="D34" s="18">
        <f t="shared" si="0"/>
        <v>11.65</v>
      </c>
      <c r="E34" s="18">
        <f t="shared" si="0"/>
        <v>2.86</v>
      </c>
      <c r="F34" s="18">
        <f t="shared" si="0"/>
        <v>0.03</v>
      </c>
      <c r="G34" s="18">
        <f t="shared" si="0"/>
        <v>43.28</v>
      </c>
      <c r="H34" s="18">
        <f t="shared" si="0"/>
        <v>25.43</v>
      </c>
      <c r="I34" s="18">
        <f t="shared" si="0"/>
        <v>14.28</v>
      </c>
      <c r="J34" s="18">
        <f t="shared" si="0"/>
        <v>0.14000000000000001</v>
      </c>
      <c r="K34" s="18">
        <f t="shared" si="0"/>
        <v>166.75</v>
      </c>
      <c r="L34" s="18">
        <f t="shared" si="0"/>
        <v>9.42</v>
      </c>
      <c r="M34" s="18">
        <f t="shared" si="0"/>
        <v>27.44</v>
      </c>
      <c r="N34" s="18">
        <f t="shared" si="0"/>
        <v>3.6</v>
      </c>
      <c r="O34" s="18">
        <f t="shared" si="0"/>
        <v>0</v>
      </c>
      <c r="P34" s="18">
        <f t="shared" si="0"/>
        <v>0.68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16.36</v>
      </c>
      <c r="C35" s="3">
        <f t="shared" si="1"/>
        <v>26.68</v>
      </c>
      <c r="D35" s="3">
        <f t="shared" si="1"/>
        <v>23.59</v>
      </c>
      <c r="E35" s="3">
        <f t="shared" si="1"/>
        <v>12.36</v>
      </c>
      <c r="F35" s="3">
        <f t="shared" si="1"/>
        <v>21.98</v>
      </c>
      <c r="G35" s="3">
        <f t="shared" si="1"/>
        <v>118.57</v>
      </c>
      <c r="H35" s="3">
        <f t="shared" si="1"/>
        <v>42.21</v>
      </c>
      <c r="I35" s="3">
        <f t="shared" si="1"/>
        <v>23.28</v>
      </c>
      <c r="J35" s="3">
        <f t="shared" si="1"/>
        <v>0.64</v>
      </c>
      <c r="K35" s="3">
        <f t="shared" si="1"/>
        <v>352.91</v>
      </c>
      <c r="L35" s="3">
        <f t="shared" si="1"/>
        <v>24.68</v>
      </c>
      <c r="M35" s="3">
        <f t="shared" si="1"/>
        <v>93.67</v>
      </c>
      <c r="N35" s="3">
        <f t="shared" si="1"/>
        <v>554.6</v>
      </c>
      <c r="O35" s="3">
        <f t="shared" si="1"/>
        <v>0</v>
      </c>
      <c r="P35" s="3">
        <f t="shared" si="1"/>
        <v>1.1599999999999999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5.5925000000000002</v>
      </c>
      <c r="C36" s="18">
        <f t="shared" si="2"/>
        <v>19.752916666666671</v>
      </c>
      <c r="D36" s="18">
        <f t="shared" si="2"/>
        <v>14.702499999999999</v>
      </c>
      <c r="E36" s="18">
        <f t="shared" si="2"/>
        <v>4.447916666666667</v>
      </c>
      <c r="F36" s="18">
        <f t="shared" si="2"/>
        <v>3.7287499999999998</v>
      </c>
      <c r="G36" s="18">
        <f t="shared" si="2"/>
        <v>64.377083333333317</v>
      </c>
      <c r="H36" s="18">
        <f t="shared" si="2"/>
        <v>35.045416666666661</v>
      </c>
      <c r="I36" s="18">
        <f t="shared" si="2"/>
        <v>18.566666666666666</v>
      </c>
      <c r="J36" s="18">
        <f t="shared" si="2"/>
        <v>0.2975000000000001</v>
      </c>
      <c r="K36" s="18">
        <f t="shared" si="2"/>
        <v>240.5241666666667</v>
      </c>
      <c r="L36" s="18">
        <f t="shared" si="2"/>
        <v>16.681249999999995</v>
      </c>
      <c r="M36" s="18">
        <f t="shared" si="2"/>
        <v>65.927499999999995</v>
      </c>
      <c r="N36" s="18">
        <f t="shared" si="2"/>
        <v>132.39583333333334</v>
      </c>
      <c r="O36" s="18">
        <f t="shared" si="2"/>
        <v>0</v>
      </c>
      <c r="P36" s="18">
        <f t="shared" si="2"/>
        <v>0.85875000000000001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3.1553050565674319</v>
      </c>
      <c r="C37" s="18">
        <f t="shared" ref="C37:Q37" si="3">STDEV(C9:C32)</f>
        <v>3.6874410582368471</v>
      </c>
      <c r="D37" s="18">
        <f t="shared" si="3"/>
        <v>2.6555524275849245</v>
      </c>
      <c r="E37" s="18">
        <f t="shared" si="3"/>
        <v>2.1935022208225878</v>
      </c>
      <c r="F37" s="18">
        <f t="shared" si="3"/>
        <v>6.0389549286639657</v>
      </c>
      <c r="G37" s="18">
        <f t="shared" si="3"/>
        <v>22.21417300795909</v>
      </c>
      <c r="H37" s="18">
        <f t="shared" si="3"/>
        <v>5.1133133809580205</v>
      </c>
      <c r="I37" s="18">
        <f t="shared" si="3"/>
        <v>2.5328634194226392</v>
      </c>
      <c r="J37" s="18">
        <f t="shared" si="3"/>
        <v>0.15169334054340461</v>
      </c>
      <c r="K37" s="18">
        <f t="shared" si="3"/>
        <v>62.855908159692497</v>
      </c>
      <c r="L37" s="18">
        <f t="shared" si="3"/>
        <v>5.7116983787281095</v>
      </c>
      <c r="M37" s="18">
        <f t="shared" si="3"/>
        <v>25.303027701632168</v>
      </c>
      <c r="N37" s="18">
        <f t="shared" si="3"/>
        <v>190.75465571654132</v>
      </c>
      <c r="O37" s="18">
        <f t="shared" si="3"/>
        <v>0</v>
      </c>
      <c r="P37" s="18">
        <f t="shared" si="3"/>
        <v>0.10014391817692243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D48" sqref="D48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01/12/2025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01/12/2025 01:00</v>
      </c>
      <c r="B9" s="15">
        <f>'01'!B36</f>
        <v>7.549999999999998</v>
      </c>
      <c r="C9" s="15">
        <f>'01'!C36</f>
        <v>16.927083333333332</v>
      </c>
      <c r="D9" s="15">
        <f>'01'!D36</f>
        <v>14.795416666666666</v>
      </c>
      <c r="E9" s="15">
        <f>'01'!E36</f>
        <v>6.4250000000000016</v>
      </c>
      <c r="F9" s="15">
        <f>'01'!F36</f>
        <v>6.3908333333333323</v>
      </c>
      <c r="G9" s="15">
        <f>'01'!G36</f>
        <v>78.986818181818194</v>
      </c>
      <c r="H9" s="15">
        <f>'01'!H36</f>
        <v>38.923181818181824</v>
      </c>
      <c r="I9" s="15">
        <f>'01'!I36</f>
        <v>12.233750000000001</v>
      </c>
      <c r="J9" s="15">
        <f>'01'!J36</f>
        <v>0.50750000000000006</v>
      </c>
      <c r="K9" s="15">
        <f>'01'!K36</f>
        <v>128.61166666666665</v>
      </c>
      <c r="L9" s="15">
        <f>'01'!L36</f>
        <v>24.772499999999997</v>
      </c>
      <c r="M9" s="15">
        <f>'01'!M36</f>
        <v>61.497083333333336</v>
      </c>
      <c r="N9" s="15">
        <f>'01'!N36</f>
        <v>119.91666666666664</v>
      </c>
      <c r="O9" s="15">
        <f>'01'!O36</f>
        <v>0</v>
      </c>
      <c r="P9" s="15">
        <f>'01'!P36</f>
        <v>0.62625000000000008</v>
      </c>
      <c r="Q9" s="15">
        <f>'01'!Q36</f>
        <v>9.394999999999996</v>
      </c>
      <c r="R9" s="29"/>
      <c r="S9" s="29"/>
      <c r="T9" s="29"/>
      <c r="U9" s="29"/>
    </row>
    <row r="10" spans="1:21" s="2" customFormat="1">
      <c r="A10" s="14" t="str">
        <f>'02'!$B$2</f>
        <v>02/12/2025 01:00</v>
      </c>
      <c r="B10" s="15">
        <f>'02'!B36</f>
        <v>9.3033333333333346</v>
      </c>
      <c r="C10" s="15">
        <f>'02'!C36</f>
        <v>15.428333333333333</v>
      </c>
      <c r="D10" s="15">
        <f>'02'!D36</f>
        <v>15.431666666666665</v>
      </c>
      <c r="E10" s="15">
        <f>'02'!E36</f>
        <v>6.1812499999999995</v>
      </c>
      <c r="F10" s="15">
        <f>'02'!F36</f>
        <v>0.9512499999999996</v>
      </c>
      <c r="G10" s="15">
        <f>'02'!G36</f>
        <v>84.090833333333322</v>
      </c>
      <c r="H10" s="15">
        <f>'02'!H36</f>
        <v>38.880416666666662</v>
      </c>
      <c r="I10" s="15">
        <f>'02'!I36</f>
        <v>10.620000000000001</v>
      </c>
      <c r="J10" s="15">
        <f>'02'!J36</f>
        <v>0.45999999999999996</v>
      </c>
      <c r="K10" s="15">
        <f>'02'!K36</f>
        <v>139.0625</v>
      </c>
      <c r="L10" s="15">
        <f>'02'!L36</f>
        <v>23.689583333333331</v>
      </c>
      <c r="M10" s="15">
        <f>'02'!M36</f>
        <v>71.498749999999987</v>
      </c>
      <c r="N10" s="15">
        <f>'02'!N36</f>
        <v>123.7166666666667</v>
      </c>
      <c r="O10" s="15">
        <f>'02'!O36</f>
        <v>0</v>
      </c>
      <c r="P10" s="15">
        <f>'02'!P36</f>
        <v>0.66041666666666654</v>
      </c>
      <c r="Q10" s="15">
        <f>'02'!Q36</f>
        <v>9.325416666666662</v>
      </c>
      <c r="R10" s="30"/>
      <c r="S10" s="30"/>
      <c r="T10" s="30"/>
      <c r="U10" s="30"/>
    </row>
    <row r="11" spans="1:21" s="2" customFormat="1">
      <c r="A11" s="14" t="str">
        <f>'03'!$B$2</f>
        <v>03/12/2025 01:00</v>
      </c>
      <c r="B11" s="15">
        <f>'03'!B36</f>
        <v>14.2325</v>
      </c>
      <c r="C11" s="15">
        <f>'03'!C36</f>
        <v>18.165416666666662</v>
      </c>
      <c r="D11" s="15">
        <f>'03'!D36</f>
        <v>20.78875</v>
      </c>
      <c r="E11" s="15">
        <f>'03'!E36</f>
        <v>6.4379166666666672</v>
      </c>
      <c r="F11" s="15">
        <f>'03'!F36</f>
        <v>1.3404166666666668</v>
      </c>
      <c r="G11" s="15">
        <f>'03'!G36</f>
        <v>96.408749999999998</v>
      </c>
      <c r="H11" s="15">
        <f>'03'!H36</f>
        <v>43.703750000000007</v>
      </c>
      <c r="I11" s="15">
        <f>'03'!I36</f>
        <v>13.366250000000003</v>
      </c>
      <c r="J11" s="15">
        <f>'03'!J36</f>
        <v>0.54083333333333339</v>
      </c>
      <c r="K11" s="15">
        <f>'03'!K36</f>
        <v>140.73458333333335</v>
      </c>
      <c r="L11" s="15">
        <f>'03'!L36</f>
        <v>23.59041666666667</v>
      </c>
      <c r="M11" s="15">
        <f>'03'!M36</f>
        <v>65.845833333333346</v>
      </c>
      <c r="N11" s="15">
        <f>'03'!N36</f>
        <v>124.64583333333331</v>
      </c>
      <c r="O11" s="15">
        <f>'03'!O36</f>
        <v>0</v>
      </c>
      <c r="P11" s="15">
        <f>'03'!P36</f>
        <v>0.76083333333333325</v>
      </c>
      <c r="Q11" s="15">
        <f>'03'!Q36</f>
        <v>9.5320833333333344</v>
      </c>
      <c r="R11" s="30"/>
      <c r="S11" s="30"/>
      <c r="T11" s="30"/>
      <c r="U11" s="30"/>
    </row>
    <row r="12" spans="1:21" s="2" customFormat="1">
      <c r="A12" s="14" t="str">
        <f>'04'!$B$2</f>
        <v>04/12/2025 01:00</v>
      </c>
      <c r="B12" s="15">
        <f>'04'!B36</f>
        <v>15.83416666666667</v>
      </c>
      <c r="C12" s="15">
        <f>'04'!C36</f>
        <v>18.6175</v>
      </c>
      <c r="D12" s="15">
        <f>'04'!D36</f>
        <v>22.356250000000003</v>
      </c>
      <c r="E12" s="15">
        <f>'04'!E36</f>
        <v>6.487916666666667</v>
      </c>
      <c r="F12" s="15">
        <f>'04'!F36</f>
        <v>0.96458333333333346</v>
      </c>
      <c r="G12" s="15">
        <f>'04'!G36</f>
        <v>82.61</v>
      </c>
      <c r="H12" s="15">
        <f>'04'!H36</f>
        <v>36.491666666666674</v>
      </c>
      <c r="I12" s="15">
        <f>'04'!I36</f>
        <v>11.830416666666666</v>
      </c>
      <c r="J12" s="15">
        <f>'04'!J36</f>
        <v>0.49958333333333332</v>
      </c>
      <c r="K12" s="15">
        <f>'04'!K36</f>
        <v>130.21916666666667</v>
      </c>
      <c r="L12" s="15">
        <f>'04'!L36</f>
        <v>23.192499999999999</v>
      </c>
      <c r="M12" s="15">
        <f>'04'!M36</f>
        <v>56.626666666666665</v>
      </c>
      <c r="N12" s="15">
        <f>'04'!N36</f>
        <v>141.6791666666667</v>
      </c>
      <c r="O12" s="15">
        <f>'04'!O36</f>
        <v>0</v>
      </c>
      <c r="P12" s="15">
        <f>'04'!P36</f>
        <v>0.64875000000000005</v>
      </c>
      <c r="Q12" s="15">
        <f>'04'!Q36</f>
        <v>9.5374999999999979</v>
      </c>
      <c r="R12" s="30"/>
      <c r="S12" s="30"/>
      <c r="T12" s="30"/>
      <c r="U12" s="30"/>
    </row>
    <row r="13" spans="1:21" s="2" customFormat="1">
      <c r="A13" s="14" t="str">
        <f>'05'!$B$2</f>
        <v>05/12/2025 01:00</v>
      </c>
      <c r="B13" s="15">
        <f>'05'!B36</f>
        <v>12.999166666666669</v>
      </c>
      <c r="C13" s="15">
        <f>'05'!C36</f>
        <v>18.673749999999998</v>
      </c>
      <c r="D13" s="15">
        <f>'05'!D36</f>
        <v>20.090833333333336</v>
      </c>
      <c r="E13" s="15">
        <f>'05'!E36</f>
        <v>6.3429166666666665</v>
      </c>
      <c r="F13" s="15">
        <f>'05'!F36</f>
        <v>0.94000000000000006</v>
      </c>
      <c r="G13" s="15">
        <f>'05'!G36</f>
        <v>87.045416666666654</v>
      </c>
      <c r="H13" s="15">
        <f>'05'!H36</f>
        <v>36.717500000000008</v>
      </c>
      <c r="I13" s="15">
        <f>'05'!I36</f>
        <v>11.050000000000002</v>
      </c>
      <c r="J13" s="15">
        <f>'05'!J36</f>
        <v>0.57541666666666669</v>
      </c>
      <c r="K13" s="15">
        <f>'05'!K36</f>
        <v>137.8716666666667</v>
      </c>
      <c r="L13" s="15">
        <f>'05'!L36</f>
        <v>22.625416666666666</v>
      </c>
      <c r="M13" s="15">
        <f>'05'!M36</f>
        <v>61.58124999999999</v>
      </c>
      <c r="N13" s="15">
        <f>'05'!N36</f>
        <v>133.38749999999999</v>
      </c>
      <c r="O13" s="15">
        <f>'05'!O36</f>
        <v>0</v>
      </c>
      <c r="P13" s="15">
        <f>'05'!P36</f>
        <v>0.63041666666666651</v>
      </c>
      <c r="Q13" s="15">
        <f>'05'!Q36</f>
        <v>9.319999999999995</v>
      </c>
      <c r="R13" s="30"/>
      <c r="S13" s="30"/>
      <c r="T13" s="30"/>
      <c r="U13" s="30"/>
    </row>
    <row r="14" spans="1:21" s="2" customFormat="1">
      <c r="A14" s="14" t="str">
        <f>'06'!$B$2</f>
        <v>06/12/2025 01:00</v>
      </c>
      <c r="B14" s="16">
        <f>'06'!B36</f>
        <v>10.275833333333335</v>
      </c>
      <c r="C14" s="16">
        <f>'06'!C36</f>
        <v>21.221666666666664</v>
      </c>
      <c r="D14" s="16">
        <f>'06'!D36</f>
        <v>19.087916666666661</v>
      </c>
      <c r="E14" s="16">
        <f>'06'!E36</f>
        <v>5.9504166666666682</v>
      </c>
      <c r="F14" s="16">
        <f>'06'!F36</f>
        <v>3.4991666666666661</v>
      </c>
      <c r="G14" s="16">
        <f>'06'!G36</f>
        <v>83.153750000000016</v>
      </c>
      <c r="H14" s="16">
        <f>'06'!H36</f>
        <v>39.906250000000007</v>
      </c>
      <c r="I14" s="16">
        <f>'06'!I36</f>
        <v>10.642916666666666</v>
      </c>
      <c r="J14" s="16">
        <f>'06'!J36</f>
        <v>0.45958333333333345</v>
      </c>
      <c r="K14" s="16">
        <f>'06'!K36</f>
        <v>170.80666666666664</v>
      </c>
      <c r="L14" s="16">
        <f>'06'!L36</f>
        <v>21.945833333333329</v>
      </c>
      <c r="M14" s="16">
        <f>'06'!M36</f>
        <v>57.397500000000008</v>
      </c>
      <c r="N14" s="16">
        <f>'06'!N36</f>
        <v>151.59583333333333</v>
      </c>
      <c r="O14" s="16">
        <f>'06'!O36</f>
        <v>0</v>
      </c>
      <c r="P14" s="16">
        <f>'06'!P36</f>
        <v>0.63625000000000009</v>
      </c>
      <c r="Q14" s="16">
        <f>'06'!Q36</f>
        <v>9.319999999999995</v>
      </c>
      <c r="R14" s="30"/>
      <c r="S14" s="30"/>
      <c r="T14" s="30"/>
      <c r="U14" s="30"/>
    </row>
    <row r="15" spans="1:21" s="2" customFormat="1">
      <c r="A15" s="14" t="str">
        <f>'07'!$B$2</f>
        <v>07/12/2025 01:00</v>
      </c>
      <c r="B15" s="16">
        <f>'07'!B36</f>
        <v>15.417083333333336</v>
      </c>
      <c r="C15" s="16">
        <f>'07'!C36</f>
        <v>19.757916666666667</v>
      </c>
      <c r="D15" s="16">
        <f>'07'!D36</f>
        <v>22.545416666666668</v>
      </c>
      <c r="E15" s="16">
        <f>'07'!E36</f>
        <v>5.939166666666666</v>
      </c>
      <c r="F15" s="16">
        <f>'07'!F36</f>
        <v>1.1020833333333331</v>
      </c>
      <c r="G15" s="16">
        <f>'07'!G36</f>
        <v>119.21249999999998</v>
      </c>
      <c r="H15" s="16">
        <f>'07'!H36</f>
        <v>55.238333333333337</v>
      </c>
      <c r="I15" s="16">
        <f>'07'!I36</f>
        <v>17.480833333333333</v>
      </c>
      <c r="J15" s="16">
        <f>'07'!J36</f>
        <v>0.46250000000000008</v>
      </c>
      <c r="K15" s="16">
        <f>'07'!K36</f>
        <v>156.70999999999995</v>
      </c>
      <c r="L15" s="16">
        <f>'07'!L36</f>
        <v>21.955416666666668</v>
      </c>
      <c r="M15" s="16">
        <f>'07'!M36</f>
        <v>59.796250000000008</v>
      </c>
      <c r="N15" s="16">
        <f>'07'!N36</f>
        <v>157.29999999999998</v>
      </c>
      <c r="O15" s="16">
        <f>'07'!O36</f>
        <v>0</v>
      </c>
      <c r="P15" s="16">
        <f>'07'!P36</f>
        <v>0.96166666666666656</v>
      </c>
      <c r="Q15" s="16">
        <f>'07'!Q36</f>
        <v>9.319999999999995</v>
      </c>
      <c r="R15" s="30"/>
      <c r="S15" s="30"/>
      <c r="T15" s="30"/>
      <c r="U15" s="30"/>
    </row>
    <row r="16" spans="1:21" s="2" customFormat="1">
      <c r="A16" s="14" t="str">
        <f>'08'!$B$2</f>
        <v>08/12/2025 01:00</v>
      </c>
      <c r="B16" s="16">
        <f>'08'!B36</f>
        <v>17.599999999999998</v>
      </c>
      <c r="C16" s="16">
        <f>'08'!C36</f>
        <v>18.353750000000002</v>
      </c>
      <c r="D16" s="16">
        <f>'08'!D36</f>
        <v>23.582916666666666</v>
      </c>
      <c r="E16" s="16">
        <f>'08'!E36</f>
        <v>6.3199999999999994</v>
      </c>
      <c r="F16" s="16">
        <f>'08'!F36</f>
        <v>1.2175</v>
      </c>
      <c r="G16" s="16">
        <f>'08'!G36</f>
        <v>84.434583333333336</v>
      </c>
      <c r="H16" s="16">
        <f>'08'!H36</f>
        <v>38.318333333333335</v>
      </c>
      <c r="I16" s="16">
        <f>'08'!I36</f>
        <v>14.767916666666666</v>
      </c>
      <c r="J16" s="16">
        <f>'08'!J36</f>
        <v>0.43249999999999988</v>
      </c>
      <c r="K16" s="16">
        <f>'08'!K36</f>
        <v>167.79541666666663</v>
      </c>
      <c r="L16" s="16">
        <f>'08'!L36</f>
        <v>22.374583333333334</v>
      </c>
      <c r="M16" s="16">
        <f>'08'!M36</f>
        <v>57.864166666666669</v>
      </c>
      <c r="N16" s="16">
        <f>'08'!N36</f>
        <v>165.99999999999997</v>
      </c>
      <c r="O16" s="16">
        <f>'08'!O36</f>
        <v>0</v>
      </c>
      <c r="P16" s="16">
        <f>'08'!P36</f>
        <v>0.77</v>
      </c>
      <c r="Q16" s="16">
        <f>'08'!Q36</f>
        <v>9.319999999999995</v>
      </c>
      <c r="R16" s="30"/>
      <c r="S16" s="30"/>
      <c r="T16" s="30"/>
      <c r="U16" s="30"/>
    </row>
    <row r="17" spans="1:24" s="2" customFormat="1">
      <c r="A17" s="14" t="str">
        <f>'09'!$B$2</f>
        <v>09/12/2025 01:00</v>
      </c>
      <c r="B17" s="16">
        <f>'09'!B36</f>
        <v>12.610833333333334</v>
      </c>
      <c r="C17" s="16">
        <f>'09'!C36</f>
        <v>17.393333333333334</v>
      </c>
      <c r="D17" s="16">
        <f>'09'!D36</f>
        <v>19.123750000000001</v>
      </c>
      <c r="E17" s="16">
        <f>'09'!E36</f>
        <v>5.8216666666666654</v>
      </c>
      <c r="F17" s="16">
        <f>'09'!F36</f>
        <v>1.1208333333333338</v>
      </c>
      <c r="G17" s="16">
        <f>'09'!G36</f>
        <v>90.431249999999991</v>
      </c>
      <c r="H17" s="16">
        <f>'09'!H36</f>
        <v>40.179583333333333</v>
      </c>
      <c r="I17" s="16">
        <f>'09'!I36</f>
        <v>14.727083333333333</v>
      </c>
      <c r="J17" s="16">
        <f>'09'!J36</f>
        <v>0.50958333333333339</v>
      </c>
      <c r="K17" s="16">
        <f>'09'!K36</f>
        <v>153.61124999999996</v>
      </c>
      <c r="L17" s="16">
        <f>'09'!L36</f>
        <v>22.247916666666669</v>
      </c>
      <c r="M17" s="16">
        <f>'09'!M36</f>
        <v>57.875000000000007</v>
      </c>
      <c r="N17" s="16">
        <f>'09'!N36</f>
        <v>160.9083333333333</v>
      </c>
      <c r="O17" s="16">
        <f>'09'!O36</f>
        <v>0</v>
      </c>
      <c r="P17" s="16">
        <f>'09'!P36</f>
        <v>0.80375000000000008</v>
      </c>
      <c r="Q17" s="16">
        <f>'09'!Q36</f>
        <v>9.3658333333333292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10/12/2025 01:00</v>
      </c>
      <c r="B18" s="16">
        <f>'10'!B36</f>
        <v>20.592499999999998</v>
      </c>
      <c r="C18" s="16">
        <f>'10'!C36</f>
        <v>22.06958333333333</v>
      </c>
      <c r="D18" s="16">
        <f>'10'!D36</f>
        <v>27.749166666666678</v>
      </c>
      <c r="E18" s="16">
        <f>'10'!E36</f>
        <v>5.5429166666666667</v>
      </c>
      <c r="F18" s="16">
        <f>'10'!F36</f>
        <v>5.265833333333334</v>
      </c>
      <c r="G18" s="16">
        <f>'10'!G36</f>
        <v>84.512500000000003</v>
      </c>
      <c r="H18" s="16">
        <f>'10'!H36</f>
        <v>38.322083333333332</v>
      </c>
      <c r="I18" s="16">
        <f>'10'!I36</f>
        <v>13.351250000000002</v>
      </c>
      <c r="J18" s="16">
        <f>'10'!J36</f>
        <v>0.46458333333333329</v>
      </c>
      <c r="K18" s="16">
        <f>'10'!K36</f>
        <v>157.80624999999998</v>
      </c>
      <c r="L18" s="16">
        <f>'10'!L36</f>
        <v>21.624166666666667</v>
      </c>
      <c r="M18" s="16">
        <f>'10'!M36</f>
        <v>58.725416666666661</v>
      </c>
      <c r="N18" s="16">
        <f>'10'!N36</f>
        <v>154.60833333333338</v>
      </c>
      <c r="O18" s="16">
        <f>'10'!O36</f>
        <v>0</v>
      </c>
      <c r="P18" s="16">
        <f>'10'!P36</f>
        <v>0.89124999999999999</v>
      </c>
      <c r="Q18" s="16">
        <f>'10'!Q36</f>
        <v>9.4775000000000009</v>
      </c>
      <c r="R18" s="30"/>
      <c r="S18" s="30"/>
      <c r="T18" s="30"/>
      <c r="U18" s="30"/>
    </row>
    <row r="19" spans="1:24" s="2" customFormat="1">
      <c r="A19" s="14" t="str">
        <f>'11'!$B$2</f>
        <v>11/12/2025 01:00</v>
      </c>
      <c r="B19" s="16">
        <f>'11'!B36</f>
        <v>18.278333333333336</v>
      </c>
      <c r="C19" s="16">
        <f>'11'!C36</f>
        <v>19.67625</v>
      </c>
      <c r="D19" s="16">
        <f>'11'!D36</f>
        <v>24.78</v>
      </c>
      <c r="E19" s="16">
        <f>'11'!E36</f>
        <v>5.5066666666666668</v>
      </c>
      <c r="F19" s="16">
        <f>'11'!F36</f>
        <v>2.0745833333333334</v>
      </c>
      <c r="G19" s="16">
        <f>'11'!G36</f>
        <v>79.141250000000014</v>
      </c>
      <c r="H19" s="16">
        <f>'11'!H36</f>
        <v>43.144166666666656</v>
      </c>
      <c r="I19" s="16">
        <f>'11'!I36</f>
        <v>14.965416666666664</v>
      </c>
      <c r="J19" s="16">
        <f>'11'!J36</f>
        <v>0.39958333333333335</v>
      </c>
      <c r="K19" s="16">
        <f>'11'!K36</f>
        <v>192.85</v>
      </c>
      <c r="L19" s="16">
        <f>'11'!L36</f>
        <v>21.244166666666668</v>
      </c>
      <c r="M19" s="16">
        <f>'11'!M36</f>
        <v>58.775000000000013</v>
      </c>
      <c r="N19" s="16">
        <f>'11'!N36</f>
        <v>132.33750000000001</v>
      </c>
      <c r="O19" s="16">
        <f>'11'!O36</f>
        <v>0</v>
      </c>
      <c r="P19" s="16">
        <f>'11'!P36</f>
        <v>0.95208333333333328</v>
      </c>
      <c r="Q19" s="16">
        <f>'11'!Q36</f>
        <v>9.3983333333333299</v>
      </c>
      <c r="R19" s="30"/>
      <c r="S19" s="30"/>
      <c r="T19" s="30"/>
      <c r="U19" s="30"/>
    </row>
    <row r="20" spans="1:24" s="2" customFormat="1">
      <c r="A20" s="14" t="str">
        <f>'12'!$B$2</f>
        <v>12/12/2025 01:00</v>
      </c>
      <c r="B20" s="16">
        <f>'12'!B36</f>
        <v>11.257916666666667</v>
      </c>
      <c r="C20" s="16">
        <f>'12'!C36</f>
        <v>18.952916666666663</v>
      </c>
      <c r="D20" s="16">
        <f>'12'!D36</f>
        <v>18.768750000000001</v>
      </c>
      <c r="E20" s="16">
        <f>'12'!E36</f>
        <v>6.251666666666666</v>
      </c>
      <c r="F20" s="16">
        <f>'12'!F36</f>
        <v>4.0058333333333342</v>
      </c>
      <c r="G20" s="16">
        <f>'12'!G36</f>
        <v>84.290416666666644</v>
      </c>
      <c r="H20" s="16">
        <f>'12'!H36</f>
        <v>38.185416666666669</v>
      </c>
      <c r="I20" s="16">
        <f>'12'!I36</f>
        <v>14.153750000000002</v>
      </c>
      <c r="J20" s="16">
        <f>'12'!J36</f>
        <v>0.2820833333333333</v>
      </c>
      <c r="K20" s="16">
        <f>'12'!K36</f>
        <v>199.01875000000007</v>
      </c>
      <c r="L20" s="16">
        <f>'12'!L36</f>
        <v>21.747916666666665</v>
      </c>
      <c r="M20" s="16">
        <f>'12'!M36</f>
        <v>62.319166666666668</v>
      </c>
      <c r="N20" s="16">
        <f>'12'!N36</f>
        <v>119.48333333333333</v>
      </c>
      <c r="O20" s="16">
        <f>'12'!O36</f>
        <v>0</v>
      </c>
      <c r="P20" s="16">
        <f>'12'!P36</f>
        <v>0.73375000000000001</v>
      </c>
      <c r="Q20" s="16">
        <f>'12'!Q36</f>
        <v>9.3900000000000023</v>
      </c>
      <c r="R20" s="30"/>
      <c r="S20" s="30"/>
      <c r="T20" s="30"/>
      <c r="U20" s="30"/>
    </row>
    <row r="21" spans="1:24" s="2" customFormat="1">
      <c r="A21" s="14" t="str">
        <f>'13'!$B$2</f>
        <v>13/12/2025 01:00</v>
      </c>
      <c r="B21" s="16">
        <f>'13'!B36</f>
        <v>12.540416666666665</v>
      </c>
      <c r="C21" s="16">
        <f>'13'!C36</f>
        <v>19.652500000000003</v>
      </c>
      <c r="D21" s="16">
        <f>'13'!D36</f>
        <v>20.159166666666668</v>
      </c>
      <c r="E21" s="16">
        <f>'13'!E36</f>
        <v>5.772916666666668</v>
      </c>
      <c r="F21" s="16">
        <f>'13'!F36</f>
        <v>2.179583333333333</v>
      </c>
      <c r="G21" s="16">
        <f>'13'!G36</f>
        <v>87.964999999999989</v>
      </c>
      <c r="H21" s="16">
        <f>'13'!H36</f>
        <v>43.986249999999991</v>
      </c>
      <c r="I21" s="16">
        <f>'13'!I36</f>
        <v>17.126249999999999</v>
      </c>
      <c r="J21" s="16">
        <f>'13'!J36</f>
        <v>0.34583333333333338</v>
      </c>
      <c r="K21" s="16">
        <f>'13'!K36</f>
        <v>197.83624999999998</v>
      </c>
      <c r="L21" s="16">
        <f>'13'!L36</f>
        <v>22.046666666666667</v>
      </c>
      <c r="M21" s="16">
        <f>'13'!M36</f>
        <v>64.168333333333337</v>
      </c>
      <c r="N21" s="16">
        <f>'13'!N36</f>
        <v>119.97083333333335</v>
      </c>
      <c r="O21" s="16">
        <f>'13'!O36</f>
        <v>0</v>
      </c>
      <c r="P21" s="16">
        <f>'13'!P36</f>
        <v>0.95499999999999974</v>
      </c>
      <c r="Q21" s="16">
        <f>'13'!Q36</f>
        <v>9.3791666666666647</v>
      </c>
      <c r="R21" s="30"/>
      <c r="S21" s="30"/>
      <c r="T21" s="30"/>
      <c r="U21" s="30"/>
    </row>
    <row r="22" spans="1:24" s="2" customFormat="1">
      <c r="A22" s="14" t="str">
        <f>'14'!$B$2</f>
        <v>14/12/2025 01:00</v>
      </c>
      <c r="B22" s="16">
        <f>'14'!B36</f>
        <v>16.607916666666672</v>
      </c>
      <c r="C22" s="16">
        <f>'14'!C36</f>
        <v>20.672500000000003</v>
      </c>
      <c r="D22" s="16">
        <f>'14'!D36</f>
        <v>24.040000000000003</v>
      </c>
      <c r="E22" s="16">
        <f>'14'!E36</f>
        <v>6.05375</v>
      </c>
      <c r="F22" s="16">
        <f>'14'!F36</f>
        <v>2.3683333333333336</v>
      </c>
      <c r="G22" s="16">
        <f>'14'!G36</f>
        <v>83.234166666666653</v>
      </c>
      <c r="H22" s="16">
        <f>'14'!H36</f>
        <v>48.162916666666668</v>
      </c>
      <c r="I22" s="16">
        <f>'14'!I36</f>
        <v>15.385416666666666</v>
      </c>
      <c r="J22" s="16">
        <f>'14'!J36</f>
        <v>0.41749999999999998</v>
      </c>
      <c r="K22" s="16">
        <f>'14'!K36</f>
        <v>149.05249999999998</v>
      </c>
      <c r="L22" s="16">
        <f>'14'!L36</f>
        <v>22.02333333333333</v>
      </c>
      <c r="M22" s="16">
        <f>'14'!M36</f>
        <v>64.443750000000009</v>
      </c>
      <c r="N22" s="16">
        <f>'14'!N36</f>
        <v>114.63749999999999</v>
      </c>
      <c r="O22" s="16">
        <f>'14'!O36</f>
        <v>0</v>
      </c>
      <c r="P22" s="16">
        <f>'14'!P36</f>
        <v>0.86041666666666672</v>
      </c>
      <c r="Q22" s="16">
        <f>'14'!Q36</f>
        <v>9.4041666666666615</v>
      </c>
      <c r="R22" s="32"/>
      <c r="S22" s="32"/>
      <c r="T22" s="32"/>
      <c r="U22" s="32"/>
    </row>
    <row r="23" spans="1:24" s="2" customFormat="1">
      <c r="A23" s="14" t="str">
        <f>'15'!$B$2</f>
        <v>15/12/2025 01:00</v>
      </c>
      <c r="B23" s="17">
        <f>'15'!B36</f>
        <v>12.221666666666666</v>
      </c>
      <c r="C23" s="17">
        <f>'15'!C36</f>
        <v>19.960416666666664</v>
      </c>
      <c r="D23" s="17">
        <f>'15'!D36</f>
        <v>20.119583333333335</v>
      </c>
      <c r="E23" s="17">
        <f>'15'!E36</f>
        <v>5.538333333333334</v>
      </c>
      <c r="F23" s="17">
        <f>'15'!F36</f>
        <v>2.6116666666666668</v>
      </c>
      <c r="G23" s="17">
        <f>'15'!G36</f>
        <v>91.798749999999998</v>
      </c>
      <c r="H23" s="17">
        <f>'15'!H36</f>
        <v>56.911249999999995</v>
      </c>
      <c r="I23" s="17">
        <f>'15'!I36</f>
        <v>15.359583333333333</v>
      </c>
      <c r="J23" s="17">
        <f>'15'!J36</f>
        <v>0.30749999999999994</v>
      </c>
      <c r="K23" s="17">
        <f>'15'!K36</f>
        <v>216.46791666666664</v>
      </c>
      <c r="L23" s="17">
        <f>'15'!L36</f>
        <v>21.911666666666665</v>
      </c>
      <c r="M23" s="17">
        <f>'15'!M36</f>
        <v>70.141249999999999</v>
      </c>
      <c r="N23" s="17">
        <f>'15'!N36</f>
        <v>109.72499999999998</v>
      </c>
      <c r="O23" s="17">
        <f>'15'!O36</f>
        <v>0</v>
      </c>
      <c r="P23" s="17">
        <f>'15'!P36</f>
        <v>0.96833333333333338</v>
      </c>
      <c r="Q23" s="17">
        <f>'15'!Q36</f>
        <v>9.3774999999999959</v>
      </c>
      <c r="R23" s="32"/>
      <c r="S23" s="32"/>
      <c r="T23" s="32"/>
      <c r="U23" s="30"/>
    </row>
    <row r="24" spans="1:24" s="2" customFormat="1">
      <c r="A24" s="14" t="str">
        <f>'16'!$B$2</f>
        <v>16/12/2025 01:00</v>
      </c>
      <c r="B24" s="16">
        <f>'16'!B36</f>
        <v>8.4491666666666685</v>
      </c>
      <c r="C24" s="16">
        <f>'16'!C36</f>
        <v>18.608750000000001</v>
      </c>
      <c r="D24" s="16">
        <f>'16'!D36</f>
        <v>16.43</v>
      </c>
      <c r="E24" s="16">
        <f>'16'!E36</f>
        <v>5.9733333333333336</v>
      </c>
      <c r="F24" s="16">
        <f>'16'!F36</f>
        <v>2.5954166666666665</v>
      </c>
      <c r="G24" s="16">
        <f>'16'!G36</f>
        <v>83.611249999999998</v>
      </c>
      <c r="H24" s="16">
        <f>'16'!H36</f>
        <v>52.930833333333332</v>
      </c>
      <c r="I24" s="16">
        <f>'16'!I36</f>
        <v>14.743333333333332</v>
      </c>
      <c r="J24" s="16">
        <f>'16'!J36</f>
        <v>0.33333333333333331</v>
      </c>
      <c r="K24" s="16">
        <f>'16'!K36</f>
        <v>202.49125000000004</v>
      </c>
      <c r="L24" s="16">
        <f>'16'!L36</f>
        <v>22.189583333333335</v>
      </c>
      <c r="M24" s="16">
        <f>'16'!M36</f>
        <v>70.552499999999995</v>
      </c>
      <c r="N24" s="16">
        <f>'16'!N36</f>
        <v>115.52083333333333</v>
      </c>
      <c r="O24" s="16">
        <f>'16'!O36</f>
        <v>0</v>
      </c>
      <c r="P24" s="16">
        <f>'16'!P36</f>
        <v>0.96416666666666651</v>
      </c>
      <c r="Q24" s="16">
        <f>'16'!Q36</f>
        <v>9.319999999999995</v>
      </c>
      <c r="R24" s="32"/>
      <c r="S24" s="32"/>
      <c r="T24" s="32"/>
      <c r="U24" s="30"/>
    </row>
    <row r="25" spans="1:24" s="2" customFormat="1">
      <c r="A25" s="14" t="str">
        <f>'17'!$B$2</f>
        <v>17/12/2025 01:00</v>
      </c>
      <c r="B25" s="16">
        <f>'17'!B36</f>
        <v>7.9116666666666662</v>
      </c>
      <c r="C25" s="16">
        <f>'17'!C36</f>
        <v>20.382499999999997</v>
      </c>
      <c r="D25" s="16">
        <f>'17'!D36</f>
        <v>16.83666666666667</v>
      </c>
      <c r="E25" s="16">
        <f>'17'!E36</f>
        <v>6.1537499999999987</v>
      </c>
      <c r="F25" s="16">
        <f>'17'!F36</f>
        <v>7.4375000000000009</v>
      </c>
      <c r="G25" s="16">
        <f>'17'!G36</f>
        <v>53.080833333333338</v>
      </c>
      <c r="H25" s="16">
        <f>'17'!H36</f>
        <v>24.857916666666668</v>
      </c>
      <c r="I25" s="16">
        <f>'17'!I36</f>
        <v>18.059583333333332</v>
      </c>
      <c r="J25" s="16">
        <f>'17'!J36</f>
        <v>0.27458333333333335</v>
      </c>
      <c r="K25" s="16">
        <f>'17'!K36</f>
        <v>219.85625000000002</v>
      </c>
      <c r="L25" s="16">
        <f>'17'!L36</f>
        <v>22.25791666666667</v>
      </c>
      <c r="M25" s="16">
        <f>'17'!M36</f>
        <v>71.234999999999999</v>
      </c>
      <c r="N25" s="16">
        <f>'17'!N36</f>
        <v>125.03750000000001</v>
      </c>
      <c r="O25" s="16">
        <f>'17'!O36</f>
        <v>0</v>
      </c>
      <c r="P25" s="16">
        <f>'17'!P36</f>
        <v>1.0604166666666666</v>
      </c>
      <c r="Q25" s="16">
        <f>'17'!Q36</f>
        <v>9.319999999999995</v>
      </c>
      <c r="R25" s="32"/>
      <c r="S25" s="32"/>
      <c r="T25" s="32"/>
      <c r="U25" s="30"/>
    </row>
    <row r="26" spans="1:24" s="2" customFormat="1">
      <c r="A26" s="14" t="str">
        <f>'18'!$B$2</f>
        <v>18/12/2025 01:00</v>
      </c>
      <c r="B26" s="16">
        <f>'18'!B36</f>
        <v>17.891249999999996</v>
      </c>
      <c r="C26" s="16">
        <f>'18'!C36</f>
        <v>18.229583333333334</v>
      </c>
      <c r="D26" s="16">
        <f>'18'!D36</f>
        <v>23.740416666666665</v>
      </c>
      <c r="E26" s="16">
        <f>'18'!E36</f>
        <v>5.8125</v>
      </c>
      <c r="F26" s="16">
        <f>'18'!F36</f>
        <v>1.7979166666666668</v>
      </c>
      <c r="G26" s="16">
        <f>'18'!G36</f>
        <v>32.626666666666665</v>
      </c>
      <c r="H26" s="16">
        <f>'18'!H36</f>
        <v>15.436666666666666</v>
      </c>
      <c r="I26" s="16">
        <f>'18'!I36</f>
        <v>16.519583333333333</v>
      </c>
      <c r="J26" s="16">
        <f>'18'!J36</f>
        <v>0.45041666666666663</v>
      </c>
      <c r="K26" s="16">
        <f>'18'!K36</f>
        <v>155.46916666666667</v>
      </c>
      <c r="L26" s="16">
        <f>'18'!L36</f>
        <v>22.059583333333336</v>
      </c>
      <c r="M26" s="16">
        <f>'18'!M36</f>
        <v>64.285416666666663</v>
      </c>
      <c r="N26" s="16">
        <f>'18'!N36</f>
        <v>132.58750000000003</v>
      </c>
      <c r="O26" s="16">
        <f>'18'!O36</f>
        <v>0</v>
      </c>
      <c r="P26" s="16">
        <f>'18'!P36</f>
        <v>0.91416666666666657</v>
      </c>
      <c r="Q26" s="16">
        <f>'18'!Q36</f>
        <v>9.319999999999995</v>
      </c>
      <c r="R26" s="32"/>
      <c r="S26" s="32"/>
      <c r="T26" s="32"/>
      <c r="U26" s="30"/>
    </row>
    <row r="27" spans="1:24" s="2" customFormat="1">
      <c r="A27" s="14" t="str">
        <f>'19'!$B$2</f>
        <v>19/12/2025 01:00</v>
      </c>
      <c r="B27" s="16">
        <f>'19'!B36</f>
        <v>15.029166666666663</v>
      </c>
      <c r="C27" s="16">
        <f>'19'!C36</f>
        <v>18.513749999999995</v>
      </c>
      <c r="D27" s="16">
        <f>'19'!D36</f>
        <v>21.5625</v>
      </c>
      <c r="E27" s="16">
        <f>'19'!E36</f>
        <v>5.6895833333333323</v>
      </c>
      <c r="F27" s="16">
        <f>'19'!F36</f>
        <v>1.7887500000000003</v>
      </c>
      <c r="G27" s="16">
        <f>'19'!G36</f>
        <v>38.278749999999995</v>
      </c>
      <c r="H27" s="16">
        <f>'19'!H36</f>
        <v>15.449999999999998</v>
      </c>
      <c r="I27" s="16">
        <f>'19'!I36</f>
        <v>18.797499999999999</v>
      </c>
      <c r="J27" s="16">
        <f>'19'!J36</f>
        <v>0.33583333333333337</v>
      </c>
      <c r="K27" s="16">
        <f>'19'!K36</f>
        <v>235.03291666666664</v>
      </c>
      <c r="L27" s="16">
        <f>'19'!L36</f>
        <v>21.388333333333335</v>
      </c>
      <c r="M27" s="16">
        <f>'19'!M36</f>
        <v>64.135416666666671</v>
      </c>
      <c r="N27" s="16">
        <f>'19'!N36</f>
        <v>115.31250000000001</v>
      </c>
      <c r="O27" s="16">
        <f>'19'!O36</f>
        <v>0</v>
      </c>
      <c r="P27" s="16">
        <f>'19'!P36</f>
        <v>1.0099999999999998</v>
      </c>
      <c r="Q27" s="16">
        <f>'19'!Q36</f>
        <v>9.319999999999995</v>
      </c>
      <c r="R27" s="32"/>
      <c r="S27" s="32"/>
      <c r="T27" s="32"/>
      <c r="U27" s="30"/>
    </row>
    <row r="28" spans="1:24" s="2" customFormat="1">
      <c r="A28" s="14" t="str">
        <f>'20'!$B$2</f>
        <v>20/12/2025 01:00</v>
      </c>
      <c r="B28" s="16">
        <f>'20'!B36</f>
        <v>15.084166666666668</v>
      </c>
      <c r="C28" s="16">
        <f>'20'!C36</f>
        <v>19.982916666666664</v>
      </c>
      <c r="D28" s="16">
        <f>'20'!D36</f>
        <v>22.377500000000001</v>
      </c>
      <c r="E28" s="16">
        <f>'20'!E36</f>
        <v>6.0291666666666659</v>
      </c>
      <c r="F28" s="16">
        <f>'20'!F36</f>
        <v>1.6800000000000004</v>
      </c>
      <c r="G28" s="16">
        <f>'20'!G36</f>
        <v>37.830833333333331</v>
      </c>
      <c r="H28" s="16">
        <f>'20'!H36</f>
        <v>16.29291666666667</v>
      </c>
      <c r="I28" s="16">
        <f>'20'!I36</f>
        <v>15.700833333333334</v>
      </c>
      <c r="J28" s="16">
        <f>'20'!J36</f>
        <v>0.38333333333333336</v>
      </c>
      <c r="K28" s="16">
        <f>'20'!K36</f>
        <v>206.03958333333335</v>
      </c>
      <c r="L28" s="16">
        <f>'20'!L36</f>
        <v>20.996666666666666</v>
      </c>
      <c r="M28" s="16">
        <f>'20'!M36</f>
        <v>65.70083333333335</v>
      </c>
      <c r="N28" s="16">
        <f>'20'!N36</f>
        <v>124.28750000000002</v>
      </c>
      <c r="O28" s="16">
        <f>'20'!O36</f>
        <v>0</v>
      </c>
      <c r="P28" s="16">
        <f>'20'!P36</f>
        <v>0.81458333333333355</v>
      </c>
      <c r="Q28" s="16">
        <f>'20'!Q36</f>
        <v>9.319999999999995</v>
      </c>
      <c r="R28" s="32"/>
      <c r="S28" s="32"/>
      <c r="T28" s="32"/>
      <c r="U28" s="30"/>
    </row>
    <row r="29" spans="1:24" s="2" customFormat="1">
      <c r="A29" s="14" t="str">
        <f>'21'!$B$2</f>
        <v>21/12/2025 01:00</v>
      </c>
      <c r="B29" s="16">
        <f>'21'!B36</f>
        <v>14.911666666666667</v>
      </c>
      <c r="C29" s="16">
        <f>'21'!C36</f>
        <v>20.172083333333337</v>
      </c>
      <c r="D29" s="16">
        <f>'21'!D36</f>
        <v>22.358333333333334</v>
      </c>
      <c r="E29" s="16">
        <f>'21'!E36</f>
        <v>6.3233333333333333</v>
      </c>
      <c r="F29" s="16">
        <f>'21'!F36</f>
        <v>1.6174999999999999</v>
      </c>
      <c r="G29" s="16">
        <f>'21'!G36</f>
        <v>37.672499999999992</v>
      </c>
      <c r="H29" s="16">
        <f>'21'!H36</f>
        <v>17.624583333333334</v>
      </c>
      <c r="I29" s="16">
        <f>'21'!I36</f>
        <v>13.872083333333336</v>
      </c>
      <c r="J29" s="16">
        <f>'21'!J36</f>
        <v>0.36833333333333346</v>
      </c>
      <c r="K29" s="16">
        <f>'21'!K36</f>
        <v>192.27625</v>
      </c>
      <c r="L29" s="16">
        <f>'21'!L36</f>
        <v>20.800833333333326</v>
      </c>
      <c r="M29" s="16">
        <f>'21'!M36</f>
        <v>65.61666666666666</v>
      </c>
      <c r="N29" s="16">
        <f>'21'!N36</f>
        <v>120.97499999999998</v>
      </c>
      <c r="O29" s="16">
        <f>'21'!O36</f>
        <v>0</v>
      </c>
      <c r="P29" s="16">
        <f>'21'!P36</f>
        <v>0.81083333333333341</v>
      </c>
      <c r="Q29" s="16">
        <f>'21'!Q36</f>
        <v>9.319999999999995</v>
      </c>
      <c r="R29" s="32"/>
      <c r="S29" s="32"/>
      <c r="T29" s="32"/>
      <c r="U29" s="30"/>
    </row>
    <row r="30" spans="1:24" s="2" customFormat="1">
      <c r="A30" s="14" t="str">
        <f>'22'!$B$2</f>
        <v>22/12/2025 01:00</v>
      </c>
      <c r="B30" s="16">
        <f>'22'!B36</f>
        <v>19.558750000000003</v>
      </c>
      <c r="C30" s="16">
        <f>'22'!C36</f>
        <v>20.772083333333335</v>
      </c>
      <c r="D30" s="16">
        <f>'22'!D36</f>
        <v>26.412916666666671</v>
      </c>
      <c r="E30" s="16">
        <f>'22'!E36</f>
        <v>5.9537499999999994</v>
      </c>
      <c r="F30" s="16">
        <f>'22'!F36</f>
        <v>1.6849999999999994</v>
      </c>
      <c r="G30" s="16">
        <f>'22'!G36</f>
        <v>53.131666666666668</v>
      </c>
      <c r="H30" s="16">
        <f>'22'!H36</f>
        <v>26.932500000000001</v>
      </c>
      <c r="I30" s="16">
        <f>'22'!I36</f>
        <v>15.515416666666667</v>
      </c>
      <c r="J30" s="16">
        <f>'22'!J36</f>
        <v>0.44500000000000023</v>
      </c>
      <c r="K30" s="16">
        <f>'22'!K36</f>
        <v>158.61708333333328</v>
      </c>
      <c r="L30" s="16">
        <f>'22'!L36</f>
        <v>21.232500000000002</v>
      </c>
      <c r="M30" s="16">
        <f>'22'!M36</f>
        <v>66.787500000000009</v>
      </c>
      <c r="N30" s="16">
        <f>'22'!N36</f>
        <v>125.92083333333333</v>
      </c>
      <c r="O30" s="16">
        <f>'22'!O36</f>
        <v>0</v>
      </c>
      <c r="P30" s="16">
        <f>'22'!P36</f>
        <v>0.92583333333333329</v>
      </c>
      <c r="Q30" s="16">
        <f>'22'!Q36</f>
        <v>9.319999999999995</v>
      </c>
      <c r="R30" s="32"/>
      <c r="S30" s="30"/>
      <c r="T30" s="30"/>
      <c r="U30" s="30"/>
    </row>
    <row r="31" spans="1:24" s="2" customFormat="1">
      <c r="A31" s="14" t="str">
        <f>'23'!$B$2</f>
        <v>23/12/2025 01:00</v>
      </c>
      <c r="B31" s="16">
        <f>'23'!B36</f>
        <v>18.1675</v>
      </c>
      <c r="C31" s="16">
        <f>'23'!C36</f>
        <v>23.238749999999996</v>
      </c>
      <c r="D31" s="16">
        <f>'23'!D36</f>
        <v>26.482500000000005</v>
      </c>
      <c r="E31" s="16">
        <f>'23'!E36</f>
        <v>5.5333333333333341</v>
      </c>
      <c r="F31" s="16">
        <f>'23'!F36</f>
        <v>2.9337499999999999</v>
      </c>
      <c r="G31" s="16">
        <f>'23'!G36</f>
        <v>77.967500000000015</v>
      </c>
      <c r="H31" s="16">
        <f>'23'!H36</f>
        <v>46.64083333333334</v>
      </c>
      <c r="I31" s="16">
        <f>'23'!I36</f>
        <v>13.370416666666669</v>
      </c>
      <c r="J31" s="16">
        <f>'23'!J36</f>
        <v>0.40833333333333344</v>
      </c>
      <c r="K31" s="16">
        <f>'23'!K36</f>
        <v>153.80791666666667</v>
      </c>
      <c r="L31" s="16">
        <f>'23'!L36</f>
        <v>19.188333333333329</v>
      </c>
      <c r="M31" s="16">
        <f>'23'!M36</f>
        <v>68.589166666666685</v>
      </c>
      <c r="N31" s="16">
        <f>'23'!N36</f>
        <v>119.33749999999998</v>
      </c>
      <c r="O31" s="16">
        <f>'23'!O36</f>
        <v>0</v>
      </c>
      <c r="P31" s="16">
        <f>'23'!P36</f>
        <v>0.88625000000000009</v>
      </c>
      <c r="Q31" s="16">
        <f>'23'!Q36</f>
        <v>9.319999999999995</v>
      </c>
      <c r="R31" s="30"/>
      <c r="S31" s="30"/>
      <c r="T31" s="30"/>
      <c r="U31" s="30"/>
    </row>
    <row r="32" spans="1:24" s="2" customFormat="1">
      <c r="A32" s="14" t="str">
        <f>'24'!$B$2</f>
        <v>24/12/2025 01:00</v>
      </c>
      <c r="B32" s="16">
        <f>'24'!B36</f>
        <v>16.625000000000007</v>
      </c>
      <c r="C32" s="16">
        <f>'24'!C36</f>
        <v>19.009999999999998</v>
      </c>
      <c r="D32" s="16">
        <f>'24'!D36</f>
        <v>23.07375</v>
      </c>
      <c r="E32" s="16">
        <f>'24'!E36</f>
        <v>5.5145833333333334</v>
      </c>
      <c r="F32" s="16">
        <f>'24'!F36</f>
        <v>2.1645833333333333</v>
      </c>
      <c r="G32" s="16">
        <f>'24'!G36</f>
        <v>70.361666666666679</v>
      </c>
      <c r="H32" s="16">
        <f>'24'!H36</f>
        <v>36.71875</v>
      </c>
      <c r="I32" s="16">
        <f>'24'!I36</f>
        <v>18.598749999999999</v>
      </c>
      <c r="J32" s="16">
        <f>'24'!J36</f>
        <v>0.45208333333333323</v>
      </c>
      <c r="K32" s="16">
        <f>'24'!K36</f>
        <v>159.88083333333333</v>
      </c>
      <c r="L32" s="16">
        <f>'24'!L36</f>
        <v>16.892083333333336</v>
      </c>
      <c r="M32" s="16">
        <f>'24'!M36</f>
        <v>65.327083333333348</v>
      </c>
      <c r="N32" s="16">
        <f>'24'!N36</f>
        <v>127.19999999999999</v>
      </c>
      <c r="O32" s="16">
        <f>'24'!O36</f>
        <v>0</v>
      </c>
      <c r="P32" s="16">
        <f>'24'!P36</f>
        <v>1.0554166666666667</v>
      </c>
      <c r="Q32" s="16">
        <f>'24'!Q36</f>
        <v>9.319999999999995</v>
      </c>
      <c r="R32" s="30"/>
      <c r="S32" s="30"/>
      <c r="T32" s="30"/>
      <c r="U32" s="30"/>
    </row>
    <row r="33" spans="1:21" s="2" customFormat="1">
      <c r="A33" s="14" t="str">
        <f>'25'!$B$2</f>
        <v>25/12/2025 01:00</v>
      </c>
      <c r="B33" s="16">
        <f>'25'!B36</f>
        <v>18.243333333333332</v>
      </c>
      <c r="C33" s="16">
        <f>'25'!C36</f>
        <v>18.96166666666667</v>
      </c>
      <c r="D33" s="16">
        <f>'25'!D36</f>
        <v>24.467499999999998</v>
      </c>
      <c r="E33" s="16">
        <f>'25'!E36</f>
        <v>5.9279166666666656</v>
      </c>
      <c r="F33" s="16">
        <f>'25'!F36</f>
        <v>1.8908333333333334</v>
      </c>
      <c r="G33" s="16">
        <f>'25'!G36</f>
        <v>57.887916666666655</v>
      </c>
      <c r="H33" s="16">
        <f>'25'!H36</f>
        <v>28.281250000000004</v>
      </c>
      <c r="I33" s="16">
        <f>'25'!I36</f>
        <v>12.636666666666668</v>
      </c>
      <c r="J33" s="16">
        <f>'25'!J36</f>
        <v>0.41499999999999987</v>
      </c>
      <c r="K33" s="16">
        <f>'25'!K36</f>
        <v>178.03083333333333</v>
      </c>
      <c r="L33" s="16">
        <f>'25'!L36</f>
        <v>16.974583333333332</v>
      </c>
      <c r="M33" s="16">
        <f>'25'!M36</f>
        <v>65.410000000000011</v>
      </c>
      <c r="N33" s="16">
        <f>'25'!N36</f>
        <v>127.9875</v>
      </c>
      <c r="O33" s="16">
        <f>'25'!O36</f>
        <v>0</v>
      </c>
      <c r="P33" s="16">
        <f>'25'!P36</f>
        <v>0.69458333333333344</v>
      </c>
      <c r="Q33" s="16">
        <f>'25'!Q36</f>
        <v>9.319999999999995</v>
      </c>
      <c r="R33" s="30"/>
      <c r="S33" s="30"/>
      <c r="T33" s="30"/>
      <c r="U33" s="30"/>
    </row>
    <row r="34" spans="1:21" s="2" customFormat="1">
      <c r="A34" s="14" t="str">
        <f>'26'!$B$2</f>
        <v>26/12/2025 01:00</v>
      </c>
      <c r="B34" s="16">
        <f>'26'!B36</f>
        <v>16.227916666666669</v>
      </c>
      <c r="C34" s="16">
        <f>'26'!C36</f>
        <v>19.597916666666666</v>
      </c>
      <c r="D34" s="16">
        <f>'26'!D36</f>
        <v>23.157499999999999</v>
      </c>
      <c r="E34" s="16">
        <f>'26'!E36</f>
        <v>6.418333333333333</v>
      </c>
      <c r="F34" s="16">
        <f>'26'!F36</f>
        <v>1.8183333333333336</v>
      </c>
      <c r="G34" s="16">
        <f>'26'!G36</f>
        <v>72.165833333333339</v>
      </c>
      <c r="H34" s="16">
        <f>'26'!H36</f>
        <v>32.069166666666661</v>
      </c>
      <c r="I34" s="16">
        <f>'26'!I36</f>
        <v>13.042083333333332</v>
      </c>
      <c r="J34" s="16">
        <f>'26'!J36</f>
        <v>0.44625000000000004</v>
      </c>
      <c r="K34" s="16">
        <f>'26'!K36</f>
        <v>181.07458333333332</v>
      </c>
      <c r="L34" s="16">
        <f>'26'!L36</f>
        <v>16.97625</v>
      </c>
      <c r="M34" s="16">
        <f>'26'!M36</f>
        <v>63.831666666666656</v>
      </c>
      <c r="N34" s="16">
        <f>'26'!N36</f>
        <v>129.72083333333333</v>
      </c>
      <c r="O34" s="16">
        <f>'26'!O36</f>
        <v>0</v>
      </c>
      <c r="P34" s="16">
        <f>'26'!P36</f>
        <v>0.77250000000000008</v>
      </c>
      <c r="Q34" s="16">
        <f>'26'!Q36</f>
        <v>9.319999999999995</v>
      </c>
      <c r="R34" s="30"/>
      <c r="S34" s="30"/>
      <c r="T34" s="30"/>
      <c r="U34" s="30"/>
    </row>
    <row r="35" spans="1:21" s="2" customFormat="1">
      <c r="A35" s="14" t="str">
        <f>'27'!$B$2</f>
        <v>27/12/2025 01:00</v>
      </c>
      <c r="B35" s="16">
        <f>'27'!B36</f>
        <v>15.11125</v>
      </c>
      <c r="C35" s="16">
        <f>'27'!C36</f>
        <v>21.354583333333334</v>
      </c>
      <c r="D35" s="16">
        <f>'27'!D36</f>
        <v>23.195416666666663</v>
      </c>
      <c r="E35" s="16">
        <f>'27'!E36</f>
        <v>5.680833333333335</v>
      </c>
      <c r="F35" s="16">
        <f>'27'!F36</f>
        <v>2.3287499999999999</v>
      </c>
      <c r="G35" s="16">
        <f>'27'!G36</f>
        <v>74.319130434782622</v>
      </c>
      <c r="H35" s="16">
        <f>'27'!H36</f>
        <v>33.136521739130437</v>
      </c>
      <c r="I35" s="16">
        <f>'27'!I36</f>
        <v>12.518749999999999</v>
      </c>
      <c r="J35" s="16">
        <f>'27'!J36</f>
        <v>0.40624999999999994</v>
      </c>
      <c r="K35" s="16">
        <f>'27'!K36</f>
        <v>207.41125</v>
      </c>
      <c r="L35" s="16">
        <f>'27'!L36</f>
        <v>16.357916666666664</v>
      </c>
      <c r="M35" s="16">
        <f>'27'!M36</f>
        <v>66.371250000000003</v>
      </c>
      <c r="N35" s="16">
        <f>'27'!N36</f>
        <v>138.91666666666669</v>
      </c>
      <c r="O35" s="16">
        <f>'27'!O36</f>
        <v>0</v>
      </c>
      <c r="P35" s="16">
        <f>'27'!P36</f>
        <v>0.70208333333333339</v>
      </c>
      <c r="Q35" s="16">
        <f>'27'!Q36</f>
        <v>9.319999999999995</v>
      </c>
      <c r="R35" s="30"/>
      <c r="S35" s="30"/>
      <c r="T35" s="30"/>
      <c r="U35" s="30"/>
    </row>
    <row r="36" spans="1:21" s="2" customFormat="1">
      <c r="A36" s="14" t="str">
        <f>'28'!$B$2</f>
        <v>28/12/2025 01:00</v>
      </c>
      <c r="B36" s="16">
        <f>'28'!B36</f>
        <v>20.530416666666664</v>
      </c>
      <c r="C36" s="16">
        <f>'28'!C36</f>
        <v>21.855</v>
      </c>
      <c r="D36" s="16">
        <f>'28'!D36</f>
        <v>27.766666666666662</v>
      </c>
      <c r="E36" s="16">
        <f>'28'!E36</f>
        <v>3.4775000000000005</v>
      </c>
      <c r="F36" s="16">
        <f>'28'!F36</f>
        <v>0.66458333333333341</v>
      </c>
      <c r="G36" s="16">
        <f>'28'!G36</f>
        <v>85.047916666666637</v>
      </c>
      <c r="H36" s="16">
        <f>'28'!H36</f>
        <v>39.968333333333327</v>
      </c>
      <c r="I36" s="16">
        <f>'28'!I36</f>
        <v>14.52708333333333</v>
      </c>
      <c r="J36" s="16">
        <f>'28'!J36</f>
        <v>0.34916666666666668</v>
      </c>
      <c r="K36" s="16">
        <f>'28'!K36</f>
        <v>198.94208333333327</v>
      </c>
      <c r="L36" s="16">
        <f>'28'!L36</f>
        <v>16.114166666666662</v>
      </c>
      <c r="M36" s="16">
        <f>'28'!M36</f>
        <v>66.115833333333327</v>
      </c>
      <c r="N36" s="16">
        <f>'28'!N36</f>
        <v>145.45833333333334</v>
      </c>
      <c r="O36" s="16">
        <f>'28'!O36</f>
        <v>0</v>
      </c>
      <c r="P36" s="16">
        <f>'28'!P36</f>
        <v>0.89083333333333359</v>
      </c>
      <c r="Q36" s="16">
        <f>'28'!Q36</f>
        <v>9.319999999999995</v>
      </c>
      <c r="R36" s="30"/>
      <c r="S36" s="30"/>
      <c r="T36" s="30"/>
      <c r="U36" s="30"/>
    </row>
    <row r="37" spans="1:21" s="2" customFormat="1">
      <c r="A37" s="14" t="str">
        <f>'29'!$B$2</f>
        <v>29/12/2025 01:00</v>
      </c>
      <c r="B37" s="16">
        <f>'29'!B36</f>
        <v>13.703333333333331</v>
      </c>
      <c r="C37" s="16">
        <f>'29'!C36</f>
        <v>22.327500000000004</v>
      </c>
      <c r="D37" s="16">
        <f>'29'!D36</f>
        <v>22.454583333333332</v>
      </c>
      <c r="E37" s="16">
        <f>'29'!E36</f>
        <v>3.4466666666666659</v>
      </c>
      <c r="F37" s="16">
        <f>'29'!F36</f>
        <v>1.3004166666666668</v>
      </c>
      <c r="G37" s="16">
        <f>'29'!G36</f>
        <v>80.957499999999996</v>
      </c>
      <c r="H37" s="16">
        <f>'29'!H36</f>
        <v>37.277499999999996</v>
      </c>
      <c r="I37" s="16">
        <f>'29'!I36</f>
        <v>14.251250000000001</v>
      </c>
      <c r="J37" s="16">
        <f>'29'!J36</f>
        <v>0.35083333333333339</v>
      </c>
      <c r="K37" s="16">
        <f>'29'!K36</f>
        <v>200.11833333333334</v>
      </c>
      <c r="L37" s="16">
        <f>'29'!L36</f>
        <v>16.088333333333331</v>
      </c>
      <c r="M37" s="16">
        <f>'29'!M36</f>
        <v>67.66</v>
      </c>
      <c r="N37" s="16">
        <f>'29'!N36</f>
        <v>142.20416666666668</v>
      </c>
      <c r="O37" s="16">
        <f>'29'!O36</f>
        <v>0</v>
      </c>
      <c r="P37" s="16">
        <f>'29'!P36</f>
        <v>0.8433333333333336</v>
      </c>
      <c r="Q37" s="16">
        <f>'29'!Q36</f>
        <v>9.319999999999995</v>
      </c>
      <c r="R37" s="30"/>
      <c r="S37" s="30"/>
      <c r="T37" s="30"/>
      <c r="U37" s="30"/>
    </row>
    <row r="38" spans="1:21" s="2" customFormat="1">
      <c r="A38" s="14" t="str">
        <f>'30'!$B$2</f>
        <v>30/12/2025 01:00</v>
      </c>
      <c r="B38" s="16">
        <f>'30'!B36</f>
        <v>12.387916666666667</v>
      </c>
      <c r="C38" s="16">
        <f>'30'!C36</f>
        <v>20.122499999999999</v>
      </c>
      <c r="D38" s="16">
        <f>'30'!D36</f>
        <v>20.253750000000004</v>
      </c>
      <c r="E38" s="16">
        <f>'30'!E36</f>
        <v>3.9049999999999998</v>
      </c>
      <c r="F38" s="16">
        <f>'30'!F36</f>
        <v>1.138333333333333</v>
      </c>
      <c r="G38" s="16">
        <f>'30'!G36</f>
        <v>72.560416666666654</v>
      </c>
      <c r="H38" s="16">
        <f>'30'!H36</f>
        <v>38.592083333333342</v>
      </c>
      <c r="I38" s="16">
        <f>'30'!I36</f>
        <v>15.73666666666667</v>
      </c>
      <c r="J38" s="16">
        <f>'30'!J36</f>
        <v>0.29916666666666669</v>
      </c>
      <c r="K38" s="16">
        <f>'30'!K36</f>
        <v>214.16041666666669</v>
      </c>
      <c r="L38" s="16">
        <f>'30'!L36</f>
        <v>16.552499999999998</v>
      </c>
      <c r="M38" s="16">
        <f>'30'!M36</f>
        <v>63.978749999999991</v>
      </c>
      <c r="N38" s="16">
        <f>'30'!N36</f>
        <v>138.25</v>
      </c>
      <c r="O38" s="16">
        <f>'30'!O36</f>
        <v>0</v>
      </c>
      <c r="P38" s="16">
        <f>'30'!P36</f>
        <v>0.96000000000000008</v>
      </c>
      <c r="Q38" s="16">
        <f>'30'!Q36</f>
        <v>9.319999999999995</v>
      </c>
      <c r="R38" s="30"/>
      <c r="S38" s="30"/>
      <c r="T38" s="30"/>
      <c r="U38" s="30"/>
    </row>
    <row r="39" spans="1:21">
      <c r="A39" s="14" t="str">
        <f>'31'!$B$2</f>
        <v>31/12/2025 01:00</v>
      </c>
      <c r="B39" s="42">
        <f t="shared" ref="B39:Q39" si="0">AVERAGE(B12:B35)</f>
        <v>14.976944444444444</v>
      </c>
      <c r="C39" s="42">
        <f t="shared" si="0"/>
        <v>19.742777777777775</v>
      </c>
      <c r="D39" s="42">
        <f t="shared" si="0"/>
        <v>22.187447916666667</v>
      </c>
      <c r="E39" s="42">
        <f t="shared" si="0"/>
        <v>5.9391145833333328</v>
      </c>
      <c r="F39" s="42">
        <f t="shared" si="0"/>
        <v>2.3786805555555559</v>
      </c>
      <c r="G39" s="42">
        <f t="shared" si="0"/>
        <v>72.781838768115918</v>
      </c>
      <c r="H39" s="42">
        <f t="shared" si="0"/>
        <v>35.913987016908216</v>
      </c>
      <c r="I39" s="42">
        <f t="shared" si="0"/>
        <v>14.758993055555557</v>
      </c>
      <c r="J39" s="42">
        <f t="shared" si="0"/>
        <v>0.4114583333333332</v>
      </c>
      <c r="K39" s="42">
        <f t="shared" si="0"/>
        <v>178.33473958333332</v>
      </c>
      <c r="L39" s="42">
        <f t="shared" si="0"/>
        <v>20.927256944444448</v>
      </c>
      <c r="M39" s="42">
        <f t="shared" si="0"/>
        <v>63.64817708333333</v>
      </c>
      <c r="N39" s="42">
        <f t="shared" si="0"/>
        <v>131.85156249999997</v>
      </c>
      <c r="O39" s="42">
        <f t="shared" si="0"/>
        <v>0</v>
      </c>
      <c r="P39" s="42">
        <f t="shared" si="0"/>
        <v>0.85093750000000012</v>
      </c>
      <c r="Q39" s="42">
        <f t="shared" si="0"/>
        <v>9.3520833333333275</v>
      </c>
      <c r="R39" s="1"/>
      <c r="S39" s="1"/>
      <c r="T39" s="1"/>
    </row>
    <row r="40" spans="1:21" s="1" customFormat="1">
      <c r="A40" s="3" t="s">
        <v>48</v>
      </c>
      <c r="B40" s="18">
        <f t="shared" ref="B40:Q40" si="1">MIN(B9:B38)</f>
        <v>7.549999999999998</v>
      </c>
      <c r="C40" s="18">
        <f t="shared" si="1"/>
        <v>15.428333333333333</v>
      </c>
      <c r="D40" s="18">
        <f t="shared" si="1"/>
        <v>14.795416666666666</v>
      </c>
      <c r="E40" s="18">
        <f t="shared" si="1"/>
        <v>3.4466666666666659</v>
      </c>
      <c r="F40" s="18">
        <f t="shared" si="1"/>
        <v>0.66458333333333341</v>
      </c>
      <c r="G40" s="18">
        <f t="shared" si="1"/>
        <v>32.626666666666665</v>
      </c>
      <c r="H40" s="18">
        <f t="shared" si="1"/>
        <v>15.436666666666666</v>
      </c>
      <c r="I40" s="18">
        <f t="shared" si="1"/>
        <v>10.620000000000001</v>
      </c>
      <c r="J40" s="18">
        <f t="shared" si="1"/>
        <v>0.27458333333333335</v>
      </c>
      <c r="K40" s="18">
        <f t="shared" si="1"/>
        <v>128.61166666666665</v>
      </c>
      <c r="L40" s="18">
        <f t="shared" si="1"/>
        <v>16.088333333333331</v>
      </c>
      <c r="M40" s="18">
        <f t="shared" si="1"/>
        <v>56.626666666666665</v>
      </c>
      <c r="N40" s="18">
        <f t="shared" si="1"/>
        <v>109.72499999999998</v>
      </c>
      <c r="O40" s="18">
        <f t="shared" si="1"/>
        <v>0</v>
      </c>
      <c r="P40" s="18">
        <f t="shared" si="1"/>
        <v>0.62625000000000008</v>
      </c>
      <c r="Q40" s="18">
        <f t="shared" si="1"/>
        <v>9.319999999999995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2">MAX(B9:B38)</f>
        <v>20.592499999999998</v>
      </c>
      <c r="C41" s="18">
        <f t="shared" si="2"/>
        <v>23.238749999999996</v>
      </c>
      <c r="D41" s="18">
        <f t="shared" si="2"/>
        <v>27.766666666666662</v>
      </c>
      <c r="E41" s="18">
        <f t="shared" si="2"/>
        <v>6.487916666666667</v>
      </c>
      <c r="F41" s="18">
        <f t="shared" si="2"/>
        <v>7.4375000000000009</v>
      </c>
      <c r="G41" s="18">
        <f t="shared" si="2"/>
        <v>119.21249999999998</v>
      </c>
      <c r="H41" s="18">
        <f t="shared" si="2"/>
        <v>56.911249999999995</v>
      </c>
      <c r="I41" s="18">
        <f t="shared" si="2"/>
        <v>18.797499999999999</v>
      </c>
      <c r="J41" s="18">
        <f t="shared" si="2"/>
        <v>0.57541666666666669</v>
      </c>
      <c r="K41" s="18">
        <f t="shared" si="2"/>
        <v>235.03291666666664</v>
      </c>
      <c r="L41" s="18">
        <f t="shared" si="2"/>
        <v>24.772499999999997</v>
      </c>
      <c r="M41" s="18">
        <f t="shared" si="2"/>
        <v>71.498749999999987</v>
      </c>
      <c r="N41" s="18">
        <f t="shared" si="2"/>
        <v>165.99999999999997</v>
      </c>
      <c r="O41" s="18">
        <f t="shared" si="2"/>
        <v>0</v>
      </c>
      <c r="P41" s="18">
        <f t="shared" si="2"/>
        <v>1.0604166666666666</v>
      </c>
      <c r="Q41" s="18">
        <f t="shared" si="2"/>
        <v>9.5374999999999979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3">AVERAGE(B9:B38)</f>
        <v>14.571805555555553</v>
      </c>
      <c r="C42" s="18">
        <f t="shared" si="3"/>
        <v>19.621749999999999</v>
      </c>
      <c r="D42" s="18">
        <f t="shared" si="3"/>
        <v>21.799652777777776</v>
      </c>
      <c r="E42" s="18">
        <f t="shared" si="3"/>
        <v>5.7470694444444437</v>
      </c>
      <c r="F42" s="18">
        <f t="shared" si="3"/>
        <v>2.2958055555555554</v>
      </c>
      <c r="G42" s="18">
        <f t="shared" si="3"/>
        <v>74.827212176108887</v>
      </c>
      <c r="H42" s="18">
        <f t="shared" si="3"/>
        <v>36.64269845191042</v>
      </c>
      <c r="I42" s="18">
        <f t="shared" si="3"/>
        <v>14.498361111111111</v>
      </c>
      <c r="J42" s="18">
        <f t="shared" si="3"/>
        <v>0.41275000000000001</v>
      </c>
      <c r="K42" s="18">
        <f t="shared" si="3"/>
        <v>176.72211111111105</v>
      </c>
      <c r="L42" s="18">
        <f t="shared" si="3"/>
        <v>20.768722222222227</v>
      </c>
      <c r="M42" s="18">
        <f t="shared" si="3"/>
        <v>64.138416666666657</v>
      </c>
      <c r="N42" s="18">
        <f t="shared" si="3"/>
        <v>131.95430555555555</v>
      </c>
      <c r="O42" s="18">
        <f t="shared" si="3"/>
        <v>0</v>
      </c>
      <c r="P42" s="18">
        <f t="shared" si="3"/>
        <v>0.8388055555555558</v>
      </c>
      <c r="Q42" s="18">
        <f t="shared" si="3"/>
        <v>9.3554166666666614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4">STDEV(B9:B38)</f>
        <v>3.6255837872722472</v>
      </c>
      <c r="C43" s="18">
        <f t="shared" si="4"/>
        <v>1.6781597562879766</v>
      </c>
      <c r="D43" s="18">
        <f t="shared" si="4"/>
        <v>3.3641733417747184</v>
      </c>
      <c r="E43" s="18">
        <f t="shared" si="4"/>
        <v>0.78861935046318854</v>
      </c>
      <c r="F43" s="18">
        <f t="shared" si="4"/>
        <v>1.6026074932616821</v>
      </c>
      <c r="G43" s="18">
        <f t="shared" si="4"/>
        <v>19.691670573677897</v>
      </c>
      <c r="H43" s="18">
        <f t="shared" si="4"/>
        <v>10.935932480059391</v>
      </c>
      <c r="I43" s="18">
        <f t="shared" si="4"/>
        <v>2.2112697916886357</v>
      </c>
      <c r="J43" s="18">
        <f t="shared" si="4"/>
        <v>7.6943107932013893E-2</v>
      </c>
      <c r="K43" s="18">
        <f t="shared" si="4"/>
        <v>29.754689410332574</v>
      </c>
      <c r="L43" s="18">
        <f t="shared" si="4"/>
        <v>2.5562517644967304</v>
      </c>
      <c r="M43" s="18">
        <f t="shared" si="4"/>
        <v>4.2134880564695427</v>
      </c>
      <c r="N43" s="18">
        <f t="shared" si="4"/>
        <v>14.836995805897599</v>
      </c>
      <c r="O43" s="18">
        <f t="shared" si="4"/>
        <v>0</v>
      </c>
      <c r="P43" s="18">
        <f t="shared" si="4"/>
        <v>0.13147878405935542</v>
      </c>
      <c r="Q43" s="18">
        <f t="shared" si="4"/>
        <v>6.2185415187720347E-2</v>
      </c>
      <c r="R43" s="18"/>
      <c r="S43" s="18"/>
      <c r="T43" s="18"/>
      <c r="U43" s="18"/>
    </row>
    <row r="44" spans="1:21" s="1" customFormat="1">
      <c r="A44" s="3" t="s">
        <v>52</v>
      </c>
      <c r="B44" s="3">
        <f>COUNT(B9:B39)</f>
        <v>31</v>
      </c>
      <c r="C44" s="3">
        <f t="shared" ref="C44:Q44" si="5">COUNT(C9:C39)</f>
        <v>31</v>
      </c>
      <c r="D44" s="3">
        <f t="shared" si="5"/>
        <v>31</v>
      </c>
      <c r="E44" s="3">
        <f t="shared" si="5"/>
        <v>31</v>
      </c>
      <c r="F44" s="3">
        <f t="shared" si="5"/>
        <v>31</v>
      </c>
      <c r="G44" s="3">
        <f t="shared" si="5"/>
        <v>31</v>
      </c>
      <c r="H44" s="3">
        <f t="shared" si="5"/>
        <v>31</v>
      </c>
      <c r="I44" s="3">
        <f t="shared" si="5"/>
        <v>31</v>
      </c>
      <c r="J44" s="3">
        <f t="shared" si="5"/>
        <v>31</v>
      </c>
      <c r="K44" s="3">
        <f t="shared" si="5"/>
        <v>31</v>
      </c>
      <c r="L44" s="3">
        <f t="shared" si="5"/>
        <v>31</v>
      </c>
      <c r="M44" s="3">
        <f t="shared" si="5"/>
        <v>31</v>
      </c>
      <c r="N44" s="3">
        <f t="shared" si="5"/>
        <v>31</v>
      </c>
      <c r="O44" s="3">
        <f t="shared" si="5"/>
        <v>31</v>
      </c>
      <c r="P44" s="3">
        <f t="shared" si="5"/>
        <v>31</v>
      </c>
      <c r="Q44" s="3">
        <f t="shared" si="5"/>
        <v>31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6">IF(C44&gt;=28,"&gt;90%",IF(C44&lt;=28,"&lt;90%"))</f>
        <v>&gt;90%</v>
      </c>
      <c r="D45" s="3" t="str">
        <f t="shared" si="6"/>
        <v>&gt;90%</v>
      </c>
      <c r="E45" s="3" t="str">
        <f t="shared" si="6"/>
        <v>&gt;90%</v>
      </c>
      <c r="F45" s="3" t="str">
        <f t="shared" si="6"/>
        <v>&gt;90%</v>
      </c>
      <c r="G45" s="3" t="str">
        <f t="shared" si="6"/>
        <v>&gt;90%</v>
      </c>
      <c r="H45" s="3" t="str">
        <f t="shared" si="6"/>
        <v>&gt;90%</v>
      </c>
      <c r="I45" s="3" t="str">
        <f t="shared" si="6"/>
        <v>&gt;90%</v>
      </c>
      <c r="J45" s="3" t="str">
        <f t="shared" si="6"/>
        <v>&gt;90%</v>
      </c>
      <c r="K45" s="3" t="str">
        <f t="shared" si="6"/>
        <v>&gt;90%</v>
      </c>
      <c r="L45" s="3" t="str">
        <f t="shared" si="6"/>
        <v>&gt;90%</v>
      </c>
      <c r="M45" s="3" t="str">
        <f t="shared" si="6"/>
        <v>&gt;90%</v>
      </c>
      <c r="N45" s="3" t="str">
        <f t="shared" si="6"/>
        <v>&gt;90%</v>
      </c>
      <c r="O45" s="3" t="str">
        <f t="shared" si="6"/>
        <v>&gt;90%</v>
      </c>
      <c r="P45" s="3" t="str">
        <f t="shared" si="6"/>
        <v>&gt;90%</v>
      </c>
      <c r="Q45" s="3" t="str">
        <f t="shared" si="6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7">IF(C44&gt;=28,"OK",IF(C44&lt;=28,"LESS"))</f>
        <v>OK</v>
      </c>
      <c r="D46" s="3" t="str">
        <f t="shared" si="7"/>
        <v>OK</v>
      </c>
      <c r="E46" s="3" t="str">
        <f t="shared" si="7"/>
        <v>OK</v>
      </c>
      <c r="F46" s="3" t="str">
        <f t="shared" si="7"/>
        <v>OK</v>
      </c>
      <c r="G46" s="3" t="str">
        <f t="shared" si="7"/>
        <v>OK</v>
      </c>
      <c r="H46" s="3" t="str">
        <f t="shared" si="7"/>
        <v>OK</v>
      </c>
      <c r="I46" s="3" t="str">
        <f t="shared" si="7"/>
        <v>OK</v>
      </c>
      <c r="J46" s="3" t="str">
        <f t="shared" si="7"/>
        <v>OK</v>
      </c>
      <c r="K46" s="3" t="str">
        <f t="shared" si="7"/>
        <v>OK</v>
      </c>
      <c r="L46" s="3" t="str">
        <f t="shared" si="7"/>
        <v>OK</v>
      </c>
      <c r="M46" s="3" t="str">
        <f t="shared" si="7"/>
        <v>OK</v>
      </c>
      <c r="N46" s="3" t="str">
        <f t="shared" si="7"/>
        <v>OK</v>
      </c>
      <c r="O46" s="3" t="str">
        <f t="shared" si="7"/>
        <v>OK</v>
      </c>
      <c r="P46" s="3" t="str">
        <f t="shared" si="7"/>
        <v>OK</v>
      </c>
      <c r="Q46" s="3" t="str">
        <f t="shared" si="7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2026-01-09T12:39:33Z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