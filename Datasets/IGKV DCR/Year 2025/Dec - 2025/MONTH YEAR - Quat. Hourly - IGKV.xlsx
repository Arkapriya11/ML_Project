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om\Desktop\IGKB DCR\Year 2025\Dec - 2025\"/>
    </mc:Choice>
  </mc:AlternateContent>
  <xr:revisionPtr revIDLastSave="0" documentId="13_ncr:1_{81E04FC4-466E-404B-91ED-C6FA21FB726D}" xr6:coauthVersionLast="47" xr6:coauthVersionMax="47" xr10:uidLastSave="{00000000-0000-0000-0000-000000000000}"/>
  <bookViews>
    <workbookView xWindow="-120" yWindow="-120" windowWidth="20730" windowHeight="11040" tabRatio="814" firstSheet="16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91029"/>
</workbook>
</file>

<file path=xl/calcChain.xml><?xml version="1.0" encoding="utf-8"?>
<calcChain xmlns="http://schemas.openxmlformats.org/spreadsheetml/2006/main">
  <c r="H110" i="32" l="1"/>
  <c r="G110" i="32"/>
  <c r="G112" i="32" s="1"/>
  <c r="H110" i="16"/>
  <c r="G110" i="16"/>
  <c r="H110" i="15"/>
  <c r="G110" i="15"/>
  <c r="H110" i="2"/>
  <c r="G110" i="2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24" i="5" s="1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38" i="39"/>
  <c r="J112" i="41"/>
  <c r="Q110" i="41"/>
  <c r="Q112" i="41" s="1"/>
  <c r="P110" i="41"/>
  <c r="P112" i="41" s="1"/>
  <c r="O110" i="41"/>
  <c r="O112" i="41" s="1"/>
  <c r="N110" i="41"/>
  <c r="N112" i="41" s="1"/>
  <c r="M110" i="41"/>
  <c r="M112" i="41" s="1"/>
  <c r="L110" i="41"/>
  <c r="L112" i="41" s="1"/>
  <c r="K110" i="41"/>
  <c r="K112" i="41" s="1"/>
  <c r="J110" i="41"/>
  <c r="J111" i="41" s="1"/>
  <c r="I110" i="41"/>
  <c r="I112" i="41" s="1"/>
  <c r="H110" i="41"/>
  <c r="H112" i="41" s="1"/>
  <c r="G110" i="41"/>
  <c r="G112" i="41" s="1"/>
  <c r="F110" i="41"/>
  <c r="F112" i="41" s="1"/>
  <c r="E110" i="41"/>
  <c r="E112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9" i="39" s="1"/>
  <c r="P108" i="41"/>
  <c r="P39" i="39" s="1"/>
  <c r="O108" i="41"/>
  <c r="O39" i="39" s="1"/>
  <c r="N108" i="41"/>
  <c r="N39" i="39" s="1"/>
  <c r="M108" i="41"/>
  <c r="M39" i="39" s="1"/>
  <c r="L108" i="41"/>
  <c r="L39" i="39" s="1"/>
  <c r="K108" i="41"/>
  <c r="K39" i="39" s="1"/>
  <c r="J108" i="41"/>
  <c r="J39" i="39" s="1"/>
  <c r="I108" i="41"/>
  <c r="I39" i="39" s="1"/>
  <c r="H108" i="41"/>
  <c r="H39" i="39" s="1"/>
  <c r="G108" i="41"/>
  <c r="G39" i="39" s="1"/>
  <c r="F108" i="41"/>
  <c r="F39" i="39" s="1"/>
  <c r="E108" i="41"/>
  <c r="E39" i="39" s="1"/>
  <c r="D108" i="41"/>
  <c r="D39" i="39" s="1"/>
  <c r="C108" i="41"/>
  <c r="C39" i="39" s="1"/>
  <c r="B108" i="41"/>
  <c r="B39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9" i="39" s="1"/>
  <c r="K112" i="40"/>
  <c r="Q110" i="40"/>
  <c r="Q112" i="40" s="1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1" i="40" s="1"/>
  <c r="J110" i="40"/>
  <c r="J112" i="40" s="1"/>
  <c r="I110" i="40"/>
  <c r="I112" i="40" s="1"/>
  <c r="H110" i="40"/>
  <c r="H112" i="40" s="1"/>
  <c r="G110" i="40"/>
  <c r="G112" i="40" s="1"/>
  <c r="F110" i="40"/>
  <c r="F112" i="40" s="1"/>
  <c r="E110" i="40"/>
  <c r="E112" i="40" s="1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0" i="44"/>
  <c r="I112" i="44" s="1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Q110" i="33"/>
  <c r="Q112" i="33" s="1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2" i="33" s="1"/>
  <c r="F110" i="33"/>
  <c r="F112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Q110" i="32"/>
  <c r="Q112" i="32" s="1"/>
  <c r="P110" i="32"/>
  <c r="P112" i="32" s="1"/>
  <c r="O110" i="32"/>
  <c r="O112" i="32" s="1"/>
  <c r="N110" i="32"/>
  <c r="N112" i="32" s="1"/>
  <c r="M110" i="32"/>
  <c r="M112" i="32" s="1"/>
  <c r="L110" i="32"/>
  <c r="L112" i="32" s="1"/>
  <c r="K110" i="32"/>
  <c r="K112" i="32" s="1"/>
  <c r="J110" i="32"/>
  <c r="J112" i="32" s="1"/>
  <c r="I110" i="32"/>
  <c r="I112" i="32" s="1"/>
  <c r="H112" i="32"/>
  <c r="F110" i="32"/>
  <c r="F112" i="32" s="1"/>
  <c r="E110" i="32"/>
  <c r="E112" i="32" s="1"/>
  <c r="D110" i="32"/>
  <c r="D112" i="32" s="1"/>
  <c r="C110" i="32"/>
  <c r="C112" i="32" s="1"/>
  <c r="B110" i="32"/>
  <c r="B112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O112" i="31"/>
  <c r="O111" i="31"/>
  <c r="Q110" i="31"/>
  <c r="Q112" i="31" s="1"/>
  <c r="P110" i="31"/>
  <c r="P112" i="31" s="1"/>
  <c r="O110" i="31"/>
  <c r="N110" i="31"/>
  <c r="N112" i="31" s="1"/>
  <c r="M110" i="31"/>
  <c r="M112" i="31" s="1"/>
  <c r="L110" i="31"/>
  <c r="L112" i="31" s="1"/>
  <c r="K110" i="31"/>
  <c r="K112" i="31" s="1"/>
  <c r="J110" i="31"/>
  <c r="J112" i="31" s="1"/>
  <c r="I110" i="31"/>
  <c r="I112" i="31" s="1"/>
  <c r="H110" i="31"/>
  <c r="H112" i="31" s="1"/>
  <c r="G110" i="31"/>
  <c r="G112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2" i="30" s="1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J110" i="30"/>
  <c r="J112" i="30" s="1"/>
  <c r="I110" i="30"/>
  <c r="I112" i="30" s="1"/>
  <c r="H110" i="30"/>
  <c r="H112" i="30" s="1"/>
  <c r="G110" i="30"/>
  <c r="G112" i="30" s="1"/>
  <c r="F110" i="30"/>
  <c r="F112" i="30" s="1"/>
  <c r="E110" i="30"/>
  <c r="E112" i="30" s="1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J110" i="29"/>
  <c r="J112" i="29" s="1"/>
  <c r="I110" i="29"/>
  <c r="I112" i="29" s="1"/>
  <c r="H110" i="29"/>
  <c r="H112" i="29" s="1"/>
  <c r="G110" i="29"/>
  <c r="G112" i="29" s="1"/>
  <c r="F110" i="29"/>
  <c r="F112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2" i="28" s="1"/>
  <c r="O110" i="28"/>
  <c r="O112" i="28" s="1"/>
  <c r="N110" i="28"/>
  <c r="N112" i="28" s="1"/>
  <c r="M110" i="28"/>
  <c r="M112" i="28" s="1"/>
  <c r="L110" i="28"/>
  <c r="L112" i="28" s="1"/>
  <c r="K110" i="28"/>
  <c r="K112" i="28" s="1"/>
  <c r="J110" i="28"/>
  <c r="J112" i="28" s="1"/>
  <c r="I110" i="28"/>
  <c r="I112" i="28" s="1"/>
  <c r="H110" i="28"/>
  <c r="H112" i="28" s="1"/>
  <c r="G110" i="28"/>
  <c r="G112" i="28" s="1"/>
  <c r="F110" i="28"/>
  <c r="F112" i="28" s="1"/>
  <c r="E110" i="28"/>
  <c r="E112" i="28" s="1"/>
  <c r="D110" i="28"/>
  <c r="D112" i="28" s="1"/>
  <c r="C110" i="28"/>
  <c r="C112" i="28" s="1"/>
  <c r="B110" i="28"/>
  <c r="B111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0" i="27"/>
  <c r="Q112" i="27" s="1"/>
  <c r="P110" i="27"/>
  <c r="P112" i="27" s="1"/>
  <c r="O110" i="27"/>
  <c r="O112" i="27" s="1"/>
  <c r="N110" i="27"/>
  <c r="N112" i="27" s="1"/>
  <c r="M110" i="27"/>
  <c r="M112" i="27" s="1"/>
  <c r="L110" i="27"/>
  <c r="L112" i="27" s="1"/>
  <c r="K110" i="27"/>
  <c r="K112" i="27" s="1"/>
  <c r="J110" i="27"/>
  <c r="J112" i="27" s="1"/>
  <c r="I110" i="27"/>
  <c r="I112" i="27" s="1"/>
  <c r="H110" i="27"/>
  <c r="H112" i="27" s="1"/>
  <c r="G110" i="27"/>
  <c r="G112" i="27" s="1"/>
  <c r="F110" i="27"/>
  <c r="F112" i="27" s="1"/>
  <c r="E110" i="27"/>
  <c r="E112" i="27" s="1"/>
  <c r="D110" i="27"/>
  <c r="D112" i="27" s="1"/>
  <c r="C110" i="27"/>
  <c r="C112" i="27" s="1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Q110" i="26"/>
  <c r="Q112" i="26" s="1"/>
  <c r="P110" i="26"/>
  <c r="P112" i="26" s="1"/>
  <c r="O110" i="26"/>
  <c r="O112" i="26" s="1"/>
  <c r="N110" i="26"/>
  <c r="N112" i="26" s="1"/>
  <c r="M110" i="26"/>
  <c r="M112" i="26" s="1"/>
  <c r="L110" i="26"/>
  <c r="L112" i="26" s="1"/>
  <c r="K110" i="26"/>
  <c r="K112" i="26" s="1"/>
  <c r="J110" i="26"/>
  <c r="J112" i="26" s="1"/>
  <c r="I110" i="26"/>
  <c r="I112" i="26" s="1"/>
  <c r="H110" i="26"/>
  <c r="H112" i="26" s="1"/>
  <c r="G110" i="26"/>
  <c r="G112" i="26" s="1"/>
  <c r="F110" i="26"/>
  <c r="F112" i="26" s="1"/>
  <c r="E110" i="26"/>
  <c r="E112" i="26" s="1"/>
  <c r="D110" i="26"/>
  <c r="D112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10" i="25"/>
  <c r="Q112" i="25" s="1"/>
  <c r="P110" i="25"/>
  <c r="P112" i="25" s="1"/>
  <c r="O110" i="25"/>
  <c r="O112" i="25" s="1"/>
  <c r="N110" i="25"/>
  <c r="N112" i="25" s="1"/>
  <c r="M110" i="25"/>
  <c r="M112" i="25" s="1"/>
  <c r="L110" i="25"/>
  <c r="L112" i="25" s="1"/>
  <c r="K110" i="25"/>
  <c r="K112" i="25" s="1"/>
  <c r="J110" i="25"/>
  <c r="J112" i="25" s="1"/>
  <c r="I110" i="25"/>
  <c r="I112" i="25" s="1"/>
  <c r="H110" i="25"/>
  <c r="H112" i="25" s="1"/>
  <c r="G110" i="25"/>
  <c r="G112" i="25" s="1"/>
  <c r="F110" i="25"/>
  <c r="F112" i="25" s="1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F111" i="24"/>
  <c r="Q110" i="24"/>
  <c r="Q112" i="24" s="1"/>
  <c r="P110" i="24"/>
  <c r="P112" i="24" s="1"/>
  <c r="O110" i="24"/>
  <c r="O112" i="24" s="1"/>
  <c r="N110" i="24"/>
  <c r="N112" i="24" s="1"/>
  <c r="M110" i="24"/>
  <c r="M112" i="24" s="1"/>
  <c r="L110" i="24"/>
  <c r="L112" i="24" s="1"/>
  <c r="K110" i="24"/>
  <c r="K112" i="24" s="1"/>
  <c r="J110" i="24"/>
  <c r="J112" i="24" s="1"/>
  <c r="I110" i="24"/>
  <c r="I112" i="24" s="1"/>
  <c r="H110" i="24"/>
  <c r="H112" i="24" s="1"/>
  <c r="G110" i="24"/>
  <c r="G112" i="24" s="1"/>
  <c r="F110" i="24"/>
  <c r="F112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2" i="23" s="1"/>
  <c r="M110" i="23"/>
  <c r="M112" i="23" s="1"/>
  <c r="L110" i="23"/>
  <c r="L112" i="23" s="1"/>
  <c r="K110" i="23"/>
  <c r="K112" i="23" s="1"/>
  <c r="J110" i="23"/>
  <c r="J112" i="23" s="1"/>
  <c r="I110" i="23"/>
  <c r="I112" i="23" s="1"/>
  <c r="H110" i="23"/>
  <c r="H112" i="23" s="1"/>
  <c r="G110" i="23"/>
  <c r="G112" i="23" s="1"/>
  <c r="F110" i="23"/>
  <c r="F112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Q110" i="22"/>
  <c r="Q112" i="22" s="1"/>
  <c r="P110" i="22"/>
  <c r="P112" i="22" s="1"/>
  <c r="O110" i="22"/>
  <c r="O112" i="22" s="1"/>
  <c r="N110" i="22"/>
  <c r="N112" i="22" s="1"/>
  <c r="M110" i="22"/>
  <c r="M112" i="22" s="1"/>
  <c r="L110" i="22"/>
  <c r="L112" i="22" s="1"/>
  <c r="K110" i="22"/>
  <c r="K112" i="22" s="1"/>
  <c r="J110" i="22"/>
  <c r="J112" i="22" s="1"/>
  <c r="I110" i="22"/>
  <c r="I112" i="22" s="1"/>
  <c r="H110" i="22"/>
  <c r="H111" i="22" s="1"/>
  <c r="G110" i="22"/>
  <c r="G112" i="22" s="1"/>
  <c r="F110" i="22"/>
  <c r="F112" i="22" s="1"/>
  <c r="E110" i="22"/>
  <c r="E112" i="22" s="1"/>
  <c r="D110" i="22"/>
  <c r="D112" i="22" s="1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2" i="21" s="1"/>
  <c r="O110" i="21"/>
  <c r="O112" i="21" s="1"/>
  <c r="N110" i="21"/>
  <c r="N112" i="21" s="1"/>
  <c r="M110" i="21"/>
  <c r="M112" i="21" s="1"/>
  <c r="L110" i="21"/>
  <c r="L112" i="21" s="1"/>
  <c r="K110" i="21"/>
  <c r="K112" i="21" s="1"/>
  <c r="J110" i="21"/>
  <c r="J112" i="21" s="1"/>
  <c r="I110" i="21"/>
  <c r="I112" i="21" s="1"/>
  <c r="H110" i="21"/>
  <c r="H112" i="21" s="1"/>
  <c r="G110" i="21"/>
  <c r="G112" i="21" s="1"/>
  <c r="F110" i="21"/>
  <c r="F112" i="21" s="1"/>
  <c r="E110" i="21"/>
  <c r="E112" i="21" s="1"/>
  <c r="D110" i="21"/>
  <c r="D112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Q110" i="20"/>
  <c r="Q112" i="20" s="1"/>
  <c r="P110" i="20"/>
  <c r="P112" i="20" s="1"/>
  <c r="O110" i="20"/>
  <c r="O112" i="20" s="1"/>
  <c r="N110" i="20"/>
  <c r="N112" i="20" s="1"/>
  <c r="M110" i="20"/>
  <c r="M112" i="20" s="1"/>
  <c r="L110" i="20"/>
  <c r="L112" i="20" s="1"/>
  <c r="K110" i="20"/>
  <c r="K112" i="20" s="1"/>
  <c r="J110" i="20"/>
  <c r="J111" i="20" s="1"/>
  <c r="I110" i="20"/>
  <c r="I112" i="20" s="1"/>
  <c r="H110" i="20"/>
  <c r="H112" i="20" s="1"/>
  <c r="G110" i="20"/>
  <c r="G112" i="20" s="1"/>
  <c r="F110" i="20"/>
  <c r="F112" i="20" s="1"/>
  <c r="E110" i="20"/>
  <c r="E112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Q110" i="19"/>
  <c r="Q112" i="19" s="1"/>
  <c r="P110" i="19"/>
  <c r="P112" i="19" s="1"/>
  <c r="O110" i="19"/>
  <c r="O112" i="19" s="1"/>
  <c r="N110" i="19"/>
  <c r="N112" i="19" s="1"/>
  <c r="M110" i="19"/>
  <c r="M112" i="19" s="1"/>
  <c r="L110" i="19"/>
  <c r="L112" i="19" s="1"/>
  <c r="K110" i="19"/>
  <c r="K112" i="19" s="1"/>
  <c r="J110" i="19"/>
  <c r="J112" i="19" s="1"/>
  <c r="I110" i="19"/>
  <c r="I112" i="19" s="1"/>
  <c r="H110" i="19"/>
  <c r="H112" i="19" s="1"/>
  <c r="G110" i="19"/>
  <c r="G112" i="19" s="1"/>
  <c r="F110" i="19"/>
  <c r="F112" i="19" s="1"/>
  <c r="E110" i="19"/>
  <c r="E112" i="19" s="1"/>
  <c r="D110" i="19"/>
  <c r="D112" i="19" s="1"/>
  <c r="C110" i="19"/>
  <c r="C112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2" i="18" s="1"/>
  <c r="O110" i="18"/>
  <c r="O112" i="18" s="1"/>
  <c r="N110" i="18"/>
  <c r="N112" i="18" s="1"/>
  <c r="M110" i="18"/>
  <c r="M112" i="18" s="1"/>
  <c r="L110" i="18"/>
  <c r="L112" i="18" s="1"/>
  <c r="K110" i="18"/>
  <c r="K112" i="18" s="1"/>
  <c r="J110" i="18"/>
  <c r="J112" i="18" s="1"/>
  <c r="I110" i="18"/>
  <c r="I112" i="18" s="1"/>
  <c r="H110" i="18"/>
  <c r="H112" i="18" s="1"/>
  <c r="G110" i="18"/>
  <c r="G112" i="18" s="1"/>
  <c r="F110" i="18"/>
  <c r="F112" i="18" s="1"/>
  <c r="E110" i="18"/>
  <c r="E112" i="18" s="1"/>
  <c r="D110" i="18"/>
  <c r="D112" i="18" s="1"/>
  <c r="C110" i="18"/>
  <c r="C112" i="18" s="1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Q110" i="17"/>
  <c r="Q112" i="17" s="1"/>
  <c r="P110" i="17"/>
  <c r="P112" i="17" s="1"/>
  <c r="O110" i="17"/>
  <c r="O112" i="17" s="1"/>
  <c r="N110" i="17"/>
  <c r="N112" i="17" s="1"/>
  <c r="M110" i="17"/>
  <c r="M112" i="17" s="1"/>
  <c r="L110" i="17"/>
  <c r="L112" i="17" s="1"/>
  <c r="K110" i="17"/>
  <c r="K112" i="17" s="1"/>
  <c r="J110" i="17"/>
  <c r="J112" i="17" s="1"/>
  <c r="I110" i="17"/>
  <c r="I112" i="17" s="1"/>
  <c r="H110" i="17"/>
  <c r="H112" i="17" s="1"/>
  <c r="G110" i="17"/>
  <c r="G112" i="17" s="1"/>
  <c r="F110" i="17"/>
  <c r="F112" i="17" s="1"/>
  <c r="E110" i="17"/>
  <c r="E112" i="17" s="1"/>
  <c r="D110" i="17"/>
  <c r="D112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Q110" i="16"/>
  <c r="Q112" i="16" s="1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J110" i="16"/>
  <c r="J112" i="16" s="1"/>
  <c r="I110" i="16"/>
  <c r="I112" i="16" s="1"/>
  <c r="H112" i="16"/>
  <c r="G112" i="16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O112" i="15"/>
  <c r="Q110" i="15"/>
  <c r="P110" i="15"/>
  <c r="O110" i="15"/>
  <c r="O111" i="15" s="1"/>
  <c r="N110" i="15"/>
  <c r="N112" i="15" s="1"/>
  <c r="M110" i="15"/>
  <c r="M112" i="15" s="1"/>
  <c r="L110" i="15"/>
  <c r="K110" i="15"/>
  <c r="J110" i="15"/>
  <c r="I110" i="15"/>
  <c r="I112" i="15" s="1"/>
  <c r="G112" i="15"/>
  <c r="F110" i="15"/>
  <c r="F112" i="15" s="1"/>
  <c r="E110" i="15"/>
  <c r="E112" i="15" s="1"/>
  <c r="D110" i="15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0" i="14"/>
  <c r="Q112" i="14" s="1"/>
  <c r="P110" i="14"/>
  <c r="P112" i="14" s="1"/>
  <c r="O110" i="14"/>
  <c r="O112" i="14" s="1"/>
  <c r="N110" i="14"/>
  <c r="N112" i="14" s="1"/>
  <c r="M110" i="14"/>
  <c r="M112" i="14" s="1"/>
  <c r="L110" i="14"/>
  <c r="L112" i="14" s="1"/>
  <c r="K110" i="14"/>
  <c r="K112" i="14" s="1"/>
  <c r="J110" i="14"/>
  <c r="J112" i="14" s="1"/>
  <c r="I110" i="14"/>
  <c r="I112" i="14" s="1"/>
  <c r="H110" i="14"/>
  <c r="H112" i="14" s="1"/>
  <c r="G110" i="14"/>
  <c r="G112" i="14" s="1"/>
  <c r="F110" i="14"/>
  <c r="F112" i="14" s="1"/>
  <c r="E110" i="14"/>
  <c r="E112" i="14" s="1"/>
  <c r="D110" i="14"/>
  <c r="D112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2" i="13" s="1"/>
  <c r="N110" i="13"/>
  <c r="N112" i="13" s="1"/>
  <c r="M110" i="13"/>
  <c r="M112" i="13" s="1"/>
  <c r="L110" i="13"/>
  <c r="L112" i="13" s="1"/>
  <c r="K110" i="13"/>
  <c r="K112" i="13" s="1"/>
  <c r="J110" i="13"/>
  <c r="J112" i="13" s="1"/>
  <c r="I110" i="13"/>
  <c r="I112" i="13" s="1"/>
  <c r="H110" i="13"/>
  <c r="H112" i="13" s="1"/>
  <c r="G110" i="13"/>
  <c r="G112" i="13" s="1"/>
  <c r="F110" i="13"/>
  <c r="F112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2" i="12" s="1"/>
  <c r="N110" i="12"/>
  <c r="N112" i="12" s="1"/>
  <c r="M110" i="12"/>
  <c r="M112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2" i="11" s="1"/>
  <c r="P110" i="11"/>
  <c r="P112" i="11" s="1"/>
  <c r="O110" i="11"/>
  <c r="O111" i="11" s="1"/>
  <c r="N110" i="11"/>
  <c r="N112" i="11" s="1"/>
  <c r="M110" i="11"/>
  <c r="M112" i="11" s="1"/>
  <c r="L110" i="11"/>
  <c r="L112" i="11" s="1"/>
  <c r="K110" i="11"/>
  <c r="K112" i="11" s="1"/>
  <c r="J110" i="11"/>
  <c r="J112" i="11" s="1"/>
  <c r="I110" i="11"/>
  <c r="I112" i="11" s="1"/>
  <c r="H110" i="11"/>
  <c r="H112" i="11" s="1"/>
  <c r="G110" i="11"/>
  <c r="G112" i="11" s="1"/>
  <c r="F110" i="11"/>
  <c r="F112" i="11" s="1"/>
  <c r="E110" i="11"/>
  <c r="E112" i="11" s="1"/>
  <c r="D110" i="11"/>
  <c r="D112" i="11" s="1"/>
  <c r="C110" i="11"/>
  <c r="C112" i="11" s="1"/>
  <c r="B110" i="11"/>
  <c r="B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1" i="10" s="1"/>
  <c r="O110" i="10"/>
  <c r="O112" i="10" s="1"/>
  <c r="N110" i="10"/>
  <c r="N112" i="10" s="1"/>
  <c r="M110" i="10"/>
  <c r="M112" i="10" s="1"/>
  <c r="L110" i="10"/>
  <c r="L112" i="10" s="1"/>
  <c r="K110" i="10"/>
  <c r="K112" i="10" s="1"/>
  <c r="J110" i="10"/>
  <c r="J112" i="10" s="1"/>
  <c r="I110" i="10"/>
  <c r="I112" i="10" s="1"/>
  <c r="H110" i="10"/>
  <c r="H112" i="10" s="1"/>
  <c r="G110" i="10"/>
  <c r="G112" i="10" s="1"/>
  <c r="F110" i="10"/>
  <c r="F112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2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J110" i="9"/>
  <c r="J112" i="9" s="1"/>
  <c r="I110" i="9"/>
  <c r="I112" i="9" s="1"/>
  <c r="H110" i="9"/>
  <c r="H112" i="9" s="1"/>
  <c r="G110" i="9"/>
  <c r="G112" i="9" s="1"/>
  <c r="F110" i="9"/>
  <c r="F112" i="9" s="1"/>
  <c r="E110" i="9"/>
  <c r="E112" i="9" s="1"/>
  <c r="D110" i="9"/>
  <c r="D112" i="9" s="1"/>
  <c r="C110" i="9"/>
  <c r="C112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2" i="8" s="1"/>
  <c r="M110" i="8"/>
  <c r="M111" i="8" s="1"/>
  <c r="L110" i="8"/>
  <c r="L112" i="8" s="1"/>
  <c r="K110" i="8"/>
  <c r="K112" i="8" s="1"/>
  <c r="J110" i="8"/>
  <c r="J112" i="8" s="1"/>
  <c r="I110" i="8"/>
  <c r="I112" i="8" s="1"/>
  <c r="H110" i="8"/>
  <c r="H112" i="8" s="1"/>
  <c r="G110" i="8"/>
  <c r="G112" i="8" s="1"/>
  <c r="F110" i="8"/>
  <c r="F112" i="8" s="1"/>
  <c r="E110" i="8"/>
  <c r="E112" i="8" s="1"/>
  <c r="D110" i="8"/>
  <c r="D112" i="8" s="1"/>
  <c r="C110" i="8"/>
  <c r="C112" i="8" s="1"/>
  <c r="B110" i="8"/>
  <c r="B111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2" i="3" s="1"/>
  <c r="P110" i="3"/>
  <c r="P112" i="3" s="1"/>
  <c r="O110" i="3"/>
  <c r="O112" i="3" s="1"/>
  <c r="N110" i="3"/>
  <c r="N112" i="3" s="1"/>
  <c r="M110" i="3"/>
  <c r="M112" i="3" s="1"/>
  <c r="L110" i="3"/>
  <c r="L112" i="3" s="1"/>
  <c r="K110" i="3"/>
  <c r="K112" i="3" s="1"/>
  <c r="J110" i="3"/>
  <c r="J112" i="3" s="1"/>
  <c r="I110" i="3"/>
  <c r="I112" i="3" s="1"/>
  <c r="H110" i="3"/>
  <c r="H112" i="3" s="1"/>
  <c r="G110" i="3"/>
  <c r="G112" i="3" s="1"/>
  <c r="F110" i="3"/>
  <c r="F112" i="3" s="1"/>
  <c r="E110" i="3"/>
  <c r="E112" i="3" s="1"/>
  <c r="D110" i="3"/>
  <c r="D112" i="3" s="1"/>
  <c r="C110" i="3"/>
  <c r="C111" i="3" s="1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0" i="2"/>
  <c r="Q112" i="2" s="1"/>
  <c r="P110" i="2"/>
  <c r="P112" i="2" s="1"/>
  <c r="O110" i="2"/>
  <c r="O111" i="2" s="1"/>
  <c r="N110" i="2"/>
  <c r="N112" i="2" s="1"/>
  <c r="M110" i="2"/>
  <c r="M111" i="2" s="1"/>
  <c r="L110" i="2"/>
  <c r="L112" i="2" s="1"/>
  <c r="K110" i="2"/>
  <c r="K112" i="2" s="1"/>
  <c r="J110" i="2"/>
  <c r="J112" i="2" s="1"/>
  <c r="I110" i="2"/>
  <c r="I112" i="2" s="1"/>
  <c r="H112" i="2"/>
  <c r="G112" i="2"/>
  <c r="F110" i="2"/>
  <c r="F112" i="2" s="1"/>
  <c r="E110" i="2"/>
  <c r="E112" i="2" s="1"/>
  <c r="D110" i="2"/>
  <c r="D111" i="2" s="1"/>
  <c r="C110" i="2"/>
  <c r="C112" i="2" s="1"/>
  <c r="B110" i="2"/>
  <c r="B111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N111" i="32" l="1"/>
  <c r="P111" i="30"/>
  <c r="Q111" i="29"/>
  <c r="B112" i="28"/>
  <c r="G111" i="23"/>
  <c r="H112" i="22"/>
  <c r="I111" i="21"/>
  <c r="J112" i="20"/>
  <c r="N111" i="16"/>
  <c r="H45" i="39"/>
  <c r="H44" i="39"/>
  <c r="H43" i="39"/>
  <c r="H42" i="39"/>
  <c r="H41" i="39"/>
  <c r="B112" i="8"/>
  <c r="E45" i="39"/>
  <c r="E44" i="39"/>
  <c r="E43" i="39"/>
  <c r="E42" i="39"/>
  <c r="E41" i="39"/>
  <c r="E111" i="2"/>
  <c r="D111" i="3"/>
  <c r="C111" i="8"/>
  <c r="B111" i="9"/>
  <c r="Q111" i="10"/>
  <c r="P111" i="11"/>
  <c r="O111" i="12"/>
  <c r="N111" i="13"/>
  <c r="M111" i="14"/>
  <c r="L112" i="15"/>
  <c r="L111" i="15"/>
  <c r="L111" i="18"/>
  <c r="L111" i="44"/>
  <c r="D45" i="39"/>
  <c r="D44" i="39"/>
  <c r="D43" i="39"/>
  <c r="D42" i="39"/>
  <c r="D41" i="39"/>
  <c r="P112" i="10"/>
  <c r="O112" i="11"/>
  <c r="N111" i="12"/>
  <c r="F111" i="2"/>
  <c r="E111" i="3"/>
  <c r="D111" i="8"/>
  <c r="C111" i="9"/>
  <c r="B111" i="10"/>
  <c r="Q111" i="11"/>
  <c r="P111" i="12"/>
  <c r="O111" i="13"/>
  <c r="N111" i="14"/>
  <c r="G45" i="39"/>
  <c r="G44" i="39"/>
  <c r="G43" i="39"/>
  <c r="G42" i="39"/>
  <c r="G41" i="39"/>
  <c r="G111" i="2"/>
  <c r="F111" i="3"/>
  <c r="E111" i="8"/>
  <c r="D111" i="9"/>
  <c r="C111" i="10"/>
  <c r="B111" i="11"/>
  <c r="Q111" i="12"/>
  <c r="P111" i="13"/>
  <c r="O111" i="14"/>
  <c r="M111" i="13"/>
  <c r="F45" i="39"/>
  <c r="F44" i="39"/>
  <c r="F43" i="39"/>
  <c r="F42" i="39"/>
  <c r="F41" i="39"/>
  <c r="H111" i="2"/>
  <c r="G111" i="3"/>
  <c r="F111" i="8"/>
  <c r="E111" i="9"/>
  <c r="D111" i="10"/>
  <c r="C111" i="11"/>
  <c r="B111" i="12"/>
  <c r="Q111" i="13"/>
  <c r="P111" i="14"/>
  <c r="K111" i="19"/>
  <c r="I45" i="39"/>
  <c r="I44" i="39"/>
  <c r="I43" i="39"/>
  <c r="I42" i="39"/>
  <c r="I41" i="39"/>
  <c r="I111" i="2"/>
  <c r="H111" i="3"/>
  <c r="G111" i="8"/>
  <c r="F111" i="9"/>
  <c r="E111" i="10"/>
  <c r="D111" i="11"/>
  <c r="C111" i="12"/>
  <c r="B111" i="13"/>
  <c r="Q111" i="14"/>
  <c r="P112" i="15"/>
  <c r="P111" i="15"/>
  <c r="D44" i="5"/>
  <c r="D112" i="2"/>
  <c r="J45" i="39"/>
  <c r="J44" i="39"/>
  <c r="J111" i="2"/>
  <c r="I111" i="3"/>
  <c r="H111" i="8"/>
  <c r="G111" i="9"/>
  <c r="F111" i="10"/>
  <c r="E111" i="11"/>
  <c r="D111" i="12"/>
  <c r="C111" i="13"/>
  <c r="B111" i="14"/>
  <c r="Q112" i="15"/>
  <c r="Q111" i="15"/>
  <c r="E111" i="25"/>
  <c r="K112" i="15"/>
  <c r="K111" i="15"/>
  <c r="K45" i="39"/>
  <c r="K44" i="39"/>
  <c r="K43" i="39"/>
  <c r="K42" i="39"/>
  <c r="K41" i="39"/>
  <c r="K111" i="2"/>
  <c r="J111" i="3"/>
  <c r="I111" i="8"/>
  <c r="H111" i="9"/>
  <c r="G111" i="10"/>
  <c r="F111" i="11"/>
  <c r="E111" i="12"/>
  <c r="D111" i="13"/>
  <c r="C111" i="14"/>
  <c r="B111" i="15"/>
  <c r="C112" i="3"/>
  <c r="L111" i="14"/>
  <c r="L45" i="39"/>
  <c r="L44" i="39"/>
  <c r="L43" i="39"/>
  <c r="L42" i="39"/>
  <c r="L41" i="39"/>
  <c r="L111" i="2"/>
  <c r="K111" i="3"/>
  <c r="J111" i="8"/>
  <c r="I111" i="9"/>
  <c r="H111" i="10"/>
  <c r="G111" i="11"/>
  <c r="F111" i="12"/>
  <c r="E111" i="13"/>
  <c r="D111" i="14"/>
  <c r="M45" i="39"/>
  <c r="M44" i="39"/>
  <c r="M43" i="39"/>
  <c r="M42" i="39"/>
  <c r="M41" i="39"/>
  <c r="K111" i="8"/>
  <c r="J111" i="9"/>
  <c r="I111" i="10"/>
  <c r="H111" i="11"/>
  <c r="G111" i="12"/>
  <c r="F111" i="13"/>
  <c r="E111" i="14"/>
  <c r="D112" i="15"/>
  <c r="D111" i="15"/>
  <c r="D111" i="26"/>
  <c r="L111" i="3"/>
  <c r="N45" i="39"/>
  <c r="N44" i="39"/>
  <c r="N43" i="39"/>
  <c r="N42" i="39"/>
  <c r="N41" i="39"/>
  <c r="N111" i="2"/>
  <c r="M111" i="3"/>
  <c r="L111" i="8"/>
  <c r="K111" i="9"/>
  <c r="J111" i="10"/>
  <c r="I111" i="11"/>
  <c r="H111" i="12"/>
  <c r="G111" i="13"/>
  <c r="F111" i="14"/>
  <c r="J41" i="39"/>
  <c r="Q111" i="9"/>
  <c r="O112" i="2"/>
  <c r="N111" i="3"/>
  <c r="M112" i="8"/>
  <c r="L111" i="9"/>
  <c r="K111" i="10"/>
  <c r="J111" i="11"/>
  <c r="I111" i="12"/>
  <c r="H111" i="13"/>
  <c r="G111" i="14"/>
  <c r="J42" i="39"/>
  <c r="O45" i="39"/>
  <c r="O44" i="39"/>
  <c r="O43" i="39"/>
  <c r="O42" i="39"/>
  <c r="O41" i="39"/>
  <c r="P45" i="39"/>
  <c r="P44" i="39"/>
  <c r="P43" i="39"/>
  <c r="P42" i="39"/>
  <c r="P41" i="39"/>
  <c r="P111" i="2"/>
  <c r="O111" i="3"/>
  <c r="N111" i="8"/>
  <c r="M111" i="9"/>
  <c r="L111" i="10"/>
  <c r="K111" i="11"/>
  <c r="J111" i="12"/>
  <c r="I111" i="13"/>
  <c r="H111" i="14"/>
  <c r="C111" i="27"/>
  <c r="J43" i="39"/>
  <c r="Q45" i="39"/>
  <c r="Q44" i="39"/>
  <c r="Q43" i="39"/>
  <c r="Q42" i="39"/>
  <c r="Q41" i="39"/>
  <c r="Q111" i="2"/>
  <c r="P111" i="3"/>
  <c r="O111" i="8"/>
  <c r="N111" i="9"/>
  <c r="M111" i="10"/>
  <c r="L111" i="11"/>
  <c r="K111" i="12"/>
  <c r="J111" i="13"/>
  <c r="I111" i="14"/>
  <c r="H112" i="15"/>
  <c r="H111" i="15"/>
  <c r="M112" i="2"/>
  <c r="B45" i="39"/>
  <c r="B44" i="39"/>
  <c r="B43" i="39"/>
  <c r="B42" i="39"/>
  <c r="B41" i="39"/>
  <c r="B112" i="2"/>
  <c r="Q111" i="3"/>
  <c r="P111" i="8"/>
  <c r="O111" i="9"/>
  <c r="N111" i="10"/>
  <c r="M111" i="11"/>
  <c r="L111" i="12"/>
  <c r="K111" i="13"/>
  <c r="J111" i="14"/>
  <c r="M111" i="17"/>
  <c r="M111" i="33"/>
  <c r="C45" i="39"/>
  <c r="C44" i="39"/>
  <c r="C43" i="39"/>
  <c r="C42" i="39"/>
  <c r="C41" i="39"/>
  <c r="C111" i="2"/>
  <c r="B111" i="3"/>
  <c r="Q111" i="8"/>
  <c r="P111" i="9"/>
  <c r="O111" i="10"/>
  <c r="N111" i="11"/>
  <c r="M111" i="12"/>
  <c r="L111" i="13"/>
  <c r="K111" i="14"/>
  <c r="J112" i="15"/>
  <c r="J111" i="15"/>
  <c r="M111" i="15"/>
  <c r="L111" i="16"/>
  <c r="K111" i="17"/>
  <c r="J111" i="18"/>
  <c r="I111" i="19"/>
  <c r="H111" i="20"/>
  <c r="G111" i="21"/>
  <c r="F111" i="22"/>
  <c r="E111" i="23"/>
  <c r="D111" i="24"/>
  <c r="C111" i="25"/>
  <c r="B111" i="26"/>
  <c r="Q111" i="27"/>
  <c r="P111" i="28"/>
  <c r="O111" i="29"/>
  <c r="N111" i="30"/>
  <c r="M111" i="31"/>
  <c r="L111" i="32"/>
  <c r="K111" i="33"/>
  <c r="J111" i="44"/>
  <c r="I111" i="40"/>
  <c r="H111" i="41"/>
  <c r="N111" i="15"/>
  <c r="M111" i="16"/>
  <c r="L111" i="17"/>
  <c r="K111" i="18"/>
  <c r="J111" i="19"/>
  <c r="I111" i="20"/>
  <c r="H111" i="21"/>
  <c r="G111" i="22"/>
  <c r="F111" i="23"/>
  <c r="E111" i="24"/>
  <c r="D111" i="25"/>
  <c r="C111" i="26"/>
  <c r="B111" i="27"/>
  <c r="Q111" i="28"/>
  <c r="P111" i="29"/>
  <c r="O111" i="30"/>
  <c r="N111" i="31"/>
  <c r="M111" i="32"/>
  <c r="L111" i="33"/>
  <c r="K111" i="44"/>
  <c r="J111" i="40"/>
  <c r="I111" i="41"/>
  <c r="O111" i="16"/>
  <c r="N111" i="17"/>
  <c r="M111" i="18"/>
  <c r="L111" i="19"/>
  <c r="K111" i="20"/>
  <c r="J111" i="21"/>
  <c r="I111" i="22"/>
  <c r="H111" i="23"/>
  <c r="G111" i="24"/>
  <c r="F111" i="25"/>
  <c r="E111" i="26"/>
  <c r="D111" i="27"/>
  <c r="C111" i="28"/>
  <c r="B111" i="29"/>
  <c r="Q111" i="30"/>
  <c r="P111" i="31"/>
  <c r="O111" i="32"/>
  <c r="N111" i="33"/>
  <c r="M111" i="44"/>
  <c r="L111" i="40"/>
  <c r="K111" i="41"/>
  <c r="P111" i="16"/>
  <c r="O111" i="17"/>
  <c r="N111" i="18"/>
  <c r="M111" i="19"/>
  <c r="L111" i="20"/>
  <c r="K111" i="21"/>
  <c r="J111" i="22"/>
  <c r="I111" i="23"/>
  <c r="H111" i="24"/>
  <c r="G111" i="25"/>
  <c r="F111" i="26"/>
  <c r="E111" i="27"/>
  <c r="D111" i="28"/>
  <c r="C111" i="29"/>
  <c r="B111" i="30"/>
  <c r="Q111" i="31"/>
  <c r="P111" i="32"/>
  <c r="O111" i="33"/>
  <c r="N111" i="44"/>
  <c r="M111" i="40"/>
  <c r="L111" i="41"/>
  <c r="Q111" i="16"/>
  <c r="P111" i="17"/>
  <c r="O111" i="18"/>
  <c r="N111" i="19"/>
  <c r="M111" i="20"/>
  <c r="L111" i="21"/>
  <c r="K111" i="22"/>
  <c r="J111" i="23"/>
  <c r="I111" i="24"/>
  <c r="H111" i="25"/>
  <c r="G111" i="26"/>
  <c r="F111" i="27"/>
  <c r="E111" i="28"/>
  <c r="D111" i="29"/>
  <c r="C111" i="30"/>
  <c r="B111" i="31"/>
  <c r="Q111" i="32"/>
  <c r="P111" i="33"/>
  <c r="O111" i="44"/>
  <c r="N111" i="40"/>
  <c r="M111" i="41"/>
  <c r="C111" i="15"/>
  <c r="B111" i="16"/>
  <c r="Q111" i="17"/>
  <c r="P111" i="18"/>
  <c r="O111" i="19"/>
  <c r="N111" i="20"/>
  <c r="M111" i="21"/>
  <c r="L111" i="22"/>
  <c r="K111" i="23"/>
  <c r="J111" i="24"/>
  <c r="I111" i="25"/>
  <c r="H111" i="26"/>
  <c r="G111" i="27"/>
  <c r="F111" i="28"/>
  <c r="E111" i="29"/>
  <c r="D111" i="30"/>
  <c r="C111" i="31"/>
  <c r="B111" i="32"/>
  <c r="Q111" i="33"/>
  <c r="P111" i="44"/>
  <c r="O111" i="40"/>
  <c r="N111" i="41"/>
  <c r="C111" i="16"/>
  <c r="B111" i="17"/>
  <c r="Q111" i="18"/>
  <c r="P111" i="19"/>
  <c r="O111" i="20"/>
  <c r="N111" i="21"/>
  <c r="M111" i="22"/>
  <c r="L111" i="23"/>
  <c r="K111" i="24"/>
  <c r="J111" i="25"/>
  <c r="I111" i="26"/>
  <c r="H111" i="27"/>
  <c r="G111" i="28"/>
  <c r="F111" i="29"/>
  <c r="E111" i="30"/>
  <c r="D111" i="31"/>
  <c r="C111" i="32"/>
  <c r="B111" i="33"/>
  <c r="Q111" i="44"/>
  <c r="P111" i="40"/>
  <c r="O111" i="41"/>
  <c r="E111" i="15"/>
  <c r="D111" i="16"/>
  <c r="C111" i="17"/>
  <c r="B111" i="18"/>
  <c r="Q111" i="19"/>
  <c r="P111" i="20"/>
  <c r="O111" i="21"/>
  <c r="N111" i="22"/>
  <c r="M111" i="23"/>
  <c r="L111" i="24"/>
  <c r="K111" i="25"/>
  <c r="J111" i="26"/>
  <c r="I111" i="27"/>
  <c r="H111" i="28"/>
  <c r="G111" i="29"/>
  <c r="F111" i="30"/>
  <c r="E111" i="31"/>
  <c r="D111" i="32"/>
  <c r="C111" i="33"/>
  <c r="B111" i="44"/>
  <c r="Q111" i="40"/>
  <c r="P111" i="41"/>
  <c r="F111" i="15"/>
  <c r="E111" i="16"/>
  <c r="D111" i="17"/>
  <c r="C111" i="18"/>
  <c r="B111" i="19"/>
  <c r="Q111" i="20"/>
  <c r="P111" i="21"/>
  <c r="O111" i="22"/>
  <c r="N111" i="23"/>
  <c r="M111" i="24"/>
  <c r="L111" i="25"/>
  <c r="K111" i="26"/>
  <c r="J111" i="27"/>
  <c r="I111" i="28"/>
  <c r="H111" i="29"/>
  <c r="G111" i="30"/>
  <c r="F111" i="31"/>
  <c r="E111" i="32"/>
  <c r="D111" i="33"/>
  <c r="C111" i="44"/>
  <c r="B111" i="40"/>
  <c r="Q111" i="41"/>
  <c r="G111" i="15"/>
  <c r="F111" i="16"/>
  <c r="E111" i="17"/>
  <c r="D111" i="18"/>
  <c r="C111" i="19"/>
  <c r="B111" i="20"/>
  <c r="Q111" i="21"/>
  <c r="P111" i="22"/>
  <c r="O111" i="23"/>
  <c r="N111" i="24"/>
  <c r="M111" i="25"/>
  <c r="L111" i="26"/>
  <c r="K111" i="27"/>
  <c r="J111" i="28"/>
  <c r="I111" i="29"/>
  <c r="H111" i="30"/>
  <c r="G111" i="31"/>
  <c r="F111" i="32"/>
  <c r="E111" i="33"/>
  <c r="D111" i="44"/>
  <c r="C111" i="40"/>
  <c r="B111" i="41"/>
  <c r="G111" i="16"/>
  <c r="F111" i="17"/>
  <c r="E111" i="18"/>
  <c r="D111" i="19"/>
  <c r="C111" i="20"/>
  <c r="B111" i="21"/>
  <c r="Q111" i="22"/>
  <c r="P111" i="23"/>
  <c r="O111" i="24"/>
  <c r="N111" i="25"/>
  <c r="M111" i="26"/>
  <c r="L111" i="27"/>
  <c r="K111" i="28"/>
  <c r="J111" i="29"/>
  <c r="I111" i="30"/>
  <c r="H111" i="31"/>
  <c r="G111" i="32"/>
  <c r="F111" i="33"/>
  <c r="E111" i="44"/>
  <c r="D111" i="40"/>
  <c r="C111" i="41"/>
  <c r="I111" i="15"/>
  <c r="H111" i="16"/>
  <c r="G111" i="17"/>
  <c r="F111" i="18"/>
  <c r="E111" i="19"/>
  <c r="D111" i="20"/>
  <c r="C111" i="21"/>
  <c r="B111" i="22"/>
  <c r="Q111" i="23"/>
  <c r="P111" i="24"/>
  <c r="O111" i="25"/>
  <c r="N111" i="26"/>
  <c r="M111" i="27"/>
  <c r="L111" i="28"/>
  <c r="K111" i="29"/>
  <c r="J111" i="30"/>
  <c r="I111" i="31"/>
  <c r="H111" i="32"/>
  <c r="G111" i="33"/>
  <c r="F111" i="44"/>
  <c r="E111" i="40"/>
  <c r="D111" i="41"/>
  <c r="I111" i="16"/>
  <c r="H111" i="17"/>
  <c r="G111" i="18"/>
  <c r="F111" i="19"/>
  <c r="E111" i="20"/>
  <c r="D111" i="21"/>
  <c r="C111" i="22"/>
  <c r="B111" i="23"/>
  <c r="Q111" i="24"/>
  <c r="P111" i="25"/>
  <c r="O111" i="26"/>
  <c r="N111" i="27"/>
  <c r="M111" i="28"/>
  <c r="L111" i="29"/>
  <c r="K111" i="30"/>
  <c r="J111" i="31"/>
  <c r="I111" i="32"/>
  <c r="H111" i="33"/>
  <c r="G111" i="44"/>
  <c r="F111" i="40"/>
  <c r="E111" i="41"/>
  <c r="J111" i="16"/>
  <c r="I111" i="17"/>
  <c r="H111" i="18"/>
  <c r="G111" i="19"/>
  <c r="F111" i="20"/>
  <c r="E111" i="21"/>
  <c r="D111" i="22"/>
  <c r="C111" i="23"/>
  <c r="B111" i="24"/>
  <c r="Q111" i="25"/>
  <c r="P111" i="26"/>
  <c r="O111" i="27"/>
  <c r="N111" i="28"/>
  <c r="M111" i="29"/>
  <c r="L111" i="30"/>
  <c r="K111" i="31"/>
  <c r="J111" i="32"/>
  <c r="I111" i="33"/>
  <c r="H111" i="44"/>
  <c r="G111" i="40"/>
  <c r="F111" i="41"/>
  <c r="K111" i="16"/>
  <c r="J111" i="17"/>
  <c r="I111" i="18"/>
  <c r="H111" i="19"/>
  <c r="G111" i="20"/>
  <c r="F111" i="21"/>
  <c r="E111" i="22"/>
  <c r="D111" i="23"/>
  <c r="C111" i="24"/>
  <c r="B111" i="25"/>
  <c r="Q111" i="26"/>
  <c r="P111" i="27"/>
  <c r="O111" i="28"/>
  <c r="N111" i="29"/>
  <c r="M111" i="30"/>
  <c r="L111" i="31"/>
  <c r="K111" i="32"/>
  <c r="J111" i="33"/>
  <c r="I111" i="44"/>
  <c r="H111" i="40"/>
  <c r="G111" i="41"/>
  <c r="L47" i="39" l="1"/>
  <c r="L46" i="39"/>
  <c r="K47" i="39"/>
  <c r="K46" i="39"/>
  <c r="J47" i="39"/>
  <c r="J46" i="39"/>
  <c r="G47" i="39"/>
  <c r="G46" i="39"/>
  <c r="C47" i="39"/>
  <c r="C46" i="39"/>
  <c r="B47" i="39"/>
  <c r="B46" i="39"/>
  <c r="N47" i="39"/>
  <c r="N46" i="39"/>
  <c r="M47" i="39"/>
  <c r="M46" i="39"/>
  <c r="F47" i="39"/>
  <c r="F46" i="39"/>
  <c r="D47" i="39"/>
  <c r="D46" i="39"/>
  <c r="Q47" i="39"/>
  <c r="Q46" i="39"/>
  <c r="P47" i="39"/>
  <c r="P46" i="39"/>
  <c r="I47" i="39"/>
  <c r="I46" i="39"/>
  <c r="E47" i="39"/>
  <c r="E46" i="39"/>
  <c r="O47" i="39"/>
  <c r="O46" i="39"/>
  <c r="H47" i="39"/>
  <c r="H46" i="39"/>
</calcChain>
</file>

<file path=xl/sharedStrings.xml><?xml version="1.0" encoding="utf-8"?>
<sst xmlns="http://schemas.openxmlformats.org/spreadsheetml/2006/main" count="5865" uniqueCount="3223">
  <si>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</si>
  <si>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</si>
  <si>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</si>
  <si>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</si>
  <si>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</si>
  <si>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</si>
  <si>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</si>
  <si>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</si>
  <si>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</si>
  <si>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</si>
  <si>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</si>
  <si>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</si>
  <si>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</si>
  <si>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</si>
  <si>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</si>
  <si>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</si>
  <si>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</si>
  <si>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</si>
  <si>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</si>
  <si>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</si>
  <si>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</si>
  <si>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</si>
  <si>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</si>
  <si>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</si>
  <si>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</si>
  <si>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</si>
  <si>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</si>
  <si>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</si>
  <si>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</si>
  <si>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</si>
  <si>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</si>
  <si>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</si>
  <si>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</si>
  <si>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</si>
  <si>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</si>
  <si>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</si>
  <si>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</si>
  <si>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</si>
  <si>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</si>
  <si>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</si>
  <si>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</si>
  <si>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</si>
  <si>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</si>
  <si>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</si>
  <si>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</si>
  <si>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</si>
  <si>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</si>
  <si>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</si>
  <si>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</si>
  <si>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</si>
  <si>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</si>
  <si>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</si>
  <si>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</si>
  <si>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</si>
  <si>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</si>
  <si>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</si>
  <si>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</si>
  <si>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</si>
  <si>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</si>
  <si>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</si>
  <si>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</si>
  <si>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</si>
  <si>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</si>
  <si>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</si>
  <si>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</si>
  <si>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</si>
  <si>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</si>
  <si>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</si>
  <si>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</si>
  <si>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</si>
  <si>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</si>
  <si>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</si>
  <si>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</si>
  <si>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</si>
  <si>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</si>
  <si>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</si>
  <si>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</si>
  <si>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</si>
  <si>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</si>
  <si>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</si>
  <si>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</si>
  <si>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</si>
  <si>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</si>
  <si>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</si>
  <si>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</si>
  <si>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</si>
  <si>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</si>
  <si>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</si>
  <si>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</si>
  <si>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</si>
  <si>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</si>
  <si>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</si>
  <si>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</si>
  <si>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</si>
  <si>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</si>
  <si>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</si>
  <si>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</si>
  <si>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</si>
  <si>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</si>
  <si>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</si>
  <si>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</si>
  <si>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</si>
  <si>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</si>
  <si>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</si>
  <si>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</si>
  <si>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</si>
  <si>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</si>
  <si>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</si>
  <si>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</si>
  <si>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</si>
  <si>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</si>
  <si>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</si>
  <si>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</si>
  <si>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</si>
  <si>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</si>
  <si>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</si>
  <si>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</si>
  <si>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</si>
  <si>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</si>
  <si>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</si>
  <si>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</si>
  <si>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</si>
  <si>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</si>
  <si>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</si>
  <si>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</si>
  <si>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</si>
  <si>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</si>
  <si>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</si>
  <si>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</si>
  <si>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</si>
  <si>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</si>
  <si>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</si>
  <si>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</si>
  <si>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</si>
  <si>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</si>
  <si>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</si>
  <si>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</si>
  <si>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</si>
  <si>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</si>
  <si>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</si>
  <si>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</si>
  <si>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</si>
  <si>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</si>
  <si>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</si>
  <si>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</si>
  <si>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</si>
  <si>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</si>
  <si>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</si>
  <si>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</si>
  <si>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</si>
  <si>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</si>
  <si>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</si>
  <si>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</si>
  <si>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</si>
  <si>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</si>
  <si>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</si>
  <si>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</si>
  <si>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</si>
  <si>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</si>
  <si>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</si>
  <si>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</si>
  <si>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</si>
  <si>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</si>
  <si>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</si>
  <si>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</si>
  <si>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</si>
  <si>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</si>
  <si>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</si>
  <si>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</si>
  <si>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</si>
  <si>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</si>
  <si>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</si>
  <si>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</si>
  <si>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</si>
  <si>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</si>
  <si>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</si>
  <si>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</si>
  <si>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</si>
  <si>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</si>
  <si>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</si>
  <si>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</si>
  <si>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</si>
  <si>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</si>
  <si>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</si>
  <si>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</si>
  <si>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</si>
  <si>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</si>
  <si>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</si>
  <si>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</si>
  <si>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</si>
  <si>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</si>
  <si>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</si>
  <si>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</si>
  <si>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</si>
  <si>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</si>
  <si>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</si>
  <si>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</si>
  <si>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</si>
  <si>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</si>
  <si>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</si>
  <si>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</si>
  <si>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</si>
  <si>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</si>
  <si>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</si>
  <si>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</si>
  <si>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</si>
  <si>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</si>
  <si>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</si>
  <si>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</si>
  <si>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</si>
  <si>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</si>
  <si>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</si>
  <si>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</si>
  <si>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</si>
  <si>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</si>
  <si>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</si>
  <si>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</si>
  <si>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</si>
  <si>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</si>
  <si>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</si>
  <si>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</si>
  <si>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</si>
  <si>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</si>
  <si>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</si>
  <si>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</si>
  <si>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</si>
  <si>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</si>
  <si>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</si>
  <si>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</si>
  <si>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</si>
  <si>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</si>
  <si>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</si>
  <si>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</si>
  <si>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</si>
  <si>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</si>
  <si>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</si>
  <si>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</si>
  <si>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</si>
  <si>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</si>
  <si>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05.11.2025 00.00</t>
  </si>
  <si>
    <t>01.12.2025 14.24</t>
  </si>
  <si>
    <t>01.12.2025 13.14</t>
  </si>
  <si>
    <t>01.12.2025 16.10</t>
  </si>
  <si>
    <t>11.12.2025 18.59</t>
  </si>
  <si>
    <t>10.12.2025 13.20</t>
  </si>
  <si>
    <t>27.12.2025 12.07</t>
  </si>
  <si>
    <t>27.12.2025 12.34</t>
  </si>
  <si>
    <t>01/12/2025 00:15</t>
  </si>
  <si>
    <t>01/12/2025 00:30</t>
  </si>
  <si>
    <t>01/12/2025 00:45</t>
  </si>
  <si>
    <t>01/12/2025 01:00</t>
  </si>
  <si>
    <t>01/12/2025 01:15</t>
  </si>
  <si>
    <t>01/12/2025 01:30</t>
  </si>
  <si>
    <t>01/12/2025 01:45</t>
  </si>
  <si>
    <t>01/12/2025 02:00</t>
  </si>
  <si>
    <t>01/12/2025 02:15</t>
  </si>
  <si>
    <t>01/12/2025 02:30</t>
  </si>
  <si>
    <t>01/12/2025 02:45</t>
  </si>
  <si>
    <t>01/12/2025 03:00</t>
  </si>
  <si>
    <t>01/12/2025 03:15</t>
  </si>
  <si>
    <t>01/12/2025 03:30</t>
  </si>
  <si>
    <t>01/12/2025 03:45</t>
  </si>
  <si>
    <t>01/12/2025 04:00</t>
  </si>
  <si>
    <t>01/12/2025 04:15</t>
  </si>
  <si>
    <t>01/12/2025 04:30</t>
  </si>
  <si>
    <t>01/12/2025 04:45</t>
  </si>
  <si>
    <t>01/12/2025 05:00</t>
  </si>
  <si>
    <t>01/12/2025 05:15</t>
  </si>
  <si>
    <t>01/12/2025 05:30</t>
  </si>
  <si>
    <t>01/12/2025 05:45</t>
  </si>
  <si>
    <t>01/12/2025 06:00</t>
  </si>
  <si>
    <t>01/12/2025 06:15</t>
  </si>
  <si>
    <t>01/12/2025 06:30</t>
  </si>
  <si>
    <t>01/12/2025 06:45</t>
  </si>
  <si>
    <t>01/12/2025 07:00</t>
  </si>
  <si>
    <t>01/12/2025 07:15</t>
  </si>
  <si>
    <t>01/12/2025 07:30</t>
  </si>
  <si>
    <t>01/12/2025 07:45</t>
  </si>
  <si>
    <t>01/12/2025 08:00</t>
  </si>
  <si>
    <t>01/12/2025 08:15</t>
  </si>
  <si>
    <t>01/12/2025 08:30</t>
  </si>
  <si>
    <t>01/12/2025 08:45</t>
  </si>
  <si>
    <t>01/12/2025 09:00</t>
  </si>
  <si>
    <t>01/12/2025 09:15</t>
  </si>
  <si>
    <t>01/12/2025 09:30</t>
  </si>
  <si>
    <t>01/12/2025 09:45</t>
  </si>
  <si>
    <t>01/12/2025 10:00</t>
  </si>
  <si>
    <t>01/12/2025 10:15</t>
  </si>
  <si>
    <t>01/12/2025 10:30</t>
  </si>
  <si>
    <t>01/12/2025 10:45</t>
  </si>
  <si>
    <t>01/12/2025 11:00</t>
  </si>
  <si>
    <t>01/12/2025 11:15</t>
  </si>
  <si>
    <t>01/12/2025 11:30</t>
  </si>
  <si>
    <t>01/12/2025 11:45</t>
  </si>
  <si>
    <t>01/12/2025 12:00</t>
  </si>
  <si>
    <t>01/12/2025 12:15</t>
  </si>
  <si>
    <t>01/12/2025 12:30</t>
  </si>
  <si>
    <t>01/12/2025 12:45</t>
  </si>
  <si>
    <t>01/12/2025 13:00</t>
  </si>
  <si>
    <t>01/12/2025 13:15</t>
  </si>
  <si>
    <t>01/12/2025 13:30</t>
  </si>
  <si>
    <t>01/12/2025 13:45</t>
  </si>
  <si>
    <t>01/12/2025 14:00</t>
  </si>
  <si>
    <t>01/12/2025 14:15</t>
  </si>
  <si>
    <t>01/12/2025 14:30</t>
  </si>
  <si>
    <t>01/12/2025 14:45</t>
  </si>
  <si>
    <t>01/12/2025 15:00</t>
  </si>
  <si>
    <t>01/12/2025 15:15</t>
  </si>
  <si>
    <t>01/12/2025 15:30</t>
  </si>
  <si>
    <t>01/12/2025 15:45</t>
  </si>
  <si>
    <t>01/12/2025 16:00</t>
  </si>
  <si>
    <t>01/12/2025 16:15</t>
  </si>
  <si>
    <t>01/12/2025 16:30</t>
  </si>
  <si>
    <t>01/12/2025 16:45</t>
  </si>
  <si>
    <t>01/12/2025 17:00</t>
  </si>
  <si>
    <t>01/12/2025 17:15</t>
  </si>
  <si>
    <t>01/12/2025 17:30</t>
  </si>
  <si>
    <t>01/12/2025 17:45</t>
  </si>
  <si>
    <t>01/12/2025 18:00</t>
  </si>
  <si>
    <t>01/12/2025 18:15</t>
  </si>
  <si>
    <t>01/12/2025 18:30</t>
  </si>
  <si>
    <t>01/12/2025 18:45</t>
  </si>
  <si>
    <t>01/12/2025 19:00</t>
  </si>
  <si>
    <t>01/12/2025 19:15</t>
  </si>
  <si>
    <t>01/12/2025 19:30</t>
  </si>
  <si>
    <t>01/12/2025 19:45</t>
  </si>
  <si>
    <t>01/12/2025 20:00</t>
  </si>
  <si>
    <t>01/12/2025 20:15</t>
  </si>
  <si>
    <t>01/12/2025 20:30</t>
  </si>
  <si>
    <t>01/12/2025 20:45</t>
  </si>
  <si>
    <t>01/12/2025 21:00</t>
  </si>
  <si>
    <t>01/12/2025 21:15</t>
  </si>
  <si>
    <t>01/12/2025 21:30</t>
  </si>
  <si>
    <t>01/12/2025 21:45</t>
  </si>
  <si>
    <t>01/12/2025 22:00</t>
  </si>
  <si>
    <t>01/12/2025 22:15</t>
  </si>
  <si>
    <t>01/12/2025 22:30</t>
  </si>
  <si>
    <t>01/12/2025 22:45</t>
  </si>
  <si>
    <t>01/12/2025 23:00</t>
  </si>
  <si>
    <t>01/12/2025 23:15</t>
  </si>
  <si>
    <t>01/12/2025 23:30</t>
  </si>
  <si>
    <t>01/12/2025 23:45</t>
  </si>
  <si>
    <t>01/12/2025 24:00</t>
  </si>
  <si>
    <t>02/12/2025 00:15</t>
  </si>
  <si>
    <t>02/12/2025 00:30</t>
  </si>
  <si>
    <t>02/12/2025 00:45</t>
  </si>
  <si>
    <t>02/12/2025 01:00</t>
  </si>
  <si>
    <t>02/12/2025 01:15</t>
  </si>
  <si>
    <t>02/12/2025 01:30</t>
  </si>
  <si>
    <t>02/12/2025 01:45</t>
  </si>
  <si>
    <t>02/12/2025 02:00</t>
  </si>
  <si>
    <t>02/12/2025 02:15</t>
  </si>
  <si>
    <t>02/12/2025 02:30</t>
  </si>
  <si>
    <t>02/12/2025 02:45</t>
  </si>
  <si>
    <t>02/12/2025 03:00</t>
  </si>
  <si>
    <t>02/12/2025 03:15</t>
  </si>
  <si>
    <t>02/12/2025 03:30</t>
  </si>
  <si>
    <t>02/12/2025 03:45</t>
  </si>
  <si>
    <t>02/12/2025 04:00</t>
  </si>
  <si>
    <t>02/12/2025 04:15</t>
  </si>
  <si>
    <t>02/12/2025 04:30</t>
  </si>
  <si>
    <t>02/12/2025 04:45</t>
  </si>
  <si>
    <t>02/12/2025 05:00</t>
  </si>
  <si>
    <t>02/12/2025 05:15</t>
  </si>
  <si>
    <t>02/12/2025 05:30</t>
  </si>
  <si>
    <t>02/12/2025 05:45</t>
  </si>
  <si>
    <t>02/12/2025 06:00</t>
  </si>
  <si>
    <t>02/12/2025 06:15</t>
  </si>
  <si>
    <t>02/12/2025 06:30</t>
  </si>
  <si>
    <t>02/12/2025 06:45</t>
  </si>
  <si>
    <t>02/12/2025 07:00</t>
  </si>
  <si>
    <t>02/12/2025 07:15</t>
  </si>
  <si>
    <t>02/12/2025 07:30</t>
  </si>
  <si>
    <t>02/12/2025 07:45</t>
  </si>
  <si>
    <t>02/12/2025 08:00</t>
  </si>
  <si>
    <t>02/12/2025 08:15</t>
  </si>
  <si>
    <t>02/12/2025 08:30</t>
  </si>
  <si>
    <t>02/12/2025 08:45</t>
  </si>
  <si>
    <t>02/12/2025 09:00</t>
  </si>
  <si>
    <t>02/12/2025 09:15</t>
  </si>
  <si>
    <t>02/12/2025 09:30</t>
  </si>
  <si>
    <t>02/12/2025 09:45</t>
  </si>
  <si>
    <t>02/12/2025 10:00</t>
  </si>
  <si>
    <t>02/12/2025 10:15</t>
  </si>
  <si>
    <t>02/12/2025 10:30</t>
  </si>
  <si>
    <t>02/12/2025 10:45</t>
  </si>
  <si>
    <t>02/12/2025 11:00</t>
  </si>
  <si>
    <t>02/12/2025 11:15</t>
  </si>
  <si>
    <t>02/12/2025 11:30</t>
  </si>
  <si>
    <t>02/12/2025 11:45</t>
  </si>
  <si>
    <t>02/12/2025 12:00</t>
  </si>
  <si>
    <t>02/12/2025 12:15</t>
  </si>
  <si>
    <t>02/12/2025 12:30</t>
  </si>
  <si>
    <t>02/12/2025 12:45</t>
  </si>
  <si>
    <t>02/12/2025 13:00</t>
  </si>
  <si>
    <t>02/12/2025 13:15</t>
  </si>
  <si>
    <t>02/12/2025 13:30</t>
  </si>
  <si>
    <t>02/12/2025 13:45</t>
  </si>
  <si>
    <t>02/12/2025 14:00</t>
  </si>
  <si>
    <t>02/12/2025 14:15</t>
  </si>
  <si>
    <t>02/12/2025 14:30</t>
  </si>
  <si>
    <t>02/12/2025 14:45</t>
  </si>
  <si>
    <t>02/12/2025 15:00</t>
  </si>
  <si>
    <t>02/12/2025 15:15</t>
  </si>
  <si>
    <t>02/12/2025 15:30</t>
  </si>
  <si>
    <t>02/12/2025 15:45</t>
  </si>
  <si>
    <t>02/12/2025 16:00</t>
  </si>
  <si>
    <t>02/12/2025 16:15</t>
  </si>
  <si>
    <t>02/12/2025 16:30</t>
  </si>
  <si>
    <t>02/12/2025 16:45</t>
  </si>
  <si>
    <t>02/12/2025 17:00</t>
  </si>
  <si>
    <t>02/12/2025 17:15</t>
  </si>
  <si>
    <t>02/12/2025 17:30</t>
  </si>
  <si>
    <t>02/12/2025 17:45</t>
  </si>
  <si>
    <t>02/12/2025 18:00</t>
  </si>
  <si>
    <t>02/12/2025 18:15</t>
  </si>
  <si>
    <t>02/12/2025 18:30</t>
  </si>
  <si>
    <t>02/12/2025 18:45</t>
  </si>
  <si>
    <t>02/12/2025 19:00</t>
  </si>
  <si>
    <t>02/12/2025 19:15</t>
  </si>
  <si>
    <t>02/12/2025 19:30</t>
  </si>
  <si>
    <t>02/12/2025 19:45</t>
  </si>
  <si>
    <t>02/12/2025 20:00</t>
  </si>
  <si>
    <t>02/12/2025 20:15</t>
  </si>
  <si>
    <t>02/12/2025 20:30</t>
  </si>
  <si>
    <t>02/12/2025 20:45</t>
  </si>
  <si>
    <t>02/12/2025 21:00</t>
  </si>
  <si>
    <t>02/12/2025 21:15</t>
  </si>
  <si>
    <t>02/12/2025 21:30</t>
  </si>
  <si>
    <t>02/12/2025 21:45</t>
  </si>
  <si>
    <t>02/12/2025 22:00</t>
  </si>
  <si>
    <t>02/12/2025 22:15</t>
  </si>
  <si>
    <t>02/12/2025 22:30</t>
  </si>
  <si>
    <t>02/12/2025 22:45</t>
  </si>
  <si>
    <t>02/12/2025 23:00</t>
  </si>
  <si>
    <t>02/12/2025 23:15</t>
  </si>
  <si>
    <t>02/12/2025 23:30</t>
  </si>
  <si>
    <t>02/12/2025 23:45</t>
  </si>
  <si>
    <t>02/12/2025 24:00</t>
  </si>
  <si>
    <t>03/12/2025 00:15</t>
  </si>
  <si>
    <t>03/12/2025 00:30</t>
  </si>
  <si>
    <t>03/12/2025 00:45</t>
  </si>
  <si>
    <t>03/12/2025 01:00</t>
  </si>
  <si>
    <t>03/12/2025 01:15</t>
  </si>
  <si>
    <t>03/12/2025 01:30</t>
  </si>
  <si>
    <t>03/12/2025 01:45</t>
  </si>
  <si>
    <t>03/12/2025 02:00</t>
  </si>
  <si>
    <t>03/12/2025 02:15</t>
  </si>
  <si>
    <t>03/12/2025 02:30</t>
  </si>
  <si>
    <t>03/12/2025 02:45</t>
  </si>
  <si>
    <t>03/12/2025 03:00</t>
  </si>
  <si>
    <t>03/12/2025 03:15</t>
  </si>
  <si>
    <t>03/12/2025 03:30</t>
  </si>
  <si>
    <t>03/12/2025 03:45</t>
  </si>
  <si>
    <t>03/12/2025 04:00</t>
  </si>
  <si>
    <t>03/12/2025 04:15</t>
  </si>
  <si>
    <t>03/12/2025 04:30</t>
  </si>
  <si>
    <t>03/12/2025 04:45</t>
  </si>
  <si>
    <t>03/12/2025 05:00</t>
  </si>
  <si>
    <t>03/12/2025 05:15</t>
  </si>
  <si>
    <t>03/12/2025 05:30</t>
  </si>
  <si>
    <t>03/12/2025 05:45</t>
  </si>
  <si>
    <t>03/12/2025 06:00</t>
  </si>
  <si>
    <t>03/12/2025 06:15</t>
  </si>
  <si>
    <t>03/12/2025 06:30</t>
  </si>
  <si>
    <t>03/12/2025 06:45</t>
  </si>
  <si>
    <t>03/12/2025 07:00</t>
  </si>
  <si>
    <t>03/12/2025 07:15</t>
  </si>
  <si>
    <t>03/12/2025 07:30</t>
  </si>
  <si>
    <t>03/12/2025 07:45</t>
  </si>
  <si>
    <t>03/12/2025 08:00</t>
  </si>
  <si>
    <t>03/12/2025 08:15</t>
  </si>
  <si>
    <t>03/12/2025 08:30</t>
  </si>
  <si>
    <t>03/12/2025 08:45</t>
  </si>
  <si>
    <t>03/12/2025 09:00</t>
  </si>
  <si>
    <t>03/12/2025 09:15</t>
  </si>
  <si>
    <t>03/12/2025 09:30</t>
  </si>
  <si>
    <t>03/12/2025 09:45</t>
  </si>
  <si>
    <t>03/12/2025 10:00</t>
  </si>
  <si>
    <t>03/12/2025 10:15</t>
  </si>
  <si>
    <t>03/12/2025 10:30</t>
  </si>
  <si>
    <t>03/12/2025 10:45</t>
  </si>
  <si>
    <t>03/12/2025 11:00</t>
  </si>
  <si>
    <t>03/12/2025 11:15</t>
  </si>
  <si>
    <t>03/12/2025 11:30</t>
  </si>
  <si>
    <t>03/12/2025 11:45</t>
  </si>
  <si>
    <t>03/12/2025 12:00</t>
  </si>
  <si>
    <t>03/12/2025 12:15</t>
  </si>
  <si>
    <t>03/12/2025 12:30</t>
  </si>
  <si>
    <t>03/12/2025 12:45</t>
  </si>
  <si>
    <t>03/12/2025 13:00</t>
  </si>
  <si>
    <t>03/12/2025 13:15</t>
  </si>
  <si>
    <t>03/12/2025 13:30</t>
  </si>
  <si>
    <t>03/12/2025 13:45</t>
  </si>
  <si>
    <t>03/12/2025 14:00</t>
  </si>
  <si>
    <t>03/12/2025 14:15</t>
  </si>
  <si>
    <t>03/12/2025 14:30</t>
  </si>
  <si>
    <t>03/12/2025 14:45</t>
  </si>
  <si>
    <t>03/12/2025 15:00</t>
  </si>
  <si>
    <t>03/12/2025 15:15</t>
  </si>
  <si>
    <t>03/12/2025 15:30</t>
  </si>
  <si>
    <t>03/12/2025 15:45</t>
  </si>
  <si>
    <t>03/12/2025 16:00</t>
  </si>
  <si>
    <t>03/12/2025 16:15</t>
  </si>
  <si>
    <t>03/12/2025 16:30</t>
  </si>
  <si>
    <t>03/12/2025 16:45</t>
  </si>
  <si>
    <t>03/12/2025 17:00</t>
  </si>
  <si>
    <t>03/12/2025 17:15</t>
  </si>
  <si>
    <t>03/12/2025 17:30</t>
  </si>
  <si>
    <t>03/12/2025 17:45</t>
  </si>
  <si>
    <t>03/12/2025 18:00</t>
  </si>
  <si>
    <t>03/12/2025 18:15</t>
  </si>
  <si>
    <t>03/12/2025 18:30</t>
  </si>
  <si>
    <t>03/12/2025 18:45</t>
  </si>
  <si>
    <t>03/12/2025 19:00</t>
  </si>
  <si>
    <t>03/12/2025 19:15</t>
  </si>
  <si>
    <t>03/12/2025 19:30</t>
  </si>
  <si>
    <t>03/12/2025 19:45</t>
  </si>
  <si>
    <t>03/12/2025 20:00</t>
  </si>
  <si>
    <t>03/12/2025 20:15</t>
  </si>
  <si>
    <t>03/12/2025 20:30</t>
  </si>
  <si>
    <t>03/12/2025 20:45</t>
  </si>
  <si>
    <t>03/12/2025 21:00</t>
  </si>
  <si>
    <t>03/12/2025 21:15</t>
  </si>
  <si>
    <t>03/12/2025 21:30</t>
  </si>
  <si>
    <t>03/12/2025 21:45</t>
  </si>
  <si>
    <t>03/12/2025 22:00</t>
  </si>
  <si>
    <t>03/12/2025 22:15</t>
  </si>
  <si>
    <t>03/12/2025 22:30</t>
  </si>
  <si>
    <t>03/12/2025 22:45</t>
  </si>
  <si>
    <t>03/12/2025 23:00</t>
  </si>
  <si>
    <t>03/12/2025 23:15</t>
  </si>
  <si>
    <t>03/12/2025 23:30</t>
  </si>
  <si>
    <t>03/12/2025 23:45</t>
  </si>
  <si>
    <t>03/12/2025 24:00</t>
  </si>
  <si>
    <t>04/12/2025 00:15</t>
  </si>
  <si>
    <t>04/12/2025 00:30</t>
  </si>
  <si>
    <t>04/12/2025 00:45</t>
  </si>
  <si>
    <t>04/12/2025 01:00</t>
  </si>
  <si>
    <t>04/12/2025 01:15</t>
  </si>
  <si>
    <t>04/12/2025 01:30</t>
  </si>
  <si>
    <t>04/12/2025 01:45</t>
  </si>
  <si>
    <t>04/12/2025 02:00</t>
  </si>
  <si>
    <t>04/12/2025 02:15</t>
  </si>
  <si>
    <t>04/12/2025 02:30</t>
  </si>
  <si>
    <t>04/12/2025 02:45</t>
  </si>
  <si>
    <t>04/12/2025 03:00</t>
  </si>
  <si>
    <t>04/12/2025 03:15</t>
  </si>
  <si>
    <t>04/12/2025 03:30</t>
  </si>
  <si>
    <t>04/12/2025 03:45</t>
  </si>
  <si>
    <t>04/12/2025 04:00</t>
  </si>
  <si>
    <t>04/12/2025 04:15</t>
  </si>
  <si>
    <t>04/12/2025 04:30</t>
  </si>
  <si>
    <t>04/12/2025 04:45</t>
  </si>
  <si>
    <t>04/12/2025 05:00</t>
  </si>
  <si>
    <t>04/12/2025 05:15</t>
  </si>
  <si>
    <t>04/12/2025 05:30</t>
  </si>
  <si>
    <t>04/12/2025 05:45</t>
  </si>
  <si>
    <t>04/12/2025 06:00</t>
  </si>
  <si>
    <t>04/12/2025 06:15</t>
  </si>
  <si>
    <t>04/12/2025 06:30</t>
  </si>
  <si>
    <t>04/12/2025 06:45</t>
  </si>
  <si>
    <t>04/12/2025 07:00</t>
  </si>
  <si>
    <t>04/12/2025 07:15</t>
  </si>
  <si>
    <t>04/12/2025 07:30</t>
  </si>
  <si>
    <t>04/12/2025 07:45</t>
  </si>
  <si>
    <t>04/12/2025 08:00</t>
  </si>
  <si>
    <t>04/12/2025 08:15</t>
  </si>
  <si>
    <t>04/12/2025 08:30</t>
  </si>
  <si>
    <t>04/12/2025 08:45</t>
  </si>
  <si>
    <t>04/12/2025 09:00</t>
  </si>
  <si>
    <t>04/12/2025 09:15</t>
  </si>
  <si>
    <t>04/12/2025 09:30</t>
  </si>
  <si>
    <t>04/12/2025 09:45</t>
  </si>
  <si>
    <t>04/12/2025 10:00</t>
  </si>
  <si>
    <t>04/12/2025 10:15</t>
  </si>
  <si>
    <t>04/12/2025 10:30</t>
  </si>
  <si>
    <t>04/12/2025 10:45</t>
  </si>
  <si>
    <t>04/12/2025 11:00</t>
  </si>
  <si>
    <t>04/12/2025 11:15</t>
  </si>
  <si>
    <t>04/12/2025 11:30</t>
  </si>
  <si>
    <t>04/12/2025 11:45</t>
  </si>
  <si>
    <t>04/12/2025 12:00</t>
  </si>
  <si>
    <t>04/12/2025 12:15</t>
  </si>
  <si>
    <t>04/12/2025 12:30</t>
  </si>
  <si>
    <t>04/12/2025 12:45</t>
  </si>
  <si>
    <t>04/12/2025 13:00</t>
  </si>
  <si>
    <t>04/12/2025 13:15</t>
  </si>
  <si>
    <t>04/12/2025 13:30</t>
  </si>
  <si>
    <t>04/12/2025 13:45</t>
  </si>
  <si>
    <t>04/12/2025 14:00</t>
  </si>
  <si>
    <t>04/12/2025 14:15</t>
  </si>
  <si>
    <t>04/12/2025 14:30</t>
  </si>
  <si>
    <t>04/12/2025 14:45</t>
  </si>
  <si>
    <t>04/12/2025 15:00</t>
  </si>
  <si>
    <t>04/12/2025 15:15</t>
  </si>
  <si>
    <t>04/12/2025 15:30</t>
  </si>
  <si>
    <t>04/12/2025 15:45</t>
  </si>
  <si>
    <t>04/12/2025 16:00</t>
  </si>
  <si>
    <t>04/12/2025 16:15</t>
  </si>
  <si>
    <t>04/12/2025 16:30</t>
  </si>
  <si>
    <t>04/12/2025 16:45</t>
  </si>
  <si>
    <t>04/12/2025 17:00</t>
  </si>
  <si>
    <t>04/12/2025 17:15</t>
  </si>
  <si>
    <t>04/12/2025 17:30</t>
  </si>
  <si>
    <t>04/12/2025 17:45</t>
  </si>
  <si>
    <t>04/12/2025 18:00</t>
  </si>
  <si>
    <t>04/12/2025 18:15</t>
  </si>
  <si>
    <t>04/12/2025 18:30</t>
  </si>
  <si>
    <t>04/12/2025 18:45</t>
  </si>
  <si>
    <t>04/12/2025 19:00</t>
  </si>
  <si>
    <t>04/12/2025 19:15</t>
  </si>
  <si>
    <t>04/12/2025 19:30</t>
  </si>
  <si>
    <t>04/12/2025 19:45</t>
  </si>
  <si>
    <t>04/12/2025 20:00</t>
  </si>
  <si>
    <t>04/12/2025 20:15</t>
  </si>
  <si>
    <t>04/12/2025 20:30</t>
  </si>
  <si>
    <t>04/12/2025 20:45</t>
  </si>
  <si>
    <t>04/12/2025 21:00</t>
  </si>
  <si>
    <t>04/12/2025 21:15</t>
  </si>
  <si>
    <t>04/12/2025 21:30</t>
  </si>
  <si>
    <t>04/12/2025 21:45</t>
  </si>
  <si>
    <t>04/12/2025 22:00</t>
  </si>
  <si>
    <t>04/12/2025 22:15</t>
  </si>
  <si>
    <t>04/12/2025 22:30</t>
  </si>
  <si>
    <t>04/12/2025 22:45</t>
  </si>
  <si>
    <t>04/12/2025 23:00</t>
  </si>
  <si>
    <t>04/12/2025 23:15</t>
  </si>
  <si>
    <t>04/12/2025 23:30</t>
  </si>
  <si>
    <t>04/12/2025 23:45</t>
  </si>
  <si>
    <t>04/12/2025 24:00</t>
  </si>
  <si>
    <t>05/12/2025 00:15</t>
  </si>
  <si>
    <t>05/12/2025 00:30</t>
  </si>
  <si>
    <t>05/12/2025 00:45</t>
  </si>
  <si>
    <t>05/12/2025 01:00</t>
  </si>
  <si>
    <t>05/12/2025 01:15</t>
  </si>
  <si>
    <t>05/12/2025 01:30</t>
  </si>
  <si>
    <t>05/12/2025 01:45</t>
  </si>
  <si>
    <t>05/12/2025 02:00</t>
  </si>
  <si>
    <t>05/12/2025 02:15</t>
  </si>
  <si>
    <t>05/12/2025 02:30</t>
  </si>
  <si>
    <t>05/12/2025 02:45</t>
  </si>
  <si>
    <t>05/12/2025 03:00</t>
  </si>
  <si>
    <t>05/12/2025 03:15</t>
  </si>
  <si>
    <t>05/12/2025 03:30</t>
  </si>
  <si>
    <t>05/12/2025 03:45</t>
  </si>
  <si>
    <t>05/12/2025 04:00</t>
  </si>
  <si>
    <t>05/12/2025 04:15</t>
  </si>
  <si>
    <t>05/12/2025 04:30</t>
  </si>
  <si>
    <t>05/12/2025 04:45</t>
  </si>
  <si>
    <t>05/12/2025 05:00</t>
  </si>
  <si>
    <t>05/12/2025 05:15</t>
  </si>
  <si>
    <t>05/12/2025 05:30</t>
  </si>
  <si>
    <t>05/12/2025 05:45</t>
  </si>
  <si>
    <t>05/12/2025 06:00</t>
  </si>
  <si>
    <t>05/12/2025 06:15</t>
  </si>
  <si>
    <t>05/12/2025 06:30</t>
  </si>
  <si>
    <t>05/12/2025 06:45</t>
  </si>
  <si>
    <t>05/12/2025 07:00</t>
  </si>
  <si>
    <t>05/12/2025 07:15</t>
  </si>
  <si>
    <t>05/12/2025 07:30</t>
  </si>
  <si>
    <t>05/12/2025 07:45</t>
  </si>
  <si>
    <t>05/12/2025 08:00</t>
  </si>
  <si>
    <t>05/12/2025 08:15</t>
  </si>
  <si>
    <t>05/12/2025 08:30</t>
  </si>
  <si>
    <t>05/12/2025 08:45</t>
  </si>
  <si>
    <t>05/12/2025 09:00</t>
  </si>
  <si>
    <t>05/12/2025 09:15</t>
  </si>
  <si>
    <t>05/12/2025 09:30</t>
  </si>
  <si>
    <t>05/12/2025 09:45</t>
  </si>
  <si>
    <t>05/12/2025 10:00</t>
  </si>
  <si>
    <t>05/12/2025 10:15</t>
  </si>
  <si>
    <t>05/12/2025 10:30</t>
  </si>
  <si>
    <t>05/12/2025 10:45</t>
  </si>
  <si>
    <t>05/12/2025 11:00</t>
  </si>
  <si>
    <t>05/12/2025 11:15</t>
  </si>
  <si>
    <t>05/12/2025 11:30</t>
  </si>
  <si>
    <t>05/12/2025 11:45</t>
  </si>
  <si>
    <t>05/12/2025 12:00</t>
  </si>
  <si>
    <t>05/12/2025 12:15</t>
  </si>
  <si>
    <t>05/12/2025 12:30</t>
  </si>
  <si>
    <t>05/12/2025 12:45</t>
  </si>
  <si>
    <t>05/12/2025 13:00</t>
  </si>
  <si>
    <t>05/12/2025 13:15</t>
  </si>
  <si>
    <t>05/12/2025 13:30</t>
  </si>
  <si>
    <t>05/12/2025 13:45</t>
  </si>
  <si>
    <t>05/12/2025 14:00</t>
  </si>
  <si>
    <t>05/12/2025 14:15</t>
  </si>
  <si>
    <t>05/12/2025 14:30</t>
  </si>
  <si>
    <t>05/12/2025 14:45</t>
  </si>
  <si>
    <t>05/12/2025 15:00</t>
  </si>
  <si>
    <t>05/12/2025 15:15</t>
  </si>
  <si>
    <t>05/12/2025 15:30</t>
  </si>
  <si>
    <t>05/12/2025 15:45</t>
  </si>
  <si>
    <t>05/12/2025 16:00</t>
  </si>
  <si>
    <t>05/12/2025 16:15</t>
  </si>
  <si>
    <t>05/12/2025 16:30</t>
  </si>
  <si>
    <t>05/12/2025 16:45</t>
  </si>
  <si>
    <t>05/12/2025 17:00</t>
  </si>
  <si>
    <t>05/12/2025 17:15</t>
  </si>
  <si>
    <t>05/12/2025 17:30</t>
  </si>
  <si>
    <t>05/12/2025 17:45</t>
  </si>
  <si>
    <t>05/12/2025 18:00</t>
  </si>
  <si>
    <t>05/12/2025 18:15</t>
  </si>
  <si>
    <t>05/12/2025 18:30</t>
  </si>
  <si>
    <t>05/12/2025 18:45</t>
  </si>
  <si>
    <t>05/12/2025 19:00</t>
  </si>
  <si>
    <t>05/12/2025 19:15</t>
  </si>
  <si>
    <t>05/12/2025 19:30</t>
  </si>
  <si>
    <t>05/12/2025 19:45</t>
  </si>
  <si>
    <t>05/12/2025 20:00</t>
  </si>
  <si>
    <t>05/12/2025 20:15</t>
  </si>
  <si>
    <t>05/12/2025 20:30</t>
  </si>
  <si>
    <t>05/12/2025 20:45</t>
  </si>
  <si>
    <t>05/12/2025 21:00</t>
  </si>
  <si>
    <t>05/12/2025 21:15</t>
  </si>
  <si>
    <t>05/12/2025 21:30</t>
  </si>
  <si>
    <t>05/12/2025 21:45</t>
  </si>
  <si>
    <t>05/12/2025 22:00</t>
  </si>
  <si>
    <t>05/12/2025 22:15</t>
  </si>
  <si>
    <t>05/12/2025 22:30</t>
  </si>
  <si>
    <t>05/12/2025 22:45</t>
  </si>
  <si>
    <t>05/12/2025 23:00</t>
  </si>
  <si>
    <t>05/12/2025 23:15</t>
  </si>
  <si>
    <t>05/12/2025 23:30</t>
  </si>
  <si>
    <t>05/12/2025 23:45</t>
  </si>
  <si>
    <t>05/12/2025 24:00</t>
  </si>
  <si>
    <t>06/12/2025 00:15</t>
  </si>
  <si>
    <t>06/12/2025 00:30</t>
  </si>
  <si>
    <t>06/12/2025 00:45</t>
  </si>
  <si>
    <t>06/12/2025 01:00</t>
  </si>
  <si>
    <t>06/12/2025 01:15</t>
  </si>
  <si>
    <t>06/12/2025 01:30</t>
  </si>
  <si>
    <t>06/12/2025 01:45</t>
  </si>
  <si>
    <t>06/12/2025 02:00</t>
  </si>
  <si>
    <t>06/12/2025 02:15</t>
  </si>
  <si>
    <t>06/12/2025 02:30</t>
  </si>
  <si>
    <t>06/12/2025 02:45</t>
  </si>
  <si>
    <t>06/12/2025 03:00</t>
  </si>
  <si>
    <t>06/12/2025 03:15</t>
  </si>
  <si>
    <t>06/12/2025 03:30</t>
  </si>
  <si>
    <t>06/12/2025 03:45</t>
  </si>
  <si>
    <t>06/12/2025 04:00</t>
  </si>
  <si>
    <t>06/12/2025 04:15</t>
  </si>
  <si>
    <t>06/12/2025 04:30</t>
  </si>
  <si>
    <t>06/12/2025 04:45</t>
  </si>
  <si>
    <t>06/12/2025 05:00</t>
  </si>
  <si>
    <t>06/12/2025 05:15</t>
  </si>
  <si>
    <t>06/12/2025 05:30</t>
  </si>
  <si>
    <t>06/12/2025 05:45</t>
  </si>
  <si>
    <t>06/12/2025 06:00</t>
  </si>
  <si>
    <t>06/12/2025 06:15</t>
  </si>
  <si>
    <t>06/12/2025 06:30</t>
  </si>
  <si>
    <t>06/12/2025 06:45</t>
  </si>
  <si>
    <t>06/12/2025 07:00</t>
  </si>
  <si>
    <t>06/12/2025 07:15</t>
  </si>
  <si>
    <t>06/12/2025 07:30</t>
  </si>
  <si>
    <t>06/12/2025 07:45</t>
  </si>
  <si>
    <t>06/12/2025 08:00</t>
  </si>
  <si>
    <t>06/12/2025 08:15</t>
  </si>
  <si>
    <t>06/12/2025 08:30</t>
  </si>
  <si>
    <t>06/12/2025 08:45</t>
  </si>
  <si>
    <t>06/12/2025 09:00</t>
  </si>
  <si>
    <t>06/12/2025 09:15</t>
  </si>
  <si>
    <t>06/12/2025 09:30</t>
  </si>
  <si>
    <t>06/12/2025 09:45</t>
  </si>
  <si>
    <t>06/12/2025 10:00</t>
  </si>
  <si>
    <t>06/12/2025 10:15</t>
  </si>
  <si>
    <t>06/12/2025 10:30</t>
  </si>
  <si>
    <t>06/12/2025 10:45</t>
  </si>
  <si>
    <t>06/12/2025 11:00</t>
  </si>
  <si>
    <t>06/12/2025 11:15</t>
  </si>
  <si>
    <t>06/12/2025 11:30</t>
  </si>
  <si>
    <t>06/12/2025 11:45</t>
  </si>
  <si>
    <t>06/12/2025 12:00</t>
  </si>
  <si>
    <t>06/12/2025 12:15</t>
  </si>
  <si>
    <t>06/12/2025 12:30</t>
  </si>
  <si>
    <t>06/12/2025 12:45</t>
  </si>
  <si>
    <t>06/12/2025 13:00</t>
  </si>
  <si>
    <t>06/12/2025 13:15</t>
  </si>
  <si>
    <t>06/12/2025 13:30</t>
  </si>
  <si>
    <t>06/12/2025 13:45</t>
  </si>
  <si>
    <t>06/12/2025 14:00</t>
  </si>
  <si>
    <t>06/12/2025 14:15</t>
  </si>
  <si>
    <t>06/12/2025 14:30</t>
  </si>
  <si>
    <t>06/12/2025 14:45</t>
  </si>
  <si>
    <t>06/12/2025 15:00</t>
  </si>
  <si>
    <t>06/12/2025 15:15</t>
  </si>
  <si>
    <t>06/12/2025 15:30</t>
  </si>
  <si>
    <t>06/12/2025 15:45</t>
  </si>
  <si>
    <t>06/12/2025 16:00</t>
  </si>
  <si>
    <t>06/12/2025 16:15</t>
  </si>
  <si>
    <t>06/12/2025 16:30</t>
  </si>
  <si>
    <t>06/12/2025 16:45</t>
  </si>
  <si>
    <t>06/12/2025 17:00</t>
  </si>
  <si>
    <t>06/12/2025 17:15</t>
  </si>
  <si>
    <t>06/12/2025 17:30</t>
  </si>
  <si>
    <t>06/12/2025 17:45</t>
  </si>
  <si>
    <t>06/12/2025 18:00</t>
  </si>
  <si>
    <t>06/12/2025 18:15</t>
  </si>
  <si>
    <t>06/12/2025 18:30</t>
  </si>
  <si>
    <t>06/12/2025 18:45</t>
  </si>
  <si>
    <t>06/12/2025 19:00</t>
  </si>
  <si>
    <t>06/12/2025 19:15</t>
  </si>
  <si>
    <t>06/12/2025 19:30</t>
  </si>
  <si>
    <t>06/12/2025 19:45</t>
  </si>
  <si>
    <t>06/12/2025 20:00</t>
  </si>
  <si>
    <t>06/12/2025 20:15</t>
  </si>
  <si>
    <t>06/12/2025 20:30</t>
  </si>
  <si>
    <t>06/12/2025 20:45</t>
  </si>
  <si>
    <t>06/12/2025 21:00</t>
  </si>
  <si>
    <t>06/12/2025 21:15</t>
  </si>
  <si>
    <t>06/12/2025 21:30</t>
  </si>
  <si>
    <t>06/12/2025 21:45</t>
  </si>
  <si>
    <t>06/12/2025 22:00</t>
  </si>
  <si>
    <t>06/12/2025 22:15</t>
  </si>
  <si>
    <t>06/12/2025 22:30</t>
  </si>
  <si>
    <t>06/12/2025 22:45</t>
  </si>
  <si>
    <t>06/12/2025 23:00</t>
  </si>
  <si>
    <t>06/12/2025 23:15</t>
  </si>
  <si>
    <t>06/12/2025 23:30</t>
  </si>
  <si>
    <t>06/12/2025 23:45</t>
  </si>
  <si>
    <t>06/12/2025 24:00</t>
  </si>
  <si>
    <t>07/12/2025 00:15</t>
  </si>
  <si>
    <t>07/12/2025 00:30</t>
  </si>
  <si>
    <t>07/12/2025 00:45</t>
  </si>
  <si>
    <t>07/12/2025 01:00</t>
  </si>
  <si>
    <t>07/12/2025 01:15</t>
  </si>
  <si>
    <t>07/12/2025 01:30</t>
  </si>
  <si>
    <t>07/12/2025 01:45</t>
  </si>
  <si>
    <t>07/12/2025 02:00</t>
  </si>
  <si>
    <t>07/12/2025 02:15</t>
  </si>
  <si>
    <t>07/12/2025 02:30</t>
  </si>
  <si>
    <t>07/12/2025 02:45</t>
  </si>
  <si>
    <t>07/12/2025 03:00</t>
  </si>
  <si>
    <t>07/12/2025 03:15</t>
  </si>
  <si>
    <t>07/12/2025 03:30</t>
  </si>
  <si>
    <t>07/12/2025 03:45</t>
  </si>
  <si>
    <t>07/12/2025 04:00</t>
  </si>
  <si>
    <t>07/12/2025 04:15</t>
  </si>
  <si>
    <t>07/12/2025 04:30</t>
  </si>
  <si>
    <t>07/12/2025 04:45</t>
  </si>
  <si>
    <t>07/12/2025 05:00</t>
  </si>
  <si>
    <t>07/12/2025 05:15</t>
  </si>
  <si>
    <t>07/12/2025 05:30</t>
  </si>
  <si>
    <t>07/12/2025 05:45</t>
  </si>
  <si>
    <t>07/12/2025 06:00</t>
  </si>
  <si>
    <t>07/12/2025 06:15</t>
  </si>
  <si>
    <t>07/12/2025 06:30</t>
  </si>
  <si>
    <t>07/12/2025 06:45</t>
  </si>
  <si>
    <t>07/12/2025 07:00</t>
  </si>
  <si>
    <t>07/12/2025 07:15</t>
  </si>
  <si>
    <t>07/12/2025 07:30</t>
  </si>
  <si>
    <t>07/12/2025 07:45</t>
  </si>
  <si>
    <t>07/12/2025 08:00</t>
  </si>
  <si>
    <t>07/12/2025 08:15</t>
  </si>
  <si>
    <t>07/12/2025 08:30</t>
  </si>
  <si>
    <t>07/12/2025 08:45</t>
  </si>
  <si>
    <t>07/12/2025 09:00</t>
  </si>
  <si>
    <t>07/12/2025 09:15</t>
  </si>
  <si>
    <t>07/12/2025 09:30</t>
  </si>
  <si>
    <t>07/12/2025 09:45</t>
  </si>
  <si>
    <t>07/12/2025 10:00</t>
  </si>
  <si>
    <t>07/12/2025 10:15</t>
  </si>
  <si>
    <t>07/12/2025 10:30</t>
  </si>
  <si>
    <t>07/12/2025 10:45</t>
  </si>
  <si>
    <t>07/12/2025 11:00</t>
  </si>
  <si>
    <t>07/12/2025 11:15</t>
  </si>
  <si>
    <t>07/12/2025 11:30</t>
  </si>
  <si>
    <t>07/12/2025 11:45</t>
  </si>
  <si>
    <t>07/12/2025 12:00</t>
  </si>
  <si>
    <t>07/12/2025 12:15</t>
  </si>
  <si>
    <t>07/12/2025 12:30</t>
  </si>
  <si>
    <t>07/12/2025 12:45</t>
  </si>
  <si>
    <t>07/12/2025 13:00</t>
  </si>
  <si>
    <t>07/12/2025 13:15</t>
  </si>
  <si>
    <t>07/12/2025 13:30</t>
  </si>
  <si>
    <t>07/12/2025 13:45</t>
  </si>
  <si>
    <t>07/12/2025 14:00</t>
  </si>
  <si>
    <t>07/12/2025 14:15</t>
  </si>
  <si>
    <t>07/12/2025 14:30</t>
  </si>
  <si>
    <t>07/12/2025 14:45</t>
  </si>
  <si>
    <t>07/12/2025 15:00</t>
  </si>
  <si>
    <t>07/12/2025 15:15</t>
  </si>
  <si>
    <t>07/12/2025 15:30</t>
  </si>
  <si>
    <t>07/12/2025 15:45</t>
  </si>
  <si>
    <t>07/12/2025 16:00</t>
  </si>
  <si>
    <t>07/12/2025 16:15</t>
  </si>
  <si>
    <t>07/12/2025 16:30</t>
  </si>
  <si>
    <t>07/12/2025 16:45</t>
  </si>
  <si>
    <t>07/12/2025 17:00</t>
  </si>
  <si>
    <t>07/12/2025 17:15</t>
  </si>
  <si>
    <t>07/12/2025 17:30</t>
  </si>
  <si>
    <t>07/12/2025 17:45</t>
  </si>
  <si>
    <t>07/12/2025 18:00</t>
  </si>
  <si>
    <t>07/12/2025 18:15</t>
  </si>
  <si>
    <t>07/12/2025 18:30</t>
  </si>
  <si>
    <t>07/12/2025 18:45</t>
  </si>
  <si>
    <t>07/12/2025 19:00</t>
  </si>
  <si>
    <t>07/12/2025 19:15</t>
  </si>
  <si>
    <t>07/12/2025 19:30</t>
  </si>
  <si>
    <t>07/12/2025 19:45</t>
  </si>
  <si>
    <t>07/12/2025 20:00</t>
  </si>
  <si>
    <t>07/12/2025 20:15</t>
  </si>
  <si>
    <t>07/12/2025 20:30</t>
  </si>
  <si>
    <t>07/12/2025 20:45</t>
  </si>
  <si>
    <t>07/12/2025 21:00</t>
  </si>
  <si>
    <t>07/12/2025 21:15</t>
  </si>
  <si>
    <t>07/12/2025 21:30</t>
  </si>
  <si>
    <t>07/12/2025 21:45</t>
  </si>
  <si>
    <t>07/12/2025 22:00</t>
  </si>
  <si>
    <t>07/12/2025 22:15</t>
  </si>
  <si>
    <t>07/12/2025 22:30</t>
  </si>
  <si>
    <t>07/12/2025 22:45</t>
  </si>
  <si>
    <t>07/12/2025 23:00</t>
  </si>
  <si>
    <t>07/12/2025 23:15</t>
  </si>
  <si>
    <t>07/12/2025 23:30</t>
  </si>
  <si>
    <t>07/12/2025 23:45</t>
  </si>
  <si>
    <t>07/12/2025 24:00</t>
  </si>
  <si>
    <t>08/12/2025 00:15</t>
  </si>
  <si>
    <t>08/12/2025 00:30</t>
  </si>
  <si>
    <t>08/12/2025 00:45</t>
  </si>
  <si>
    <t>08/12/2025 01:00</t>
  </si>
  <si>
    <t>08/12/2025 01:15</t>
  </si>
  <si>
    <t>08/12/2025 01:30</t>
  </si>
  <si>
    <t>08/12/2025 01:45</t>
  </si>
  <si>
    <t>08/12/2025 02:00</t>
  </si>
  <si>
    <t>08/12/2025 02:15</t>
  </si>
  <si>
    <t>08/12/2025 02:30</t>
  </si>
  <si>
    <t>08/12/2025 02:45</t>
  </si>
  <si>
    <t>08/12/2025 03:00</t>
  </si>
  <si>
    <t>08/12/2025 03:15</t>
  </si>
  <si>
    <t>08/12/2025 03:30</t>
  </si>
  <si>
    <t>08/12/2025 03:45</t>
  </si>
  <si>
    <t>08/12/2025 04:00</t>
  </si>
  <si>
    <t>08/12/2025 04:15</t>
  </si>
  <si>
    <t>08/12/2025 04:30</t>
  </si>
  <si>
    <t>08/12/2025 04:45</t>
  </si>
  <si>
    <t>08/12/2025 05:00</t>
  </si>
  <si>
    <t>08/12/2025 05:15</t>
  </si>
  <si>
    <t>08/12/2025 05:30</t>
  </si>
  <si>
    <t>08/12/2025 05:45</t>
  </si>
  <si>
    <t>08/12/2025 06:00</t>
  </si>
  <si>
    <t>08/12/2025 06:15</t>
  </si>
  <si>
    <t>08/12/2025 06:30</t>
  </si>
  <si>
    <t>08/12/2025 06:45</t>
  </si>
  <si>
    <t>08/12/2025 07:00</t>
  </si>
  <si>
    <t>08/12/2025 07:15</t>
  </si>
  <si>
    <t>08/12/2025 07:30</t>
  </si>
  <si>
    <t>08/12/2025 07:45</t>
  </si>
  <si>
    <t>08/12/2025 08:00</t>
  </si>
  <si>
    <t>08/12/2025 08:15</t>
  </si>
  <si>
    <t>08/12/2025 08:30</t>
  </si>
  <si>
    <t>08/12/2025 08:45</t>
  </si>
  <si>
    <t>08/12/2025 09:00</t>
  </si>
  <si>
    <t>08/12/2025 09:15</t>
  </si>
  <si>
    <t>08/12/2025 09:30</t>
  </si>
  <si>
    <t>08/12/2025 09:45</t>
  </si>
  <si>
    <t>08/12/2025 10:00</t>
  </si>
  <si>
    <t>08/12/2025 10:15</t>
  </si>
  <si>
    <t>08/12/2025 10:30</t>
  </si>
  <si>
    <t>08/12/2025 10:45</t>
  </si>
  <si>
    <t>08/12/2025 11:00</t>
  </si>
  <si>
    <t>08/12/2025 11:15</t>
  </si>
  <si>
    <t>08/12/2025 11:30</t>
  </si>
  <si>
    <t>08/12/2025 11:45</t>
  </si>
  <si>
    <t>08/12/2025 12:00</t>
  </si>
  <si>
    <t>08/12/2025 12:15</t>
  </si>
  <si>
    <t>08/12/2025 12:30</t>
  </si>
  <si>
    <t>08/12/2025 12:45</t>
  </si>
  <si>
    <t>08/12/2025 13:00</t>
  </si>
  <si>
    <t>08/12/2025 13:15</t>
  </si>
  <si>
    <t>08/12/2025 13:30</t>
  </si>
  <si>
    <t>08/12/2025 13:45</t>
  </si>
  <si>
    <t>08/12/2025 14:00</t>
  </si>
  <si>
    <t>08/12/2025 14:15</t>
  </si>
  <si>
    <t>08/12/2025 14:30</t>
  </si>
  <si>
    <t>08/12/2025 14:45</t>
  </si>
  <si>
    <t>08/12/2025 15:00</t>
  </si>
  <si>
    <t>08/12/2025 15:15</t>
  </si>
  <si>
    <t>08/12/2025 15:30</t>
  </si>
  <si>
    <t>08/12/2025 15:45</t>
  </si>
  <si>
    <t>08/12/2025 16:00</t>
  </si>
  <si>
    <t>08/12/2025 16:15</t>
  </si>
  <si>
    <t>08/12/2025 16:30</t>
  </si>
  <si>
    <t>08/12/2025 16:45</t>
  </si>
  <si>
    <t>08/12/2025 17:00</t>
  </si>
  <si>
    <t>08/12/2025 17:15</t>
  </si>
  <si>
    <t>08/12/2025 17:30</t>
  </si>
  <si>
    <t>08/12/2025 17:45</t>
  </si>
  <si>
    <t>08/12/2025 18:00</t>
  </si>
  <si>
    <t>08/12/2025 18:15</t>
  </si>
  <si>
    <t>08/12/2025 18:30</t>
  </si>
  <si>
    <t>08/12/2025 18:45</t>
  </si>
  <si>
    <t>08/12/2025 19:00</t>
  </si>
  <si>
    <t>08/12/2025 19:15</t>
  </si>
  <si>
    <t>08/12/2025 19:30</t>
  </si>
  <si>
    <t>08/12/2025 19:45</t>
  </si>
  <si>
    <t>08/12/2025 20:00</t>
  </si>
  <si>
    <t>08/12/2025 20:15</t>
  </si>
  <si>
    <t>08/12/2025 20:30</t>
  </si>
  <si>
    <t>08/12/2025 20:45</t>
  </si>
  <si>
    <t>08/12/2025 21:00</t>
  </si>
  <si>
    <t>08/12/2025 21:15</t>
  </si>
  <si>
    <t>08/12/2025 21:30</t>
  </si>
  <si>
    <t>08/12/2025 21:45</t>
  </si>
  <si>
    <t>08/12/2025 22:00</t>
  </si>
  <si>
    <t>08/12/2025 22:15</t>
  </si>
  <si>
    <t>08/12/2025 22:30</t>
  </si>
  <si>
    <t>08/12/2025 22:45</t>
  </si>
  <si>
    <t>08/12/2025 23:00</t>
  </si>
  <si>
    <t>08/12/2025 23:15</t>
  </si>
  <si>
    <t>08/12/2025 23:30</t>
  </si>
  <si>
    <t>08/12/2025 23:45</t>
  </si>
  <si>
    <t>08/12/2025 24:00</t>
  </si>
  <si>
    <t>09/12/2025 00:15</t>
  </si>
  <si>
    <t>09/12/2025 00:30</t>
  </si>
  <si>
    <t>09/12/2025 00:45</t>
  </si>
  <si>
    <t>09/12/2025 01:00</t>
  </si>
  <si>
    <t>09/12/2025 01:15</t>
  </si>
  <si>
    <t>09/12/2025 01:30</t>
  </si>
  <si>
    <t>09/12/2025 01:45</t>
  </si>
  <si>
    <t>09/12/2025 02:00</t>
  </si>
  <si>
    <t>09/12/2025 02:15</t>
  </si>
  <si>
    <t>09/12/2025 02:30</t>
  </si>
  <si>
    <t>09/12/2025 02:45</t>
  </si>
  <si>
    <t>09/12/2025 03:00</t>
  </si>
  <si>
    <t>09/12/2025 03:15</t>
  </si>
  <si>
    <t>09/12/2025 03:30</t>
  </si>
  <si>
    <t>09/12/2025 03:45</t>
  </si>
  <si>
    <t>09/12/2025 04:00</t>
  </si>
  <si>
    <t>09/12/2025 04:15</t>
  </si>
  <si>
    <t>09/12/2025 04:30</t>
  </si>
  <si>
    <t>09/12/2025 04:45</t>
  </si>
  <si>
    <t>09/12/2025 05:00</t>
  </si>
  <si>
    <t>09/12/2025 05:15</t>
  </si>
  <si>
    <t>09/12/2025 05:30</t>
  </si>
  <si>
    <t>09/12/2025 05:45</t>
  </si>
  <si>
    <t>09/12/2025 06:00</t>
  </si>
  <si>
    <t>09/12/2025 06:15</t>
  </si>
  <si>
    <t>09/12/2025 06:30</t>
  </si>
  <si>
    <t>09/12/2025 06:45</t>
  </si>
  <si>
    <t>09/12/2025 07:00</t>
  </si>
  <si>
    <t>09/12/2025 07:15</t>
  </si>
  <si>
    <t>09/12/2025 07:30</t>
  </si>
  <si>
    <t>09/12/2025 07:45</t>
  </si>
  <si>
    <t>09/12/2025 08:00</t>
  </si>
  <si>
    <t>09/12/2025 08:15</t>
  </si>
  <si>
    <t>09/12/2025 08:30</t>
  </si>
  <si>
    <t>09/12/2025 08:45</t>
  </si>
  <si>
    <t>09/12/2025 09:00</t>
  </si>
  <si>
    <t>09/12/2025 09:15</t>
  </si>
  <si>
    <t>09/12/2025 09:30</t>
  </si>
  <si>
    <t>09/12/2025 09:45</t>
  </si>
  <si>
    <t>09/12/2025 10:00</t>
  </si>
  <si>
    <t>09/12/2025 10:15</t>
  </si>
  <si>
    <t>09/12/2025 10:30</t>
  </si>
  <si>
    <t>09/12/2025 10:45</t>
  </si>
  <si>
    <t>09/12/2025 11:00</t>
  </si>
  <si>
    <t>09/12/2025 11:15</t>
  </si>
  <si>
    <t>09/12/2025 11:30</t>
  </si>
  <si>
    <t>09/12/2025 11:45</t>
  </si>
  <si>
    <t>09/12/2025 12:00</t>
  </si>
  <si>
    <t>09/12/2025 12:15</t>
  </si>
  <si>
    <t>09/12/2025 12:30</t>
  </si>
  <si>
    <t>09/12/2025 12:45</t>
  </si>
  <si>
    <t>09/12/2025 13:00</t>
  </si>
  <si>
    <t>09/12/2025 13:15</t>
  </si>
  <si>
    <t>09/12/2025 13:30</t>
  </si>
  <si>
    <t>09/12/2025 13:45</t>
  </si>
  <si>
    <t>09/12/2025 14:00</t>
  </si>
  <si>
    <t>09/12/2025 14:15</t>
  </si>
  <si>
    <t>09/12/2025 14:30</t>
  </si>
  <si>
    <t>09/12/2025 14:45</t>
  </si>
  <si>
    <t>09/12/2025 15:00</t>
  </si>
  <si>
    <t>09/12/2025 15:15</t>
  </si>
  <si>
    <t>09/12/2025 15:30</t>
  </si>
  <si>
    <t>09/12/2025 15:45</t>
  </si>
  <si>
    <t>09/12/2025 16:00</t>
  </si>
  <si>
    <t>09/12/2025 16:15</t>
  </si>
  <si>
    <t>09/12/2025 16:30</t>
  </si>
  <si>
    <t>09/12/2025 16:45</t>
  </si>
  <si>
    <t>09/12/2025 17:00</t>
  </si>
  <si>
    <t>09/12/2025 17:15</t>
  </si>
  <si>
    <t>09/12/2025 17:30</t>
  </si>
  <si>
    <t>09/12/2025 17:45</t>
  </si>
  <si>
    <t>09/12/2025 18:00</t>
  </si>
  <si>
    <t>09/12/2025 18:15</t>
  </si>
  <si>
    <t>09/12/2025 18:30</t>
  </si>
  <si>
    <t>09/12/2025 18:45</t>
  </si>
  <si>
    <t>09/12/2025 19:00</t>
  </si>
  <si>
    <t>09/12/2025 19:15</t>
  </si>
  <si>
    <t>09/12/2025 19:30</t>
  </si>
  <si>
    <t>09/12/2025 19:45</t>
  </si>
  <si>
    <t>09/12/2025 20:00</t>
  </si>
  <si>
    <t>09/12/2025 20:15</t>
  </si>
  <si>
    <t>09/12/2025 20:30</t>
  </si>
  <si>
    <t>09/12/2025 20:45</t>
  </si>
  <si>
    <t>09/12/2025 21:00</t>
  </si>
  <si>
    <t>09/12/2025 21:15</t>
  </si>
  <si>
    <t>09/12/2025 21:30</t>
  </si>
  <si>
    <t>09/12/2025 21:45</t>
  </si>
  <si>
    <t>09/12/2025 22:00</t>
  </si>
  <si>
    <t>09/12/2025 22:15</t>
  </si>
  <si>
    <t>09/12/2025 22:30</t>
  </si>
  <si>
    <t>09/12/2025 22:45</t>
  </si>
  <si>
    <t>09/12/2025 23:00</t>
  </si>
  <si>
    <t>09/12/2025 23:15</t>
  </si>
  <si>
    <t>09/12/2025 23:30</t>
  </si>
  <si>
    <t>09/12/2025 23:45</t>
  </si>
  <si>
    <t>09/12/2025 24:00</t>
  </si>
  <si>
    <t>10/12/2025 00:15</t>
  </si>
  <si>
    <t>10/12/2025 00:30</t>
  </si>
  <si>
    <t>10/12/2025 00:45</t>
  </si>
  <si>
    <t>10/12/2025 01:00</t>
  </si>
  <si>
    <t>10/12/2025 01:15</t>
  </si>
  <si>
    <t>10/12/2025 01:30</t>
  </si>
  <si>
    <t>10/12/2025 01:45</t>
  </si>
  <si>
    <t>10/12/2025 02:00</t>
  </si>
  <si>
    <t>10/12/2025 02:15</t>
  </si>
  <si>
    <t>10/12/2025 02:30</t>
  </si>
  <si>
    <t>10/12/2025 02:45</t>
  </si>
  <si>
    <t>10/12/2025 03:00</t>
  </si>
  <si>
    <t>10/12/2025 03:15</t>
  </si>
  <si>
    <t>10/12/2025 03:30</t>
  </si>
  <si>
    <t>10/12/2025 03:45</t>
  </si>
  <si>
    <t>10/12/2025 04:00</t>
  </si>
  <si>
    <t>10/12/2025 04:15</t>
  </si>
  <si>
    <t>10/12/2025 04:30</t>
  </si>
  <si>
    <t>10/12/2025 04:45</t>
  </si>
  <si>
    <t>10/12/2025 05:00</t>
  </si>
  <si>
    <t>10/12/2025 05:15</t>
  </si>
  <si>
    <t>10/12/2025 05:30</t>
  </si>
  <si>
    <t>10/12/2025 05:45</t>
  </si>
  <si>
    <t>10/12/2025 06:00</t>
  </si>
  <si>
    <t>10/12/2025 06:15</t>
  </si>
  <si>
    <t>10/12/2025 06:30</t>
  </si>
  <si>
    <t>10/12/2025 06:45</t>
  </si>
  <si>
    <t>10/12/2025 07:00</t>
  </si>
  <si>
    <t>10/12/2025 07:15</t>
  </si>
  <si>
    <t>10/12/2025 07:30</t>
  </si>
  <si>
    <t>10/12/2025 07:45</t>
  </si>
  <si>
    <t>10/12/2025 08:00</t>
  </si>
  <si>
    <t>10/12/2025 08:15</t>
  </si>
  <si>
    <t>10/12/2025 08:30</t>
  </si>
  <si>
    <t>10/12/2025 08:45</t>
  </si>
  <si>
    <t>10/12/2025 09:00</t>
  </si>
  <si>
    <t>10/12/2025 09:15</t>
  </si>
  <si>
    <t>10/12/2025 09:30</t>
  </si>
  <si>
    <t>10/12/2025 09:45</t>
  </si>
  <si>
    <t>10/12/2025 10:00</t>
  </si>
  <si>
    <t>10/12/2025 10:15</t>
  </si>
  <si>
    <t>10/12/2025 10:30</t>
  </si>
  <si>
    <t>10/12/2025 10:45</t>
  </si>
  <si>
    <t>10/12/2025 11:00</t>
  </si>
  <si>
    <t>10/12/2025 11:15</t>
  </si>
  <si>
    <t>10/12/2025 11:30</t>
  </si>
  <si>
    <t>10/12/2025 11:45</t>
  </si>
  <si>
    <t>10/12/2025 12:00</t>
  </si>
  <si>
    <t>10/12/2025 12:15</t>
  </si>
  <si>
    <t>10/12/2025 12:30</t>
  </si>
  <si>
    <t>10/12/2025 12:45</t>
  </si>
  <si>
    <t>10/12/2025 13:00</t>
  </si>
  <si>
    <t>10/12/2025 13:15</t>
  </si>
  <si>
    <t>10/12/2025 13:30</t>
  </si>
  <si>
    <t>10/12/2025 13:45</t>
  </si>
  <si>
    <t>10/12/2025 14:00</t>
  </si>
  <si>
    <t>10/12/2025 14:15</t>
  </si>
  <si>
    <t>10/12/2025 14:30</t>
  </si>
  <si>
    <t>10/12/2025 14:45</t>
  </si>
  <si>
    <t>10/12/2025 15:00</t>
  </si>
  <si>
    <t>10/12/2025 15:15</t>
  </si>
  <si>
    <t>10/12/2025 15:30</t>
  </si>
  <si>
    <t>10/12/2025 15:45</t>
  </si>
  <si>
    <t>10/12/2025 16:00</t>
  </si>
  <si>
    <t>10/12/2025 16:15</t>
  </si>
  <si>
    <t>10/12/2025 16:30</t>
  </si>
  <si>
    <t>10/12/2025 16:45</t>
  </si>
  <si>
    <t>10/12/2025 17:00</t>
  </si>
  <si>
    <t>10/12/2025 17:15</t>
  </si>
  <si>
    <t>10/12/2025 17:30</t>
  </si>
  <si>
    <t>10/12/2025 17:45</t>
  </si>
  <si>
    <t>10/12/2025 18:00</t>
  </si>
  <si>
    <t>10/12/2025 18:15</t>
  </si>
  <si>
    <t>10/12/2025 18:30</t>
  </si>
  <si>
    <t>10/12/2025 18:45</t>
  </si>
  <si>
    <t>10/12/2025 19:00</t>
  </si>
  <si>
    <t>10/12/2025 19:15</t>
  </si>
  <si>
    <t>10/12/2025 19:30</t>
  </si>
  <si>
    <t>10/12/2025 19:45</t>
  </si>
  <si>
    <t>10/12/2025 20:00</t>
  </si>
  <si>
    <t>10/12/2025 20:15</t>
  </si>
  <si>
    <t>10/12/2025 20:30</t>
  </si>
  <si>
    <t>10/12/2025 20:45</t>
  </si>
  <si>
    <t>10/12/2025 21:00</t>
  </si>
  <si>
    <t>10/12/2025 21:15</t>
  </si>
  <si>
    <t>10/12/2025 21:30</t>
  </si>
  <si>
    <t>10/12/2025 21:45</t>
  </si>
  <si>
    <t>10/12/2025 22:00</t>
  </si>
  <si>
    <t>10/12/2025 22:15</t>
  </si>
  <si>
    <t>10/12/2025 22:30</t>
  </si>
  <si>
    <t>10/12/2025 22:45</t>
  </si>
  <si>
    <t>10/12/2025 23:00</t>
  </si>
  <si>
    <t>10/12/2025 23:15</t>
  </si>
  <si>
    <t>10/12/2025 23:30</t>
  </si>
  <si>
    <t>10/12/2025 23:45</t>
  </si>
  <si>
    <t>10/12/2025 24:00</t>
  </si>
  <si>
    <t>11/12/2025 00:15</t>
  </si>
  <si>
    <t>11/12/2025 00:30</t>
  </si>
  <si>
    <t>11/12/2025 00:45</t>
  </si>
  <si>
    <t>11/12/2025 01:00</t>
  </si>
  <si>
    <t>11/12/2025 01:15</t>
  </si>
  <si>
    <t>11/12/2025 01:30</t>
  </si>
  <si>
    <t>11/12/2025 01:45</t>
  </si>
  <si>
    <t>11/12/2025 02:00</t>
  </si>
  <si>
    <t>11/12/2025 02:15</t>
  </si>
  <si>
    <t>11/12/2025 02:30</t>
  </si>
  <si>
    <t>11/12/2025 02:45</t>
  </si>
  <si>
    <t>11/12/2025 03:00</t>
  </si>
  <si>
    <t>11/12/2025 03:15</t>
  </si>
  <si>
    <t>11/12/2025 03:30</t>
  </si>
  <si>
    <t>11/12/2025 03:45</t>
  </si>
  <si>
    <t>11/12/2025 04:00</t>
  </si>
  <si>
    <t>11/12/2025 04:15</t>
  </si>
  <si>
    <t>11/12/2025 04:30</t>
  </si>
  <si>
    <t>11/12/2025 04:45</t>
  </si>
  <si>
    <t>11/12/2025 05:00</t>
  </si>
  <si>
    <t>11/12/2025 05:15</t>
  </si>
  <si>
    <t>11/12/2025 05:30</t>
  </si>
  <si>
    <t>11/12/2025 05:45</t>
  </si>
  <si>
    <t>11/12/2025 06:00</t>
  </si>
  <si>
    <t>11/12/2025 06:15</t>
  </si>
  <si>
    <t>11/12/2025 06:30</t>
  </si>
  <si>
    <t>11/12/2025 06:45</t>
  </si>
  <si>
    <t>11/12/2025 07:00</t>
  </si>
  <si>
    <t>11/12/2025 07:15</t>
  </si>
  <si>
    <t>11/12/2025 07:30</t>
  </si>
  <si>
    <t>11/12/2025 07:45</t>
  </si>
  <si>
    <t>11/12/2025 08:00</t>
  </si>
  <si>
    <t>11/12/2025 08:15</t>
  </si>
  <si>
    <t>11/12/2025 08:30</t>
  </si>
  <si>
    <t>11/12/2025 08:45</t>
  </si>
  <si>
    <t>11/12/2025 09:00</t>
  </si>
  <si>
    <t>11/12/2025 09:15</t>
  </si>
  <si>
    <t>11/12/2025 09:30</t>
  </si>
  <si>
    <t>11/12/2025 09:45</t>
  </si>
  <si>
    <t>11/12/2025 10:00</t>
  </si>
  <si>
    <t>11/12/2025 10:15</t>
  </si>
  <si>
    <t>11/12/2025 10:30</t>
  </si>
  <si>
    <t>11/12/2025 10:45</t>
  </si>
  <si>
    <t>11/12/2025 11:00</t>
  </si>
  <si>
    <t>11/12/2025 11:15</t>
  </si>
  <si>
    <t>11/12/2025 11:30</t>
  </si>
  <si>
    <t>11/12/2025 11:45</t>
  </si>
  <si>
    <t>11/12/2025 12:00</t>
  </si>
  <si>
    <t>11/12/2025 12:15</t>
  </si>
  <si>
    <t>11/12/2025 12:30</t>
  </si>
  <si>
    <t>11/12/2025 12:45</t>
  </si>
  <si>
    <t>11/12/2025 13:00</t>
  </si>
  <si>
    <t>11/12/2025 13:15</t>
  </si>
  <si>
    <t>11/12/2025 13:30</t>
  </si>
  <si>
    <t>11/12/2025 13:45</t>
  </si>
  <si>
    <t>11/12/2025 14:00</t>
  </si>
  <si>
    <t>11/12/2025 14:15</t>
  </si>
  <si>
    <t>11/12/2025 14:30</t>
  </si>
  <si>
    <t>11/12/2025 14:45</t>
  </si>
  <si>
    <t>11/12/2025 15:00</t>
  </si>
  <si>
    <t>11/12/2025 15:15</t>
  </si>
  <si>
    <t>11/12/2025 15:30</t>
  </si>
  <si>
    <t>11/12/2025 15:45</t>
  </si>
  <si>
    <t>11/12/2025 16:00</t>
  </si>
  <si>
    <t>11/12/2025 16:15</t>
  </si>
  <si>
    <t>11/12/2025 16:30</t>
  </si>
  <si>
    <t>11/12/2025 16:45</t>
  </si>
  <si>
    <t>11/12/2025 17:00</t>
  </si>
  <si>
    <t>11/12/2025 17:15</t>
  </si>
  <si>
    <t>11/12/2025 17:30</t>
  </si>
  <si>
    <t>11/12/2025 17:45</t>
  </si>
  <si>
    <t>11/12/2025 18:00</t>
  </si>
  <si>
    <t>11/12/2025 18:15</t>
  </si>
  <si>
    <t>11/12/2025 18:30</t>
  </si>
  <si>
    <t>11/12/2025 18:45</t>
  </si>
  <si>
    <t>11/12/2025 19:00</t>
  </si>
  <si>
    <t>11/12/2025 19:15</t>
  </si>
  <si>
    <t>11/12/2025 19:30</t>
  </si>
  <si>
    <t>11/12/2025 19:45</t>
  </si>
  <si>
    <t>11/12/2025 20:00</t>
  </si>
  <si>
    <t>11/12/2025 20:15</t>
  </si>
  <si>
    <t>11/12/2025 20:30</t>
  </si>
  <si>
    <t>11/12/2025 20:45</t>
  </si>
  <si>
    <t>11/12/2025 21:00</t>
  </si>
  <si>
    <t>11/12/2025 21:15</t>
  </si>
  <si>
    <t>11/12/2025 21:30</t>
  </si>
  <si>
    <t>11/12/2025 21:45</t>
  </si>
  <si>
    <t>11/12/2025 22:00</t>
  </si>
  <si>
    <t>11/12/2025 22:15</t>
  </si>
  <si>
    <t>11/12/2025 22:30</t>
  </si>
  <si>
    <t>11/12/2025 22:45</t>
  </si>
  <si>
    <t>11/12/2025 23:00</t>
  </si>
  <si>
    <t>11/12/2025 23:15</t>
  </si>
  <si>
    <t>11/12/2025 23:30</t>
  </si>
  <si>
    <t>11/12/2025 23:45</t>
  </si>
  <si>
    <t>11/12/2025 24:00</t>
  </si>
  <si>
    <t>12/12/2025 00:15</t>
  </si>
  <si>
    <t>12/12/2025 00:30</t>
  </si>
  <si>
    <t>12/12/2025 00:45</t>
  </si>
  <si>
    <t>12/12/2025 01:00</t>
  </si>
  <si>
    <t>12/12/2025 01:15</t>
  </si>
  <si>
    <t>12/12/2025 01:30</t>
  </si>
  <si>
    <t>12/12/2025 01:45</t>
  </si>
  <si>
    <t>12/12/2025 02:00</t>
  </si>
  <si>
    <t>12/12/2025 02:15</t>
  </si>
  <si>
    <t>12/12/2025 02:30</t>
  </si>
  <si>
    <t>12/12/2025 02:45</t>
  </si>
  <si>
    <t>12/12/2025 03:00</t>
  </si>
  <si>
    <t>12/12/2025 03:15</t>
  </si>
  <si>
    <t>12/12/2025 03:30</t>
  </si>
  <si>
    <t>12/12/2025 03:45</t>
  </si>
  <si>
    <t>12/12/2025 04:00</t>
  </si>
  <si>
    <t>12/12/2025 04:15</t>
  </si>
  <si>
    <t>12/12/2025 04:30</t>
  </si>
  <si>
    <t>12/12/2025 04:45</t>
  </si>
  <si>
    <t>12/12/2025 05:00</t>
  </si>
  <si>
    <t>12/12/2025 05:15</t>
  </si>
  <si>
    <t>12/12/2025 05:30</t>
  </si>
  <si>
    <t>12/12/2025 05:45</t>
  </si>
  <si>
    <t>12/12/2025 06:00</t>
  </si>
  <si>
    <t>12/12/2025 06:15</t>
  </si>
  <si>
    <t>12/12/2025 06:30</t>
  </si>
  <si>
    <t>12/12/2025 06:45</t>
  </si>
  <si>
    <t>12/12/2025 07:00</t>
  </si>
  <si>
    <t>12/12/2025 07:15</t>
  </si>
  <si>
    <t>12/12/2025 07:30</t>
  </si>
  <si>
    <t>12/12/2025 07:45</t>
  </si>
  <si>
    <t>12/12/2025 08:00</t>
  </si>
  <si>
    <t>12/12/2025 08:15</t>
  </si>
  <si>
    <t>12/12/2025 08:30</t>
  </si>
  <si>
    <t>12/12/2025 08:45</t>
  </si>
  <si>
    <t>12/12/2025 09:00</t>
  </si>
  <si>
    <t>12/12/2025 09:15</t>
  </si>
  <si>
    <t>12/12/2025 09:30</t>
  </si>
  <si>
    <t>12/12/2025 09:45</t>
  </si>
  <si>
    <t>12/12/2025 10:00</t>
  </si>
  <si>
    <t>12/12/2025 10:15</t>
  </si>
  <si>
    <t>12/12/2025 10:30</t>
  </si>
  <si>
    <t>12/12/2025 10:45</t>
  </si>
  <si>
    <t>12/12/2025 11:00</t>
  </si>
  <si>
    <t>12/12/2025 11:15</t>
  </si>
  <si>
    <t>12/12/2025 11:30</t>
  </si>
  <si>
    <t>12/12/2025 11:45</t>
  </si>
  <si>
    <t>12/12/2025 12:00</t>
  </si>
  <si>
    <t>12/12/2025 12:15</t>
  </si>
  <si>
    <t>12/12/2025 12:30</t>
  </si>
  <si>
    <t>12/12/2025 12:45</t>
  </si>
  <si>
    <t>12/12/2025 13:00</t>
  </si>
  <si>
    <t>12/12/2025 13:15</t>
  </si>
  <si>
    <t>12/12/2025 13:30</t>
  </si>
  <si>
    <t>12/12/2025 13:45</t>
  </si>
  <si>
    <t>12/12/2025 14:00</t>
  </si>
  <si>
    <t>12/12/2025 14:15</t>
  </si>
  <si>
    <t>12/12/2025 14:30</t>
  </si>
  <si>
    <t>12/12/2025 14:45</t>
  </si>
  <si>
    <t>12/12/2025 15:00</t>
  </si>
  <si>
    <t>12/12/2025 15:15</t>
  </si>
  <si>
    <t>12/12/2025 15:30</t>
  </si>
  <si>
    <t>12/12/2025 15:45</t>
  </si>
  <si>
    <t>12/12/2025 16:00</t>
  </si>
  <si>
    <t>12/12/2025 16:15</t>
  </si>
  <si>
    <t>12/12/2025 16:30</t>
  </si>
  <si>
    <t>12/12/2025 16:45</t>
  </si>
  <si>
    <t>12/12/2025 17:00</t>
  </si>
  <si>
    <t>12/12/2025 17:15</t>
  </si>
  <si>
    <t>12/12/2025 17:30</t>
  </si>
  <si>
    <t>12/12/2025 17:45</t>
  </si>
  <si>
    <t>12/12/2025 18:00</t>
  </si>
  <si>
    <t>12/12/2025 18:15</t>
  </si>
  <si>
    <t>12/12/2025 18:30</t>
  </si>
  <si>
    <t>12/12/2025 18:45</t>
  </si>
  <si>
    <t>12/12/2025 19:00</t>
  </si>
  <si>
    <t>12/12/2025 19:15</t>
  </si>
  <si>
    <t>12/12/2025 19:30</t>
  </si>
  <si>
    <t>12/12/2025 19:45</t>
  </si>
  <si>
    <t>12/12/2025 20:00</t>
  </si>
  <si>
    <t>12/12/2025 20:15</t>
  </si>
  <si>
    <t>12/12/2025 20:30</t>
  </si>
  <si>
    <t>12/12/2025 20:45</t>
  </si>
  <si>
    <t>12/12/2025 21:00</t>
  </si>
  <si>
    <t>12/12/2025 21:15</t>
  </si>
  <si>
    <t>12/12/2025 21:30</t>
  </si>
  <si>
    <t>12/12/2025 21:45</t>
  </si>
  <si>
    <t>12/12/2025 22:00</t>
  </si>
  <si>
    <t>12/12/2025 22:15</t>
  </si>
  <si>
    <t>12/12/2025 22:30</t>
  </si>
  <si>
    <t>12/12/2025 22:45</t>
  </si>
  <si>
    <t>12/12/2025 23:00</t>
  </si>
  <si>
    <t>12/12/2025 23:15</t>
  </si>
  <si>
    <t>12/12/2025 23:30</t>
  </si>
  <si>
    <t>12/12/2025 23:45</t>
  </si>
  <si>
    <t>12/12/2025 24:00</t>
  </si>
  <si>
    <t>13/12/2025 00:15</t>
  </si>
  <si>
    <t>13/12/2025 00:30</t>
  </si>
  <si>
    <t>13/12/2025 00:45</t>
  </si>
  <si>
    <t>13/12/2025 01:00</t>
  </si>
  <si>
    <t>13/12/2025 01:15</t>
  </si>
  <si>
    <t>13/12/2025 01:30</t>
  </si>
  <si>
    <t>13/12/2025 01:45</t>
  </si>
  <si>
    <t>13/12/2025 02:00</t>
  </si>
  <si>
    <t>13/12/2025 02:15</t>
  </si>
  <si>
    <t>13/12/2025 02:30</t>
  </si>
  <si>
    <t>13/12/2025 02:45</t>
  </si>
  <si>
    <t>13/12/2025 03:00</t>
  </si>
  <si>
    <t>13/12/2025 03:15</t>
  </si>
  <si>
    <t>13/12/2025 03:30</t>
  </si>
  <si>
    <t>13/12/2025 03:45</t>
  </si>
  <si>
    <t>13/12/2025 04:00</t>
  </si>
  <si>
    <t>13/12/2025 04:15</t>
  </si>
  <si>
    <t>13/12/2025 04:30</t>
  </si>
  <si>
    <t>13/12/2025 04:45</t>
  </si>
  <si>
    <t>13/12/2025 05:00</t>
  </si>
  <si>
    <t>13/12/2025 05:15</t>
  </si>
  <si>
    <t>13/12/2025 05:30</t>
  </si>
  <si>
    <t>13/12/2025 05:45</t>
  </si>
  <si>
    <t>13/12/2025 06:00</t>
  </si>
  <si>
    <t>13/12/2025 06:15</t>
  </si>
  <si>
    <t>13/12/2025 06:30</t>
  </si>
  <si>
    <t>13/12/2025 06:45</t>
  </si>
  <si>
    <t>13/12/2025 07:00</t>
  </si>
  <si>
    <t>13/12/2025 07:15</t>
  </si>
  <si>
    <t>13/12/2025 07:30</t>
  </si>
  <si>
    <t>13/12/2025 07:45</t>
  </si>
  <si>
    <t>13/12/2025 08:00</t>
  </si>
  <si>
    <t>13/12/2025 08:15</t>
  </si>
  <si>
    <t>13/12/2025 08:30</t>
  </si>
  <si>
    <t>13/12/2025 08:45</t>
  </si>
  <si>
    <t>13/12/2025 09:00</t>
  </si>
  <si>
    <t>13/12/2025 09:15</t>
  </si>
  <si>
    <t>13/12/2025 09:30</t>
  </si>
  <si>
    <t>13/12/2025 09:45</t>
  </si>
  <si>
    <t>13/12/2025 10:00</t>
  </si>
  <si>
    <t>13/12/2025 10:15</t>
  </si>
  <si>
    <t>13/12/2025 10:30</t>
  </si>
  <si>
    <t>13/12/2025 10:45</t>
  </si>
  <si>
    <t>13/12/2025 11:00</t>
  </si>
  <si>
    <t>13/12/2025 11:15</t>
  </si>
  <si>
    <t>13/12/2025 11:30</t>
  </si>
  <si>
    <t>13/12/2025 11:45</t>
  </si>
  <si>
    <t>13/12/2025 12:00</t>
  </si>
  <si>
    <t>13/12/2025 12:15</t>
  </si>
  <si>
    <t>13/12/2025 12:30</t>
  </si>
  <si>
    <t>13/12/2025 12:45</t>
  </si>
  <si>
    <t>13/12/2025 13:00</t>
  </si>
  <si>
    <t>13/12/2025 13:15</t>
  </si>
  <si>
    <t>13/12/2025 13:30</t>
  </si>
  <si>
    <t>13/12/2025 13:45</t>
  </si>
  <si>
    <t>13/12/2025 14:00</t>
  </si>
  <si>
    <t>13/12/2025 14:15</t>
  </si>
  <si>
    <t>13/12/2025 14:30</t>
  </si>
  <si>
    <t>13/12/2025 14:45</t>
  </si>
  <si>
    <t>13/12/2025 15:00</t>
  </si>
  <si>
    <t>13/12/2025 15:15</t>
  </si>
  <si>
    <t>13/12/2025 15:30</t>
  </si>
  <si>
    <t>13/12/2025 15:45</t>
  </si>
  <si>
    <t>13/12/2025 16:00</t>
  </si>
  <si>
    <t>13/12/2025 16:15</t>
  </si>
  <si>
    <t>13/12/2025 16:30</t>
  </si>
  <si>
    <t>13/12/2025 16:45</t>
  </si>
  <si>
    <t>13/12/2025 17:00</t>
  </si>
  <si>
    <t>13/12/2025 17:15</t>
  </si>
  <si>
    <t>13/12/2025 17:30</t>
  </si>
  <si>
    <t>13/12/2025 17:45</t>
  </si>
  <si>
    <t>13/12/2025 18:00</t>
  </si>
  <si>
    <t>13/12/2025 18:15</t>
  </si>
  <si>
    <t>13/12/2025 18:30</t>
  </si>
  <si>
    <t>13/12/2025 18:45</t>
  </si>
  <si>
    <t>13/12/2025 19:00</t>
  </si>
  <si>
    <t>13/12/2025 19:15</t>
  </si>
  <si>
    <t>13/12/2025 19:30</t>
  </si>
  <si>
    <t>13/12/2025 19:45</t>
  </si>
  <si>
    <t>13/12/2025 20:00</t>
  </si>
  <si>
    <t>13/12/2025 20:15</t>
  </si>
  <si>
    <t>13/12/2025 20:30</t>
  </si>
  <si>
    <t>13/12/2025 20:45</t>
  </si>
  <si>
    <t>13/12/2025 21:00</t>
  </si>
  <si>
    <t>13/12/2025 21:15</t>
  </si>
  <si>
    <t>13/12/2025 21:30</t>
  </si>
  <si>
    <t>13/12/2025 21:45</t>
  </si>
  <si>
    <t>13/12/2025 22:00</t>
  </si>
  <si>
    <t>13/12/2025 22:15</t>
  </si>
  <si>
    <t>13/12/2025 22:30</t>
  </si>
  <si>
    <t>13/12/2025 22:45</t>
  </si>
  <si>
    <t>13/12/2025 23:00</t>
  </si>
  <si>
    <t>13/12/2025 23:15</t>
  </si>
  <si>
    <t>13/12/2025 23:30</t>
  </si>
  <si>
    <t>13/12/2025 23:45</t>
  </si>
  <si>
    <t>13/12/2025 24:00</t>
  </si>
  <si>
    <t>14/12/2025 00:15</t>
  </si>
  <si>
    <t>14/12/2025 00:30</t>
  </si>
  <si>
    <t>14/12/2025 00:45</t>
  </si>
  <si>
    <t>14/12/2025 01:00</t>
  </si>
  <si>
    <t>14/12/2025 01:15</t>
  </si>
  <si>
    <t>14/12/2025 01:30</t>
  </si>
  <si>
    <t>14/12/2025 01:45</t>
  </si>
  <si>
    <t>14/12/2025 02:00</t>
  </si>
  <si>
    <t>14/12/2025 02:15</t>
  </si>
  <si>
    <t>14/12/2025 02:30</t>
  </si>
  <si>
    <t>14/12/2025 02:45</t>
  </si>
  <si>
    <t>14/12/2025 03:00</t>
  </si>
  <si>
    <t>14/12/2025 03:15</t>
  </si>
  <si>
    <t>14/12/2025 03:30</t>
  </si>
  <si>
    <t>14/12/2025 03:45</t>
  </si>
  <si>
    <t>14/12/2025 04:00</t>
  </si>
  <si>
    <t>14/12/2025 04:15</t>
  </si>
  <si>
    <t>14/12/2025 04:30</t>
  </si>
  <si>
    <t>14/12/2025 04:45</t>
  </si>
  <si>
    <t>14/12/2025 05:00</t>
  </si>
  <si>
    <t>14/12/2025 05:15</t>
  </si>
  <si>
    <t>14/12/2025 05:30</t>
  </si>
  <si>
    <t>14/12/2025 05:45</t>
  </si>
  <si>
    <t>14/12/2025 06:00</t>
  </si>
  <si>
    <t>14/12/2025 06:15</t>
  </si>
  <si>
    <t>14/12/2025 06:30</t>
  </si>
  <si>
    <t>14/12/2025 06:45</t>
  </si>
  <si>
    <t>14/12/2025 07:00</t>
  </si>
  <si>
    <t>14/12/2025 07:15</t>
  </si>
  <si>
    <t>14/12/2025 07:30</t>
  </si>
  <si>
    <t>14/12/2025 07:45</t>
  </si>
  <si>
    <t>14/12/2025 08:00</t>
  </si>
  <si>
    <t>14/12/2025 08:15</t>
  </si>
  <si>
    <t>14/12/2025 08:30</t>
  </si>
  <si>
    <t>14/12/2025 08:45</t>
  </si>
  <si>
    <t>14/12/2025 09:00</t>
  </si>
  <si>
    <t>14/12/2025 09:15</t>
  </si>
  <si>
    <t>14/12/2025 09:30</t>
  </si>
  <si>
    <t>14/12/2025 09:45</t>
  </si>
  <si>
    <t>14/12/2025 10:00</t>
  </si>
  <si>
    <t>14/12/2025 10:15</t>
  </si>
  <si>
    <t>14/12/2025 10:30</t>
  </si>
  <si>
    <t>14/12/2025 10:45</t>
  </si>
  <si>
    <t>14/12/2025 11:00</t>
  </si>
  <si>
    <t>14/12/2025 11:15</t>
  </si>
  <si>
    <t>14/12/2025 11:30</t>
  </si>
  <si>
    <t>14/12/2025 11:45</t>
  </si>
  <si>
    <t>14/12/2025 12:00</t>
  </si>
  <si>
    <t>14/12/2025 12:15</t>
  </si>
  <si>
    <t>14/12/2025 12:30</t>
  </si>
  <si>
    <t>14/12/2025 12:45</t>
  </si>
  <si>
    <t>14/12/2025 13:00</t>
  </si>
  <si>
    <t>14/12/2025 13:15</t>
  </si>
  <si>
    <t>14/12/2025 13:30</t>
  </si>
  <si>
    <t>14/12/2025 13:45</t>
  </si>
  <si>
    <t>14/12/2025 14:00</t>
  </si>
  <si>
    <t>14/12/2025 14:15</t>
  </si>
  <si>
    <t>14/12/2025 14:30</t>
  </si>
  <si>
    <t>14/12/2025 14:45</t>
  </si>
  <si>
    <t>14/12/2025 15:00</t>
  </si>
  <si>
    <t>14/12/2025 15:15</t>
  </si>
  <si>
    <t>14/12/2025 15:30</t>
  </si>
  <si>
    <t>14/12/2025 15:45</t>
  </si>
  <si>
    <t>14/12/2025 16:00</t>
  </si>
  <si>
    <t>14/12/2025 16:15</t>
  </si>
  <si>
    <t>14/12/2025 16:30</t>
  </si>
  <si>
    <t>14/12/2025 16:45</t>
  </si>
  <si>
    <t>14/12/2025 17:00</t>
  </si>
  <si>
    <t>14/12/2025 17:15</t>
  </si>
  <si>
    <t>14/12/2025 17:30</t>
  </si>
  <si>
    <t>14/12/2025 17:45</t>
  </si>
  <si>
    <t>14/12/2025 18:00</t>
  </si>
  <si>
    <t>14/12/2025 18:15</t>
  </si>
  <si>
    <t>14/12/2025 18:30</t>
  </si>
  <si>
    <t>14/12/2025 18:45</t>
  </si>
  <si>
    <t>14/12/2025 19:00</t>
  </si>
  <si>
    <t>14/12/2025 19:15</t>
  </si>
  <si>
    <t>14/12/2025 19:30</t>
  </si>
  <si>
    <t>14/12/2025 19:45</t>
  </si>
  <si>
    <t>14/12/2025 20:00</t>
  </si>
  <si>
    <t>14/12/2025 20:15</t>
  </si>
  <si>
    <t>14/12/2025 20:30</t>
  </si>
  <si>
    <t>14/12/2025 20:45</t>
  </si>
  <si>
    <t>14/12/2025 21:00</t>
  </si>
  <si>
    <t>14/12/2025 21:15</t>
  </si>
  <si>
    <t>14/12/2025 21:30</t>
  </si>
  <si>
    <t>14/12/2025 21:45</t>
  </si>
  <si>
    <t>14/12/2025 22:00</t>
  </si>
  <si>
    <t>14/12/2025 22:15</t>
  </si>
  <si>
    <t>14/12/2025 22:30</t>
  </si>
  <si>
    <t>14/12/2025 22:45</t>
  </si>
  <si>
    <t>14/12/2025 23:00</t>
  </si>
  <si>
    <t>14/12/2025 23:15</t>
  </si>
  <si>
    <t>14/12/2025 23:30</t>
  </si>
  <si>
    <t>14/12/2025 23:45</t>
  </si>
  <si>
    <t>14/12/2025 24:00</t>
  </si>
  <si>
    <t>15/12/2025 00:15</t>
  </si>
  <si>
    <t>15/12/2025 00:30</t>
  </si>
  <si>
    <t>15/12/2025 00:45</t>
  </si>
  <si>
    <t>15/12/2025 01:00</t>
  </si>
  <si>
    <t>15/12/2025 01:15</t>
  </si>
  <si>
    <t>15/12/2025 01:30</t>
  </si>
  <si>
    <t>15/12/2025 01:45</t>
  </si>
  <si>
    <t>15/12/2025 02:00</t>
  </si>
  <si>
    <t>15/12/2025 02:15</t>
  </si>
  <si>
    <t>15/12/2025 02:30</t>
  </si>
  <si>
    <t>15/12/2025 02:45</t>
  </si>
  <si>
    <t>15/12/2025 03:00</t>
  </si>
  <si>
    <t>15/12/2025 03:15</t>
  </si>
  <si>
    <t>15/12/2025 03:30</t>
  </si>
  <si>
    <t>15/12/2025 03:45</t>
  </si>
  <si>
    <t>15/12/2025 04:00</t>
  </si>
  <si>
    <t>15/12/2025 04:15</t>
  </si>
  <si>
    <t>15/12/2025 04:30</t>
  </si>
  <si>
    <t>15/12/2025 04:45</t>
  </si>
  <si>
    <t>15/12/2025 05:00</t>
  </si>
  <si>
    <t>15/12/2025 05:15</t>
  </si>
  <si>
    <t>15/12/2025 05:30</t>
  </si>
  <si>
    <t>15/12/2025 05:45</t>
  </si>
  <si>
    <t>15/12/2025 06:00</t>
  </si>
  <si>
    <t>15/12/2025 06:15</t>
  </si>
  <si>
    <t>15/12/2025 06:30</t>
  </si>
  <si>
    <t>15/12/2025 06:45</t>
  </si>
  <si>
    <t>15/12/2025 07:00</t>
  </si>
  <si>
    <t>15/12/2025 07:15</t>
  </si>
  <si>
    <t>15/12/2025 07:30</t>
  </si>
  <si>
    <t>15/12/2025 07:45</t>
  </si>
  <si>
    <t>15/12/2025 08:00</t>
  </si>
  <si>
    <t>15/12/2025 08:15</t>
  </si>
  <si>
    <t>15/12/2025 08:30</t>
  </si>
  <si>
    <t>15/12/2025 08:45</t>
  </si>
  <si>
    <t>15/12/2025 09:00</t>
  </si>
  <si>
    <t>15/12/2025 09:15</t>
  </si>
  <si>
    <t>15/12/2025 09:30</t>
  </si>
  <si>
    <t>15/12/2025 09:45</t>
  </si>
  <si>
    <t>15/12/2025 10:00</t>
  </si>
  <si>
    <t>15/12/2025 10:15</t>
  </si>
  <si>
    <t>15/12/2025 10:30</t>
  </si>
  <si>
    <t>15/12/2025 10:45</t>
  </si>
  <si>
    <t>15/12/2025 11:00</t>
  </si>
  <si>
    <t>15/12/2025 11:15</t>
  </si>
  <si>
    <t>15/12/2025 11:30</t>
  </si>
  <si>
    <t>15/12/2025 11:45</t>
  </si>
  <si>
    <t>15/12/2025 12:00</t>
  </si>
  <si>
    <t>15/12/2025 12:15</t>
  </si>
  <si>
    <t>15/12/2025 12:30</t>
  </si>
  <si>
    <t>15/12/2025 12:45</t>
  </si>
  <si>
    <t>15/12/2025 13:00</t>
  </si>
  <si>
    <t>15/12/2025 13:15</t>
  </si>
  <si>
    <t>15/12/2025 13:30</t>
  </si>
  <si>
    <t>15/12/2025 13:45</t>
  </si>
  <si>
    <t>15/12/2025 14:00</t>
  </si>
  <si>
    <t>15/12/2025 14:15</t>
  </si>
  <si>
    <t>15/12/2025 14:30</t>
  </si>
  <si>
    <t>15/12/2025 14:45</t>
  </si>
  <si>
    <t>15/12/2025 15:00</t>
  </si>
  <si>
    <t>15/12/2025 15:15</t>
  </si>
  <si>
    <t>15/12/2025 15:30</t>
  </si>
  <si>
    <t>15/12/2025 15:45</t>
  </si>
  <si>
    <t>15/12/2025 16:00</t>
  </si>
  <si>
    <t>15/12/2025 16:15</t>
  </si>
  <si>
    <t>15/12/2025 16:30</t>
  </si>
  <si>
    <t>15/12/2025 16:45</t>
  </si>
  <si>
    <t>15/12/2025 17:00</t>
  </si>
  <si>
    <t>15/12/2025 17:15</t>
  </si>
  <si>
    <t>15/12/2025 17:30</t>
  </si>
  <si>
    <t>15/12/2025 17:45</t>
  </si>
  <si>
    <t>15/12/2025 18:00</t>
  </si>
  <si>
    <t>15/12/2025 18:15</t>
  </si>
  <si>
    <t>15/12/2025 18:30</t>
  </si>
  <si>
    <t>15/12/2025 18:45</t>
  </si>
  <si>
    <t>15/12/2025 19:00</t>
  </si>
  <si>
    <t>15/12/2025 19:15</t>
  </si>
  <si>
    <t>15/12/2025 19:30</t>
  </si>
  <si>
    <t>15/12/2025 19:45</t>
  </si>
  <si>
    <t>15/12/2025 20:00</t>
  </si>
  <si>
    <t>15/12/2025 20:15</t>
  </si>
  <si>
    <t>15/12/2025 20:30</t>
  </si>
  <si>
    <t>15/12/2025 20:45</t>
  </si>
  <si>
    <t>15/12/2025 21:00</t>
  </si>
  <si>
    <t>15/12/2025 21:15</t>
  </si>
  <si>
    <t>15/12/2025 21:30</t>
  </si>
  <si>
    <t>15/12/2025 21:45</t>
  </si>
  <si>
    <t>15/12/2025 22:00</t>
  </si>
  <si>
    <t>15/12/2025 22:15</t>
  </si>
  <si>
    <t>15/12/2025 22:30</t>
  </si>
  <si>
    <t>15/12/2025 22:45</t>
  </si>
  <si>
    <t>15/12/2025 23:00</t>
  </si>
  <si>
    <t>15/12/2025 23:15</t>
  </si>
  <si>
    <t>15/12/2025 23:30</t>
  </si>
  <si>
    <t>15/12/2025 23:45</t>
  </si>
  <si>
    <t>15/12/2025 24:00</t>
  </si>
  <si>
    <t>16/12/2025 00:15</t>
  </si>
  <si>
    <t>16/12/2025 00:30</t>
  </si>
  <si>
    <t>16/12/2025 00:45</t>
  </si>
  <si>
    <t>16/12/2025 01:00</t>
  </si>
  <si>
    <t>16/12/2025 01:15</t>
  </si>
  <si>
    <t>16/12/2025 01:30</t>
  </si>
  <si>
    <t>16/12/2025 01:45</t>
  </si>
  <si>
    <t>16/12/2025 02:00</t>
  </si>
  <si>
    <t>16/12/2025 02:15</t>
  </si>
  <si>
    <t>16/12/2025 02:30</t>
  </si>
  <si>
    <t>16/12/2025 02:45</t>
  </si>
  <si>
    <t>16/12/2025 03:00</t>
  </si>
  <si>
    <t>16/12/2025 03:15</t>
  </si>
  <si>
    <t>16/12/2025 03:30</t>
  </si>
  <si>
    <t>16/12/2025 03:45</t>
  </si>
  <si>
    <t>16/12/2025 04:00</t>
  </si>
  <si>
    <t>16/12/2025 04:15</t>
  </si>
  <si>
    <t>16/12/2025 04:30</t>
  </si>
  <si>
    <t>16/12/2025 04:45</t>
  </si>
  <si>
    <t>16/12/2025 05:00</t>
  </si>
  <si>
    <t>16/12/2025 05:15</t>
  </si>
  <si>
    <t>16/12/2025 05:30</t>
  </si>
  <si>
    <t>16/12/2025 05:45</t>
  </si>
  <si>
    <t>16/12/2025 06:00</t>
  </si>
  <si>
    <t>16/12/2025 06:15</t>
  </si>
  <si>
    <t>16/12/2025 06:30</t>
  </si>
  <si>
    <t>16/12/2025 06:45</t>
  </si>
  <si>
    <t>16/12/2025 07:00</t>
  </si>
  <si>
    <t>16/12/2025 07:15</t>
  </si>
  <si>
    <t>16/12/2025 07:30</t>
  </si>
  <si>
    <t>16/12/2025 07:45</t>
  </si>
  <si>
    <t>16/12/2025 08:00</t>
  </si>
  <si>
    <t>16/12/2025 08:15</t>
  </si>
  <si>
    <t>16/12/2025 08:30</t>
  </si>
  <si>
    <t>16/12/2025 08:45</t>
  </si>
  <si>
    <t>16/12/2025 09:00</t>
  </si>
  <si>
    <t>16/12/2025 09:15</t>
  </si>
  <si>
    <t>16/12/2025 09:30</t>
  </si>
  <si>
    <t>16/12/2025 09:45</t>
  </si>
  <si>
    <t>16/12/2025 10:00</t>
  </si>
  <si>
    <t>16/12/2025 10:15</t>
  </si>
  <si>
    <t>16/12/2025 10:30</t>
  </si>
  <si>
    <t>16/12/2025 10:45</t>
  </si>
  <si>
    <t>16/12/2025 11:00</t>
  </si>
  <si>
    <t>16/12/2025 11:15</t>
  </si>
  <si>
    <t>16/12/2025 11:30</t>
  </si>
  <si>
    <t>16/12/2025 11:45</t>
  </si>
  <si>
    <t>16/12/2025 12:00</t>
  </si>
  <si>
    <t>16/12/2025 12:15</t>
  </si>
  <si>
    <t>16/12/2025 12:30</t>
  </si>
  <si>
    <t>16/12/2025 12:45</t>
  </si>
  <si>
    <t>16/12/2025 13:00</t>
  </si>
  <si>
    <t>16/12/2025 13:15</t>
  </si>
  <si>
    <t>16/12/2025 13:30</t>
  </si>
  <si>
    <t>16/12/2025 13:45</t>
  </si>
  <si>
    <t>16/12/2025 14:00</t>
  </si>
  <si>
    <t>16/12/2025 14:15</t>
  </si>
  <si>
    <t>16/12/2025 14:30</t>
  </si>
  <si>
    <t>16/12/2025 14:45</t>
  </si>
  <si>
    <t>16/12/2025 15:00</t>
  </si>
  <si>
    <t>16/12/2025 15:15</t>
  </si>
  <si>
    <t>16/12/2025 15:30</t>
  </si>
  <si>
    <t>16/12/2025 15:45</t>
  </si>
  <si>
    <t>16/12/2025 16:00</t>
  </si>
  <si>
    <t>16/12/2025 16:15</t>
  </si>
  <si>
    <t>16/12/2025 16:30</t>
  </si>
  <si>
    <t>16/12/2025 16:45</t>
  </si>
  <si>
    <t>16/12/2025 17:00</t>
  </si>
  <si>
    <t>16/12/2025 17:15</t>
  </si>
  <si>
    <t>16/12/2025 17:30</t>
  </si>
  <si>
    <t>16/12/2025 17:45</t>
  </si>
  <si>
    <t>16/12/2025 18:00</t>
  </si>
  <si>
    <t>16/12/2025 18:15</t>
  </si>
  <si>
    <t>16/12/2025 18:30</t>
  </si>
  <si>
    <t>16/12/2025 18:45</t>
  </si>
  <si>
    <t>16/12/2025 19:00</t>
  </si>
  <si>
    <t>16/12/2025 19:15</t>
  </si>
  <si>
    <t>16/12/2025 19:30</t>
  </si>
  <si>
    <t>16/12/2025 19:45</t>
  </si>
  <si>
    <t>16/12/2025 20:00</t>
  </si>
  <si>
    <t>16/12/2025 20:15</t>
  </si>
  <si>
    <t>16/12/2025 20:30</t>
  </si>
  <si>
    <t>16/12/2025 20:45</t>
  </si>
  <si>
    <t>16/12/2025 21:00</t>
  </si>
  <si>
    <t>16/12/2025 21:15</t>
  </si>
  <si>
    <t>16/12/2025 21:30</t>
  </si>
  <si>
    <t>16/12/2025 21:45</t>
  </si>
  <si>
    <t>16/12/2025 22:00</t>
  </si>
  <si>
    <t>16/12/2025 22:15</t>
  </si>
  <si>
    <t>16/12/2025 22:30</t>
  </si>
  <si>
    <t>16/12/2025 22:45</t>
  </si>
  <si>
    <t>16/12/2025 23:00</t>
  </si>
  <si>
    <t>16/12/2025 23:15</t>
  </si>
  <si>
    <t>16/12/2025 23:30</t>
  </si>
  <si>
    <t>16/12/2025 23:45</t>
  </si>
  <si>
    <t>16/12/2025 24:00</t>
  </si>
  <si>
    <t>17/12/2025 00:15</t>
  </si>
  <si>
    <t>17/12/2025 00:30</t>
  </si>
  <si>
    <t>17/12/2025 00:45</t>
  </si>
  <si>
    <t>17/12/2025 01:00</t>
  </si>
  <si>
    <t>17/12/2025 01:15</t>
  </si>
  <si>
    <t>17/12/2025 01:30</t>
  </si>
  <si>
    <t>17/12/2025 01:45</t>
  </si>
  <si>
    <t>17/12/2025 02:00</t>
  </si>
  <si>
    <t>17/12/2025 02:15</t>
  </si>
  <si>
    <t>17/12/2025 02:30</t>
  </si>
  <si>
    <t>17/12/2025 02:45</t>
  </si>
  <si>
    <t>17/12/2025 03:00</t>
  </si>
  <si>
    <t>17/12/2025 03:15</t>
  </si>
  <si>
    <t>17/12/2025 03:30</t>
  </si>
  <si>
    <t>17/12/2025 03:45</t>
  </si>
  <si>
    <t>17/12/2025 04:00</t>
  </si>
  <si>
    <t>17/12/2025 04:15</t>
  </si>
  <si>
    <t>17/12/2025 04:30</t>
  </si>
  <si>
    <t>17/12/2025 04:45</t>
  </si>
  <si>
    <t>17/12/2025 05:00</t>
  </si>
  <si>
    <t>17/12/2025 05:15</t>
  </si>
  <si>
    <t>17/12/2025 05:30</t>
  </si>
  <si>
    <t>17/12/2025 05:45</t>
  </si>
  <si>
    <t>17/12/2025 06:00</t>
  </si>
  <si>
    <t>17/12/2025 06:15</t>
  </si>
  <si>
    <t>17/12/2025 06:30</t>
  </si>
  <si>
    <t>17/12/2025 06:45</t>
  </si>
  <si>
    <t>17/12/2025 07:00</t>
  </si>
  <si>
    <t>17/12/2025 07:15</t>
  </si>
  <si>
    <t>17/12/2025 07:30</t>
  </si>
  <si>
    <t>17/12/2025 07:45</t>
  </si>
  <si>
    <t>17/12/2025 08:00</t>
  </si>
  <si>
    <t>17/12/2025 08:15</t>
  </si>
  <si>
    <t>17/12/2025 08:30</t>
  </si>
  <si>
    <t>17/12/2025 08:45</t>
  </si>
  <si>
    <t>17/12/2025 09:00</t>
  </si>
  <si>
    <t>17/12/2025 09:15</t>
  </si>
  <si>
    <t>17/12/2025 09:30</t>
  </si>
  <si>
    <t>17/12/2025 09:45</t>
  </si>
  <si>
    <t>17/12/2025 10:00</t>
  </si>
  <si>
    <t>17/12/2025 10:15</t>
  </si>
  <si>
    <t>17/12/2025 10:30</t>
  </si>
  <si>
    <t>17/12/2025 10:45</t>
  </si>
  <si>
    <t>17/12/2025 11:00</t>
  </si>
  <si>
    <t>17/12/2025 11:15</t>
  </si>
  <si>
    <t>17/12/2025 11:30</t>
  </si>
  <si>
    <t>17/12/2025 11:45</t>
  </si>
  <si>
    <t>17/12/2025 12:00</t>
  </si>
  <si>
    <t>17/12/2025 12:15</t>
  </si>
  <si>
    <t>17/12/2025 12:30</t>
  </si>
  <si>
    <t>17/12/2025 12:45</t>
  </si>
  <si>
    <t>17/12/2025 13:00</t>
  </si>
  <si>
    <t>17/12/2025 13:15</t>
  </si>
  <si>
    <t>17/12/2025 13:30</t>
  </si>
  <si>
    <t>17/12/2025 13:45</t>
  </si>
  <si>
    <t>17/12/2025 14:00</t>
  </si>
  <si>
    <t>17/12/2025 14:15</t>
  </si>
  <si>
    <t>17/12/2025 14:30</t>
  </si>
  <si>
    <t>17/12/2025 14:45</t>
  </si>
  <si>
    <t>17/12/2025 15:00</t>
  </si>
  <si>
    <t>17/12/2025 15:15</t>
  </si>
  <si>
    <t>17/12/2025 15:30</t>
  </si>
  <si>
    <t>17/12/2025 15:45</t>
  </si>
  <si>
    <t>17/12/2025 16:00</t>
  </si>
  <si>
    <t>17/12/2025 16:15</t>
  </si>
  <si>
    <t>17/12/2025 16:30</t>
  </si>
  <si>
    <t>17/12/2025 16:45</t>
  </si>
  <si>
    <t>17/12/2025 17:00</t>
  </si>
  <si>
    <t>17/12/2025 17:15</t>
  </si>
  <si>
    <t>17/12/2025 17:30</t>
  </si>
  <si>
    <t>17/12/2025 17:45</t>
  </si>
  <si>
    <t>17/12/2025 18:00</t>
  </si>
  <si>
    <t>17/12/2025 18:15</t>
  </si>
  <si>
    <t>17/12/2025 18:30</t>
  </si>
  <si>
    <t>17/12/2025 18:45</t>
  </si>
  <si>
    <t>17/12/2025 19:00</t>
  </si>
  <si>
    <t>17/12/2025 19:15</t>
  </si>
  <si>
    <t>17/12/2025 19:30</t>
  </si>
  <si>
    <t>17/12/2025 19:45</t>
  </si>
  <si>
    <t>17/12/2025 20:00</t>
  </si>
  <si>
    <t>17/12/2025 20:15</t>
  </si>
  <si>
    <t>17/12/2025 20:30</t>
  </si>
  <si>
    <t>17/12/2025 20:45</t>
  </si>
  <si>
    <t>17/12/2025 21:00</t>
  </si>
  <si>
    <t>17/12/2025 21:15</t>
  </si>
  <si>
    <t>17/12/2025 21:30</t>
  </si>
  <si>
    <t>17/12/2025 21:45</t>
  </si>
  <si>
    <t>17/12/2025 22:00</t>
  </si>
  <si>
    <t>17/12/2025 22:15</t>
  </si>
  <si>
    <t>17/12/2025 22:30</t>
  </si>
  <si>
    <t>17/12/2025 22:45</t>
  </si>
  <si>
    <t>17/12/2025 23:00</t>
  </si>
  <si>
    <t>17/12/2025 23:15</t>
  </si>
  <si>
    <t>17/12/2025 23:30</t>
  </si>
  <si>
    <t>17/12/2025 23:45</t>
  </si>
  <si>
    <t>17/12/2025 24:00</t>
  </si>
  <si>
    <t>18/12/2025 00:15</t>
  </si>
  <si>
    <t>18/12/2025 00:30</t>
  </si>
  <si>
    <t>18/12/2025 00:45</t>
  </si>
  <si>
    <t>18/12/2025 01:00</t>
  </si>
  <si>
    <t>18/12/2025 01:15</t>
  </si>
  <si>
    <t>18/12/2025 01:30</t>
  </si>
  <si>
    <t>18/12/2025 01:45</t>
  </si>
  <si>
    <t>18/12/2025 02:00</t>
  </si>
  <si>
    <t>18/12/2025 02:15</t>
  </si>
  <si>
    <t>18/12/2025 02:30</t>
  </si>
  <si>
    <t>18/12/2025 02:45</t>
  </si>
  <si>
    <t>18/12/2025 03:00</t>
  </si>
  <si>
    <t>18/12/2025 03:15</t>
  </si>
  <si>
    <t>18/12/2025 03:30</t>
  </si>
  <si>
    <t>18/12/2025 03:45</t>
  </si>
  <si>
    <t>18/12/2025 04:00</t>
  </si>
  <si>
    <t>18/12/2025 04:15</t>
  </si>
  <si>
    <t>18/12/2025 04:30</t>
  </si>
  <si>
    <t>18/12/2025 04:45</t>
  </si>
  <si>
    <t>18/12/2025 05:00</t>
  </si>
  <si>
    <t>18/12/2025 05:15</t>
  </si>
  <si>
    <t>18/12/2025 05:30</t>
  </si>
  <si>
    <t>18/12/2025 05:45</t>
  </si>
  <si>
    <t>18/12/2025 06:00</t>
  </si>
  <si>
    <t>18/12/2025 06:15</t>
  </si>
  <si>
    <t>18/12/2025 06:30</t>
  </si>
  <si>
    <t>18/12/2025 06:45</t>
  </si>
  <si>
    <t>18/12/2025 07:00</t>
  </si>
  <si>
    <t>18/12/2025 07:15</t>
  </si>
  <si>
    <t>18/12/2025 07:30</t>
  </si>
  <si>
    <t>18/12/2025 07:45</t>
  </si>
  <si>
    <t>18/12/2025 08:00</t>
  </si>
  <si>
    <t>18/12/2025 08:15</t>
  </si>
  <si>
    <t>18/12/2025 08:30</t>
  </si>
  <si>
    <t>18/12/2025 08:45</t>
  </si>
  <si>
    <t>18/12/2025 09:00</t>
  </si>
  <si>
    <t>18/12/2025 09:15</t>
  </si>
  <si>
    <t>18/12/2025 09:30</t>
  </si>
  <si>
    <t>18/12/2025 09:45</t>
  </si>
  <si>
    <t>18/12/2025 10:00</t>
  </si>
  <si>
    <t>18/12/2025 10:15</t>
  </si>
  <si>
    <t>18/12/2025 10:30</t>
  </si>
  <si>
    <t>18/12/2025 10:45</t>
  </si>
  <si>
    <t>18/12/2025 11:00</t>
  </si>
  <si>
    <t>18/12/2025 11:15</t>
  </si>
  <si>
    <t>18/12/2025 11:30</t>
  </si>
  <si>
    <t>18/12/2025 11:45</t>
  </si>
  <si>
    <t>18/12/2025 12:00</t>
  </si>
  <si>
    <t>18/12/2025 12:15</t>
  </si>
  <si>
    <t>18/12/2025 12:30</t>
  </si>
  <si>
    <t>18/12/2025 12:45</t>
  </si>
  <si>
    <t>18/12/2025 13:00</t>
  </si>
  <si>
    <t>18/12/2025 13:15</t>
  </si>
  <si>
    <t>18/12/2025 13:30</t>
  </si>
  <si>
    <t>18/12/2025 13:45</t>
  </si>
  <si>
    <t>18/12/2025 14:00</t>
  </si>
  <si>
    <t>18/12/2025 14:15</t>
  </si>
  <si>
    <t>18/12/2025 14:30</t>
  </si>
  <si>
    <t>18/12/2025 14:45</t>
  </si>
  <si>
    <t>18/12/2025 15:00</t>
  </si>
  <si>
    <t>18/12/2025 15:15</t>
  </si>
  <si>
    <t>18/12/2025 15:30</t>
  </si>
  <si>
    <t>18/12/2025 15:45</t>
  </si>
  <si>
    <t>18/12/2025 16:00</t>
  </si>
  <si>
    <t>18/12/2025 16:15</t>
  </si>
  <si>
    <t>18/12/2025 16:30</t>
  </si>
  <si>
    <t>18/12/2025 16:45</t>
  </si>
  <si>
    <t>18/12/2025 17:00</t>
  </si>
  <si>
    <t>18/12/2025 17:15</t>
  </si>
  <si>
    <t>18/12/2025 17:30</t>
  </si>
  <si>
    <t>18/12/2025 17:45</t>
  </si>
  <si>
    <t>18/12/2025 18:00</t>
  </si>
  <si>
    <t>18/12/2025 18:15</t>
  </si>
  <si>
    <t>18/12/2025 18:30</t>
  </si>
  <si>
    <t>18/12/2025 18:45</t>
  </si>
  <si>
    <t>18/12/2025 19:00</t>
  </si>
  <si>
    <t>18/12/2025 19:15</t>
  </si>
  <si>
    <t>18/12/2025 19:30</t>
  </si>
  <si>
    <t>18/12/2025 19:45</t>
  </si>
  <si>
    <t>18/12/2025 20:00</t>
  </si>
  <si>
    <t>18/12/2025 20:15</t>
  </si>
  <si>
    <t>18/12/2025 20:30</t>
  </si>
  <si>
    <t>18/12/2025 20:45</t>
  </si>
  <si>
    <t>18/12/2025 21:00</t>
  </si>
  <si>
    <t>18/12/2025 21:15</t>
  </si>
  <si>
    <t>18/12/2025 21:30</t>
  </si>
  <si>
    <t>18/12/2025 21:45</t>
  </si>
  <si>
    <t>18/12/2025 22:00</t>
  </si>
  <si>
    <t>18/12/2025 22:15</t>
  </si>
  <si>
    <t>18/12/2025 22:30</t>
  </si>
  <si>
    <t>18/12/2025 22:45</t>
  </si>
  <si>
    <t>18/12/2025 23:00</t>
  </si>
  <si>
    <t>18/12/2025 23:15</t>
  </si>
  <si>
    <t>18/12/2025 23:30</t>
  </si>
  <si>
    <t>18/12/2025 23:45</t>
  </si>
  <si>
    <t>18/12/2025 24:00</t>
  </si>
  <si>
    <t>19/12/2025 00:15</t>
  </si>
  <si>
    <t>19/12/2025 00:30</t>
  </si>
  <si>
    <t>19/12/2025 00:45</t>
  </si>
  <si>
    <t>19/12/2025 01:00</t>
  </si>
  <si>
    <t>19/12/2025 01:15</t>
  </si>
  <si>
    <t>19/12/2025 01:30</t>
  </si>
  <si>
    <t>19/12/2025 01:45</t>
  </si>
  <si>
    <t>19/12/2025 02:00</t>
  </si>
  <si>
    <t>19/12/2025 02:15</t>
  </si>
  <si>
    <t>19/12/2025 02:30</t>
  </si>
  <si>
    <t>19/12/2025 02:45</t>
  </si>
  <si>
    <t>19/12/2025 03:00</t>
  </si>
  <si>
    <t>19/12/2025 03:15</t>
  </si>
  <si>
    <t>19/12/2025 03:30</t>
  </si>
  <si>
    <t>19/12/2025 03:45</t>
  </si>
  <si>
    <t>19/12/2025 04:00</t>
  </si>
  <si>
    <t>19/12/2025 04:15</t>
  </si>
  <si>
    <t>19/12/2025 04:30</t>
  </si>
  <si>
    <t>19/12/2025 04:45</t>
  </si>
  <si>
    <t>19/12/2025 05:00</t>
  </si>
  <si>
    <t>19/12/2025 05:15</t>
  </si>
  <si>
    <t>19/12/2025 05:30</t>
  </si>
  <si>
    <t>19/12/2025 05:45</t>
  </si>
  <si>
    <t>19/12/2025 06:00</t>
  </si>
  <si>
    <t>19/12/2025 06:15</t>
  </si>
  <si>
    <t>19/12/2025 06:30</t>
  </si>
  <si>
    <t>19/12/2025 06:45</t>
  </si>
  <si>
    <t>19/12/2025 07:00</t>
  </si>
  <si>
    <t>19/12/2025 07:15</t>
  </si>
  <si>
    <t>19/12/2025 07:30</t>
  </si>
  <si>
    <t>19/12/2025 07:45</t>
  </si>
  <si>
    <t>19/12/2025 08:00</t>
  </si>
  <si>
    <t>19/12/2025 08:15</t>
  </si>
  <si>
    <t>19/12/2025 08:30</t>
  </si>
  <si>
    <t>19/12/2025 08:45</t>
  </si>
  <si>
    <t>19/12/2025 09:00</t>
  </si>
  <si>
    <t>19/12/2025 09:15</t>
  </si>
  <si>
    <t>19/12/2025 09:30</t>
  </si>
  <si>
    <t>19/12/2025 09:45</t>
  </si>
  <si>
    <t>19/12/2025 10:00</t>
  </si>
  <si>
    <t>19/12/2025 10:15</t>
  </si>
  <si>
    <t>19/12/2025 10:30</t>
  </si>
  <si>
    <t>19/12/2025 10:45</t>
  </si>
  <si>
    <t>19/12/2025 11:00</t>
  </si>
  <si>
    <t>19/12/2025 11:15</t>
  </si>
  <si>
    <t>19/12/2025 11:30</t>
  </si>
  <si>
    <t>19/12/2025 11:45</t>
  </si>
  <si>
    <t>19/12/2025 12:00</t>
  </si>
  <si>
    <t>19/12/2025 12:15</t>
  </si>
  <si>
    <t>19/12/2025 12:30</t>
  </si>
  <si>
    <t>19/12/2025 12:45</t>
  </si>
  <si>
    <t>19/12/2025 13:00</t>
  </si>
  <si>
    <t>19/12/2025 13:15</t>
  </si>
  <si>
    <t>19/12/2025 13:30</t>
  </si>
  <si>
    <t>19/12/2025 13:45</t>
  </si>
  <si>
    <t>19/12/2025 14:00</t>
  </si>
  <si>
    <t>19/12/2025 14:15</t>
  </si>
  <si>
    <t>19/12/2025 14:30</t>
  </si>
  <si>
    <t>19/12/2025 14:45</t>
  </si>
  <si>
    <t>19/12/2025 15:00</t>
  </si>
  <si>
    <t>19/12/2025 15:15</t>
  </si>
  <si>
    <t>19/12/2025 15:30</t>
  </si>
  <si>
    <t>19/12/2025 15:45</t>
  </si>
  <si>
    <t>19/12/2025 16:00</t>
  </si>
  <si>
    <t>19/12/2025 16:15</t>
  </si>
  <si>
    <t>19/12/2025 16:30</t>
  </si>
  <si>
    <t>19/12/2025 16:45</t>
  </si>
  <si>
    <t>19/12/2025 17:00</t>
  </si>
  <si>
    <t>19/12/2025 17:15</t>
  </si>
  <si>
    <t>19/12/2025 17:30</t>
  </si>
  <si>
    <t>19/12/2025 17:45</t>
  </si>
  <si>
    <t>19/12/2025 18:00</t>
  </si>
  <si>
    <t>19/12/2025 18:15</t>
  </si>
  <si>
    <t>19/12/2025 18:30</t>
  </si>
  <si>
    <t>19/12/2025 18:45</t>
  </si>
  <si>
    <t>19/12/2025 19:00</t>
  </si>
  <si>
    <t>19/12/2025 19:15</t>
  </si>
  <si>
    <t>19/12/2025 19:30</t>
  </si>
  <si>
    <t>19/12/2025 19:45</t>
  </si>
  <si>
    <t>19/12/2025 20:00</t>
  </si>
  <si>
    <t>19/12/2025 20:15</t>
  </si>
  <si>
    <t>19/12/2025 20:30</t>
  </si>
  <si>
    <t>19/12/2025 20:45</t>
  </si>
  <si>
    <t>19/12/2025 21:00</t>
  </si>
  <si>
    <t>19/12/2025 21:15</t>
  </si>
  <si>
    <t>19/12/2025 21:30</t>
  </si>
  <si>
    <t>19/12/2025 21:45</t>
  </si>
  <si>
    <t>19/12/2025 22:00</t>
  </si>
  <si>
    <t>19/12/2025 22:15</t>
  </si>
  <si>
    <t>19/12/2025 22:30</t>
  </si>
  <si>
    <t>19/12/2025 22:45</t>
  </si>
  <si>
    <t>19/12/2025 23:00</t>
  </si>
  <si>
    <t>19/12/2025 23:15</t>
  </si>
  <si>
    <t>19/12/2025 23:30</t>
  </si>
  <si>
    <t>19/12/2025 23:45</t>
  </si>
  <si>
    <t>19/12/2025 24:00</t>
  </si>
  <si>
    <t>20/12/2025 00:15</t>
  </si>
  <si>
    <t>20/12/2025 00:30</t>
  </si>
  <si>
    <t>20/12/2025 00:45</t>
  </si>
  <si>
    <t>20/12/2025 01:00</t>
  </si>
  <si>
    <t>20/12/2025 01:15</t>
  </si>
  <si>
    <t>20/12/2025 01:30</t>
  </si>
  <si>
    <t>20/12/2025 01:45</t>
  </si>
  <si>
    <t>20/12/2025 02:00</t>
  </si>
  <si>
    <t>20/12/2025 02:15</t>
  </si>
  <si>
    <t>20/12/2025 02:30</t>
  </si>
  <si>
    <t>20/12/2025 02:45</t>
  </si>
  <si>
    <t>20/12/2025 03:00</t>
  </si>
  <si>
    <t>20/12/2025 03:15</t>
  </si>
  <si>
    <t>20/12/2025 03:30</t>
  </si>
  <si>
    <t>20/12/2025 03:45</t>
  </si>
  <si>
    <t>20/12/2025 04:00</t>
  </si>
  <si>
    <t>20/12/2025 04:15</t>
  </si>
  <si>
    <t>20/12/2025 04:30</t>
  </si>
  <si>
    <t>20/12/2025 04:45</t>
  </si>
  <si>
    <t>20/12/2025 05:00</t>
  </si>
  <si>
    <t>20/12/2025 05:15</t>
  </si>
  <si>
    <t>20/12/2025 05:30</t>
  </si>
  <si>
    <t>20/12/2025 05:45</t>
  </si>
  <si>
    <t>20/12/2025 06:00</t>
  </si>
  <si>
    <t>20/12/2025 06:15</t>
  </si>
  <si>
    <t>20/12/2025 06:30</t>
  </si>
  <si>
    <t>20/12/2025 06:45</t>
  </si>
  <si>
    <t>20/12/2025 07:00</t>
  </si>
  <si>
    <t>20/12/2025 07:15</t>
  </si>
  <si>
    <t>20/12/2025 07:30</t>
  </si>
  <si>
    <t>20/12/2025 07:45</t>
  </si>
  <si>
    <t>20/12/2025 08:00</t>
  </si>
  <si>
    <t>20/12/2025 08:15</t>
  </si>
  <si>
    <t>20/12/2025 08:30</t>
  </si>
  <si>
    <t>20/12/2025 08:45</t>
  </si>
  <si>
    <t>20/12/2025 09:00</t>
  </si>
  <si>
    <t>20/12/2025 09:15</t>
  </si>
  <si>
    <t>20/12/2025 09:30</t>
  </si>
  <si>
    <t>20/12/2025 09:45</t>
  </si>
  <si>
    <t>20/12/2025 10:00</t>
  </si>
  <si>
    <t>20/12/2025 10:15</t>
  </si>
  <si>
    <t>20/12/2025 10:30</t>
  </si>
  <si>
    <t>20/12/2025 10:45</t>
  </si>
  <si>
    <t>20/12/2025 11:00</t>
  </si>
  <si>
    <t>20/12/2025 11:15</t>
  </si>
  <si>
    <t>20/12/2025 11:30</t>
  </si>
  <si>
    <t>20/12/2025 11:45</t>
  </si>
  <si>
    <t>20/12/2025 12:00</t>
  </si>
  <si>
    <t>20/12/2025 12:15</t>
  </si>
  <si>
    <t>20/12/2025 12:30</t>
  </si>
  <si>
    <t>20/12/2025 12:45</t>
  </si>
  <si>
    <t>20/12/2025 13:00</t>
  </si>
  <si>
    <t>20/12/2025 13:15</t>
  </si>
  <si>
    <t>20/12/2025 13:30</t>
  </si>
  <si>
    <t>20/12/2025 13:45</t>
  </si>
  <si>
    <t>20/12/2025 14:00</t>
  </si>
  <si>
    <t>20/12/2025 14:15</t>
  </si>
  <si>
    <t>20/12/2025 14:30</t>
  </si>
  <si>
    <t>20/12/2025 14:45</t>
  </si>
  <si>
    <t>20/12/2025 15:00</t>
  </si>
  <si>
    <t>20/12/2025 15:15</t>
  </si>
  <si>
    <t>20/12/2025 15:30</t>
  </si>
  <si>
    <t>20/12/2025 15:45</t>
  </si>
  <si>
    <t>20/12/2025 16:00</t>
  </si>
  <si>
    <t>20/12/2025 16:15</t>
  </si>
  <si>
    <t>20/12/2025 16:30</t>
  </si>
  <si>
    <t>20/12/2025 16:45</t>
  </si>
  <si>
    <t>20/12/2025 17:00</t>
  </si>
  <si>
    <t>20/12/2025 17:15</t>
  </si>
  <si>
    <t>20/12/2025 17:30</t>
  </si>
  <si>
    <t>20/12/2025 17:45</t>
  </si>
  <si>
    <t>20/12/2025 18:00</t>
  </si>
  <si>
    <t>20/12/2025 18:15</t>
  </si>
  <si>
    <t>20/12/2025 18:30</t>
  </si>
  <si>
    <t>20/12/2025 18:45</t>
  </si>
  <si>
    <t>20/12/2025 19:00</t>
  </si>
  <si>
    <t>20/12/2025 19:15</t>
  </si>
  <si>
    <t>20/12/2025 19:30</t>
  </si>
  <si>
    <t>20/12/2025 19:45</t>
  </si>
  <si>
    <t>20/12/2025 20:00</t>
  </si>
  <si>
    <t>20/12/2025 20:15</t>
  </si>
  <si>
    <t>20/12/2025 20:30</t>
  </si>
  <si>
    <t>20/12/2025 20:45</t>
  </si>
  <si>
    <t>20/12/2025 21:00</t>
  </si>
  <si>
    <t>20/12/2025 21:15</t>
  </si>
  <si>
    <t>20/12/2025 21:30</t>
  </si>
  <si>
    <t>20/12/2025 21:45</t>
  </si>
  <si>
    <t>20/12/2025 22:00</t>
  </si>
  <si>
    <t>20/12/2025 22:15</t>
  </si>
  <si>
    <t>20/12/2025 22:30</t>
  </si>
  <si>
    <t>20/12/2025 22:45</t>
  </si>
  <si>
    <t>20/12/2025 23:00</t>
  </si>
  <si>
    <t>20/12/2025 23:15</t>
  </si>
  <si>
    <t>20/12/2025 23:30</t>
  </si>
  <si>
    <t>20/12/2025 23:45</t>
  </si>
  <si>
    <t>20/12/2025 24:00</t>
  </si>
  <si>
    <t>21/12/2025 00:15</t>
  </si>
  <si>
    <t>21/12/2025 00:30</t>
  </si>
  <si>
    <t>21/12/2025 00:45</t>
  </si>
  <si>
    <t>21/12/2025 01:00</t>
  </si>
  <si>
    <t>21/12/2025 01:15</t>
  </si>
  <si>
    <t>21/12/2025 01:30</t>
  </si>
  <si>
    <t>21/12/2025 01:45</t>
  </si>
  <si>
    <t>21/12/2025 02:00</t>
  </si>
  <si>
    <t>21/12/2025 02:15</t>
  </si>
  <si>
    <t>21/12/2025 02:30</t>
  </si>
  <si>
    <t>21/12/2025 02:45</t>
  </si>
  <si>
    <t>21/12/2025 03:00</t>
  </si>
  <si>
    <t>21/12/2025 03:15</t>
  </si>
  <si>
    <t>21/12/2025 03:30</t>
  </si>
  <si>
    <t>21/12/2025 03:45</t>
  </si>
  <si>
    <t>21/12/2025 04:00</t>
  </si>
  <si>
    <t>21/12/2025 04:15</t>
  </si>
  <si>
    <t>21/12/2025 04:30</t>
  </si>
  <si>
    <t>21/12/2025 04:45</t>
  </si>
  <si>
    <t>21/12/2025 05:00</t>
  </si>
  <si>
    <t>21/12/2025 05:15</t>
  </si>
  <si>
    <t>21/12/2025 05:30</t>
  </si>
  <si>
    <t>21/12/2025 05:45</t>
  </si>
  <si>
    <t>21/12/2025 06:00</t>
  </si>
  <si>
    <t>21/12/2025 06:15</t>
  </si>
  <si>
    <t>21/12/2025 06:30</t>
  </si>
  <si>
    <t>21/12/2025 06:45</t>
  </si>
  <si>
    <t>21/12/2025 07:00</t>
  </si>
  <si>
    <t>21/12/2025 07:15</t>
  </si>
  <si>
    <t>21/12/2025 07:30</t>
  </si>
  <si>
    <t>21/12/2025 07:45</t>
  </si>
  <si>
    <t>21/12/2025 08:00</t>
  </si>
  <si>
    <t>21/12/2025 08:15</t>
  </si>
  <si>
    <t>21/12/2025 08:30</t>
  </si>
  <si>
    <t>21/12/2025 08:45</t>
  </si>
  <si>
    <t>21/12/2025 09:00</t>
  </si>
  <si>
    <t>21/12/2025 09:15</t>
  </si>
  <si>
    <t>21/12/2025 09:30</t>
  </si>
  <si>
    <t>21/12/2025 09:45</t>
  </si>
  <si>
    <t>21/12/2025 10:00</t>
  </si>
  <si>
    <t>21/12/2025 10:15</t>
  </si>
  <si>
    <t>21/12/2025 10:30</t>
  </si>
  <si>
    <t>21/12/2025 10:45</t>
  </si>
  <si>
    <t>21/12/2025 11:00</t>
  </si>
  <si>
    <t>21/12/2025 11:15</t>
  </si>
  <si>
    <t>21/12/2025 11:30</t>
  </si>
  <si>
    <t>21/12/2025 11:45</t>
  </si>
  <si>
    <t>21/12/2025 12:00</t>
  </si>
  <si>
    <t>21/12/2025 12:15</t>
  </si>
  <si>
    <t>21/12/2025 12:30</t>
  </si>
  <si>
    <t>21/12/2025 12:45</t>
  </si>
  <si>
    <t>21/12/2025 13:00</t>
  </si>
  <si>
    <t>21/12/2025 13:15</t>
  </si>
  <si>
    <t>21/12/2025 13:30</t>
  </si>
  <si>
    <t>21/12/2025 13:45</t>
  </si>
  <si>
    <t>21/12/2025 14:00</t>
  </si>
  <si>
    <t>21/12/2025 14:15</t>
  </si>
  <si>
    <t>21/12/2025 14:30</t>
  </si>
  <si>
    <t>21/12/2025 14:45</t>
  </si>
  <si>
    <t>21/12/2025 15:00</t>
  </si>
  <si>
    <t>21/12/2025 15:15</t>
  </si>
  <si>
    <t>21/12/2025 15:30</t>
  </si>
  <si>
    <t>21/12/2025 15:45</t>
  </si>
  <si>
    <t>21/12/2025 16:00</t>
  </si>
  <si>
    <t>21/12/2025 16:15</t>
  </si>
  <si>
    <t>21/12/2025 16:30</t>
  </si>
  <si>
    <t>21/12/2025 16:45</t>
  </si>
  <si>
    <t>21/12/2025 17:00</t>
  </si>
  <si>
    <t>21/12/2025 17:15</t>
  </si>
  <si>
    <t>21/12/2025 17:30</t>
  </si>
  <si>
    <t>21/12/2025 17:45</t>
  </si>
  <si>
    <t>21/12/2025 18:00</t>
  </si>
  <si>
    <t>21/12/2025 18:15</t>
  </si>
  <si>
    <t>21/12/2025 18:30</t>
  </si>
  <si>
    <t>21/12/2025 18:45</t>
  </si>
  <si>
    <t>21/12/2025 19:00</t>
  </si>
  <si>
    <t>21/12/2025 19:15</t>
  </si>
  <si>
    <t>21/12/2025 19:30</t>
  </si>
  <si>
    <t>21/12/2025 19:45</t>
  </si>
  <si>
    <t>21/12/2025 20:00</t>
  </si>
  <si>
    <t>21/12/2025 20:15</t>
  </si>
  <si>
    <t>21/12/2025 20:30</t>
  </si>
  <si>
    <t>21/12/2025 20:45</t>
  </si>
  <si>
    <t>21/12/2025 21:00</t>
  </si>
  <si>
    <t>21/12/2025 21:15</t>
  </si>
  <si>
    <t>21/12/2025 21:30</t>
  </si>
  <si>
    <t>21/12/2025 21:45</t>
  </si>
  <si>
    <t>21/12/2025 22:00</t>
  </si>
  <si>
    <t>21/12/2025 22:15</t>
  </si>
  <si>
    <t>21/12/2025 22:30</t>
  </si>
  <si>
    <t>21/12/2025 22:45</t>
  </si>
  <si>
    <t>21/12/2025 23:00</t>
  </si>
  <si>
    <t>21/12/2025 23:15</t>
  </si>
  <si>
    <t>21/12/2025 23:30</t>
  </si>
  <si>
    <t>21/12/2025 23:45</t>
  </si>
  <si>
    <t>21/12/2025 24:00</t>
  </si>
  <si>
    <t>22/12/2025 00:15</t>
  </si>
  <si>
    <t>22/12/2025 00:30</t>
  </si>
  <si>
    <t>22/12/2025 00:45</t>
  </si>
  <si>
    <t>22/12/2025 01:00</t>
  </si>
  <si>
    <t>22/12/2025 01:15</t>
  </si>
  <si>
    <t>22/12/2025 01:30</t>
  </si>
  <si>
    <t>22/12/2025 01:45</t>
  </si>
  <si>
    <t>22/12/2025 02:00</t>
  </si>
  <si>
    <t>22/12/2025 02:15</t>
  </si>
  <si>
    <t>22/12/2025 02:30</t>
  </si>
  <si>
    <t>22/12/2025 02:45</t>
  </si>
  <si>
    <t>22/12/2025 03:00</t>
  </si>
  <si>
    <t>22/12/2025 03:15</t>
  </si>
  <si>
    <t>22/12/2025 03:30</t>
  </si>
  <si>
    <t>22/12/2025 03:45</t>
  </si>
  <si>
    <t>22/12/2025 04:00</t>
  </si>
  <si>
    <t>22/12/2025 04:15</t>
  </si>
  <si>
    <t>22/12/2025 04:30</t>
  </si>
  <si>
    <t>22/12/2025 04:45</t>
  </si>
  <si>
    <t>22/12/2025 05:00</t>
  </si>
  <si>
    <t>22/12/2025 05:15</t>
  </si>
  <si>
    <t>22/12/2025 05:30</t>
  </si>
  <si>
    <t>22/12/2025 05:45</t>
  </si>
  <si>
    <t>22/12/2025 06:00</t>
  </si>
  <si>
    <t>22/12/2025 06:15</t>
  </si>
  <si>
    <t>22/12/2025 06:30</t>
  </si>
  <si>
    <t>22/12/2025 06:45</t>
  </si>
  <si>
    <t>22/12/2025 07:00</t>
  </si>
  <si>
    <t>22/12/2025 07:15</t>
  </si>
  <si>
    <t>22/12/2025 07:30</t>
  </si>
  <si>
    <t>22/12/2025 07:45</t>
  </si>
  <si>
    <t>22/12/2025 08:00</t>
  </si>
  <si>
    <t>22/12/2025 08:15</t>
  </si>
  <si>
    <t>22/12/2025 08:30</t>
  </si>
  <si>
    <t>22/12/2025 08:45</t>
  </si>
  <si>
    <t>22/12/2025 09:00</t>
  </si>
  <si>
    <t>22/12/2025 09:15</t>
  </si>
  <si>
    <t>22/12/2025 09:30</t>
  </si>
  <si>
    <t>22/12/2025 09:45</t>
  </si>
  <si>
    <t>22/12/2025 10:00</t>
  </si>
  <si>
    <t>22/12/2025 10:15</t>
  </si>
  <si>
    <t>22/12/2025 10:30</t>
  </si>
  <si>
    <t>22/12/2025 10:45</t>
  </si>
  <si>
    <t>22/12/2025 11:00</t>
  </si>
  <si>
    <t>22/12/2025 11:15</t>
  </si>
  <si>
    <t>22/12/2025 11:30</t>
  </si>
  <si>
    <t>22/12/2025 11:45</t>
  </si>
  <si>
    <t>22/12/2025 12:00</t>
  </si>
  <si>
    <t>22/12/2025 12:15</t>
  </si>
  <si>
    <t>22/12/2025 12:30</t>
  </si>
  <si>
    <t>22/12/2025 12:45</t>
  </si>
  <si>
    <t>22/12/2025 13:00</t>
  </si>
  <si>
    <t>22/12/2025 13:15</t>
  </si>
  <si>
    <t>22/12/2025 13:30</t>
  </si>
  <si>
    <t>22/12/2025 13:45</t>
  </si>
  <si>
    <t>22/12/2025 14:00</t>
  </si>
  <si>
    <t>22/12/2025 14:15</t>
  </si>
  <si>
    <t>22/12/2025 14:30</t>
  </si>
  <si>
    <t>22/12/2025 14:45</t>
  </si>
  <si>
    <t>22/12/2025 15:00</t>
  </si>
  <si>
    <t>22/12/2025 15:15</t>
  </si>
  <si>
    <t>22/12/2025 15:30</t>
  </si>
  <si>
    <t>22/12/2025 15:45</t>
  </si>
  <si>
    <t>22/12/2025 16:00</t>
  </si>
  <si>
    <t>22/12/2025 16:15</t>
  </si>
  <si>
    <t>22/12/2025 16:30</t>
  </si>
  <si>
    <t>22/12/2025 16:45</t>
  </si>
  <si>
    <t>22/12/2025 17:00</t>
  </si>
  <si>
    <t>22/12/2025 17:15</t>
  </si>
  <si>
    <t>22/12/2025 17:30</t>
  </si>
  <si>
    <t>22/12/2025 17:45</t>
  </si>
  <si>
    <t>22/12/2025 18:00</t>
  </si>
  <si>
    <t>22/12/2025 18:15</t>
  </si>
  <si>
    <t>22/12/2025 18:30</t>
  </si>
  <si>
    <t>22/12/2025 18:45</t>
  </si>
  <si>
    <t>22/12/2025 19:00</t>
  </si>
  <si>
    <t>22/12/2025 19:15</t>
  </si>
  <si>
    <t>22/12/2025 19:30</t>
  </si>
  <si>
    <t>22/12/2025 19:45</t>
  </si>
  <si>
    <t>22/12/2025 20:00</t>
  </si>
  <si>
    <t>22/12/2025 20:15</t>
  </si>
  <si>
    <t>22/12/2025 20:30</t>
  </si>
  <si>
    <t>22/12/2025 20:45</t>
  </si>
  <si>
    <t>22/12/2025 21:00</t>
  </si>
  <si>
    <t>22/12/2025 21:15</t>
  </si>
  <si>
    <t>22/12/2025 21:30</t>
  </si>
  <si>
    <t>22/12/2025 21:45</t>
  </si>
  <si>
    <t>22/12/2025 22:00</t>
  </si>
  <si>
    <t>22/12/2025 22:15</t>
  </si>
  <si>
    <t>22/12/2025 22:30</t>
  </si>
  <si>
    <t>22/12/2025 22:45</t>
  </si>
  <si>
    <t>22/12/2025 23:00</t>
  </si>
  <si>
    <t>22/12/2025 23:15</t>
  </si>
  <si>
    <t>22/12/2025 23:30</t>
  </si>
  <si>
    <t>22/12/2025 23:45</t>
  </si>
  <si>
    <t>22/12/2025 24:00</t>
  </si>
  <si>
    <t>23/12/2025 00:15</t>
  </si>
  <si>
    <t>23/12/2025 00:30</t>
  </si>
  <si>
    <t>23/12/2025 00:45</t>
  </si>
  <si>
    <t>23/12/2025 01:00</t>
  </si>
  <si>
    <t>23/12/2025 01:15</t>
  </si>
  <si>
    <t>23/12/2025 01:30</t>
  </si>
  <si>
    <t>23/12/2025 01:45</t>
  </si>
  <si>
    <t>23/12/2025 02:00</t>
  </si>
  <si>
    <t>23/12/2025 02:15</t>
  </si>
  <si>
    <t>23/12/2025 02:30</t>
  </si>
  <si>
    <t>23/12/2025 02:45</t>
  </si>
  <si>
    <t>23/12/2025 03:00</t>
  </si>
  <si>
    <t>23/12/2025 03:15</t>
  </si>
  <si>
    <t>23/12/2025 03:30</t>
  </si>
  <si>
    <t>23/12/2025 03:45</t>
  </si>
  <si>
    <t>23/12/2025 04:00</t>
  </si>
  <si>
    <t>23/12/2025 04:15</t>
  </si>
  <si>
    <t>23/12/2025 04:30</t>
  </si>
  <si>
    <t>23/12/2025 04:45</t>
  </si>
  <si>
    <t>23/12/2025 05:00</t>
  </si>
  <si>
    <t>23/12/2025 05:15</t>
  </si>
  <si>
    <t>23/12/2025 05:30</t>
  </si>
  <si>
    <t>23/12/2025 05:45</t>
  </si>
  <si>
    <t>23/12/2025 06:00</t>
  </si>
  <si>
    <t>23/12/2025 06:15</t>
  </si>
  <si>
    <t>23/12/2025 06:30</t>
  </si>
  <si>
    <t>23/12/2025 06:45</t>
  </si>
  <si>
    <t>23/12/2025 07:00</t>
  </si>
  <si>
    <t>23/12/2025 07:15</t>
  </si>
  <si>
    <t>23/12/2025 07:30</t>
  </si>
  <si>
    <t>23/12/2025 07:45</t>
  </si>
  <si>
    <t>23/12/2025 08:00</t>
  </si>
  <si>
    <t>23/12/2025 08:15</t>
  </si>
  <si>
    <t>23/12/2025 08:30</t>
  </si>
  <si>
    <t>23/12/2025 08:45</t>
  </si>
  <si>
    <t>23/12/2025 09:00</t>
  </si>
  <si>
    <t>23/12/2025 09:15</t>
  </si>
  <si>
    <t>23/12/2025 09:30</t>
  </si>
  <si>
    <t>23/12/2025 09:45</t>
  </si>
  <si>
    <t>23/12/2025 10:00</t>
  </si>
  <si>
    <t>23/12/2025 10:15</t>
  </si>
  <si>
    <t>23/12/2025 10:30</t>
  </si>
  <si>
    <t>23/12/2025 10:45</t>
  </si>
  <si>
    <t>23/12/2025 11:00</t>
  </si>
  <si>
    <t>23/12/2025 11:15</t>
  </si>
  <si>
    <t>23/12/2025 11:30</t>
  </si>
  <si>
    <t>23/12/2025 11:45</t>
  </si>
  <si>
    <t>23/12/2025 12:00</t>
  </si>
  <si>
    <t>23/12/2025 12:15</t>
  </si>
  <si>
    <t>23/12/2025 12:30</t>
  </si>
  <si>
    <t>23/12/2025 12:45</t>
  </si>
  <si>
    <t>23/12/2025 13:00</t>
  </si>
  <si>
    <t>23/12/2025 13:15</t>
  </si>
  <si>
    <t>23/12/2025 13:30</t>
  </si>
  <si>
    <t>23/12/2025 13:45</t>
  </si>
  <si>
    <t>23/12/2025 14:00</t>
  </si>
  <si>
    <t>23/12/2025 14:15</t>
  </si>
  <si>
    <t>23/12/2025 14:30</t>
  </si>
  <si>
    <t>23/12/2025 14:45</t>
  </si>
  <si>
    <t>23/12/2025 15:00</t>
  </si>
  <si>
    <t>23/12/2025 15:15</t>
  </si>
  <si>
    <t>23/12/2025 15:30</t>
  </si>
  <si>
    <t>23/12/2025 15:45</t>
  </si>
  <si>
    <t>23/12/2025 16:00</t>
  </si>
  <si>
    <t>23/12/2025 16:15</t>
  </si>
  <si>
    <t>23/12/2025 16:30</t>
  </si>
  <si>
    <t>23/12/2025 16:45</t>
  </si>
  <si>
    <t>23/12/2025 17:00</t>
  </si>
  <si>
    <t>23/12/2025 17:15</t>
  </si>
  <si>
    <t>23/12/2025 17:30</t>
  </si>
  <si>
    <t>23/12/2025 17:45</t>
  </si>
  <si>
    <t>23/12/2025 18:00</t>
  </si>
  <si>
    <t>23/12/2025 18:15</t>
  </si>
  <si>
    <t>23/12/2025 18:30</t>
  </si>
  <si>
    <t>23/12/2025 18:45</t>
  </si>
  <si>
    <t>23/12/2025 19:00</t>
  </si>
  <si>
    <t>23/12/2025 19:15</t>
  </si>
  <si>
    <t>23/12/2025 19:30</t>
  </si>
  <si>
    <t>23/12/2025 19:45</t>
  </si>
  <si>
    <t>23/12/2025 20:00</t>
  </si>
  <si>
    <t>23/12/2025 20:15</t>
  </si>
  <si>
    <t>23/12/2025 20:30</t>
  </si>
  <si>
    <t>23/12/2025 20:45</t>
  </si>
  <si>
    <t>23/12/2025 21:00</t>
  </si>
  <si>
    <t>23/12/2025 21:15</t>
  </si>
  <si>
    <t>23/12/2025 21:30</t>
  </si>
  <si>
    <t>23/12/2025 21:45</t>
  </si>
  <si>
    <t>23/12/2025 22:00</t>
  </si>
  <si>
    <t>23/12/2025 22:15</t>
  </si>
  <si>
    <t>23/12/2025 22:30</t>
  </si>
  <si>
    <t>23/12/2025 22:45</t>
  </si>
  <si>
    <t>23/12/2025 23:00</t>
  </si>
  <si>
    <t>23/12/2025 23:15</t>
  </si>
  <si>
    <t>23/12/2025 23:30</t>
  </si>
  <si>
    <t>23/12/2025 23:45</t>
  </si>
  <si>
    <t>23/12/2025 24:00</t>
  </si>
  <si>
    <t>24/12/2025 00:15</t>
  </si>
  <si>
    <t>24/12/2025 00:30</t>
  </si>
  <si>
    <t>24/12/2025 00:45</t>
  </si>
  <si>
    <t>24/12/2025 01:00</t>
  </si>
  <si>
    <t>24/12/2025 01:15</t>
  </si>
  <si>
    <t>24/12/2025 01:30</t>
  </si>
  <si>
    <t>24/12/2025 01:45</t>
  </si>
  <si>
    <t>24/12/2025 02:00</t>
  </si>
  <si>
    <t>24/12/2025 02:15</t>
  </si>
  <si>
    <t>24/12/2025 02:30</t>
  </si>
  <si>
    <t>24/12/2025 02:45</t>
  </si>
  <si>
    <t>24/12/2025 03:00</t>
  </si>
  <si>
    <t>24/12/2025 03:15</t>
  </si>
  <si>
    <t>24/12/2025 03:30</t>
  </si>
  <si>
    <t>24/12/2025 03:45</t>
  </si>
  <si>
    <t>24/12/2025 04:00</t>
  </si>
  <si>
    <t>24/12/2025 04:15</t>
  </si>
  <si>
    <t>24/12/2025 04:30</t>
  </si>
  <si>
    <t>24/12/2025 04:45</t>
  </si>
  <si>
    <t>24/12/2025 05:00</t>
  </si>
  <si>
    <t>24/12/2025 05:15</t>
  </si>
  <si>
    <t>24/12/2025 05:30</t>
  </si>
  <si>
    <t>24/12/2025 05:45</t>
  </si>
  <si>
    <t>24/12/2025 06:00</t>
  </si>
  <si>
    <t>24/12/2025 06:15</t>
  </si>
  <si>
    <t>24/12/2025 06:30</t>
  </si>
  <si>
    <t>24/12/2025 06:45</t>
  </si>
  <si>
    <t>24/12/2025 07:00</t>
  </si>
  <si>
    <t>24/12/2025 07:15</t>
  </si>
  <si>
    <t>24/12/2025 07:30</t>
  </si>
  <si>
    <t>24/12/2025 07:45</t>
  </si>
  <si>
    <t>24/12/2025 08:00</t>
  </si>
  <si>
    <t>24/12/2025 08:15</t>
  </si>
  <si>
    <t>24/12/2025 08:30</t>
  </si>
  <si>
    <t>24/12/2025 08:45</t>
  </si>
  <si>
    <t>24/12/2025 09:00</t>
  </si>
  <si>
    <t>24/12/2025 09:15</t>
  </si>
  <si>
    <t>24/12/2025 09:30</t>
  </si>
  <si>
    <t>24/12/2025 09:45</t>
  </si>
  <si>
    <t>24/12/2025 10:00</t>
  </si>
  <si>
    <t>24/12/2025 10:15</t>
  </si>
  <si>
    <t>24/12/2025 10:30</t>
  </si>
  <si>
    <t>24/12/2025 10:45</t>
  </si>
  <si>
    <t>24/12/2025 11:00</t>
  </si>
  <si>
    <t>24/12/2025 11:15</t>
  </si>
  <si>
    <t>24/12/2025 11:30</t>
  </si>
  <si>
    <t>24/12/2025 11:45</t>
  </si>
  <si>
    <t>24/12/2025 12:00</t>
  </si>
  <si>
    <t>24/12/2025 12:15</t>
  </si>
  <si>
    <t>24/12/2025 12:30</t>
  </si>
  <si>
    <t>24/12/2025 12:45</t>
  </si>
  <si>
    <t>24/12/2025 13:00</t>
  </si>
  <si>
    <t>24/12/2025 13:15</t>
  </si>
  <si>
    <t>24/12/2025 13:30</t>
  </si>
  <si>
    <t>24/12/2025 13:45</t>
  </si>
  <si>
    <t>24/12/2025 14:00</t>
  </si>
  <si>
    <t>24/12/2025 14:15</t>
  </si>
  <si>
    <t>24/12/2025 14:30</t>
  </si>
  <si>
    <t>24/12/2025 14:45</t>
  </si>
  <si>
    <t>24/12/2025 15:00</t>
  </si>
  <si>
    <t>24/12/2025 15:15</t>
  </si>
  <si>
    <t>24/12/2025 15:30</t>
  </si>
  <si>
    <t>24/12/2025 15:45</t>
  </si>
  <si>
    <t>24/12/2025 16:00</t>
  </si>
  <si>
    <t>24/12/2025 16:15</t>
  </si>
  <si>
    <t>24/12/2025 16:30</t>
  </si>
  <si>
    <t>24/12/2025 16:45</t>
  </si>
  <si>
    <t>24/12/2025 17:00</t>
  </si>
  <si>
    <t>24/12/2025 17:15</t>
  </si>
  <si>
    <t>24/12/2025 17:30</t>
  </si>
  <si>
    <t>24/12/2025 17:45</t>
  </si>
  <si>
    <t>24/12/2025 18:00</t>
  </si>
  <si>
    <t>24/12/2025 18:15</t>
  </si>
  <si>
    <t>24/12/2025 18:30</t>
  </si>
  <si>
    <t>24/12/2025 18:45</t>
  </si>
  <si>
    <t>24/12/2025 19:00</t>
  </si>
  <si>
    <t>24/12/2025 19:15</t>
  </si>
  <si>
    <t>24/12/2025 19:30</t>
  </si>
  <si>
    <t>24/12/2025 19:45</t>
  </si>
  <si>
    <t>24/12/2025 20:00</t>
  </si>
  <si>
    <t>24/12/2025 20:15</t>
  </si>
  <si>
    <t>24/12/2025 20:30</t>
  </si>
  <si>
    <t>24/12/2025 20:45</t>
  </si>
  <si>
    <t>24/12/2025 21:00</t>
  </si>
  <si>
    <t>24/12/2025 21:15</t>
  </si>
  <si>
    <t>24/12/2025 21:30</t>
  </si>
  <si>
    <t>24/12/2025 21:45</t>
  </si>
  <si>
    <t>24/12/2025 22:00</t>
  </si>
  <si>
    <t>24/12/2025 22:15</t>
  </si>
  <si>
    <t>24/12/2025 22:30</t>
  </si>
  <si>
    <t>24/12/2025 22:45</t>
  </si>
  <si>
    <t>24/12/2025 23:00</t>
  </si>
  <si>
    <t>24/12/2025 23:15</t>
  </si>
  <si>
    <t>24/12/2025 23:30</t>
  </si>
  <si>
    <t>24/12/2025 23:45</t>
  </si>
  <si>
    <t>24/12/2025 24:00</t>
  </si>
  <si>
    <t>25/12/2025 00:15</t>
  </si>
  <si>
    <t>25/12/2025 00:30</t>
  </si>
  <si>
    <t>25/12/2025 00:45</t>
  </si>
  <si>
    <t>25/12/2025 01:00</t>
  </si>
  <si>
    <t>25/12/2025 01:15</t>
  </si>
  <si>
    <t>25/12/2025 01:30</t>
  </si>
  <si>
    <t>25/12/2025 01:45</t>
  </si>
  <si>
    <t>25/12/2025 02:00</t>
  </si>
  <si>
    <t>25/12/2025 02:15</t>
  </si>
  <si>
    <t>25/12/2025 02:30</t>
  </si>
  <si>
    <t>25/12/2025 02:45</t>
  </si>
  <si>
    <t>25/12/2025 03:00</t>
  </si>
  <si>
    <t>25/12/2025 03:15</t>
  </si>
  <si>
    <t>25/12/2025 03:30</t>
  </si>
  <si>
    <t>25/12/2025 03:45</t>
  </si>
  <si>
    <t>25/12/2025 04:00</t>
  </si>
  <si>
    <t>25/12/2025 04:15</t>
  </si>
  <si>
    <t>25/12/2025 04:30</t>
  </si>
  <si>
    <t>25/12/2025 04:45</t>
  </si>
  <si>
    <t>25/12/2025 05:00</t>
  </si>
  <si>
    <t>25/12/2025 05:15</t>
  </si>
  <si>
    <t>25/12/2025 05:30</t>
  </si>
  <si>
    <t>25/12/2025 05:45</t>
  </si>
  <si>
    <t>25/12/2025 06:00</t>
  </si>
  <si>
    <t>25/12/2025 06:15</t>
  </si>
  <si>
    <t>25/12/2025 06:30</t>
  </si>
  <si>
    <t>25/12/2025 06:45</t>
  </si>
  <si>
    <t>25/12/2025 07:00</t>
  </si>
  <si>
    <t>25/12/2025 07:15</t>
  </si>
  <si>
    <t>25/12/2025 07:30</t>
  </si>
  <si>
    <t>25/12/2025 07:45</t>
  </si>
  <si>
    <t>25/12/2025 08:00</t>
  </si>
  <si>
    <t>25/12/2025 08:15</t>
  </si>
  <si>
    <t>25/12/2025 08:30</t>
  </si>
  <si>
    <t>25/12/2025 08:45</t>
  </si>
  <si>
    <t>25/12/2025 09:00</t>
  </si>
  <si>
    <t>25/12/2025 09:15</t>
  </si>
  <si>
    <t>25/12/2025 09:30</t>
  </si>
  <si>
    <t>25/12/2025 09:45</t>
  </si>
  <si>
    <t>25/12/2025 10:00</t>
  </si>
  <si>
    <t>25/12/2025 10:15</t>
  </si>
  <si>
    <t>25/12/2025 10:30</t>
  </si>
  <si>
    <t>25/12/2025 10:45</t>
  </si>
  <si>
    <t>25/12/2025 11:00</t>
  </si>
  <si>
    <t>25/12/2025 11:15</t>
  </si>
  <si>
    <t>25/12/2025 11:30</t>
  </si>
  <si>
    <t>25/12/2025 11:45</t>
  </si>
  <si>
    <t>25/12/2025 12:00</t>
  </si>
  <si>
    <t>25/12/2025 12:15</t>
  </si>
  <si>
    <t>25/12/2025 12:30</t>
  </si>
  <si>
    <t>25/12/2025 12:45</t>
  </si>
  <si>
    <t>25/12/2025 13:00</t>
  </si>
  <si>
    <t>25/12/2025 13:15</t>
  </si>
  <si>
    <t>25/12/2025 13:30</t>
  </si>
  <si>
    <t>25/12/2025 13:45</t>
  </si>
  <si>
    <t>25/12/2025 14:00</t>
  </si>
  <si>
    <t>25/12/2025 14:15</t>
  </si>
  <si>
    <t>25/12/2025 14:30</t>
  </si>
  <si>
    <t>25/12/2025 14:45</t>
  </si>
  <si>
    <t>25/12/2025 15:00</t>
  </si>
  <si>
    <t>25/12/2025 15:15</t>
  </si>
  <si>
    <t>25/12/2025 15:30</t>
  </si>
  <si>
    <t>25/12/2025 15:45</t>
  </si>
  <si>
    <t>25/12/2025 16:00</t>
  </si>
  <si>
    <t>25/12/2025 16:15</t>
  </si>
  <si>
    <t>25/12/2025 16:30</t>
  </si>
  <si>
    <t>25/12/2025 16:45</t>
  </si>
  <si>
    <t>25/12/2025 17:00</t>
  </si>
  <si>
    <t>25/12/2025 17:15</t>
  </si>
  <si>
    <t>25/12/2025 17:30</t>
  </si>
  <si>
    <t>25/12/2025 17:45</t>
  </si>
  <si>
    <t>25/12/2025 18:00</t>
  </si>
  <si>
    <t>25/12/2025 18:15</t>
  </si>
  <si>
    <t>25/12/2025 18:30</t>
  </si>
  <si>
    <t>25/12/2025 18:45</t>
  </si>
  <si>
    <t>25/12/2025 19:00</t>
  </si>
  <si>
    <t>25/12/2025 19:15</t>
  </si>
  <si>
    <t>25/12/2025 19:30</t>
  </si>
  <si>
    <t>25/12/2025 19:45</t>
  </si>
  <si>
    <t>25/12/2025 20:00</t>
  </si>
  <si>
    <t>25/12/2025 20:15</t>
  </si>
  <si>
    <t>25/12/2025 20:30</t>
  </si>
  <si>
    <t>25/12/2025 20:45</t>
  </si>
  <si>
    <t>25/12/2025 21:00</t>
  </si>
  <si>
    <t>25/12/2025 21:15</t>
  </si>
  <si>
    <t>25/12/2025 21:30</t>
  </si>
  <si>
    <t>25/12/2025 21:45</t>
  </si>
  <si>
    <t>25/12/2025 22:00</t>
  </si>
  <si>
    <t>25/12/2025 22:15</t>
  </si>
  <si>
    <t>25/12/2025 22:30</t>
  </si>
  <si>
    <t>25/12/2025 22:45</t>
  </si>
  <si>
    <t>25/12/2025 23:00</t>
  </si>
  <si>
    <t>25/12/2025 23:15</t>
  </si>
  <si>
    <t>25/12/2025 23:30</t>
  </si>
  <si>
    <t>25/12/2025 23:45</t>
  </si>
  <si>
    <t>25/12/2025 24:00</t>
  </si>
  <si>
    <t>26/12/2025 00:15</t>
  </si>
  <si>
    <t>26/12/2025 00:30</t>
  </si>
  <si>
    <t>26/12/2025 00:45</t>
  </si>
  <si>
    <t>26/12/2025 01:00</t>
  </si>
  <si>
    <t>26/12/2025 01:15</t>
  </si>
  <si>
    <t>26/12/2025 01:30</t>
  </si>
  <si>
    <t>26/12/2025 01:45</t>
  </si>
  <si>
    <t>26/12/2025 02:00</t>
  </si>
  <si>
    <t>26/12/2025 02:15</t>
  </si>
  <si>
    <t>26/12/2025 02:30</t>
  </si>
  <si>
    <t>26/12/2025 02:45</t>
  </si>
  <si>
    <t>26/12/2025 03:00</t>
  </si>
  <si>
    <t>26/12/2025 03:15</t>
  </si>
  <si>
    <t>26/12/2025 03:30</t>
  </si>
  <si>
    <t>26/12/2025 03:45</t>
  </si>
  <si>
    <t>26/12/2025 04:00</t>
  </si>
  <si>
    <t>26/12/2025 04:15</t>
  </si>
  <si>
    <t>26/12/2025 04:30</t>
  </si>
  <si>
    <t>26/12/2025 04:45</t>
  </si>
  <si>
    <t>26/12/2025 05:00</t>
  </si>
  <si>
    <t>26/12/2025 05:15</t>
  </si>
  <si>
    <t>26/12/2025 05:30</t>
  </si>
  <si>
    <t>26/12/2025 05:45</t>
  </si>
  <si>
    <t>26/12/2025 06:00</t>
  </si>
  <si>
    <t>26/12/2025 06:15</t>
  </si>
  <si>
    <t>26/12/2025 06:30</t>
  </si>
  <si>
    <t>26/12/2025 06:45</t>
  </si>
  <si>
    <t>26/12/2025 07:00</t>
  </si>
  <si>
    <t>26/12/2025 07:15</t>
  </si>
  <si>
    <t>26/12/2025 07:30</t>
  </si>
  <si>
    <t>26/12/2025 07:45</t>
  </si>
  <si>
    <t>26/12/2025 08:00</t>
  </si>
  <si>
    <t>26/12/2025 08:15</t>
  </si>
  <si>
    <t>26/12/2025 08:30</t>
  </si>
  <si>
    <t>26/12/2025 08:45</t>
  </si>
  <si>
    <t>26/12/2025 09:00</t>
  </si>
  <si>
    <t>26/12/2025 09:15</t>
  </si>
  <si>
    <t>26/12/2025 09:30</t>
  </si>
  <si>
    <t>26/12/2025 09:45</t>
  </si>
  <si>
    <t>26/12/2025 10:00</t>
  </si>
  <si>
    <t>26/12/2025 10:15</t>
  </si>
  <si>
    <t>26/12/2025 10:30</t>
  </si>
  <si>
    <t>26/12/2025 10:45</t>
  </si>
  <si>
    <t>26/12/2025 11:00</t>
  </si>
  <si>
    <t>26/12/2025 11:15</t>
  </si>
  <si>
    <t>26/12/2025 11:30</t>
  </si>
  <si>
    <t>26/12/2025 11:45</t>
  </si>
  <si>
    <t>26/12/2025 12:00</t>
  </si>
  <si>
    <t>26/12/2025 12:15</t>
  </si>
  <si>
    <t>26/12/2025 12:30</t>
  </si>
  <si>
    <t>26/12/2025 12:45</t>
  </si>
  <si>
    <t>26/12/2025 13:00</t>
  </si>
  <si>
    <t>26/12/2025 13:15</t>
  </si>
  <si>
    <t>26/12/2025 13:30</t>
  </si>
  <si>
    <t>26/12/2025 13:45</t>
  </si>
  <si>
    <t>26/12/2025 14:00</t>
  </si>
  <si>
    <t>26/12/2025 14:15</t>
  </si>
  <si>
    <t>26/12/2025 14:30</t>
  </si>
  <si>
    <t>26/12/2025 14:45</t>
  </si>
  <si>
    <t>26/12/2025 15:00</t>
  </si>
  <si>
    <t>26/12/2025 15:15</t>
  </si>
  <si>
    <t>26/12/2025 15:30</t>
  </si>
  <si>
    <t>26/12/2025 15:45</t>
  </si>
  <si>
    <t>26/12/2025 16:00</t>
  </si>
  <si>
    <t>26/12/2025 16:15</t>
  </si>
  <si>
    <t>26/12/2025 16:30</t>
  </si>
  <si>
    <t>26/12/2025 16:45</t>
  </si>
  <si>
    <t>26/12/2025 17:00</t>
  </si>
  <si>
    <t>26/12/2025 17:15</t>
  </si>
  <si>
    <t>26/12/2025 17:30</t>
  </si>
  <si>
    <t>26/12/2025 17:45</t>
  </si>
  <si>
    <t>26/12/2025 18:00</t>
  </si>
  <si>
    <t>26/12/2025 18:15</t>
  </si>
  <si>
    <t>26/12/2025 18:30</t>
  </si>
  <si>
    <t>26/12/2025 18:45</t>
  </si>
  <si>
    <t>26/12/2025 19:00</t>
  </si>
  <si>
    <t>26/12/2025 19:15</t>
  </si>
  <si>
    <t>26/12/2025 19:30</t>
  </si>
  <si>
    <t>26/12/2025 19:45</t>
  </si>
  <si>
    <t>26/12/2025 20:00</t>
  </si>
  <si>
    <t>26/12/2025 20:15</t>
  </si>
  <si>
    <t>26/12/2025 20:30</t>
  </si>
  <si>
    <t>26/12/2025 20:45</t>
  </si>
  <si>
    <t>26/12/2025 21:00</t>
  </si>
  <si>
    <t>26/12/2025 21:15</t>
  </si>
  <si>
    <t>26/12/2025 21:30</t>
  </si>
  <si>
    <t>26/12/2025 21:45</t>
  </si>
  <si>
    <t>26/12/2025 22:00</t>
  </si>
  <si>
    <t>26/12/2025 22:15</t>
  </si>
  <si>
    <t>26/12/2025 22:30</t>
  </si>
  <si>
    <t>26/12/2025 22:45</t>
  </si>
  <si>
    <t>26/12/2025 23:00</t>
  </si>
  <si>
    <t>26/12/2025 23:15</t>
  </si>
  <si>
    <t>26/12/2025 23:30</t>
  </si>
  <si>
    <t>26/12/2025 23:45</t>
  </si>
  <si>
    <t>26/12/2025 24:00</t>
  </si>
  <si>
    <t>27/12/2025 00:15</t>
  </si>
  <si>
    <t>27/12/2025 00:30</t>
  </si>
  <si>
    <t>27/12/2025 00:45</t>
  </si>
  <si>
    <t>27/12/2025 01:00</t>
  </si>
  <si>
    <t>27/12/2025 01:15</t>
  </si>
  <si>
    <t>27/12/2025 01:30</t>
  </si>
  <si>
    <t>27/12/2025 01:45</t>
  </si>
  <si>
    <t>27/12/2025 02:00</t>
  </si>
  <si>
    <t>27/12/2025 02:15</t>
  </si>
  <si>
    <t>27/12/2025 02:30</t>
  </si>
  <si>
    <t>27/12/2025 02:45</t>
  </si>
  <si>
    <t>27/12/2025 03:00</t>
  </si>
  <si>
    <t>27/12/2025 03:15</t>
  </si>
  <si>
    <t>27/12/2025 03:30</t>
  </si>
  <si>
    <t>27/12/2025 03:45</t>
  </si>
  <si>
    <t>27/12/2025 04:00</t>
  </si>
  <si>
    <t>27/12/2025 04:15</t>
  </si>
  <si>
    <t>27/12/2025 04:30</t>
  </si>
  <si>
    <t>27/12/2025 04:45</t>
  </si>
  <si>
    <t>27/12/2025 05:00</t>
  </si>
  <si>
    <t>27/12/2025 05:15</t>
  </si>
  <si>
    <t>27/12/2025 05:30</t>
  </si>
  <si>
    <t>27/12/2025 05:45</t>
  </si>
  <si>
    <t>27/12/2025 06:00</t>
  </si>
  <si>
    <t>27/12/2025 06:15</t>
  </si>
  <si>
    <t>27/12/2025 06:30</t>
  </si>
  <si>
    <t>27/12/2025 06:45</t>
  </si>
  <si>
    <t>27/12/2025 07:00</t>
  </si>
  <si>
    <t>27/12/2025 07:15</t>
  </si>
  <si>
    <t>27/12/2025 07:30</t>
  </si>
  <si>
    <t>27/12/2025 07:45</t>
  </si>
  <si>
    <t>27/12/2025 08:00</t>
  </si>
  <si>
    <t>27/12/2025 08:15</t>
  </si>
  <si>
    <t>27/12/2025 08:30</t>
  </si>
  <si>
    <t>27/12/2025 08:45</t>
  </si>
  <si>
    <t>27/12/2025 09:00</t>
  </si>
  <si>
    <t>27/12/2025 09:15</t>
  </si>
  <si>
    <t>27/12/2025 09:30</t>
  </si>
  <si>
    <t>27/12/2025 09:45</t>
  </si>
  <si>
    <t>27/12/2025 10:00</t>
  </si>
  <si>
    <t>27/12/2025 10:15</t>
  </si>
  <si>
    <t>27/12/2025 10:30</t>
  </si>
  <si>
    <t>27/12/2025 10:45</t>
  </si>
  <si>
    <t>27/12/2025 11:00</t>
  </si>
  <si>
    <t>27/12/2025 11:15</t>
  </si>
  <si>
    <t>27/12/2025 11:30</t>
  </si>
  <si>
    <t>27/12/2025 11:45</t>
  </si>
  <si>
    <t>27/12/2025 12:00</t>
  </si>
  <si>
    <t>27/12/2025 12:15</t>
  </si>
  <si>
    <t>27/12/2025 12:30</t>
  </si>
  <si>
    <t>27/12/2025 12:45</t>
  </si>
  <si>
    <t>27/12/2025 13:00</t>
  </si>
  <si>
    <t>27/12/2025 13:15</t>
  </si>
  <si>
    <t>27/12/2025 13:30</t>
  </si>
  <si>
    <t>27/12/2025 13:45</t>
  </si>
  <si>
    <t>27/12/2025 14:00</t>
  </si>
  <si>
    <t>27/12/2025 14:15</t>
  </si>
  <si>
    <t>27/12/2025 14:30</t>
  </si>
  <si>
    <t>27/12/2025 14:45</t>
  </si>
  <si>
    <t>27/12/2025 15:00</t>
  </si>
  <si>
    <t>27/12/2025 15:15</t>
  </si>
  <si>
    <t>27/12/2025 15:30</t>
  </si>
  <si>
    <t>27/12/2025 15:45</t>
  </si>
  <si>
    <t>27/12/2025 16:00</t>
  </si>
  <si>
    <t>27/12/2025 16:15</t>
  </si>
  <si>
    <t>27/12/2025 16:30</t>
  </si>
  <si>
    <t>27/12/2025 16:45</t>
  </si>
  <si>
    <t>27/12/2025 17:00</t>
  </si>
  <si>
    <t>27/12/2025 17:15</t>
  </si>
  <si>
    <t>27/12/2025 17:30</t>
  </si>
  <si>
    <t>27/12/2025 17:45</t>
  </si>
  <si>
    <t>27/12/2025 18:00</t>
  </si>
  <si>
    <t>27/12/2025 18:15</t>
  </si>
  <si>
    <t>27/12/2025 18:30</t>
  </si>
  <si>
    <t>27/12/2025 18:45</t>
  </si>
  <si>
    <t>27/12/2025 19:00</t>
  </si>
  <si>
    <t>27/12/2025 19:15</t>
  </si>
  <si>
    <t>27/12/2025 19:30</t>
  </si>
  <si>
    <t>27/12/2025 19:45</t>
  </si>
  <si>
    <t>27/12/2025 20:00</t>
  </si>
  <si>
    <t>27/12/2025 20:15</t>
  </si>
  <si>
    <t>27/12/2025 20:30</t>
  </si>
  <si>
    <t>27/12/2025 20:45</t>
  </si>
  <si>
    <t>27/12/2025 21:00</t>
  </si>
  <si>
    <t>27/12/2025 21:15</t>
  </si>
  <si>
    <t>27/12/2025 21:30</t>
  </si>
  <si>
    <t>27/12/2025 21:45</t>
  </si>
  <si>
    <t>27/12/2025 22:00</t>
  </si>
  <si>
    <t>27/12/2025 22:15</t>
  </si>
  <si>
    <t>27/12/2025 22:30</t>
  </si>
  <si>
    <t>27/12/2025 22:45</t>
  </si>
  <si>
    <t>27/12/2025 23:00</t>
  </si>
  <si>
    <t>27/12/2025 23:15</t>
  </si>
  <si>
    <t>27/12/2025 23:30</t>
  </si>
  <si>
    <t>27/12/2025 23:45</t>
  </si>
  <si>
    <t>27/12/2025 24:00</t>
  </si>
  <si>
    <t>28/12/2025 00:15</t>
  </si>
  <si>
    <t>28/12/2025 00:30</t>
  </si>
  <si>
    <t>28/12/2025 00:45</t>
  </si>
  <si>
    <t>28/12/2025 01:00</t>
  </si>
  <si>
    <t>28/12/2025 01:15</t>
  </si>
  <si>
    <t>28/12/2025 01:30</t>
  </si>
  <si>
    <t>28/12/2025 01:45</t>
  </si>
  <si>
    <t>28/12/2025 02:00</t>
  </si>
  <si>
    <t>28/12/2025 02:15</t>
  </si>
  <si>
    <t>28/12/2025 02:30</t>
  </si>
  <si>
    <t>28/12/2025 02:45</t>
  </si>
  <si>
    <t>28/12/2025 03:00</t>
  </si>
  <si>
    <t>28/12/2025 03:15</t>
  </si>
  <si>
    <t>28/12/2025 03:30</t>
  </si>
  <si>
    <t>28/12/2025 03:45</t>
  </si>
  <si>
    <t>28/12/2025 04:00</t>
  </si>
  <si>
    <t>28/12/2025 04:15</t>
  </si>
  <si>
    <t>28/12/2025 04:30</t>
  </si>
  <si>
    <t>28/12/2025 04:45</t>
  </si>
  <si>
    <t>28/12/2025 05:00</t>
  </si>
  <si>
    <t>28/12/2025 05:15</t>
  </si>
  <si>
    <t>28/12/2025 05:30</t>
  </si>
  <si>
    <t>28/12/2025 05:45</t>
  </si>
  <si>
    <t>28/12/2025 06:00</t>
  </si>
  <si>
    <t>28/12/2025 06:15</t>
  </si>
  <si>
    <t>28/12/2025 06:30</t>
  </si>
  <si>
    <t>28/12/2025 06:45</t>
  </si>
  <si>
    <t>28/12/2025 07:00</t>
  </si>
  <si>
    <t>28/12/2025 07:15</t>
  </si>
  <si>
    <t>28/12/2025 07:30</t>
  </si>
  <si>
    <t>28/12/2025 07:45</t>
  </si>
  <si>
    <t>28/12/2025 08:00</t>
  </si>
  <si>
    <t>28/12/2025 08:15</t>
  </si>
  <si>
    <t>28/12/2025 08:30</t>
  </si>
  <si>
    <t>28/12/2025 08:45</t>
  </si>
  <si>
    <t>28/12/2025 09:00</t>
  </si>
  <si>
    <t>28/12/2025 09:15</t>
  </si>
  <si>
    <t>28/12/2025 09:30</t>
  </si>
  <si>
    <t>28/12/2025 09:45</t>
  </si>
  <si>
    <t>28/12/2025 10:00</t>
  </si>
  <si>
    <t>28/12/2025 10:15</t>
  </si>
  <si>
    <t>28/12/2025 10:30</t>
  </si>
  <si>
    <t>28/12/2025 10:45</t>
  </si>
  <si>
    <t>28/12/2025 11:00</t>
  </si>
  <si>
    <t>28/12/2025 11:15</t>
  </si>
  <si>
    <t>28/12/2025 11:30</t>
  </si>
  <si>
    <t>28/12/2025 11:45</t>
  </si>
  <si>
    <t>28/12/2025 12:00</t>
  </si>
  <si>
    <t>28/12/2025 12:15</t>
  </si>
  <si>
    <t>28/12/2025 12:30</t>
  </si>
  <si>
    <t>28/12/2025 12:45</t>
  </si>
  <si>
    <t>28/12/2025 13:00</t>
  </si>
  <si>
    <t>28/12/2025 13:15</t>
  </si>
  <si>
    <t>28/12/2025 13:30</t>
  </si>
  <si>
    <t>28/12/2025 13:45</t>
  </si>
  <si>
    <t>28/12/2025 14:00</t>
  </si>
  <si>
    <t>28/12/2025 14:15</t>
  </si>
  <si>
    <t>28/12/2025 14:30</t>
  </si>
  <si>
    <t>28/12/2025 14:45</t>
  </si>
  <si>
    <t>28/12/2025 15:00</t>
  </si>
  <si>
    <t>28/12/2025 15:15</t>
  </si>
  <si>
    <t>28/12/2025 15:30</t>
  </si>
  <si>
    <t>28/12/2025 15:45</t>
  </si>
  <si>
    <t>28/12/2025 16:00</t>
  </si>
  <si>
    <t>28/12/2025 16:15</t>
  </si>
  <si>
    <t>28/12/2025 16:30</t>
  </si>
  <si>
    <t>28/12/2025 16:45</t>
  </si>
  <si>
    <t>28/12/2025 17:00</t>
  </si>
  <si>
    <t>28/12/2025 17:15</t>
  </si>
  <si>
    <t>28/12/2025 17:30</t>
  </si>
  <si>
    <t>28/12/2025 17:45</t>
  </si>
  <si>
    <t>28/12/2025 18:00</t>
  </si>
  <si>
    <t>28/12/2025 18:15</t>
  </si>
  <si>
    <t>28/12/2025 18:30</t>
  </si>
  <si>
    <t>28/12/2025 18:45</t>
  </si>
  <si>
    <t>28/12/2025 19:00</t>
  </si>
  <si>
    <t>28/12/2025 19:15</t>
  </si>
  <si>
    <t>28/12/2025 19:30</t>
  </si>
  <si>
    <t>28/12/2025 19:45</t>
  </si>
  <si>
    <t>28/12/2025 20:00</t>
  </si>
  <si>
    <t>28/12/2025 20:15</t>
  </si>
  <si>
    <t>28/12/2025 20:30</t>
  </si>
  <si>
    <t>28/12/2025 20:45</t>
  </si>
  <si>
    <t>28/12/2025 21:00</t>
  </si>
  <si>
    <t>28/12/2025 21:15</t>
  </si>
  <si>
    <t>28/12/2025 21:30</t>
  </si>
  <si>
    <t>28/12/2025 21:45</t>
  </si>
  <si>
    <t>28/12/2025 22:00</t>
  </si>
  <si>
    <t>28/12/2025 22:15</t>
  </si>
  <si>
    <t>28/12/2025 22:30</t>
  </si>
  <si>
    <t>28/12/2025 22:45</t>
  </si>
  <si>
    <t>28/12/2025 23:00</t>
  </si>
  <si>
    <t>28/12/2025 23:15</t>
  </si>
  <si>
    <t>28/12/2025 23:30</t>
  </si>
  <si>
    <t>28/12/2025 23:45</t>
  </si>
  <si>
    <t>28/12/2025 24:00</t>
  </si>
  <si>
    <t>29/12/2025 00:15</t>
  </si>
  <si>
    <t>29/12/2025 00:30</t>
  </si>
  <si>
    <t>29/12/2025 00:45</t>
  </si>
  <si>
    <t>29/12/2025 01:00</t>
  </si>
  <si>
    <t>29/12/2025 01:15</t>
  </si>
  <si>
    <t>29/12/2025 01:30</t>
  </si>
  <si>
    <t>29/12/2025 01:45</t>
  </si>
  <si>
    <t>29/12/2025 02:00</t>
  </si>
  <si>
    <t>29/12/2025 02:15</t>
  </si>
  <si>
    <t>29/12/2025 02:30</t>
  </si>
  <si>
    <t>29/12/2025 02:45</t>
  </si>
  <si>
    <t>29/12/2025 03:00</t>
  </si>
  <si>
    <t>29/12/2025 03:15</t>
  </si>
  <si>
    <t>29/12/2025 03:30</t>
  </si>
  <si>
    <t>29/12/2025 03:45</t>
  </si>
  <si>
    <t>29/12/2025 04:00</t>
  </si>
  <si>
    <t>29/12/2025 04:15</t>
  </si>
  <si>
    <t>29/12/2025 04:30</t>
  </si>
  <si>
    <t>29/12/2025 04:45</t>
  </si>
  <si>
    <t>29/12/2025 05:00</t>
  </si>
  <si>
    <t>29/12/2025 05:15</t>
  </si>
  <si>
    <t>29/12/2025 05:30</t>
  </si>
  <si>
    <t>29/12/2025 05:45</t>
  </si>
  <si>
    <t>29/12/2025 06:00</t>
  </si>
  <si>
    <t>29/12/2025 06:15</t>
  </si>
  <si>
    <t>29/12/2025 06:30</t>
  </si>
  <si>
    <t>29/12/2025 06:45</t>
  </si>
  <si>
    <t>29/12/2025 07:00</t>
  </si>
  <si>
    <t>29/12/2025 07:15</t>
  </si>
  <si>
    <t>29/12/2025 07:30</t>
  </si>
  <si>
    <t>29/12/2025 07:45</t>
  </si>
  <si>
    <t>29/12/2025 08:00</t>
  </si>
  <si>
    <t>29/12/2025 08:15</t>
  </si>
  <si>
    <t>29/12/2025 08:30</t>
  </si>
  <si>
    <t>29/12/2025 08:45</t>
  </si>
  <si>
    <t>29/12/2025 09:00</t>
  </si>
  <si>
    <t>29/12/2025 09:15</t>
  </si>
  <si>
    <t>29/12/2025 09:30</t>
  </si>
  <si>
    <t>29/12/2025 09:45</t>
  </si>
  <si>
    <t>29/12/2025 10:00</t>
  </si>
  <si>
    <t>29/12/2025 10:15</t>
  </si>
  <si>
    <t>29/12/2025 10:30</t>
  </si>
  <si>
    <t>29/12/2025 10:45</t>
  </si>
  <si>
    <t>29/12/2025 11:00</t>
  </si>
  <si>
    <t>29/12/2025 11:15</t>
  </si>
  <si>
    <t>29/12/2025 11:30</t>
  </si>
  <si>
    <t>29/12/2025 11:45</t>
  </si>
  <si>
    <t>29/12/2025 12:00</t>
  </si>
  <si>
    <t>29/12/2025 12:15</t>
  </si>
  <si>
    <t>29/12/2025 12:30</t>
  </si>
  <si>
    <t>29/12/2025 12:45</t>
  </si>
  <si>
    <t>29/12/2025 13:00</t>
  </si>
  <si>
    <t>29/12/2025 13:15</t>
  </si>
  <si>
    <t>29/12/2025 13:30</t>
  </si>
  <si>
    <t>29/12/2025 13:45</t>
  </si>
  <si>
    <t>29/12/2025 14:00</t>
  </si>
  <si>
    <t>29/12/2025 14:15</t>
  </si>
  <si>
    <t>29/12/2025 14:30</t>
  </si>
  <si>
    <t>29/12/2025 14:45</t>
  </si>
  <si>
    <t>29/12/2025 15:00</t>
  </si>
  <si>
    <t>29/12/2025 15:15</t>
  </si>
  <si>
    <t>29/12/2025 15:30</t>
  </si>
  <si>
    <t>29/12/2025 15:45</t>
  </si>
  <si>
    <t>29/12/2025 16:00</t>
  </si>
  <si>
    <t>29/12/2025 16:15</t>
  </si>
  <si>
    <t>29/12/2025 16:30</t>
  </si>
  <si>
    <t>29/12/2025 16:45</t>
  </si>
  <si>
    <t>29/12/2025 17:00</t>
  </si>
  <si>
    <t>29/12/2025 17:15</t>
  </si>
  <si>
    <t>29/12/2025 17:30</t>
  </si>
  <si>
    <t>29/12/2025 17:45</t>
  </si>
  <si>
    <t>29/12/2025 18:00</t>
  </si>
  <si>
    <t>29/12/2025 18:15</t>
  </si>
  <si>
    <t>29/12/2025 18:30</t>
  </si>
  <si>
    <t>29/12/2025 18:45</t>
  </si>
  <si>
    <t>29/12/2025 19:00</t>
  </si>
  <si>
    <t>29/12/2025 19:15</t>
  </si>
  <si>
    <t>29/12/2025 19:30</t>
  </si>
  <si>
    <t>29/12/2025 19:45</t>
  </si>
  <si>
    <t>29/12/2025 20:00</t>
  </si>
  <si>
    <t>29/12/2025 20:15</t>
  </si>
  <si>
    <t>29/12/2025 20:30</t>
  </si>
  <si>
    <t>29/12/2025 20:45</t>
  </si>
  <si>
    <t>29/12/2025 21:00</t>
  </si>
  <si>
    <t>29/12/2025 21:15</t>
  </si>
  <si>
    <t>29/12/2025 21:30</t>
  </si>
  <si>
    <t>29/12/2025 21:45</t>
  </si>
  <si>
    <t>29/12/2025 22:00</t>
  </si>
  <si>
    <t>29/12/2025 22:15</t>
  </si>
  <si>
    <t>29/12/2025 22:30</t>
  </si>
  <si>
    <t>29/12/2025 22:45</t>
  </si>
  <si>
    <t>29/12/2025 23:00</t>
  </si>
  <si>
    <t>29/12/2025 23:15</t>
  </si>
  <si>
    <t>29/12/2025 23:30</t>
  </si>
  <si>
    <t>29/12/2025 23:45</t>
  </si>
  <si>
    <t>29/12/2025 24:00</t>
  </si>
  <si>
    <t>30/12/2025 00:15</t>
  </si>
  <si>
    <t>30/12/2025 00:30</t>
  </si>
  <si>
    <t>30/12/2025 00:45</t>
  </si>
  <si>
    <t>30/12/2025 01:00</t>
  </si>
  <si>
    <t>30/12/2025 01:15</t>
  </si>
  <si>
    <t>30/12/2025 01:30</t>
  </si>
  <si>
    <t>30/12/2025 01:45</t>
  </si>
  <si>
    <t>30/12/2025 02:00</t>
  </si>
  <si>
    <t>30/12/2025 02:15</t>
  </si>
  <si>
    <t>30/12/2025 02:30</t>
  </si>
  <si>
    <t>30/12/2025 02:45</t>
  </si>
  <si>
    <t>30/12/2025 03:00</t>
  </si>
  <si>
    <t>30/12/2025 03:15</t>
  </si>
  <si>
    <t>30/12/2025 03:30</t>
  </si>
  <si>
    <t>30/12/2025 03:45</t>
  </si>
  <si>
    <t>30/12/2025 04:00</t>
  </si>
  <si>
    <t>30/12/2025 04:15</t>
  </si>
  <si>
    <t>30/12/2025 04:30</t>
  </si>
  <si>
    <t>30/12/2025 04:45</t>
  </si>
  <si>
    <t>30/12/2025 05:00</t>
  </si>
  <si>
    <t>30/12/2025 05:15</t>
  </si>
  <si>
    <t>30/12/2025 05:30</t>
  </si>
  <si>
    <t>30/12/2025 05:45</t>
  </si>
  <si>
    <t>30/12/2025 06:00</t>
  </si>
  <si>
    <t>30/12/2025 06:15</t>
  </si>
  <si>
    <t>30/12/2025 06:30</t>
  </si>
  <si>
    <t>30/12/2025 06:45</t>
  </si>
  <si>
    <t>30/12/2025 07:00</t>
  </si>
  <si>
    <t>30/12/2025 07:15</t>
  </si>
  <si>
    <t>30/12/2025 07:30</t>
  </si>
  <si>
    <t>30/12/2025 07:45</t>
  </si>
  <si>
    <t>30/12/2025 08:00</t>
  </si>
  <si>
    <t>30/12/2025 08:15</t>
  </si>
  <si>
    <t>30/12/2025 08:30</t>
  </si>
  <si>
    <t>30/12/2025 08:45</t>
  </si>
  <si>
    <t>30/12/2025 09:00</t>
  </si>
  <si>
    <t>30/12/2025 09:15</t>
  </si>
  <si>
    <t>30/12/2025 09:30</t>
  </si>
  <si>
    <t>30/12/2025 09:45</t>
  </si>
  <si>
    <t>30/12/2025 10:00</t>
  </si>
  <si>
    <t>30/12/2025 10:15</t>
  </si>
  <si>
    <t>30/12/2025 10:30</t>
  </si>
  <si>
    <t>30/12/2025 10:45</t>
  </si>
  <si>
    <t>30/12/2025 11:00</t>
  </si>
  <si>
    <t>30/12/2025 11:15</t>
  </si>
  <si>
    <t>30/12/2025 11:30</t>
  </si>
  <si>
    <t>30/12/2025 11:45</t>
  </si>
  <si>
    <t>30/12/2025 12:00</t>
  </si>
  <si>
    <t>30/12/2025 12:15</t>
  </si>
  <si>
    <t>30/12/2025 12:30</t>
  </si>
  <si>
    <t>30/12/2025 12:45</t>
  </si>
  <si>
    <t>30/12/2025 13:00</t>
  </si>
  <si>
    <t>30/12/2025 13:15</t>
  </si>
  <si>
    <t>30/12/2025 13:30</t>
  </si>
  <si>
    <t>30/12/2025 13:45</t>
  </si>
  <si>
    <t>30/12/2025 14:00</t>
  </si>
  <si>
    <t>30/12/2025 14:15</t>
  </si>
  <si>
    <t>30/12/2025 14:30</t>
  </si>
  <si>
    <t>30/12/2025 14:45</t>
  </si>
  <si>
    <t>30/12/2025 15:00</t>
  </si>
  <si>
    <t>30/12/2025 15:15</t>
  </si>
  <si>
    <t>30/12/2025 15:30</t>
  </si>
  <si>
    <t>30/12/2025 15:45</t>
  </si>
  <si>
    <t>30/12/2025 16:00</t>
  </si>
  <si>
    <t>30/12/2025 16:15</t>
  </si>
  <si>
    <t>30/12/2025 16:30</t>
  </si>
  <si>
    <t>30/12/2025 16:45</t>
  </si>
  <si>
    <t>30/12/2025 17:00</t>
  </si>
  <si>
    <t>30/12/2025 17:15</t>
  </si>
  <si>
    <t>30/12/2025 17:30</t>
  </si>
  <si>
    <t>30/12/2025 17:45</t>
  </si>
  <si>
    <t>30/12/2025 18:00</t>
  </si>
  <si>
    <t>30/12/2025 18:15</t>
  </si>
  <si>
    <t>30/12/2025 18:30</t>
  </si>
  <si>
    <t>30/12/2025 18:45</t>
  </si>
  <si>
    <t>30/12/2025 19:00</t>
  </si>
  <si>
    <t>30/12/2025 19:15</t>
  </si>
  <si>
    <t>30/12/2025 19:30</t>
  </si>
  <si>
    <t>30/12/2025 19:45</t>
  </si>
  <si>
    <t>30/12/2025 20:00</t>
  </si>
  <si>
    <t>30/12/2025 20:15</t>
  </si>
  <si>
    <t>30/12/2025 20:30</t>
  </si>
  <si>
    <t>30/12/2025 20:45</t>
  </si>
  <si>
    <t>30/12/2025 21:00</t>
  </si>
  <si>
    <t>30/12/2025 21:15</t>
  </si>
  <si>
    <t>30/12/2025 21:30</t>
  </si>
  <si>
    <t>30/12/2025 21:45</t>
  </si>
  <si>
    <t>30/12/2025 22:00</t>
  </si>
  <si>
    <t>30/12/2025 22:15</t>
  </si>
  <si>
    <t>30/12/2025 22:30</t>
  </si>
  <si>
    <t>30/12/2025 22:45</t>
  </si>
  <si>
    <t>30/12/2025 23:00</t>
  </si>
  <si>
    <t>30/12/2025 23:15</t>
  </si>
  <si>
    <t>30/12/2025 23:30</t>
  </si>
  <si>
    <t>30/12/2025 23:45</t>
  </si>
  <si>
    <t>30/12/2025 24:00</t>
  </si>
  <si>
    <t>31/12/2025 00:15</t>
  </si>
  <si>
    <t>31/12/2025 00:30</t>
  </si>
  <si>
    <t>31/12/2025 00:45</t>
  </si>
  <si>
    <t>31/12/2025 01:00</t>
  </si>
  <si>
    <t>31/12/2025 01:15</t>
  </si>
  <si>
    <t>31/12/2025 01:30</t>
  </si>
  <si>
    <t>31/12/2025 01:45</t>
  </si>
  <si>
    <t>31/12/2025 02:00</t>
  </si>
  <si>
    <t>31/12/2025 02:15</t>
  </si>
  <si>
    <t>31/12/2025 02:30</t>
  </si>
  <si>
    <t>31/12/2025 02:45</t>
  </si>
  <si>
    <t>31/12/2025 03:00</t>
  </si>
  <si>
    <t>31/12/2025 03:15</t>
  </si>
  <si>
    <t>31/12/2025 03:30</t>
  </si>
  <si>
    <t>31/12/2025 03:45</t>
  </si>
  <si>
    <t>31/12/2025 04:00</t>
  </si>
  <si>
    <t>31/12/2025 04:15</t>
  </si>
  <si>
    <t>31/12/2025 04:30</t>
  </si>
  <si>
    <t>31/12/2025 04:45</t>
  </si>
  <si>
    <t>31/12/2025 05:00</t>
  </si>
  <si>
    <t>31/12/2025 05:15</t>
  </si>
  <si>
    <t>31/12/2025 05:30</t>
  </si>
  <si>
    <t>31/12/2025 05:45</t>
  </si>
  <si>
    <t>31/12/2025 06:00</t>
  </si>
  <si>
    <t>31/12/2025 06:15</t>
  </si>
  <si>
    <t>31/12/2025 06:30</t>
  </si>
  <si>
    <t>31/12/2025 06:45</t>
  </si>
  <si>
    <t>31/12/2025 07:00</t>
  </si>
  <si>
    <t>31/12/2025 07:15</t>
  </si>
  <si>
    <t>31/12/2025 07:30</t>
  </si>
  <si>
    <t>31/12/2025 07:45</t>
  </si>
  <si>
    <t>31/12/2025 08:00</t>
  </si>
  <si>
    <t>31/12/2025 08:15</t>
  </si>
  <si>
    <t>31/12/2025 08:30</t>
  </si>
  <si>
    <t>31/12/2025 08:45</t>
  </si>
  <si>
    <t>31/12/2025 09:00</t>
  </si>
  <si>
    <t>31/12/2025 09:15</t>
  </si>
  <si>
    <t>31/12/2025 09:30</t>
  </si>
  <si>
    <t>31/12/2025 09:45</t>
  </si>
  <si>
    <t>31/12/2025 10:00</t>
  </si>
  <si>
    <t>31/12/2025 10:15</t>
  </si>
  <si>
    <t>31/12/2025 10:30</t>
  </si>
  <si>
    <t>31/12/2025 10:45</t>
  </si>
  <si>
    <t>31/12/2025 11:00</t>
  </si>
  <si>
    <t>31/12/2025 11:15</t>
  </si>
  <si>
    <t>31/12/2025 11:30</t>
  </si>
  <si>
    <t>31/12/2025 11:45</t>
  </si>
  <si>
    <t>31/12/2025 12:00</t>
  </si>
  <si>
    <t>31/12/2025 12:15</t>
  </si>
  <si>
    <t>31/12/2025 12:30</t>
  </si>
  <si>
    <t>31/12/2025 12:45</t>
  </si>
  <si>
    <t>31/12/2025 13:00</t>
  </si>
  <si>
    <t>31/12/2025 13:15</t>
  </si>
  <si>
    <t>31/12/2025 13:30</t>
  </si>
  <si>
    <t>31/12/2025 13:45</t>
  </si>
  <si>
    <t>31/12/2025 14:00</t>
  </si>
  <si>
    <t>31/12/2025 14:15</t>
  </si>
  <si>
    <t>31/12/2025 14:30</t>
  </si>
  <si>
    <t>31/12/2025 14:45</t>
  </si>
  <si>
    <t>31/12/2025 15:00</t>
  </si>
  <si>
    <t>31/12/2025 15:15</t>
  </si>
  <si>
    <t>31/12/2025 15:30</t>
  </si>
  <si>
    <t>31/12/2025 15:45</t>
  </si>
  <si>
    <t>31/12/2025 16:00</t>
  </si>
  <si>
    <t>31/12/2025 16:15</t>
  </si>
  <si>
    <t>31/12/2025 16:30</t>
  </si>
  <si>
    <t>31/12/2025 16:45</t>
  </si>
  <si>
    <t>31/12/2025 17:00</t>
  </si>
  <si>
    <t>31/12/2025 17:15</t>
  </si>
  <si>
    <t>31/12/2025 17:30</t>
  </si>
  <si>
    <t>31/12/2025 17:45</t>
  </si>
  <si>
    <t>31/12/2025 18:00</t>
  </si>
  <si>
    <t>31/12/2025 18:15</t>
  </si>
  <si>
    <t>31/12/2025 18:30</t>
  </si>
  <si>
    <t>31/12/2025 18:45</t>
  </si>
  <si>
    <t>31/12/2025 19:00</t>
  </si>
  <si>
    <t>31/12/2025 19:15</t>
  </si>
  <si>
    <t>31/12/2025 19:30</t>
  </si>
  <si>
    <t>31/12/2025 19:45</t>
  </si>
  <si>
    <t>31/12/2025 20:00</t>
  </si>
  <si>
    <t>31/12/2025 20:15</t>
  </si>
  <si>
    <t>31/12/2025 20:30</t>
  </si>
  <si>
    <t>31/12/2025 20:45</t>
  </si>
  <si>
    <t>31/12/2025 21:00</t>
  </si>
  <si>
    <t>31/12/2025 21:15</t>
  </si>
  <si>
    <t>31/12/2025 21:30</t>
  </si>
  <si>
    <t>31/12/2025 21:45</t>
  </si>
  <si>
    <t>31/12/2025 22:00</t>
  </si>
  <si>
    <t>31/12/2025 22:15</t>
  </si>
  <si>
    <t>31/12/2025 22:30</t>
  </si>
  <si>
    <t>31/12/2025 22:45</t>
  </si>
  <si>
    <t>31/12/2025 23:00</t>
  </si>
  <si>
    <t>31/12/2025 23:15</t>
  </si>
  <si>
    <t>31/12/2025 23:30</t>
  </si>
  <si>
    <t>31/12/2025 23:45</t>
  </si>
  <si>
    <t>31/12/2025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</si>
</sst>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4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  <font>
      <sz val="8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0" fillId="0" borderId="0" xfId="0" applyNumberFormat="1"/>
    <xf numFmtId="0" fontId="28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zoomScale="80" zoomScaleNormal="80" workbookViewId="0">
      <pane xSplit="1" ySplit="8" topLeftCell="B102" activePane="bottomRight" state="frozen"/>
      <selection pane="topRight"/>
      <selection pane="bottomLeft"/>
      <selection pane="bottomRight" activeCell="J114" sqref="J1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247</v>
      </c>
      <c r="B9" s="100">
        <v>11.09</v>
      </c>
      <c r="C9" s="100">
        <v>16.73</v>
      </c>
      <c r="D9" s="100">
        <v>17.63</v>
      </c>
      <c r="E9" s="100">
        <v>6.14</v>
      </c>
      <c r="F9" s="100">
        <v>0.19</v>
      </c>
      <c r="G9" s="100">
        <v>96.64</v>
      </c>
      <c r="H9" s="100">
        <v>43.93</v>
      </c>
      <c r="I9" s="100">
        <v>12.31</v>
      </c>
      <c r="J9" s="100">
        <v>0.24</v>
      </c>
      <c r="K9" s="100">
        <v>166.42</v>
      </c>
      <c r="L9" s="100">
        <v>22.73</v>
      </c>
      <c r="M9" s="100">
        <v>58.79</v>
      </c>
      <c r="N9" s="100">
        <v>2.1</v>
      </c>
      <c r="O9" s="100">
        <v>0</v>
      </c>
      <c r="P9" s="100">
        <v>0.73</v>
      </c>
      <c r="Q9" s="100">
        <v>9.32</v>
      </c>
      <c r="R9" s="6"/>
      <c r="S9" s="6"/>
      <c r="T9" s="156"/>
      <c r="U9" s="6"/>
    </row>
    <row r="10" spans="1:21" customFormat="1">
      <c r="A10" s="163" t="s">
        <v>248</v>
      </c>
      <c r="B10" s="100">
        <v>10.64</v>
      </c>
      <c r="C10" s="100">
        <v>16.77</v>
      </c>
      <c r="D10" s="100">
        <v>17.3</v>
      </c>
      <c r="E10" s="100">
        <v>6.06</v>
      </c>
      <c r="F10" s="100">
        <v>0.46</v>
      </c>
      <c r="G10" s="100">
        <v>94.47</v>
      </c>
      <c r="H10" s="100">
        <v>43.3</v>
      </c>
      <c r="I10" s="100">
        <v>12.26</v>
      </c>
      <c r="J10" s="100">
        <v>0.28999999999999998</v>
      </c>
      <c r="K10" s="100">
        <v>157.25</v>
      </c>
      <c r="L10" s="100">
        <v>22.67</v>
      </c>
      <c r="M10" s="100">
        <v>60.35</v>
      </c>
      <c r="N10" s="100">
        <v>2.2000000000000002</v>
      </c>
      <c r="O10" s="100">
        <v>0</v>
      </c>
      <c r="P10" s="100">
        <v>0.73</v>
      </c>
      <c r="Q10" s="100">
        <v>9.32</v>
      </c>
      <c r="R10" s="6"/>
      <c r="S10" s="6"/>
      <c r="T10" s="156"/>
      <c r="U10" s="6"/>
    </row>
    <row r="11" spans="1:21" customFormat="1">
      <c r="A11" s="163" t="s">
        <v>249</v>
      </c>
      <c r="B11" s="100">
        <v>10.039999999999999</v>
      </c>
      <c r="C11" s="100">
        <v>16.55</v>
      </c>
      <c r="D11" s="100">
        <v>16.7</v>
      </c>
      <c r="E11" s="100">
        <v>6.26</v>
      </c>
      <c r="F11" s="100">
        <v>0.27</v>
      </c>
      <c r="G11" s="100">
        <v>93.44</v>
      </c>
      <c r="H11" s="100">
        <v>43.24</v>
      </c>
      <c r="I11" s="100">
        <v>12.19</v>
      </c>
      <c r="J11" s="100">
        <v>0.22</v>
      </c>
      <c r="K11" s="100">
        <v>168.6</v>
      </c>
      <c r="L11" s="100">
        <v>22.7</v>
      </c>
      <c r="M11" s="100">
        <v>59.83</v>
      </c>
      <c r="N11" s="100">
        <v>2.2000000000000002</v>
      </c>
      <c r="O11" s="100">
        <v>0</v>
      </c>
      <c r="P11" s="100">
        <v>0.71</v>
      </c>
      <c r="Q11" s="100">
        <v>9.92</v>
      </c>
      <c r="R11" s="6"/>
      <c r="S11" s="6"/>
      <c r="T11" s="156"/>
      <c r="U11" s="6"/>
    </row>
    <row r="12" spans="1:21" customFormat="1">
      <c r="A12" s="163" t="s">
        <v>250</v>
      </c>
      <c r="B12" s="100">
        <v>9.3699999999999992</v>
      </c>
      <c r="C12" s="100">
        <v>16.3</v>
      </c>
      <c r="D12" s="100">
        <v>16.03</v>
      </c>
      <c r="E12" s="100">
        <v>6.37</v>
      </c>
      <c r="F12" s="100">
        <v>0.36</v>
      </c>
      <c r="G12" s="100">
        <v>93.44</v>
      </c>
      <c r="H12" s="100">
        <v>43.24</v>
      </c>
      <c r="I12" s="100">
        <v>12.13</v>
      </c>
      <c r="J12" s="100">
        <v>0.31</v>
      </c>
      <c r="K12" s="100">
        <v>71.790000000000006</v>
      </c>
      <c r="L12" s="100">
        <v>22.64</v>
      </c>
      <c r="M12" s="100">
        <v>59.05</v>
      </c>
      <c r="N12" s="100">
        <v>2.2000000000000002</v>
      </c>
      <c r="O12" s="100">
        <v>0</v>
      </c>
      <c r="P12" s="100">
        <v>0.71</v>
      </c>
      <c r="Q12" s="100">
        <v>9.6</v>
      </c>
      <c r="R12" s="6"/>
      <c r="S12" s="6"/>
      <c r="T12" s="156"/>
      <c r="U12" s="6"/>
    </row>
    <row r="13" spans="1:21" customFormat="1">
      <c r="A13" s="163" t="s">
        <v>251</v>
      </c>
      <c r="B13" s="100">
        <v>8.7100000000000009</v>
      </c>
      <c r="C13" s="100">
        <v>16.3</v>
      </c>
      <c r="D13" s="100">
        <v>15.5</v>
      </c>
      <c r="E13" s="100">
        <v>6.01</v>
      </c>
      <c r="F13" s="100">
        <v>0.35</v>
      </c>
      <c r="G13" s="100">
        <v>93.44</v>
      </c>
      <c r="H13" s="100">
        <v>43.24</v>
      </c>
      <c r="I13" s="100">
        <v>12.01</v>
      </c>
      <c r="J13" s="100">
        <v>0.1</v>
      </c>
      <c r="K13" s="100">
        <v>173.17</v>
      </c>
      <c r="L13" s="100">
        <v>22.79</v>
      </c>
      <c r="M13" s="100">
        <v>58.53</v>
      </c>
      <c r="N13" s="100">
        <v>2.2000000000000002</v>
      </c>
      <c r="O13" s="100">
        <v>0</v>
      </c>
      <c r="P13" s="100">
        <v>0.7</v>
      </c>
      <c r="Q13" s="100">
        <v>9.32</v>
      </c>
      <c r="R13" s="6"/>
      <c r="S13" s="6"/>
      <c r="T13" s="156"/>
      <c r="U13" s="6"/>
    </row>
    <row r="14" spans="1:21" customFormat="1">
      <c r="A14" s="163" t="s">
        <v>252</v>
      </c>
      <c r="B14" s="100">
        <v>8.08</v>
      </c>
      <c r="C14" s="100">
        <v>16.23</v>
      </c>
      <c r="D14" s="100">
        <v>14.96</v>
      </c>
      <c r="E14" s="100">
        <v>6.01</v>
      </c>
      <c r="F14" s="100">
        <v>0.39</v>
      </c>
      <c r="G14" s="100">
        <v>90.66</v>
      </c>
      <c r="H14" s="100">
        <v>43.2</v>
      </c>
      <c r="I14" s="100">
        <v>11.89</v>
      </c>
      <c r="J14" s="100">
        <v>0.18</v>
      </c>
      <c r="K14" s="100">
        <v>228.9</v>
      </c>
      <c r="L14" s="100">
        <v>22.33</v>
      </c>
      <c r="M14" s="100">
        <v>62.26</v>
      </c>
      <c r="N14" s="100">
        <v>2.5</v>
      </c>
      <c r="O14" s="100">
        <v>0</v>
      </c>
      <c r="P14" s="100">
        <v>0.68</v>
      </c>
      <c r="Q14" s="100">
        <v>9.5399999999999991</v>
      </c>
      <c r="R14" s="6"/>
      <c r="S14" s="6"/>
      <c r="T14" s="156"/>
      <c r="U14" s="6"/>
    </row>
    <row r="15" spans="1:21" customFormat="1">
      <c r="A15" s="163" t="s">
        <v>253</v>
      </c>
      <c r="B15" s="100">
        <v>7.61</v>
      </c>
      <c r="C15" s="100">
        <v>16.059999999999999</v>
      </c>
      <c r="D15" s="100">
        <v>14.5</v>
      </c>
      <c r="E15" s="100">
        <v>6.11</v>
      </c>
      <c r="F15" s="100">
        <v>0.3</v>
      </c>
      <c r="G15" s="100">
        <v>89.33</v>
      </c>
      <c r="H15" s="100">
        <v>43.2</v>
      </c>
      <c r="I15" s="100">
        <v>11.5</v>
      </c>
      <c r="J15" s="100">
        <v>0.14000000000000001</v>
      </c>
      <c r="K15" s="100">
        <v>184.34</v>
      </c>
      <c r="L15" s="100">
        <v>22.08</v>
      </c>
      <c r="M15" s="100">
        <v>63.56</v>
      </c>
      <c r="N15" s="100">
        <v>2.5</v>
      </c>
      <c r="O15" s="100">
        <v>0</v>
      </c>
      <c r="P15" s="100">
        <v>0.68</v>
      </c>
      <c r="Q15" s="100">
        <v>9.32</v>
      </c>
      <c r="R15" s="6"/>
      <c r="S15" s="6"/>
      <c r="T15" s="156"/>
      <c r="U15" s="6"/>
    </row>
    <row r="16" spans="1:21" customFormat="1">
      <c r="A16" s="163" t="s">
        <v>254</v>
      </c>
      <c r="B16" s="100">
        <v>7.53</v>
      </c>
      <c r="C16" s="100">
        <v>15.92</v>
      </c>
      <c r="D16" s="100">
        <v>14.36</v>
      </c>
      <c r="E16" s="100">
        <v>5.98</v>
      </c>
      <c r="F16" s="100">
        <v>0.2</v>
      </c>
      <c r="G16" s="100">
        <v>89.33</v>
      </c>
      <c r="H16" s="100">
        <v>43.2</v>
      </c>
      <c r="I16" s="100">
        <v>11.07</v>
      </c>
      <c r="J16" s="100">
        <v>0.2</v>
      </c>
      <c r="K16" s="100">
        <v>101.66</v>
      </c>
      <c r="L16" s="100">
        <v>21.75</v>
      </c>
      <c r="M16" s="100">
        <v>67.540000000000006</v>
      </c>
      <c r="N16" s="100">
        <v>2.5</v>
      </c>
      <c r="O16" s="100">
        <v>0</v>
      </c>
      <c r="P16" s="100">
        <v>0.69</v>
      </c>
      <c r="Q16" s="100">
        <v>9.32</v>
      </c>
      <c r="R16" s="6"/>
      <c r="S16" s="6"/>
      <c r="T16" s="156"/>
      <c r="U16" s="6"/>
    </row>
    <row r="17" spans="1:21" customFormat="1">
      <c r="A17" s="163" t="s">
        <v>255</v>
      </c>
      <c r="B17" s="100">
        <v>7.65</v>
      </c>
      <c r="C17" s="100">
        <v>15.69</v>
      </c>
      <c r="D17" s="100">
        <v>14.33</v>
      </c>
      <c r="E17" s="100">
        <v>4.5999999999999996</v>
      </c>
      <c r="F17" s="100">
        <v>0.23</v>
      </c>
      <c r="G17" s="100">
        <v>89.33</v>
      </c>
      <c r="H17" s="100">
        <v>43.2</v>
      </c>
      <c r="I17" s="100">
        <v>10.91</v>
      </c>
      <c r="J17" s="100">
        <v>0.13</v>
      </c>
      <c r="K17" s="100">
        <v>170.54</v>
      </c>
      <c r="L17" s="100">
        <v>21.83</v>
      </c>
      <c r="M17" s="100">
        <v>64.5</v>
      </c>
      <c r="N17" s="100">
        <v>2.1</v>
      </c>
      <c r="O17" s="100">
        <v>0</v>
      </c>
      <c r="P17" s="100">
        <v>0.69</v>
      </c>
      <c r="Q17" s="100">
        <v>9.32</v>
      </c>
      <c r="R17" s="6"/>
      <c r="S17" s="6"/>
      <c r="T17" s="156"/>
      <c r="U17" s="6"/>
    </row>
    <row r="18" spans="1:21" customFormat="1">
      <c r="A18" s="163" t="s">
        <v>256</v>
      </c>
      <c r="B18" s="100">
        <v>7.69</v>
      </c>
      <c r="C18" s="100">
        <v>15.55</v>
      </c>
      <c r="D18" s="100">
        <v>14.29</v>
      </c>
      <c r="E18" s="100">
        <v>5.93</v>
      </c>
      <c r="F18" s="100">
        <v>0.24</v>
      </c>
      <c r="G18" s="100">
        <v>84.74</v>
      </c>
      <c r="H18" s="100">
        <v>41.34</v>
      </c>
      <c r="I18" s="100">
        <v>10.75</v>
      </c>
      <c r="J18" s="100">
        <v>0.34</v>
      </c>
      <c r="K18" s="100">
        <v>38.28</v>
      </c>
      <c r="L18" s="100">
        <v>21.93</v>
      </c>
      <c r="M18" s="100">
        <v>61.93</v>
      </c>
      <c r="N18" s="100">
        <v>1.9</v>
      </c>
      <c r="O18" s="100">
        <v>0</v>
      </c>
      <c r="P18" s="100">
        <v>0.68</v>
      </c>
      <c r="Q18" s="100">
        <v>9.32</v>
      </c>
      <c r="R18" s="6"/>
      <c r="S18" s="6"/>
      <c r="T18" s="156"/>
      <c r="U18" s="6"/>
    </row>
    <row r="19" spans="1:21" customFormat="1">
      <c r="A19" s="163" t="s">
        <v>257</v>
      </c>
      <c r="B19" s="100">
        <v>7.75</v>
      </c>
      <c r="C19" s="100">
        <v>15.37</v>
      </c>
      <c r="D19" s="100">
        <v>14.24</v>
      </c>
      <c r="E19" s="100">
        <v>6</v>
      </c>
      <c r="F19" s="100">
        <v>0.14000000000000001</v>
      </c>
      <c r="G19" s="100">
        <v>82.55</v>
      </c>
      <c r="H19" s="100">
        <v>41.16</v>
      </c>
      <c r="I19" s="100">
        <v>10.64</v>
      </c>
      <c r="J19" s="100">
        <v>0.03</v>
      </c>
      <c r="K19" s="100">
        <v>80.489999999999995</v>
      </c>
      <c r="L19" s="100">
        <v>21.92</v>
      </c>
      <c r="M19" s="100">
        <v>63.29</v>
      </c>
      <c r="N19" s="100">
        <v>2.2000000000000002</v>
      </c>
      <c r="O19" s="100">
        <v>0</v>
      </c>
      <c r="P19" s="100">
        <v>0.67</v>
      </c>
      <c r="Q19" s="100">
        <v>9.32</v>
      </c>
      <c r="R19" s="6"/>
      <c r="S19" s="6"/>
      <c r="T19" s="156"/>
      <c r="U19" s="6"/>
    </row>
    <row r="20" spans="1:21" customFormat="1">
      <c r="A20" s="163" t="s">
        <v>258</v>
      </c>
      <c r="B20" s="100">
        <v>7.72</v>
      </c>
      <c r="C20" s="100">
        <v>15.26</v>
      </c>
      <c r="D20" s="100">
        <v>14.16</v>
      </c>
      <c r="E20" s="100">
        <v>6.07</v>
      </c>
      <c r="F20" s="100">
        <v>0.33</v>
      </c>
      <c r="G20" s="100">
        <v>82.55</v>
      </c>
      <c r="H20" s="100">
        <v>41.16</v>
      </c>
      <c r="I20" s="100">
        <v>10.52</v>
      </c>
      <c r="J20" s="100">
        <v>0.08</v>
      </c>
      <c r="K20" s="100">
        <v>291.58999999999997</v>
      </c>
      <c r="L20" s="100">
        <v>21.28</v>
      </c>
      <c r="M20" s="100">
        <v>69.2</v>
      </c>
      <c r="N20" s="100">
        <v>2.6</v>
      </c>
      <c r="O20" s="100">
        <v>0</v>
      </c>
      <c r="P20" s="100">
        <v>0.67</v>
      </c>
      <c r="Q20" s="100">
        <v>9.32</v>
      </c>
      <c r="R20" s="6"/>
      <c r="S20" s="6"/>
      <c r="T20" s="156"/>
      <c r="U20" s="6"/>
    </row>
    <row r="21" spans="1:21" customFormat="1">
      <c r="A21" s="163" t="s">
        <v>259</v>
      </c>
      <c r="B21" s="100">
        <v>8.01</v>
      </c>
      <c r="C21" s="100">
        <v>15.15</v>
      </c>
      <c r="D21" s="100">
        <v>14.34</v>
      </c>
      <c r="E21" s="100">
        <v>5.94</v>
      </c>
      <c r="F21" s="100">
        <v>0.15</v>
      </c>
      <c r="G21" s="100">
        <v>82.55</v>
      </c>
      <c r="H21" s="100">
        <v>41.16</v>
      </c>
      <c r="I21" s="100">
        <v>10.39</v>
      </c>
      <c r="J21" s="100">
        <v>0.16</v>
      </c>
      <c r="K21" s="100">
        <v>91.44</v>
      </c>
      <c r="L21" s="100">
        <v>21.07</v>
      </c>
      <c r="M21" s="100">
        <v>68.790000000000006</v>
      </c>
      <c r="N21" s="100">
        <v>2.1</v>
      </c>
      <c r="O21" s="100">
        <v>0</v>
      </c>
      <c r="P21" s="100">
        <v>0.66</v>
      </c>
      <c r="Q21" s="100">
        <v>9.32</v>
      </c>
      <c r="R21" s="6"/>
      <c r="S21" s="6"/>
      <c r="T21" s="156"/>
      <c r="U21" s="6"/>
    </row>
    <row r="22" spans="1:21" customFormat="1">
      <c r="A22" s="163" t="s">
        <v>260</v>
      </c>
      <c r="B22" s="100">
        <v>8.33</v>
      </c>
      <c r="C22" s="100">
        <v>15.09</v>
      </c>
      <c r="D22" s="100">
        <v>14.56</v>
      </c>
      <c r="E22" s="100">
        <v>6.01</v>
      </c>
      <c r="F22" s="100">
        <v>0.11</v>
      </c>
      <c r="G22" s="100">
        <v>76.349999999999994</v>
      </c>
      <c r="H22" s="100">
        <v>40.65</v>
      </c>
      <c r="I22" s="100">
        <v>10.29</v>
      </c>
      <c r="J22" s="100">
        <v>0.33</v>
      </c>
      <c r="K22" s="100">
        <v>39.869999999999997</v>
      </c>
      <c r="L22" s="100">
        <v>20.94</v>
      </c>
      <c r="M22" s="100">
        <v>68.849999999999994</v>
      </c>
      <c r="N22" s="100">
        <v>1.9</v>
      </c>
      <c r="O22" s="100">
        <v>0</v>
      </c>
      <c r="P22" s="100">
        <v>0.65</v>
      </c>
      <c r="Q22" s="100">
        <v>9.32</v>
      </c>
      <c r="R22" s="6"/>
      <c r="S22" s="6"/>
      <c r="T22" s="156"/>
      <c r="U22" s="6"/>
    </row>
    <row r="23" spans="1:21" customFormat="1">
      <c r="A23" s="163" t="s">
        <v>261</v>
      </c>
      <c r="B23" s="100">
        <v>8.48</v>
      </c>
      <c r="C23" s="100">
        <v>14.87</v>
      </c>
      <c r="D23" s="100">
        <v>14.57</v>
      </c>
      <c r="E23" s="100">
        <v>5.73</v>
      </c>
      <c r="F23" s="100">
        <v>0.18</v>
      </c>
      <c r="G23" s="100">
        <v>73.400000000000006</v>
      </c>
      <c r="H23" s="100">
        <v>40.6</v>
      </c>
      <c r="I23" s="100">
        <v>10.19</v>
      </c>
      <c r="J23" s="100">
        <v>0.28000000000000003</v>
      </c>
      <c r="K23" s="100">
        <v>32.090000000000003</v>
      </c>
      <c r="L23" s="100">
        <v>20.94</v>
      </c>
      <c r="M23" s="100">
        <v>67.959999999999994</v>
      </c>
      <c r="N23" s="100">
        <v>2</v>
      </c>
      <c r="O23" s="100">
        <v>0</v>
      </c>
      <c r="P23" s="100">
        <v>0.64</v>
      </c>
      <c r="Q23" s="100">
        <v>9.32</v>
      </c>
      <c r="R23" s="6"/>
      <c r="S23" s="6"/>
      <c r="T23" s="156"/>
      <c r="U23" s="6"/>
    </row>
    <row r="24" spans="1:21" customFormat="1">
      <c r="A24" s="163" t="s">
        <v>262</v>
      </c>
      <c r="B24" s="100">
        <v>8.69</v>
      </c>
      <c r="C24" s="100">
        <v>14.77</v>
      </c>
      <c r="D24" s="100">
        <v>14.69</v>
      </c>
      <c r="E24" s="100">
        <v>5.51</v>
      </c>
      <c r="F24" s="100">
        <v>0.17</v>
      </c>
      <c r="G24" s="100">
        <v>73.400000000000006</v>
      </c>
      <c r="H24" s="100">
        <v>40.6</v>
      </c>
      <c r="I24" s="100">
        <v>10.11</v>
      </c>
      <c r="J24" s="100">
        <v>0.18</v>
      </c>
      <c r="K24" s="100">
        <v>29.93</v>
      </c>
      <c r="L24" s="100">
        <v>20.7</v>
      </c>
      <c r="M24" s="100">
        <v>69.88</v>
      </c>
      <c r="N24" s="100">
        <v>2.1</v>
      </c>
      <c r="O24" s="100">
        <v>0</v>
      </c>
      <c r="P24" s="100">
        <v>0.64</v>
      </c>
      <c r="Q24" s="100">
        <v>9.32</v>
      </c>
      <c r="R24" s="6"/>
      <c r="S24" s="6"/>
      <c r="T24" s="156"/>
      <c r="U24" s="6"/>
    </row>
    <row r="25" spans="1:21" customFormat="1">
      <c r="A25" s="163" t="s">
        <v>263</v>
      </c>
      <c r="B25" s="100">
        <v>8.86</v>
      </c>
      <c r="C25" s="100">
        <v>14.75</v>
      </c>
      <c r="D25" s="100">
        <v>14.81</v>
      </c>
      <c r="E25" s="100">
        <v>5.83</v>
      </c>
      <c r="F25" s="100">
        <v>0.12</v>
      </c>
      <c r="G25" s="100">
        <v>73.400000000000006</v>
      </c>
      <c r="H25" s="100">
        <v>40.6</v>
      </c>
      <c r="I25" s="100">
        <v>10.06</v>
      </c>
      <c r="J25" s="100">
        <v>0.21</v>
      </c>
      <c r="K25" s="100">
        <v>32.119999999999997</v>
      </c>
      <c r="L25" s="100">
        <v>20.63</v>
      </c>
      <c r="M25" s="100">
        <v>70.61</v>
      </c>
      <c r="N25" s="100">
        <v>2</v>
      </c>
      <c r="O25" s="100">
        <v>0</v>
      </c>
      <c r="P25" s="100">
        <v>0.63</v>
      </c>
      <c r="Q25" s="100">
        <v>9.32</v>
      </c>
      <c r="R25" s="6"/>
      <c r="S25" s="6"/>
      <c r="T25" s="156"/>
      <c r="U25" s="6"/>
    </row>
    <row r="26" spans="1:21" customFormat="1">
      <c r="A26" s="163" t="s">
        <v>264</v>
      </c>
      <c r="B26" s="100">
        <v>9</v>
      </c>
      <c r="C26" s="100">
        <v>14.68</v>
      </c>
      <c r="D26" s="100">
        <v>14.88</v>
      </c>
      <c r="E26" s="100">
        <v>5.82</v>
      </c>
      <c r="F26" s="100">
        <v>7.0000000000000007E-2</v>
      </c>
      <c r="G26" s="100">
        <v>72.09</v>
      </c>
      <c r="H26" s="100">
        <v>38.979999999999997</v>
      </c>
      <c r="I26" s="100">
        <v>10.01</v>
      </c>
      <c r="J26" s="100">
        <v>0.52</v>
      </c>
      <c r="K26" s="100">
        <v>45.72</v>
      </c>
      <c r="L26" s="100">
        <v>20.57</v>
      </c>
      <c r="M26" s="100">
        <v>69.91</v>
      </c>
      <c r="N26" s="100">
        <v>1.9</v>
      </c>
      <c r="O26" s="100">
        <v>0</v>
      </c>
      <c r="P26" s="100">
        <v>0.62</v>
      </c>
      <c r="Q26" s="100">
        <v>9.32</v>
      </c>
      <c r="R26" s="6"/>
      <c r="S26" s="6"/>
      <c r="T26" s="156"/>
      <c r="U26" s="6"/>
    </row>
    <row r="27" spans="1:21" customFormat="1">
      <c r="A27" s="163" t="s">
        <v>265</v>
      </c>
      <c r="B27" s="100">
        <v>9.19</v>
      </c>
      <c r="C27" s="100">
        <v>14.58</v>
      </c>
      <c r="D27" s="100">
        <v>14.99</v>
      </c>
      <c r="E27" s="100">
        <v>5.92</v>
      </c>
      <c r="F27" s="100">
        <v>7.0000000000000007E-2</v>
      </c>
      <c r="G27" s="100">
        <v>71.430000000000007</v>
      </c>
      <c r="H27" s="100">
        <v>38.4</v>
      </c>
      <c r="I27" s="100">
        <v>9.9700000000000006</v>
      </c>
      <c r="J27" s="100">
        <v>0.76</v>
      </c>
      <c r="K27" s="100">
        <v>49.65</v>
      </c>
      <c r="L27" s="100">
        <v>20.64</v>
      </c>
      <c r="M27" s="100">
        <v>68.900000000000006</v>
      </c>
      <c r="N27" s="100">
        <v>1.8</v>
      </c>
      <c r="O27" s="100">
        <v>0</v>
      </c>
      <c r="P27" s="100">
        <v>0.62</v>
      </c>
      <c r="Q27" s="100">
        <v>9.32</v>
      </c>
      <c r="R27" s="6"/>
      <c r="S27" s="6"/>
      <c r="T27" s="156"/>
      <c r="U27" s="6"/>
    </row>
    <row r="28" spans="1:21" customFormat="1">
      <c r="A28" s="163" t="s">
        <v>266</v>
      </c>
      <c r="B28" s="100">
        <v>9.5</v>
      </c>
      <c r="C28" s="100">
        <v>14.52</v>
      </c>
      <c r="D28" s="100">
        <v>15.21</v>
      </c>
      <c r="E28" s="100">
        <v>6.11</v>
      </c>
      <c r="F28" s="100">
        <v>7.0000000000000007E-2</v>
      </c>
      <c r="G28" s="100">
        <v>71.430000000000007</v>
      </c>
      <c r="H28" s="100">
        <v>38.4</v>
      </c>
      <c r="I28" s="100">
        <v>10.09</v>
      </c>
      <c r="J28" s="100">
        <v>0.44</v>
      </c>
      <c r="K28" s="100">
        <v>50.42</v>
      </c>
      <c r="L28" s="100">
        <v>20.53</v>
      </c>
      <c r="M28" s="100">
        <v>70.08</v>
      </c>
      <c r="N28" s="100">
        <v>2.1</v>
      </c>
      <c r="O28" s="100">
        <v>0</v>
      </c>
      <c r="P28" s="100">
        <v>0.62</v>
      </c>
      <c r="Q28" s="100">
        <v>9.32</v>
      </c>
      <c r="R28" s="6"/>
      <c r="S28" s="6"/>
      <c r="T28" s="156"/>
      <c r="U28" s="6"/>
    </row>
    <row r="29" spans="1:21" customFormat="1">
      <c r="A29" s="163" t="s">
        <v>267</v>
      </c>
      <c r="B29" s="100">
        <v>9.94</v>
      </c>
      <c r="C29" s="100">
        <v>14.64</v>
      </c>
      <c r="D29" s="100">
        <v>15.62</v>
      </c>
      <c r="E29" s="100">
        <v>5.51</v>
      </c>
      <c r="F29" s="100">
        <v>0.06</v>
      </c>
      <c r="G29" s="100">
        <v>71.430000000000007</v>
      </c>
      <c r="H29" s="100">
        <v>38.4</v>
      </c>
      <c r="I29" s="100">
        <v>10.11</v>
      </c>
      <c r="J29" s="100">
        <v>0.38</v>
      </c>
      <c r="K29" s="100">
        <v>56.11</v>
      </c>
      <c r="L29" s="100">
        <v>20.399999999999999</v>
      </c>
      <c r="M29" s="100">
        <v>71.010000000000005</v>
      </c>
      <c r="N29" s="100">
        <v>2.1</v>
      </c>
      <c r="O29" s="100">
        <v>0</v>
      </c>
      <c r="P29" s="100">
        <v>0.62</v>
      </c>
      <c r="Q29" s="100">
        <v>9.32</v>
      </c>
      <c r="R29" s="6"/>
      <c r="S29" s="6"/>
      <c r="T29" s="156"/>
      <c r="U29" s="6"/>
    </row>
    <row r="30" spans="1:21" customFormat="1">
      <c r="A30" s="163" t="s">
        <v>268</v>
      </c>
      <c r="B30" s="100">
        <v>10.17</v>
      </c>
      <c r="C30" s="100">
        <v>14.67</v>
      </c>
      <c r="D30" s="100">
        <v>15.82</v>
      </c>
      <c r="E30" s="100">
        <v>5.8</v>
      </c>
      <c r="F30" s="100">
        <v>0.06</v>
      </c>
      <c r="G30" s="100">
        <v>73.709999999999994</v>
      </c>
      <c r="H30" s="100">
        <v>38.42</v>
      </c>
      <c r="I30" s="100">
        <v>10.17</v>
      </c>
      <c r="J30" s="100">
        <v>0.32</v>
      </c>
      <c r="K30" s="100">
        <v>68.5</v>
      </c>
      <c r="L30" s="100">
        <v>20.52</v>
      </c>
      <c r="M30" s="100">
        <v>70.53</v>
      </c>
      <c r="N30" s="100">
        <v>2.1</v>
      </c>
      <c r="O30" s="100">
        <v>0</v>
      </c>
      <c r="P30" s="100">
        <v>0.62</v>
      </c>
      <c r="Q30" s="100">
        <v>9.32</v>
      </c>
      <c r="R30" s="6"/>
      <c r="S30" s="6"/>
      <c r="T30" s="156"/>
      <c r="U30" s="6"/>
    </row>
    <row r="31" spans="1:21" customFormat="1">
      <c r="A31" s="163" t="s">
        <v>269</v>
      </c>
      <c r="B31" s="100">
        <v>10.25</v>
      </c>
      <c r="C31" s="100">
        <v>14.53</v>
      </c>
      <c r="D31" s="100">
        <v>15.81</v>
      </c>
      <c r="E31" s="100">
        <v>5.74</v>
      </c>
      <c r="F31" s="100">
        <v>0.11</v>
      </c>
      <c r="G31" s="100">
        <v>74.790000000000006</v>
      </c>
      <c r="H31" s="100">
        <v>38.42</v>
      </c>
      <c r="I31" s="100">
        <v>10.42</v>
      </c>
      <c r="J31" s="100">
        <v>0.34</v>
      </c>
      <c r="K31" s="100">
        <v>71.17</v>
      </c>
      <c r="L31" s="100">
        <v>20.48</v>
      </c>
      <c r="M31" s="100">
        <v>71.2</v>
      </c>
      <c r="N31" s="100">
        <v>2.1</v>
      </c>
      <c r="O31" s="100">
        <v>0</v>
      </c>
      <c r="P31" s="100">
        <v>0.62</v>
      </c>
      <c r="Q31" s="100">
        <v>9.32</v>
      </c>
      <c r="R31" s="6"/>
      <c r="S31" s="6"/>
      <c r="T31" s="156"/>
      <c r="U31" s="6"/>
    </row>
    <row r="32" spans="1:21" customFormat="1">
      <c r="A32" s="163" t="s">
        <v>270</v>
      </c>
      <c r="B32" s="100">
        <v>10.18</v>
      </c>
      <c r="C32" s="100">
        <v>14.44</v>
      </c>
      <c r="D32" s="100">
        <v>15.71</v>
      </c>
      <c r="E32" s="100">
        <v>5.64</v>
      </c>
      <c r="F32" s="100">
        <v>0.14000000000000001</v>
      </c>
      <c r="G32" s="100">
        <v>74.790000000000006</v>
      </c>
      <c r="H32" s="100">
        <v>38.42</v>
      </c>
      <c r="I32" s="100">
        <v>10.48</v>
      </c>
      <c r="J32" s="100">
        <v>0.56000000000000005</v>
      </c>
      <c r="K32" s="100">
        <v>50.62</v>
      </c>
      <c r="L32" s="100">
        <v>20.38</v>
      </c>
      <c r="M32" s="100">
        <v>71.959999999999994</v>
      </c>
      <c r="N32" s="100">
        <v>2.1</v>
      </c>
      <c r="O32" s="100">
        <v>0</v>
      </c>
      <c r="P32" s="100">
        <v>0.62</v>
      </c>
      <c r="Q32" s="100">
        <v>9.32</v>
      </c>
      <c r="R32" s="6"/>
      <c r="S32" s="6"/>
      <c r="T32" s="156"/>
      <c r="U32" s="6"/>
    </row>
    <row r="33" spans="1:21" customFormat="1">
      <c r="A33" s="163" t="s">
        <v>271</v>
      </c>
      <c r="B33" s="100">
        <v>10.34</v>
      </c>
      <c r="C33" s="100">
        <v>14.47</v>
      </c>
      <c r="D33" s="100">
        <v>15.85</v>
      </c>
      <c r="E33" s="100">
        <v>5.66</v>
      </c>
      <c r="F33" s="100">
        <v>7.0000000000000007E-2</v>
      </c>
      <c r="G33" s="100">
        <v>74.790000000000006</v>
      </c>
      <c r="H33" s="100">
        <v>38.42</v>
      </c>
      <c r="I33" s="100">
        <v>10.47</v>
      </c>
      <c r="J33" s="100">
        <v>0.64</v>
      </c>
      <c r="K33" s="100">
        <v>20.74</v>
      </c>
      <c r="L33" s="100">
        <v>20.350000000000001</v>
      </c>
      <c r="M33" s="100">
        <v>72.64</v>
      </c>
      <c r="N33" s="100">
        <v>2.2999999999999998</v>
      </c>
      <c r="O33" s="100">
        <v>0</v>
      </c>
      <c r="P33" s="100">
        <v>0.61</v>
      </c>
      <c r="Q33" s="100">
        <v>9.32</v>
      </c>
      <c r="R33" s="6"/>
      <c r="S33" s="6"/>
      <c r="T33" s="156"/>
      <c r="U33" s="6"/>
    </row>
    <row r="34" spans="1:21" customFormat="1">
      <c r="A34" s="163" t="s">
        <v>272</v>
      </c>
      <c r="B34" s="100">
        <v>10.83</v>
      </c>
      <c r="C34" s="100">
        <v>14.58</v>
      </c>
      <c r="D34" s="100">
        <v>16.3</v>
      </c>
      <c r="E34" s="100">
        <v>6.09</v>
      </c>
      <c r="F34" s="100">
        <v>0.01</v>
      </c>
      <c r="G34" s="100">
        <v>80.150000000000006</v>
      </c>
      <c r="H34" s="100">
        <v>38.11</v>
      </c>
      <c r="I34" s="100">
        <v>10.34</v>
      </c>
      <c r="J34" s="100">
        <v>0.34</v>
      </c>
      <c r="K34" s="100">
        <v>19.940000000000001</v>
      </c>
      <c r="L34" s="100">
        <v>20.2</v>
      </c>
      <c r="M34" s="100">
        <v>74.98</v>
      </c>
      <c r="N34" s="100">
        <v>3.6</v>
      </c>
      <c r="O34" s="100">
        <v>0</v>
      </c>
      <c r="P34" s="100">
        <v>0.62</v>
      </c>
      <c r="Q34" s="100">
        <v>9.32</v>
      </c>
      <c r="R34" s="6"/>
      <c r="S34" s="6"/>
      <c r="T34" s="156"/>
      <c r="U34" s="6"/>
    </row>
    <row r="35" spans="1:21" customFormat="1">
      <c r="A35" s="163" t="s">
        <v>273</v>
      </c>
      <c r="B35" s="100">
        <v>11.5</v>
      </c>
      <c r="C35" s="100">
        <v>14.62</v>
      </c>
      <c r="D35" s="100">
        <v>16.86</v>
      </c>
      <c r="E35" s="100">
        <v>5.66</v>
      </c>
      <c r="F35" s="100">
        <v>0.01</v>
      </c>
      <c r="G35" s="100">
        <v>82.69</v>
      </c>
      <c r="H35" s="100">
        <v>38.08</v>
      </c>
      <c r="I35" s="100">
        <v>10.36</v>
      </c>
      <c r="J35" s="100">
        <v>0.45</v>
      </c>
      <c r="K35" s="100">
        <v>37.58</v>
      </c>
      <c r="L35" s="100">
        <v>20.39</v>
      </c>
      <c r="M35" s="100">
        <v>73.959999999999994</v>
      </c>
      <c r="N35" s="100">
        <v>8.1</v>
      </c>
      <c r="O35" s="100">
        <v>0</v>
      </c>
      <c r="P35" s="100">
        <v>0.61</v>
      </c>
      <c r="Q35" s="100">
        <v>9.32</v>
      </c>
      <c r="R35" s="6"/>
      <c r="S35" s="6"/>
      <c r="T35" s="156"/>
      <c r="U35" s="6"/>
    </row>
    <row r="36" spans="1:21" customFormat="1">
      <c r="A36" s="163" t="s">
        <v>274</v>
      </c>
      <c r="B36" s="100">
        <v>11.97</v>
      </c>
      <c r="C36" s="100">
        <v>14.8</v>
      </c>
      <c r="D36" s="100">
        <v>17.329999999999998</v>
      </c>
      <c r="E36" s="100">
        <v>5.87</v>
      </c>
      <c r="F36" s="100">
        <v>0.03</v>
      </c>
      <c r="G36" s="100">
        <v>82.69</v>
      </c>
      <c r="H36" s="100">
        <v>38.08</v>
      </c>
      <c r="I36" s="100">
        <v>10.59</v>
      </c>
      <c r="J36" s="100">
        <v>0.44</v>
      </c>
      <c r="K36" s="100">
        <v>36.69</v>
      </c>
      <c r="L36" s="100">
        <v>20.58</v>
      </c>
      <c r="M36" s="100">
        <v>72.989999999999995</v>
      </c>
      <c r="N36" s="100">
        <v>20.3</v>
      </c>
      <c r="O36" s="100">
        <v>0</v>
      </c>
      <c r="P36" s="100">
        <v>0.61</v>
      </c>
      <c r="Q36" s="100">
        <v>9.32</v>
      </c>
      <c r="R36" s="6"/>
      <c r="S36" s="6"/>
      <c r="T36" s="156"/>
      <c r="U36" s="6"/>
    </row>
    <row r="37" spans="1:21" customFormat="1">
      <c r="A37" s="163" t="s">
        <v>275</v>
      </c>
      <c r="B37" s="100">
        <v>12.36</v>
      </c>
      <c r="C37" s="100">
        <v>15.01</v>
      </c>
      <c r="D37" s="100">
        <v>17.75</v>
      </c>
      <c r="E37" s="100">
        <v>5.95</v>
      </c>
      <c r="F37" s="100">
        <v>0.03</v>
      </c>
      <c r="G37" s="100">
        <v>82.69</v>
      </c>
      <c r="H37" s="100">
        <v>38.08</v>
      </c>
      <c r="I37" s="100">
        <v>10.56</v>
      </c>
      <c r="J37" s="100">
        <v>0.32</v>
      </c>
      <c r="K37" s="100">
        <v>63.65</v>
      </c>
      <c r="L37" s="100">
        <v>20.92</v>
      </c>
      <c r="M37" s="100">
        <v>71.59</v>
      </c>
      <c r="N37" s="100">
        <v>24.4</v>
      </c>
      <c r="O37" s="100">
        <v>0</v>
      </c>
      <c r="P37" s="100">
        <v>0.62</v>
      </c>
      <c r="Q37" s="100">
        <v>9.32</v>
      </c>
      <c r="R37" s="6"/>
      <c r="S37" s="6"/>
      <c r="T37" s="156"/>
      <c r="U37" s="6"/>
    </row>
    <row r="38" spans="1:21" customFormat="1">
      <c r="A38" s="163" t="s">
        <v>276</v>
      </c>
      <c r="B38" s="100">
        <v>12.77</v>
      </c>
      <c r="C38" s="100">
        <v>15.19</v>
      </c>
      <c r="D38" s="100">
        <v>18.18</v>
      </c>
      <c r="E38" s="100">
        <v>5.85</v>
      </c>
      <c r="F38" s="100">
        <v>0.06</v>
      </c>
      <c r="G38" s="100">
        <v>85.72</v>
      </c>
      <c r="H38" s="100">
        <v>40.25</v>
      </c>
      <c r="I38" s="100">
        <v>10.63</v>
      </c>
      <c r="J38" s="100">
        <v>0.41</v>
      </c>
      <c r="K38" s="100">
        <v>28.1</v>
      </c>
      <c r="L38" s="100">
        <v>20.87</v>
      </c>
      <c r="M38" s="100">
        <v>72.05</v>
      </c>
      <c r="N38" s="100">
        <v>38.799999999999997</v>
      </c>
      <c r="O38" s="100">
        <v>0</v>
      </c>
      <c r="P38" s="100">
        <v>0.62</v>
      </c>
      <c r="Q38" s="100">
        <v>9.32</v>
      </c>
      <c r="R38" s="6"/>
      <c r="S38" s="6"/>
      <c r="T38" s="156"/>
      <c r="U38" s="6"/>
    </row>
    <row r="39" spans="1:21" customFormat="1">
      <c r="A39" s="163" t="s">
        <v>277</v>
      </c>
      <c r="B39" s="100">
        <v>13.39</v>
      </c>
      <c r="C39" s="100">
        <v>15.4</v>
      </c>
      <c r="D39" s="100">
        <v>18.78</v>
      </c>
      <c r="E39" s="100">
        <v>6.01</v>
      </c>
      <c r="F39" s="100">
        <v>0.13</v>
      </c>
      <c r="G39" s="100">
        <v>87.15</v>
      </c>
      <c r="H39" s="100">
        <v>40.47</v>
      </c>
      <c r="I39" s="100">
        <v>10.76</v>
      </c>
      <c r="J39" s="100">
        <v>0.34</v>
      </c>
      <c r="K39" s="100">
        <v>32.89</v>
      </c>
      <c r="L39" s="100">
        <v>21</v>
      </c>
      <c r="M39" s="100">
        <v>71.92</v>
      </c>
      <c r="N39" s="100">
        <v>47.9</v>
      </c>
      <c r="O39" s="100">
        <v>0</v>
      </c>
      <c r="P39" s="100">
        <v>0.63</v>
      </c>
      <c r="Q39" s="100">
        <v>9.32</v>
      </c>
      <c r="R39" s="6"/>
      <c r="S39" s="6"/>
      <c r="T39" s="156"/>
      <c r="U39" s="6"/>
    </row>
    <row r="40" spans="1:21" customFormat="1">
      <c r="A40" s="163" t="s">
        <v>278</v>
      </c>
      <c r="B40" s="100">
        <v>14.03</v>
      </c>
      <c r="C40" s="100">
        <v>15.58</v>
      </c>
      <c r="D40" s="100">
        <v>19.39</v>
      </c>
      <c r="E40" s="100">
        <v>5.94</v>
      </c>
      <c r="F40" s="100">
        <v>0.13</v>
      </c>
      <c r="G40" s="100">
        <v>87.15</v>
      </c>
      <c r="H40" s="100">
        <v>40.47</v>
      </c>
      <c r="I40" s="100">
        <v>10.78</v>
      </c>
      <c r="J40" s="100">
        <v>0.48</v>
      </c>
      <c r="K40" s="100">
        <v>36.01</v>
      </c>
      <c r="L40" s="100">
        <v>21.27</v>
      </c>
      <c r="M40" s="100">
        <v>70.849999999999994</v>
      </c>
      <c r="N40" s="100">
        <v>67.8</v>
      </c>
      <c r="O40" s="100">
        <v>0</v>
      </c>
      <c r="P40" s="100">
        <v>0.64</v>
      </c>
      <c r="Q40" s="100">
        <v>9.32</v>
      </c>
      <c r="R40" s="6"/>
      <c r="S40" s="6"/>
      <c r="T40" s="156"/>
      <c r="U40" s="6"/>
    </row>
    <row r="41" spans="1:21" customFormat="1">
      <c r="A41" s="163" t="s">
        <v>279</v>
      </c>
      <c r="B41" s="100">
        <v>14.44</v>
      </c>
      <c r="C41" s="100">
        <v>15.89</v>
      </c>
      <c r="D41" s="100">
        <v>19.88</v>
      </c>
      <c r="E41" s="100">
        <v>6.17</v>
      </c>
      <c r="F41" s="100">
        <v>0.05</v>
      </c>
      <c r="G41" s="100">
        <v>87.15</v>
      </c>
      <c r="H41" s="100">
        <v>40.47</v>
      </c>
      <c r="I41" s="100">
        <v>10.92</v>
      </c>
      <c r="J41" s="100">
        <v>0.66</v>
      </c>
      <c r="K41" s="100">
        <v>18.72</v>
      </c>
      <c r="L41" s="100">
        <v>21.79</v>
      </c>
      <c r="M41" s="100">
        <v>68.92</v>
      </c>
      <c r="N41" s="100">
        <v>106.3</v>
      </c>
      <c r="O41" s="100">
        <v>0</v>
      </c>
      <c r="P41" s="100">
        <v>0.65</v>
      </c>
      <c r="Q41" s="100">
        <v>9.32</v>
      </c>
      <c r="R41" s="6"/>
      <c r="S41" s="6"/>
      <c r="T41" s="156"/>
      <c r="U41" s="6"/>
    </row>
    <row r="42" spans="1:21" customFormat="1">
      <c r="A42" s="163" t="s">
        <v>280</v>
      </c>
      <c r="B42" s="100">
        <v>14.54</v>
      </c>
      <c r="C42" s="100">
        <v>16.05</v>
      </c>
      <c r="D42" s="100">
        <v>20.04</v>
      </c>
      <c r="E42" s="100">
        <v>6.11</v>
      </c>
      <c r="F42" s="100">
        <v>0.09</v>
      </c>
      <c r="G42" s="100">
        <v>88.21</v>
      </c>
      <c r="H42" s="100">
        <v>42.56</v>
      </c>
      <c r="I42" s="100">
        <v>11.08</v>
      </c>
      <c r="J42" s="100">
        <v>1.02</v>
      </c>
      <c r="K42" s="100">
        <v>33.229999999999997</v>
      </c>
      <c r="L42" s="100">
        <v>22.06</v>
      </c>
      <c r="M42" s="100">
        <v>66.34</v>
      </c>
      <c r="N42" s="100">
        <v>120.4</v>
      </c>
      <c r="O42" s="100">
        <v>0</v>
      </c>
      <c r="P42" s="100">
        <v>0.66</v>
      </c>
      <c r="Q42" s="100">
        <v>9.32</v>
      </c>
      <c r="R42" s="6"/>
      <c r="S42" s="6"/>
      <c r="T42" s="156"/>
      <c r="U42" s="6"/>
    </row>
    <row r="43" spans="1:21" customFormat="1">
      <c r="A43" s="163" t="s">
        <v>281</v>
      </c>
      <c r="B43" s="100">
        <v>14.23</v>
      </c>
      <c r="C43" s="100">
        <v>16.170000000000002</v>
      </c>
      <c r="D43" s="100">
        <v>19.86</v>
      </c>
      <c r="E43" s="100">
        <v>5.99</v>
      </c>
      <c r="F43" s="100">
        <v>0.22</v>
      </c>
      <c r="G43" s="100">
        <v>88.72</v>
      </c>
      <c r="H43" s="100">
        <v>42.77</v>
      </c>
      <c r="I43" s="100">
        <v>11.35</v>
      </c>
      <c r="J43" s="100">
        <v>0.88</v>
      </c>
      <c r="K43" s="100">
        <v>32.090000000000003</v>
      </c>
      <c r="L43" s="100">
        <v>22.65</v>
      </c>
      <c r="M43" s="100">
        <v>63.76</v>
      </c>
      <c r="N43" s="100">
        <v>181.4</v>
      </c>
      <c r="O43" s="100">
        <v>0</v>
      </c>
      <c r="P43" s="100">
        <v>0.66</v>
      </c>
      <c r="Q43" s="100">
        <v>9.32</v>
      </c>
      <c r="R43" s="6"/>
      <c r="S43" s="6"/>
      <c r="T43" s="156"/>
      <c r="U43" s="6"/>
    </row>
    <row r="44" spans="1:21" customFormat="1">
      <c r="A44" s="163" t="s">
        <v>282</v>
      </c>
      <c r="B44" s="100">
        <v>13.73</v>
      </c>
      <c r="C44" s="100">
        <v>16.27</v>
      </c>
      <c r="D44" s="100">
        <v>19.510000000000002</v>
      </c>
      <c r="E44" s="100">
        <v>5.94</v>
      </c>
      <c r="F44" s="100">
        <v>0.18</v>
      </c>
      <c r="G44" s="100">
        <v>88.72</v>
      </c>
      <c r="H44" s="100">
        <v>42.77</v>
      </c>
      <c r="I44" s="100">
        <v>11.6</v>
      </c>
      <c r="J44" s="100">
        <v>0.78</v>
      </c>
      <c r="K44" s="100">
        <v>51.52</v>
      </c>
      <c r="L44" s="100">
        <v>23.23</v>
      </c>
      <c r="M44" s="100">
        <v>61.23</v>
      </c>
      <c r="N44" s="100">
        <v>159</v>
      </c>
      <c r="O44" s="100">
        <v>0</v>
      </c>
      <c r="P44" s="100">
        <v>0.67</v>
      </c>
      <c r="Q44" s="100">
        <v>9.32</v>
      </c>
      <c r="R44" s="6"/>
      <c r="S44" s="6"/>
      <c r="T44" s="156"/>
      <c r="U44" s="6"/>
    </row>
    <row r="45" spans="1:21" customFormat="1">
      <c r="A45" s="163" t="s">
        <v>283</v>
      </c>
      <c r="B45" s="100">
        <v>13.35</v>
      </c>
      <c r="C45" s="100">
        <v>16.79</v>
      </c>
      <c r="D45" s="100">
        <v>19.48</v>
      </c>
      <c r="E45" s="100">
        <v>6.08</v>
      </c>
      <c r="F45" s="100">
        <v>0.22</v>
      </c>
      <c r="G45" s="100">
        <v>88.72</v>
      </c>
      <c r="H45" s="100">
        <v>42.77</v>
      </c>
      <c r="I45" s="100">
        <v>11.73</v>
      </c>
      <c r="J45" s="100">
        <v>1.05</v>
      </c>
      <c r="K45" s="100">
        <v>43.5</v>
      </c>
      <c r="L45" s="100">
        <v>23.62</v>
      </c>
      <c r="M45" s="100">
        <v>59.82</v>
      </c>
      <c r="N45" s="100">
        <v>213</v>
      </c>
      <c r="O45" s="100">
        <v>0</v>
      </c>
      <c r="P45" s="100">
        <v>0.68</v>
      </c>
      <c r="Q45" s="100">
        <v>9.32</v>
      </c>
      <c r="R45" s="6"/>
      <c r="S45" s="6"/>
      <c r="T45" s="156"/>
      <c r="U45" s="6"/>
    </row>
    <row r="46" spans="1:21" customFormat="1">
      <c r="A46" s="163" t="s">
        <v>284</v>
      </c>
      <c r="B46" s="100">
        <v>12.76</v>
      </c>
      <c r="C46" s="100">
        <v>16.899999999999999</v>
      </c>
      <c r="D46" s="100">
        <v>19.059999999999999</v>
      </c>
      <c r="E46" s="100">
        <v>6.01</v>
      </c>
      <c r="F46" s="100">
        <v>0.21</v>
      </c>
      <c r="G46" s="100">
        <v>90.67</v>
      </c>
      <c r="H46" s="100">
        <v>42.48</v>
      </c>
      <c r="I46" s="100">
        <v>11.8</v>
      </c>
      <c r="J46" s="100">
        <v>0.72</v>
      </c>
      <c r="K46" s="100">
        <v>51.27</v>
      </c>
      <c r="L46" s="100">
        <v>24.26</v>
      </c>
      <c r="M46" s="100">
        <v>57.72</v>
      </c>
      <c r="N46" s="100">
        <v>194.2</v>
      </c>
      <c r="O46" s="100">
        <v>0</v>
      </c>
      <c r="P46" s="100">
        <v>0.67</v>
      </c>
      <c r="Q46" s="100">
        <v>9.32</v>
      </c>
      <c r="R46" s="6"/>
      <c r="S46" s="6"/>
      <c r="T46" s="156"/>
      <c r="U46" s="6"/>
    </row>
    <row r="47" spans="1:21" customFormat="1">
      <c r="A47" s="163" t="s">
        <v>285</v>
      </c>
      <c r="B47" s="100">
        <v>12.3</v>
      </c>
      <c r="C47" s="100">
        <v>17.18</v>
      </c>
      <c r="D47" s="100">
        <v>18.84</v>
      </c>
      <c r="E47" s="100">
        <v>5.16</v>
      </c>
      <c r="F47" s="100">
        <v>0.35</v>
      </c>
      <c r="G47" s="100">
        <v>91.6</v>
      </c>
      <c r="H47" s="100">
        <v>42.45</v>
      </c>
      <c r="I47" s="100">
        <v>11.84</v>
      </c>
      <c r="J47" s="100">
        <v>0.93</v>
      </c>
      <c r="K47" s="100">
        <v>46.29</v>
      </c>
      <c r="L47" s="100">
        <v>24.65</v>
      </c>
      <c r="M47" s="100">
        <v>56.8</v>
      </c>
      <c r="N47" s="100">
        <v>189.5</v>
      </c>
      <c r="O47" s="100">
        <v>0</v>
      </c>
      <c r="P47" s="100">
        <v>0.68</v>
      </c>
      <c r="Q47" s="100">
        <v>9.32</v>
      </c>
      <c r="R47" s="6"/>
      <c r="S47" s="6"/>
      <c r="T47" s="156"/>
      <c r="U47" s="6"/>
    </row>
    <row r="48" spans="1:21" customFormat="1">
      <c r="A48" s="163" t="s">
        <v>286</v>
      </c>
      <c r="B48" s="100">
        <v>11.93</v>
      </c>
      <c r="C48" s="100">
        <v>17.55</v>
      </c>
      <c r="D48" s="100">
        <v>18.73</v>
      </c>
      <c r="E48" s="100">
        <v>5.98</v>
      </c>
      <c r="F48" s="100">
        <v>0.24</v>
      </c>
      <c r="G48" s="100">
        <v>91.6</v>
      </c>
      <c r="H48" s="100">
        <v>42.45</v>
      </c>
      <c r="I48" s="100">
        <v>11.88</v>
      </c>
      <c r="J48" s="100">
        <v>0.48</v>
      </c>
      <c r="K48" s="100">
        <v>58.16</v>
      </c>
      <c r="L48" s="100">
        <v>25.22</v>
      </c>
      <c r="M48" s="100">
        <v>54.93</v>
      </c>
      <c r="N48" s="100">
        <v>245.7</v>
      </c>
      <c r="O48" s="100">
        <v>0</v>
      </c>
      <c r="P48" s="100">
        <v>0.69</v>
      </c>
      <c r="Q48" s="100">
        <v>9.32</v>
      </c>
      <c r="R48" s="6"/>
      <c r="S48" s="6"/>
      <c r="T48" s="156"/>
      <c r="U48" s="6"/>
    </row>
    <row r="49" spans="1:21" customFormat="1">
      <c r="A49" s="163" t="s">
        <v>287</v>
      </c>
      <c r="B49" s="100">
        <v>11.29</v>
      </c>
      <c r="C49" s="100">
        <v>17.86</v>
      </c>
      <c r="D49" s="100">
        <v>18.38</v>
      </c>
      <c r="E49" s="100">
        <v>3.83</v>
      </c>
      <c r="F49" s="100">
        <v>0.06</v>
      </c>
      <c r="G49" s="100">
        <v>91.6</v>
      </c>
      <c r="H49" s="100">
        <v>42.45</v>
      </c>
      <c r="I49" s="100">
        <v>11.94</v>
      </c>
      <c r="J49" s="100">
        <v>0.56000000000000005</v>
      </c>
      <c r="K49" s="100">
        <v>49.45</v>
      </c>
      <c r="L49" s="100">
        <v>25.99</v>
      </c>
      <c r="M49" s="100">
        <v>52.5</v>
      </c>
      <c r="N49" s="100">
        <v>272.8</v>
      </c>
      <c r="O49" s="100">
        <v>0</v>
      </c>
      <c r="P49" s="100">
        <v>0.69</v>
      </c>
      <c r="Q49" s="100">
        <v>10.3</v>
      </c>
      <c r="R49" s="6"/>
      <c r="S49" s="6"/>
      <c r="T49" s="156"/>
      <c r="U49" s="6"/>
    </row>
    <row r="50" spans="1:21" customFormat="1">
      <c r="A50" s="163" t="s">
        <v>288</v>
      </c>
      <c r="B50" s="100">
        <v>10.54</v>
      </c>
      <c r="C50" s="100">
        <v>18.11</v>
      </c>
      <c r="D50" s="100">
        <v>17.920000000000002</v>
      </c>
      <c r="E50" s="100">
        <v>4.91</v>
      </c>
      <c r="F50" s="100">
        <v>0.3</v>
      </c>
      <c r="G50" s="100">
        <v>94.36</v>
      </c>
      <c r="H50" s="100">
        <v>40.74</v>
      </c>
      <c r="I50" s="100">
        <v>12.03</v>
      </c>
      <c r="J50" s="100">
        <v>0.51</v>
      </c>
      <c r="K50" s="100">
        <v>73.38</v>
      </c>
      <c r="L50" s="100">
        <v>26.51</v>
      </c>
      <c r="M50" s="100">
        <v>50.54</v>
      </c>
      <c r="N50" s="100">
        <v>302.8</v>
      </c>
      <c r="O50" s="100">
        <v>0</v>
      </c>
      <c r="P50" s="100">
        <v>0.7</v>
      </c>
      <c r="Q50" s="100">
        <v>9.5</v>
      </c>
      <c r="R50" s="6"/>
      <c r="S50" s="6"/>
      <c r="T50" s="156"/>
      <c r="U50" s="6"/>
    </row>
    <row r="51" spans="1:21" customFormat="1">
      <c r="A51" s="163" t="s">
        <v>289</v>
      </c>
      <c r="B51" s="100">
        <v>9.65</v>
      </c>
      <c r="C51" s="100">
        <v>18.059999999999999</v>
      </c>
      <c r="D51" s="100">
        <v>17.170000000000002</v>
      </c>
      <c r="E51" s="100">
        <v>4.9800000000000004</v>
      </c>
      <c r="F51" s="100">
        <v>0.45</v>
      </c>
      <c r="G51" s="100">
        <v>95.67</v>
      </c>
      <c r="H51" s="100">
        <v>40.26</v>
      </c>
      <c r="I51" s="100">
        <v>12.08</v>
      </c>
      <c r="J51" s="100">
        <v>0.35</v>
      </c>
      <c r="K51" s="100">
        <v>94.99</v>
      </c>
      <c r="L51" s="100">
        <v>27.38</v>
      </c>
      <c r="M51" s="100">
        <v>47.01</v>
      </c>
      <c r="N51" s="100">
        <v>423.5</v>
      </c>
      <c r="O51" s="100">
        <v>0</v>
      </c>
      <c r="P51" s="100">
        <v>0.69</v>
      </c>
      <c r="Q51" s="100">
        <v>9.32</v>
      </c>
      <c r="R51" s="6"/>
      <c r="S51" s="6"/>
      <c r="T51" s="156"/>
      <c r="U51" s="6"/>
    </row>
    <row r="52" spans="1:21" customFormat="1">
      <c r="A52" s="163" t="s">
        <v>290</v>
      </c>
      <c r="B52" s="100">
        <v>8.36</v>
      </c>
      <c r="C52" s="100">
        <v>18.46</v>
      </c>
      <c r="D52" s="100">
        <v>16.350000000000001</v>
      </c>
      <c r="E52" s="100">
        <v>5.67</v>
      </c>
      <c r="F52" s="100">
        <v>1.73</v>
      </c>
      <c r="G52" s="100">
        <v>95.67</v>
      </c>
      <c r="H52" s="100">
        <v>40.26</v>
      </c>
      <c r="I52" s="100">
        <v>12.07</v>
      </c>
      <c r="J52" s="100">
        <v>0.84</v>
      </c>
      <c r="K52" s="100">
        <v>51.19</v>
      </c>
      <c r="L52" s="100">
        <v>27.97</v>
      </c>
      <c r="M52" s="100">
        <v>44.47</v>
      </c>
      <c r="N52" s="100">
        <v>440.9</v>
      </c>
      <c r="O52" s="100">
        <v>0</v>
      </c>
      <c r="P52" s="100">
        <v>0.69</v>
      </c>
      <c r="Q52" s="100">
        <v>9.32</v>
      </c>
      <c r="R52" s="6"/>
      <c r="S52" s="6"/>
      <c r="T52" s="156"/>
      <c r="U52" s="6"/>
    </row>
    <row r="53" spans="1:21" customFormat="1">
      <c r="A53" s="163" t="s">
        <v>291</v>
      </c>
      <c r="B53" s="100">
        <v>6.57</v>
      </c>
      <c r="C53" s="100">
        <v>19.64</v>
      </c>
      <c r="D53" s="100">
        <v>15.53</v>
      </c>
      <c r="E53" s="100">
        <v>5.56</v>
      </c>
      <c r="F53" s="100">
        <v>1.99</v>
      </c>
      <c r="G53" s="100">
        <v>95.67</v>
      </c>
      <c r="H53" s="100">
        <v>40.26</v>
      </c>
      <c r="I53" s="100">
        <v>12</v>
      </c>
      <c r="J53" s="100">
        <v>0.96</v>
      </c>
      <c r="K53" s="100">
        <v>45.96</v>
      </c>
      <c r="L53" s="100">
        <v>27.88</v>
      </c>
      <c r="M53" s="100">
        <v>43.46</v>
      </c>
      <c r="N53" s="100">
        <v>384.8</v>
      </c>
      <c r="O53" s="100">
        <v>0</v>
      </c>
      <c r="P53" s="100">
        <v>0.69</v>
      </c>
      <c r="Q53" s="100">
        <v>9.32</v>
      </c>
      <c r="R53" s="6"/>
      <c r="S53" s="6"/>
      <c r="T53" s="156"/>
      <c r="U53" s="6"/>
    </row>
    <row r="54" spans="1:21" customFormat="1">
      <c r="A54" s="163" t="s">
        <v>292</v>
      </c>
      <c r="B54" s="100">
        <v>5.26</v>
      </c>
      <c r="C54" s="100">
        <v>19.809999999999999</v>
      </c>
      <c r="D54" s="100">
        <v>14.57</v>
      </c>
      <c r="E54" s="100">
        <v>5.94</v>
      </c>
      <c r="F54" s="100">
        <v>3.79</v>
      </c>
      <c r="G54" s="100">
        <v>87.93</v>
      </c>
      <c r="H54" s="100">
        <v>39.380000000000003</v>
      </c>
      <c r="I54" s="100">
        <v>11.82</v>
      </c>
      <c r="J54" s="100">
        <v>0.41</v>
      </c>
      <c r="K54" s="100">
        <v>83.2</v>
      </c>
      <c r="L54" s="100">
        <v>28.7</v>
      </c>
      <c r="M54" s="100">
        <v>40.92</v>
      </c>
      <c r="N54" s="100">
        <v>455.7</v>
      </c>
      <c r="O54" s="100">
        <v>0</v>
      </c>
      <c r="P54" s="100">
        <v>0.68</v>
      </c>
      <c r="Q54" s="100">
        <v>9.32</v>
      </c>
      <c r="R54" s="6"/>
      <c r="S54" s="6"/>
      <c r="T54" s="156"/>
      <c r="U54" s="6"/>
    </row>
    <row r="55" spans="1:21" customFormat="1">
      <c r="A55" s="163" t="s">
        <v>293</v>
      </c>
      <c r="B55" s="100">
        <v>4.08</v>
      </c>
      <c r="C55" s="100">
        <v>19.760000000000002</v>
      </c>
      <c r="D55" s="100">
        <v>13.6</v>
      </c>
      <c r="E55" s="100">
        <v>6.73</v>
      </c>
      <c r="F55" s="100">
        <v>6.24</v>
      </c>
      <c r="G55" s="100">
        <v>84.25</v>
      </c>
      <c r="H55" s="100">
        <v>39.299999999999997</v>
      </c>
      <c r="I55" s="100">
        <v>11.58</v>
      </c>
      <c r="J55" s="100">
        <v>0.85</v>
      </c>
      <c r="K55" s="100">
        <v>49.62</v>
      </c>
      <c r="L55" s="100">
        <v>29.22</v>
      </c>
      <c r="M55" s="100">
        <v>39.020000000000003</v>
      </c>
      <c r="N55" s="100">
        <v>548.70000000000005</v>
      </c>
      <c r="O55" s="100">
        <v>0</v>
      </c>
      <c r="P55" s="100">
        <v>0.67</v>
      </c>
      <c r="Q55" s="100">
        <v>9.32</v>
      </c>
      <c r="R55" s="6"/>
      <c r="S55" s="6"/>
      <c r="T55" s="156"/>
      <c r="U55" s="6"/>
    </row>
    <row r="56" spans="1:21" customFormat="1">
      <c r="A56" s="163" t="s">
        <v>294</v>
      </c>
      <c r="B56" s="100">
        <v>3.48</v>
      </c>
      <c r="C56" s="100">
        <v>19.27</v>
      </c>
      <c r="D56" s="100">
        <v>12.85</v>
      </c>
      <c r="E56" s="100">
        <v>8.9700000000000006</v>
      </c>
      <c r="F56" s="100">
        <v>12.88</v>
      </c>
      <c r="G56" s="100">
        <v>84.25</v>
      </c>
      <c r="H56" s="100">
        <v>39.299999999999997</v>
      </c>
      <c r="I56" s="100">
        <v>11.26</v>
      </c>
      <c r="J56" s="100">
        <v>0.6</v>
      </c>
      <c r="K56" s="100">
        <v>58.5</v>
      </c>
      <c r="L56" s="100">
        <v>29.37</v>
      </c>
      <c r="M56" s="100">
        <v>38.72</v>
      </c>
      <c r="N56" s="100">
        <v>570.9</v>
      </c>
      <c r="O56" s="100">
        <v>0</v>
      </c>
      <c r="P56" s="100">
        <v>0.67</v>
      </c>
      <c r="Q56" s="100">
        <v>9.32</v>
      </c>
      <c r="R56" s="6"/>
      <c r="S56" s="6"/>
      <c r="T56" s="156"/>
      <c r="U56" s="6"/>
    </row>
    <row r="57" spans="1:21" customFormat="1">
      <c r="A57" s="163" t="s">
        <v>295</v>
      </c>
      <c r="B57" s="100">
        <v>3.29</v>
      </c>
      <c r="C57" s="100">
        <v>19.25</v>
      </c>
      <c r="D57" s="100">
        <v>12.7</v>
      </c>
      <c r="E57" s="100">
        <v>10.55</v>
      </c>
      <c r="F57" s="100">
        <v>14.01</v>
      </c>
      <c r="G57" s="100">
        <v>84.25</v>
      </c>
      <c r="H57" s="100">
        <v>39.299999999999997</v>
      </c>
      <c r="I57" s="100">
        <v>10.82</v>
      </c>
      <c r="J57" s="100">
        <v>0.67</v>
      </c>
      <c r="K57" s="100">
        <v>48.22</v>
      </c>
      <c r="L57" s="100">
        <v>29.7</v>
      </c>
      <c r="M57" s="100">
        <v>37.69</v>
      </c>
      <c r="N57" s="100">
        <v>540.70000000000005</v>
      </c>
      <c r="O57" s="100">
        <v>0</v>
      </c>
      <c r="P57" s="100">
        <v>0.67</v>
      </c>
      <c r="Q57" s="100">
        <v>9.32</v>
      </c>
      <c r="R57" s="6"/>
      <c r="S57" s="6"/>
      <c r="T57" s="156"/>
      <c r="U57" s="6"/>
    </row>
    <row r="58" spans="1:21" customFormat="1">
      <c r="A58" s="163" t="s">
        <v>296</v>
      </c>
      <c r="B58" s="100">
        <v>3.14</v>
      </c>
      <c r="C58" s="100">
        <v>19.329999999999998</v>
      </c>
      <c r="D58" s="100">
        <v>12.61</v>
      </c>
      <c r="E58" s="100">
        <v>10.16</v>
      </c>
      <c r="F58" s="100">
        <v>14.56</v>
      </c>
      <c r="G58" s="100">
        <v>78.739999999999995</v>
      </c>
      <c r="H58" s="100">
        <v>36.43</v>
      </c>
      <c r="I58" s="100">
        <v>10.33</v>
      </c>
      <c r="J58" s="100">
        <v>0.77</v>
      </c>
      <c r="K58" s="100">
        <v>53.31</v>
      </c>
      <c r="L58" s="100">
        <v>29.76</v>
      </c>
      <c r="M58" s="100">
        <v>36.1</v>
      </c>
      <c r="N58" s="100">
        <v>569</v>
      </c>
      <c r="O58" s="100">
        <v>0</v>
      </c>
      <c r="P58" s="100">
        <v>0.65</v>
      </c>
      <c r="Q58" s="100">
        <v>9.32</v>
      </c>
      <c r="R58" s="6"/>
      <c r="S58" s="6"/>
      <c r="T58" s="156"/>
      <c r="U58" s="6"/>
    </row>
    <row r="59" spans="1:21" customFormat="1">
      <c r="A59" s="163" t="s">
        <v>297</v>
      </c>
      <c r="B59" s="100">
        <v>3.18</v>
      </c>
      <c r="C59" s="100">
        <v>19.18</v>
      </c>
      <c r="D59" s="100">
        <v>12.57</v>
      </c>
      <c r="E59" s="100">
        <v>12.54</v>
      </c>
      <c r="F59" s="100">
        <v>16.5</v>
      </c>
      <c r="G59" s="100">
        <v>76.12</v>
      </c>
      <c r="H59" s="100">
        <v>36.14</v>
      </c>
      <c r="I59" s="100">
        <v>9.17</v>
      </c>
      <c r="J59" s="100">
        <v>0.84</v>
      </c>
      <c r="K59" s="100">
        <v>48.24</v>
      </c>
      <c r="L59" s="100">
        <v>29.95</v>
      </c>
      <c r="M59" s="100">
        <v>35.619999999999997</v>
      </c>
      <c r="N59" s="100">
        <v>427.1</v>
      </c>
      <c r="O59" s="100">
        <v>0</v>
      </c>
      <c r="P59" s="100">
        <v>0.62</v>
      </c>
      <c r="Q59" s="100">
        <v>9.32</v>
      </c>
      <c r="R59" s="6"/>
      <c r="S59" s="6"/>
      <c r="T59" s="156"/>
      <c r="U59" s="6"/>
    </row>
    <row r="60" spans="1:21" customFormat="1">
      <c r="A60" s="163" t="s">
        <v>298</v>
      </c>
      <c r="B60" s="100">
        <v>3.08</v>
      </c>
      <c r="C60" s="100">
        <v>18.739999999999998</v>
      </c>
      <c r="D60" s="100">
        <v>12.26</v>
      </c>
      <c r="E60" s="100">
        <v>10.39</v>
      </c>
      <c r="F60" s="100">
        <v>14.87</v>
      </c>
      <c r="G60" s="100">
        <v>76.12</v>
      </c>
      <c r="H60" s="100">
        <v>36.14</v>
      </c>
      <c r="I60" s="100">
        <v>7.95</v>
      </c>
      <c r="J60" s="100">
        <v>0.73</v>
      </c>
      <c r="K60" s="100">
        <v>58.47</v>
      </c>
      <c r="L60" s="100">
        <v>29.65</v>
      </c>
      <c r="M60" s="100">
        <v>36.56</v>
      </c>
      <c r="N60" s="100">
        <v>314.89999999999998</v>
      </c>
      <c r="O60" s="100">
        <v>0</v>
      </c>
      <c r="P60" s="100">
        <v>0.6</v>
      </c>
      <c r="Q60" s="100">
        <v>9.32</v>
      </c>
      <c r="R60" s="6"/>
      <c r="S60" s="6"/>
      <c r="T60" s="156"/>
      <c r="U60" s="6"/>
    </row>
    <row r="61" spans="1:21" customFormat="1">
      <c r="A61" s="163" t="s">
        <v>299</v>
      </c>
      <c r="B61" s="100">
        <v>3.22</v>
      </c>
      <c r="C61" s="100">
        <v>19.2</v>
      </c>
      <c r="D61" s="100">
        <v>12.61</v>
      </c>
      <c r="E61" s="100">
        <v>13.37</v>
      </c>
      <c r="F61" s="100">
        <v>17.41</v>
      </c>
      <c r="G61" s="100">
        <v>76.12</v>
      </c>
      <c r="H61" s="100">
        <v>36.14</v>
      </c>
      <c r="I61" s="100">
        <v>7.58</v>
      </c>
      <c r="J61" s="100">
        <v>0.85</v>
      </c>
      <c r="K61" s="100">
        <v>43.48</v>
      </c>
      <c r="L61" s="100">
        <v>29.98</v>
      </c>
      <c r="M61" s="100">
        <v>35.44</v>
      </c>
      <c r="N61" s="100">
        <v>428.5</v>
      </c>
      <c r="O61" s="100">
        <v>0</v>
      </c>
      <c r="P61" s="100">
        <v>0.59</v>
      </c>
      <c r="Q61" s="100">
        <v>9.32</v>
      </c>
      <c r="R61" s="6"/>
      <c r="S61" s="6"/>
      <c r="T61" s="156"/>
      <c r="U61" s="6"/>
    </row>
    <row r="62" spans="1:21" customFormat="1">
      <c r="A62" s="163" t="s">
        <v>300</v>
      </c>
      <c r="B62" s="100">
        <v>3.17</v>
      </c>
      <c r="C62" s="100">
        <v>19.7</v>
      </c>
      <c r="D62" s="100">
        <v>12.84</v>
      </c>
      <c r="E62" s="100">
        <v>1.5</v>
      </c>
      <c r="F62" s="100">
        <v>20.07</v>
      </c>
      <c r="G62" s="100">
        <v>76.12</v>
      </c>
      <c r="H62" s="100">
        <v>36.14</v>
      </c>
      <c r="I62" s="100">
        <v>8.35</v>
      </c>
      <c r="J62" s="100">
        <v>0.55000000000000004</v>
      </c>
      <c r="K62" s="100">
        <v>56.65</v>
      </c>
      <c r="L62" s="100">
        <v>30.22</v>
      </c>
      <c r="M62" s="100">
        <v>34.72</v>
      </c>
      <c r="N62" s="100">
        <v>296</v>
      </c>
      <c r="O62" s="100">
        <v>0</v>
      </c>
      <c r="P62" s="100">
        <v>0.55000000000000004</v>
      </c>
      <c r="Q62" s="100">
        <v>9.32</v>
      </c>
      <c r="R62" s="6"/>
      <c r="S62" s="6"/>
      <c r="T62" s="156"/>
      <c r="U62" s="6"/>
    </row>
    <row r="63" spans="1:21" customFormat="1">
      <c r="A63" s="163" t="s">
        <v>301</v>
      </c>
      <c r="B63" s="100">
        <v>3.04</v>
      </c>
      <c r="C63" s="100">
        <v>19.309999999999999</v>
      </c>
      <c r="D63" s="100">
        <v>12.53</v>
      </c>
      <c r="E63" s="100">
        <v>209.78</v>
      </c>
      <c r="F63" s="100">
        <v>17.32</v>
      </c>
      <c r="G63" s="100">
        <v>76.12</v>
      </c>
      <c r="H63" s="100">
        <v>36.14</v>
      </c>
      <c r="I63" s="100">
        <v>9.15</v>
      </c>
      <c r="J63" s="100">
        <v>0.65</v>
      </c>
      <c r="K63" s="100">
        <v>52.41</v>
      </c>
      <c r="L63" s="100">
        <v>30</v>
      </c>
      <c r="M63" s="100">
        <v>35.78</v>
      </c>
      <c r="N63" s="100">
        <v>219</v>
      </c>
      <c r="O63" s="100">
        <v>0</v>
      </c>
      <c r="P63" s="100">
        <v>0.53</v>
      </c>
      <c r="Q63" s="100">
        <v>9.32</v>
      </c>
      <c r="R63" s="6"/>
      <c r="S63" s="6"/>
      <c r="T63" s="156"/>
      <c r="U63" s="6"/>
    </row>
    <row r="64" spans="1:21" customFormat="1">
      <c r="A64" s="163" t="s">
        <v>302</v>
      </c>
      <c r="B64" s="100">
        <v>3.05</v>
      </c>
      <c r="C64" s="100">
        <v>19.29</v>
      </c>
      <c r="D64" s="100">
        <v>12.52</v>
      </c>
      <c r="E64" s="100">
        <v>293.49</v>
      </c>
      <c r="F64" s="100">
        <v>24.34</v>
      </c>
      <c r="G64" s="100">
        <v>76.12</v>
      </c>
      <c r="H64" s="100">
        <v>36.14</v>
      </c>
      <c r="I64" s="100">
        <v>9.11</v>
      </c>
      <c r="J64" s="100">
        <v>0.59</v>
      </c>
      <c r="K64" s="100">
        <v>49.98</v>
      </c>
      <c r="L64" s="100">
        <v>30.03</v>
      </c>
      <c r="M64" s="100">
        <v>36.5</v>
      </c>
      <c r="N64" s="100">
        <v>189.1</v>
      </c>
      <c r="O64" s="100">
        <v>0</v>
      </c>
      <c r="P64" s="100">
        <v>0.51</v>
      </c>
      <c r="Q64" s="100">
        <v>9.32</v>
      </c>
      <c r="R64" s="6"/>
      <c r="S64" s="6"/>
      <c r="T64" s="156"/>
      <c r="U64" s="6"/>
    </row>
    <row r="65" spans="1:21" customFormat="1">
      <c r="A65" s="163" t="s">
        <v>303</v>
      </c>
      <c r="B65" s="100">
        <v>3.02</v>
      </c>
      <c r="C65" s="100">
        <v>19.829999999999998</v>
      </c>
      <c r="D65" s="100">
        <v>12.78</v>
      </c>
      <c r="E65" s="100">
        <v>90.01</v>
      </c>
      <c r="F65" s="100">
        <v>28.11</v>
      </c>
      <c r="G65" s="100">
        <v>76.12</v>
      </c>
      <c r="H65" s="100">
        <v>36.14</v>
      </c>
      <c r="I65" s="100">
        <v>10.220000000000001</v>
      </c>
      <c r="J65" s="100">
        <v>0.63</v>
      </c>
      <c r="K65" s="100">
        <v>43.11</v>
      </c>
      <c r="L65" s="100">
        <v>29.89</v>
      </c>
      <c r="M65" s="100">
        <v>36.590000000000003</v>
      </c>
      <c r="N65" s="100">
        <v>166.2</v>
      </c>
      <c r="O65" s="100">
        <v>0</v>
      </c>
      <c r="P65" s="100">
        <v>0.48</v>
      </c>
      <c r="Q65" s="100">
        <v>9.32</v>
      </c>
      <c r="R65" s="6"/>
      <c r="S65" s="6"/>
      <c r="T65" s="156"/>
      <c r="U65" s="6"/>
    </row>
    <row r="66" spans="1:21" customFormat="1">
      <c r="A66" s="163" t="s">
        <v>304</v>
      </c>
      <c r="B66" s="100">
        <v>2.88</v>
      </c>
      <c r="C66" s="100">
        <v>18.97</v>
      </c>
      <c r="D66" s="100">
        <v>12.22</v>
      </c>
      <c r="E66" s="100">
        <v>99.36</v>
      </c>
      <c r="F66" s="100">
        <v>25.48</v>
      </c>
      <c r="G66" s="100">
        <v>76.12</v>
      </c>
      <c r="H66" s="100">
        <v>36.14</v>
      </c>
      <c r="I66" s="100">
        <v>11.55</v>
      </c>
      <c r="J66" s="100">
        <v>0.34</v>
      </c>
      <c r="K66" s="100">
        <v>67.900000000000006</v>
      </c>
      <c r="L66" s="100">
        <v>29.91</v>
      </c>
      <c r="M66" s="100">
        <v>36.729999999999997</v>
      </c>
      <c r="N66" s="100">
        <v>153.4</v>
      </c>
      <c r="O66" s="100">
        <v>0</v>
      </c>
      <c r="P66" s="100">
        <v>0.49</v>
      </c>
      <c r="Q66" s="100">
        <v>9.32</v>
      </c>
      <c r="R66" s="6"/>
      <c r="S66" s="6"/>
      <c r="T66" s="156"/>
      <c r="U66" s="6"/>
    </row>
    <row r="67" spans="1:21" customFormat="1">
      <c r="A67" s="163" t="s">
        <v>305</v>
      </c>
      <c r="B67" s="100">
        <v>2.84</v>
      </c>
      <c r="C67" s="100">
        <v>18.05</v>
      </c>
      <c r="D67" s="100">
        <v>11.71</v>
      </c>
      <c r="E67" s="100">
        <v>117.93</v>
      </c>
      <c r="F67" s="100">
        <v>21.55</v>
      </c>
      <c r="G67" s="135" t="s">
        <v>12</v>
      </c>
      <c r="H67" s="135" t="s">
        <v>12</v>
      </c>
      <c r="I67" s="100">
        <v>12.82</v>
      </c>
      <c r="J67" s="100">
        <v>0.33</v>
      </c>
      <c r="K67" s="100">
        <v>74.39</v>
      </c>
      <c r="L67" s="100">
        <v>29.78</v>
      </c>
      <c r="M67" s="100">
        <v>38.369999999999997</v>
      </c>
      <c r="N67" s="100">
        <v>156.1</v>
      </c>
      <c r="O67" s="100">
        <v>0</v>
      </c>
      <c r="P67" s="100">
        <v>0.48</v>
      </c>
      <c r="Q67" s="100">
        <v>9.32</v>
      </c>
      <c r="R67" s="6"/>
      <c r="S67" s="6"/>
      <c r="T67" s="156"/>
      <c r="U67" s="6"/>
    </row>
    <row r="68" spans="1:21" customFormat="1">
      <c r="A68" s="163" t="s">
        <v>306</v>
      </c>
      <c r="B68" s="100">
        <v>2.86</v>
      </c>
      <c r="C68" s="100">
        <v>17.07</v>
      </c>
      <c r="D68" s="100">
        <v>11.21</v>
      </c>
      <c r="E68" s="100">
        <v>133.24</v>
      </c>
      <c r="F68" s="100">
        <v>26.16</v>
      </c>
      <c r="G68" s="135" t="s">
        <v>12</v>
      </c>
      <c r="H68" s="135" t="s">
        <v>12</v>
      </c>
      <c r="I68" s="100">
        <v>14.53</v>
      </c>
      <c r="J68" s="100">
        <v>0.43</v>
      </c>
      <c r="K68" s="100">
        <v>69.53</v>
      </c>
      <c r="L68" s="100">
        <v>29.66</v>
      </c>
      <c r="M68" s="100">
        <v>39.35</v>
      </c>
      <c r="N68" s="100">
        <v>97.9</v>
      </c>
      <c r="O68" s="100">
        <v>0</v>
      </c>
      <c r="P68" s="100">
        <v>0.45</v>
      </c>
      <c r="Q68" s="100">
        <v>9.32</v>
      </c>
      <c r="R68" s="6"/>
      <c r="S68" s="6"/>
      <c r="T68" s="156"/>
      <c r="U68" s="6"/>
    </row>
    <row r="69" spans="1:21" customFormat="1">
      <c r="A69" s="163" t="s">
        <v>307</v>
      </c>
      <c r="B69" s="100">
        <v>2.89</v>
      </c>
      <c r="C69" s="100">
        <v>16.989999999999998</v>
      </c>
      <c r="D69" s="100">
        <v>11.19</v>
      </c>
      <c r="E69" s="100">
        <v>137.72999999999999</v>
      </c>
      <c r="F69" s="100">
        <v>28.33</v>
      </c>
      <c r="G69" s="135" t="s">
        <v>12</v>
      </c>
      <c r="H69" s="135" t="s">
        <v>12</v>
      </c>
      <c r="I69" s="100">
        <v>15.62</v>
      </c>
      <c r="J69" s="100">
        <v>0.39</v>
      </c>
      <c r="K69" s="100">
        <v>72.8</v>
      </c>
      <c r="L69" s="100">
        <v>29.45</v>
      </c>
      <c r="M69" s="100">
        <v>39.04</v>
      </c>
      <c r="N69" s="100">
        <v>86.1</v>
      </c>
      <c r="O69" s="100">
        <v>0</v>
      </c>
      <c r="P69" s="100">
        <v>0.45</v>
      </c>
      <c r="Q69" s="100">
        <v>9.32</v>
      </c>
      <c r="R69" s="6"/>
      <c r="S69" s="6"/>
      <c r="T69" s="156"/>
      <c r="U69" s="6"/>
    </row>
    <row r="70" spans="1:21" customFormat="1">
      <c r="A70" s="163" t="s">
        <v>308</v>
      </c>
      <c r="B70" s="100">
        <v>2.8</v>
      </c>
      <c r="C70" s="100">
        <v>16.72</v>
      </c>
      <c r="D70" s="100">
        <v>10.98</v>
      </c>
      <c r="E70" s="100">
        <v>136.87</v>
      </c>
      <c r="F70" s="100">
        <v>26.3</v>
      </c>
      <c r="G70" s="135" t="s">
        <v>12</v>
      </c>
      <c r="H70" s="135" t="s">
        <v>12</v>
      </c>
      <c r="I70" s="100">
        <v>16.11</v>
      </c>
      <c r="J70" s="100">
        <v>0.21</v>
      </c>
      <c r="K70" s="100">
        <v>142.35</v>
      </c>
      <c r="L70" s="100">
        <v>29.38</v>
      </c>
      <c r="M70" s="100">
        <v>40.229999999999997</v>
      </c>
      <c r="N70" s="100">
        <v>75.8</v>
      </c>
      <c r="O70" s="100">
        <v>0</v>
      </c>
      <c r="P70" s="100">
        <v>0.45</v>
      </c>
      <c r="Q70" s="100">
        <v>9.32</v>
      </c>
      <c r="R70" s="6"/>
      <c r="S70" s="6"/>
      <c r="T70" s="156"/>
      <c r="U70" s="6"/>
    </row>
    <row r="71" spans="1:21" customFormat="1">
      <c r="A71" s="163" t="s">
        <v>309</v>
      </c>
      <c r="B71" s="100">
        <v>2.71</v>
      </c>
      <c r="C71" s="100">
        <v>15.44</v>
      </c>
      <c r="D71" s="100">
        <v>10.24</v>
      </c>
      <c r="E71" s="100">
        <v>154.99</v>
      </c>
      <c r="F71" s="100">
        <v>23.97</v>
      </c>
      <c r="G71" s="100">
        <v>31.66</v>
      </c>
      <c r="H71" s="100">
        <v>29.45</v>
      </c>
      <c r="I71" s="100">
        <v>16.25</v>
      </c>
      <c r="J71" s="100">
        <v>0.33</v>
      </c>
      <c r="K71" s="100">
        <v>150.09</v>
      </c>
      <c r="L71" s="100">
        <v>29.08</v>
      </c>
      <c r="M71" s="100">
        <v>40.659999999999997</v>
      </c>
      <c r="N71" s="100">
        <v>68.2</v>
      </c>
      <c r="O71" s="100">
        <v>0</v>
      </c>
      <c r="P71" s="100">
        <v>0.44</v>
      </c>
      <c r="Q71" s="100">
        <v>9.32</v>
      </c>
      <c r="R71" s="6"/>
      <c r="S71" s="6"/>
      <c r="T71" s="156"/>
      <c r="U71" s="6"/>
    </row>
    <row r="72" spans="1:21" customFormat="1">
      <c r="A72" s="163" t="s">
        <v>310</v>
      </c>
      <c r="B72" s="100">
        <v>2.73</v>
      </c>
      <c r="C72" s="100">
        <v>14.7</v>
      </c>
      <c r="D72" s="100">
        <v>9.8699999999999992</v>
      </c>
      <c r="E72" s="100">
        <v>5.31</v>
      </c>
      <c r="F72" s="100">
        <v>30.55</v>
      </c>
      <c r="G72" s="100">
        <v>32.380000000000003</v>
      </c>
      <c r="H72" s="100">
        <v>29.45</v>
      </c>
      <c r="I72" s="100">
        <v>16.649999999999999</v>
      </c>
      <c r="J72" s="100">
        <v>0.24</v>
      </c>
      <c r="K72" s="100">
        <v>85.21</v>
      </c>
      <c r="L72" s="100">
        <v>29.1</v>
      </c>
      <c r="M72" s="100">
        <v>40.659999999999997</v>
      </c>
      <c r="N72" s="100">
        <v>66.099999999999994</v>
      </c>
      <c r="O72" s="100">
        <v>0</v>
      </c>
      <c r="P72" s="100">
        <v>0.43</v>
      </c>
      <c r="Q72" s="100">
        <v>9.32</v>
      </c>
      <c r="R72" s="6"/>
      <c r="S72" s="6"/>
      <c r="T72" s="156"/>
      <c r="U72" s="6"/>
    </row>
    <row r="73" spans="1:21" customFormat="1">
      <c r="A73" s="163" t="s">
        <v>311</v>
      </c>
      <c r="B73" s="100">
        <v>192.45</v>
      </c>
      <c r="C73" s="100">
        <v>48.29</v>
      </c>
      <c r="D73" s="100">
        <v>240.74</v>
      </c>
      <c r="E73" s="100">
        <v>8.33</v>
      </c>
      <c r="F73" s="100">
        <v>27.28</v>
      </c>
      <c r="G73" s="100">
        <v>32.380000000000003</v>
      </c>
      <c r="H73" s="100">
        <v>29.45</v>
      </c>
      <c r="I73" s="100">
        <v>17.57</v>
      </c>
      <c r="J73" s="100">
        <v>0.46</v>
      </c>
      <c r="K73" s="100">
        <v>63.44</v>
      </c>
      <c r="L73" s="100">
        <v>29.1</v>
      </c>
      <c r="M73" s="100">
        <v>39.4</v>
      </c>
      <c r="N73" s="100">
        <v>55.1</v>
      </c>
      <c r="O73" s="100">
        <v>0</v>
      </c>
      <c r="P73" s="100">
        <v>0.44</v>
      </c>
      <c r="Q73" s="100">
        <v>9.32</v>
      </c>
      <c r="R73" s="6"/>
      <c r="S73" s="6"/>
      <c r="T73" s="156"/>
      <c r="U73" s="6"/>
    </row>
    <row r="74" spans="1:21" customFormat="1">
      <c r="A74" s="163" t="s">
        <v>312</v>
      </c>
      <c r="B74" s="100">
        <v>202.47</v>
      </c>
      <c r="C74" s="100">
        <v>42.59</v>
      </c>
      <c r="D74" s="100">
        <v>245.06</v>
      </c>
      <c r="E74" s="100">
        <v>7.58</v>
      </c>
      <c r="F74" s="100">
        <v>22.13</v>
      </c>
      <c r="G74" s="100">
        <v>32.380000000000003</v>
      </c>
      <c r="H74" s="100">
        <v>29.45</v>
      </c>
      <c r="I74" s="100">
        <v>17.059999999999999</v>
      </c>
      <c r="J74" s="100">
        <v>0.28000000000000003</v>
      </c>
      <c r="K74" s="100">
        <v>76.650000000000006</v>
      </c>
      <c r="L74" s="100">
        <v>28.97</v>
      </c>
      <c r="M74" s="100">
        <v>40.06</v>
      </c>
      <c r="N74" s="100">
        <v>39.1</v>
      </c>
      <c r="O74" s="100">
        <v>0</v>
      </c>
      <c r="P74" s="100">
        <v>0.45</v>
      </c>
      <c r="Q74" s="100">
        <v>9.32</v>
      </c>
      <c r="R74" s="6"/>
      <c r="S74" s="6"/>
      <c r="T74" s="156"/>
      <c r="U74" s="6"/>
    </row>
    <row r="75" spans="1:21" customFormat="1">
      <c r="A75" s="163" t="s">
        <v>313</v>
      </c>
      <c r="B75" s="100">
        <v>2.98</v>
      </c>
      <c r="C75" s="100">
        <v>13.59</v>
      </c>
      <c r="D75" s="100">
        <v>9.68</v>
      </c>
      <c r="E75" s="100">
        <v>5.76</v>
      </c>
      <c r="F75" s="100">
        <v>17.100000000000001</v>
      </c>
      <c r="G75" s="100">
        <v>39.1</v>
      </c>
      <c r="H75" s="100">
        <v>29.09</v>
      </c>
      <c r="I75" s="100">
        <v>15.92</v>
      </c>
      <c r="J75" s="100">
        <v>0.17</v>
      </c>
      <c r="K75" s="100">
        <v>111.5</v>
      </c>
      <c r="L75" s="100">
        <v>28.58</v>
      </c>
      <c r="M75" s="100">
        <v>43.05</v>
      </c>
      <c r="N75" s="100">
        <v>27.6</v>
      </c>
      <c r="O75" s="100">
        <v>0</v>
      </c>
      <c r="P75" s="100">
        <v>0.45</v>
      </c>
      <c r="Q75" s="100">
        <v>9.32</v>
      </c>
      <c r="R75" s="6"/>
      <c r="S75" s="6"/>
      <c r="T75" s="156"/>
      <c r="U75" s="6"/>
    </row>
    <row r="76" spans="1:21" customFormat="1">
      <c r="A76" s="163" t="s">
        <v>314</v>
      </c>
      <c r="B76" s="100">
        <v>3.01</v>
      </c>
      <c r="C76" s="100">
        <v>16.84</v>
      </c>
      <c r="D76" s="100">
        <v>11.21</v>
      </c>
      <c r="E76" s="100">
        <v>4.38</v>
      </c>
      <c r="F76" s="100">
        <v>9.48</v>
      </c>
      <c r="G76" s="100">
        <v>39.25</v>
      </c>
      <c r="H76" s="100">
        <v>29.09</v>
      </c>
      <c r="I76" s="100">
        <v>16.12</v>
      </c>
      <c r="J76" s="100">
        <v>0.21</v>
      </c>
      <c r="K76" s="100">
        <v>139.05000000000001</v>
      </c>
      <c r="L76" s="100">
        <v>28.36</v>
      </c>
      <c r="M76" s="100">
        <v>44.96</v>
      </c>
      <c r="N76" s="100">
        <v>18.8</v>
      </c>
      <c r="O76" s="100">
        <v>0</v>
      </c>
      <c r="P76" s="100">
        <v>0.45</v>
      </c>
      <c r="Q76" s="100">
        <v>9.32</v>
      </c>
      <c r="R76" s="6"/>
      <c r="S76" s="6"/>
      <c r="T76" s="156"/>
      <c r="U76" s="6"/>
    </row>
    <row r="77" spans="1:21" customFormat="1">
      <c r="A77" s="163" t="s">
        <v>315</v>
      </c>
      <c r="B77" s="100">
        <v>3.13</v>
      </c>
      <c r="C77" s="100">
        <v>16.73</v>
      </c>
      <c r="D77" s="100">
        <v>11.25</v>
      </c>
      <c r="E77" s="100">
        <v>3.85</v>
      </c>
      <c r="F77" s="100">
        <v>6.23</v>
      </c>
      <c r="G77" s="100">
        <v>39.25</v>
      </c>
      <c r="H77" s="100">
        <v>29.09</v>
      </c>
      <c r="I77" s="100">
        <v>15.79</v>
      </c>
      <c r="J77" s="100">
        <v>0.15</v>
      </c>
      <c r="K77" s="100">
        <v>145.12</v>
      </c>
      <c r="L77" s="100">
        <v>27.71</v>
      </c>
      <c r="M77" s="100">
        <v>48.86</v>
      </c>
      <c r="N77" s="100">
        <v>10.4</v>
      </c>
      <c r="O77" s="100">
        <v>0</v>
      </c>
      <c r="P77" s="100">
        <v>0.46</v>
      </c>
      <c r="Q77" s="100">
        <v>9.32</v>
      </c>
      <c r="R77" s="6"/>
      <c r="S77" s="6"/>
      <c r="T77" s="156"/>
      <c r="U77" s="6"/>
    </row>
    <row r="78" spans="1:21" customFormat="1">
      <c r="A78" s="163" t="s">
        <v>316</v>
      </c>
      <c r="B78" s="100">
        <v>3.31</v>
      </c>
      <c r="C78" s="100">
        <v>16.739999999999998</v>
      </c>
      <c r="D78" s="100">
        <v>11.4</v>
      </c>
      <c r="E78" s="100">
        <v>3.39</v>
      </c>
      <c r="F78" s="100">
        <v>4.05</v>
      </c>
      <c r="G78" s="100">
        <v>39.25</v>
      </c>
      <c r="H78" s="100">
        <v>29.09</v>
      </c>
      <c r="I78" s="100">
        <v>14.85</v>
      </c>
      <c r="J78" s="100">
        <v>0.2</v>
      </c>
      <c r="K78" s="100">
        <v>149.5</v>
      </c>
      <c r="L78" s="100">
        <v>26.76</v>
      </c>
      <c r="M78" s="100">
        <v>53.41</v>
      </c>
      <c r="N78" s="100">
        <v>6.1</v>
      </c>
      <c r="O78" s="100">
        <v>0</v>
      </c>
      <c r="P78" s="100">
        <v>0.47</v>
      </c>
      <c r="Q78" s="100">
        <v>9.32</v>
      </c>
      <c r="R78" s="6"/>
      <c r="S78" s="6"/>
      <c r="T78" s="156"/>
      <c r="U78" s="6"/>
    </row>
    <row r="79" spans="1:21" customFormat="1">
      <c r="A79" s="163" t="s">
        <v>317</v>
      </c>
      <c r="B79" s="100">
        <v>3.52</v>
      </c>
      <c r="C79" s="100">
        <v>17.600000000000001</v>
      </c>
      <c r="D79" s="100">
        <v>12.01</v>
      </c>
      <c r="E79" s="100">
        <v>3.43</v>
      </c>
      <c r="F79" s="100">
        <v>2.77</v>
      </c>
      <c r="G79" s="100">
        <v>48.05</v>
      </c>
      <c r="H79" s="100">
        <v>28.74</v>
      </c>
      <c r="I79" s="100">
        <v>14.19</v>
      </c>
      <c r="J79" s="100">
        <v>0.25</v>
      </c>
      <c r="K79" s="100">
        <v>164.25</v>
      </c>
      <c r="L79" s="100">
        <v>26.05</v>
      </c>
      <c r="M79" s="100">
        <v>58.54</v>
      </c>
      <c r="N79" s="100">
        <v>4.3</v>
      </c>
      <c r="O79" s="100">
        <v>0</v>
      </c>
      <c r="P79" s="100">
        <v>0.49</v>
      </c>
      <c r="Q79" s="100">
        <v>9.32</v>
      </c>
      <c r="R79" s="6"/>
      <c r="S79" s="6"/>
      <c r="T79" s="156"/>
      <c r="U79" s="6"/>
    </row>
    <row r="80" spans="1:21" customFormat="1">
      <c r="A80" s="163" t="s">
        <v>318</v>
      </c>
      <c r="B80" s="100">
        <v>3.63</v>
      </c>
      <c r="C80" s="100">
        <v>18.36</v>
      </c>
      <c r="D80" s="100">
        <v>12.51</v>
      </c>
      <c r="E80" s="100">
        <v>3.57</v>
      </c>
      <c r="F80" s="100">
        <v>2.15</v>
      </c>
      <c r="G80" s="100">
        <v>48.25</v>
      </c>
      <c r="H80" s="100">
        <v>28.74</v>
      </c>
      <c r="I80" s="100">
        <v>13.59</v>
      </c>
      <c r="J80" s="100">
        <v>0.18</v>
      </c>
      <c r="K80" s="100">
        <v>149.22999999999999</v>
      </c>
      <c r="L80" s="100">
        <v>25.25</v>
      </c>
      <c r="M80" s="100">
        <v>60.82</v>
      </c>
      <c r="N80" s="100">
        <v>3.9</v>
      </c>
      <c r="O80" s="100">
        <v>0</v>
      </c>
      <c r="P80" s="100">
        <v>0.51</v>
      </c>
      <c r="Q80" s="100">
        <v>9.32</v>
      </c>
      <c r="R80" s="6"/>
      <c r="S80" s="6"/>
      <c r="T80" s="156"/>
      <c r="U80" s="6"/>
    </row>
    <row r="81" spans="1:21" customFormat="1">
      <c r="A81" s="163" t="s">
        <v>319</v>
      </c>
      <c r="B81" s="100">
        <v>3.87</v>
      </c>
      <c r="C81" s="100">
        <v>18.45</v>
      </c>
      <c r="D81" s="100">
        <v>12.75</v>
      </c>
      <c r="E81" s="100">
        <v>2.71</v>
      </c>
      <c r="F81" s="100">
        <v>1.2</v>
      </c>
      <c r="G81" s="100">
        <v>48.25</v>
      </c>
      <c r="H81" s="100">
        <v>28.74</v>
      </c>
      <c r="I81" s="100">
        <v>13.12</v>
      </c>
      <c r="J81" s="100">
        <v>0.22</v>
      </c>
      <c r="K81" s="100">
        <v>85.48</v>
      </c>
      <c r="L81" s="100">
        <v>25.67</v>
      </c>
      <c r="M81" s="100">
        <v>53.96</v>
      </c>
      <c r="N81" s="100">
        <v>3.3</v>
      </c>
      <c r="O81" s="100">
        <v>0</v>
      </c>
      <c r="P81" s="100">
        <v>0.53</v>
      </c>
      <c r="Q81" s="100">
        <v>9.32</v>
      </c>
      <c r="R81" s="6"/>
      <c r="S81" s="6"/>
      <c r="T81" s="156"/>
      <c r="U81" s="6"/>
    </row>
    <row r="82" spans="1:21" customFormat="1">
      <c r="A82" s="163" t="s">
        <v>320</v>
      </c>
      <c r="B82" s="100">
        <v>4.3600000000000003</v>
      </c>
      <c r="C82" s="100">
        <v>18.72</v>
      </c>
      <c r="D82" s="100">
        <v>13.27</v>
      </c>
      <c r="E82" s="100">
        <v>3.07</v>
      </c>
      <c r="F82" s="100">
        <v>0.39</v>
      </c>
      <c r="G82" s="100">
        <v>48.25</v>
      </c>
      <c r="H82" s="100">
        <v>28.74</v>
      </c>
      <c r="I82" s="100">
        <v>12.92</v>
      </c>
      <c r="J82" s="100">
        <v>0.16</v>
      </c>
      <c r="K82" s="100">
        <v>83.26</v>
      </c>
      <c r="L82" s="100">
        <v>25.77</v>
      </c>
      <c r="M82" s="100">
        <v>51.85</v>
      </c>
      <c r="N82" s="100">
        <v>3.5</v>
      </c>
      <c r="O82" s="100">
        <v>0</v>
      </c>
      <c r="P82" s="100">
        <v>0.55000000000000004</v>
      </c>
      <c r="Q82" s="100">
        <v>9.32</v>
      </c>
      <c r="R82" s="6"/>
      <c r="S82" s="6"/>
      <c r="T82" s="156"/>
      <c r="U82" s="6"/>
    </row>
    <row r="83" spans="1:21" customFormat="1">
      <c r="A83" s="163" t="s">
        <v>321</v>
      </c>
      <c r="B83" s="100">
        <v>4.68</v>
      </c>
      <c r="C83" s="100">
        <v>18.88</v>
      </c>
      <c r="D83" s="100">
        <v>13.62</v>
      </c>
      <c r="E83" s="100">
        <v>3.05</v>
      </c>
      <c r="F83" s="100">
        <v>0.33</v>
      </c>
      <c r="G83" s="100">
        <v>68.13</v>
      </c>
      <c r="H83" s="100">
        <v>32.18</v>
      </c>
      <c r="I83" s="100">
        <v>12.98</v>
      </c>
      <c r="J83" s="100">
        <v>0.18</v>
      </c>
      <c r="K83" s="100">
        <v>136.44</v>
      </c>
      <c r="L83" s="100">
        <v>25.63</v>
      </c>
      <c r="M83" s="100">
        <v>53</v>
      </c>
      <c r="N83" s="100">
        <v>3.6</v>
      </c>
      <c r="O83" s="100">
        <v>0</v>
      </c>
      <c r="P83" s="100">
        <v>0.56999999999999995</v>
      </c>
      <c r="Q83" s="100">
        <v>9.32</v>
      </c>
      <c r="R83" s="6"/>
      <c r="S83" s="6"/>
      <c r="T83" s="156"/>
      <c r="U83" s="6"/>
    </row>
    <row r="84" spans="1:21" customFormat="1">
      <c r="A84" s="163" t="s">
        <v>322</v>
      </c>
      <c r="B84" s="100">
        <v>4.9400000000000004</v>
      </c>
      <c r="C84" s="100">
        <v>18.84</v>
      </c>
      <c r="D84" s="100">
        <v>13.81</v>
      </c>
      <c r="E84" s="100">
        <v>3.05</v>
      </c>
      <c r="F84" s="100">
        <v>0.25</v>
      </c>
      <c r="G84" s="100">
        <v>68.58</v>
      </c>
      <c r="H84" s="100">
        <v>32.18</v>
      </c>
      <c r="I84" s="100">
        <v>13.11</v>
      </c>
      <c r="J84" s="100">
        <v>0.22</v>
      </c>
      <c r="K84" s="100">
        <v>140.41</v>
      </c>
      <c r="L84" s="100">
        <v>25.37</v>
      </c>
      <c r="M84" s="100">
        <v>54.49</v>
      </c>
      <c r="N84" s="100">
        <v>3.7</v>
      </c>
      <c r="O84" s="100">
        <v>0</v>
      </c>
      <c r="P84" s="100">
        <v>0.57999999999999996</v>
      </c>
      <c r="Q84" s="100">
        <v>9.32</v>
      </c>
      <c r="R84" s="6"/>
      <c r="S84" s="6"/>
      <c r="T84" s="156"/>
      <c r="U84" s="6"/>
    </row>
    <row r="85" spans="1:21" customFormat="1">
      <c r="A85" s="163" t="s">
        <v>323</v>
      </c>
      <c r="B85" s="100">
        <v>5.13</v>
      </c>
      <c r="C85" s="100">
        <v>18.79</v>
      </c>
      <c r="D85" s="100">
        <v>13.93</v>
      </c>
      <c r="E85" s="100">
        <v>3.18</v>
      </c>
      <c r="F85" s="100">
        <v>0.34</v>
      </c>
      <c r="G85" s="100">
        <v>68.58</v>
      </c>
      <c r="H85" s="100">
        <v>32.18</v>
      </c>
      <c r="I85" s="100">
        <v>13.27</v>
      </c>
      <c r="J85" s="100">
        <v>0.2</v>
      </c>
      <c r="K85" s="100">
        <v>129.82</v>
      </c>
      <c r="L85" s="100">
        <v>25.33</v>
      </c>
      <c r="M85" s="100">
        <v>53.41</v>
      </c>
      <c r="N85" s="100">
        <v>3.5</v>
      </c>
      <c r="O85" s="100">
        <v>0</v>
      </c>
      <c r="P85" s="100">
        <v>0.61</v>
      </c>
      <c r="Q85" s="100">
        <v>9.32</v>
      </c>
      <c r="R85" s="6"/>
      <c r="S85" s="6"/>
      <c r="T85" s="156"/>
      <c r="U85" s="6"/>
    </row>
    <row r="86" spans="1:21" customFormat="1">
      <c r="A86" s="163" t="s">
        <v>324</v>
      </c>
      <c r="B86" s="100">
        <v>5.18</v>
      </c>
      <c r="C86" s="100">
        <v>18.73</v>
      </c>
      <c r="D86" s="100">
        <v>13.94</v>
      </c>
      <c r="E86" s="100">
        <v>3.31</v>
      </c>
      <c r="F86" s="100">
        <v>0.35</v>
      </c>
      <c r="G86" s="100">
        <v>68.58</v>
      </c>
      <c r="H86" s="100">
        <v>32.18</v>
      </c>
      <c r="I86" s="100">
        <v>13.51</v>
      </c>
      <c r="J86" s="100">
        <v>0.26</v>
      </c>
      <c r="K86" s="100">
        <v>89.02</v>
      </c>
      <c r="L86" s="100">
        <v>25.16</v>
      </c>
      <c r="M86" s="100">
        <v>53.45</v>
      </c>
      <c r="N86" s="100">
        <v>3.6</v>
      </c>
      <c r="O86" s="100">
        <v>0</v>
      </c>
      <c r="P86" s="100">
        <v>0.62</v>
      </c>
      <c r="Q86" s="100">
        <v>9.32</v>
      </c>
      <c r="R86" s="6"/>
      <c r="S86" s="6"/>
      <c r="T86" s="156"/>
      <c r="U86" s="6"/>
    </row>
    <row r="87" spans="1:21" customFormat="1">
      <c r="A87" s="163" t="s">
        <v>325</v>
      </c>
      <c r="B87" s="100">
        <v>5.27</v>
      </c>
      <c r="C87" s="100">
        <v>18.59</v>
      </c>
      <c r="D87" s="100">
        <v>13.94</v>
      </c>
      <c r="E87" s="100">
        <v>3.2</v>
      </c>
      <c r="F87" s="100">
        <v>0.33</v>
      </c>
      <c r="G87" s="100">
        <v>92.17</v>
      </c>
      <c r="H87" s="100">
        <v>38.909999999999997</v>
      </c>
      <c r="I87" s="100">
        <v>13.75</v>
      </c>
      <c r="J87" s="100">
        <v>0.19</v>
      </c>
      <c r="K87" s="100">
        <v>124.92</v>
      </c>
      <c r="L87" s="100">
        <v>24.91</v>
      </c>
      <c r="M87" s="100">
        <v>55.45</v>
      </c>
      <c r="N87" s="100">
        <v>3.7</v>
      </c>
      <c r="O87" s="100">
        <v>0</v>
      </c>
      <c r="P87" s="100">
        <v>0.63</v>
      </c>
      <c r="Q87" s="100">
        <v>9.32</v>
      </c>
      <c r="R87" s="6"/>
      <c r="S87" s="6"/>
      <c r="T87" s="156"/>
      <c r="U87" s="6"/>
    </row>
    <row r="88" spans="1:21" customFormat="1">
      <c r="A88" s="163" t="s">
        <v>326</v>
      </c>
      <c r="B88" s="100">
        <v>5.47</v>
      </c>
      <c r="C88" s="100">
        <v>18.420000000000002</v>
      </c>
      <c r="D88" s="100">
        <v>14.01</v>
      </c>
      <c r="E88" s="100">
        <v>3.08</v>
      </c>
      <c r="F88" s="100">
        <v>0.31</v>
      </c>
      <c r="G88" s="100">
        <v>92.71</v>
      </c>
      <c r="H88" s="100">
        <v>38.909999999999997</v>
      </c>
      <c r="I88" s="100">
        <v>13.8</v>
      </c>
      <c r="J88" s="100">
        <v>0.2</v>
      </c>
      <c r="K88" s="100">
        <v>147.94999999999999</v>
      </c>
      <c r="L88" s="100">
        <v>24.55</v>
      </c>
      <c r="M88" s="100">
        <v>57.74</v>
      </c>
      <c r="N88" s="100">
        <v>3.7</v>
      </c>
      <c r="O88" s="100">
        <v>0</v>
      </c>
      <c r="P88" s="100">
        <v>0.65</v>
      </c>
      <c r="Q88" s="100">
        <v>9.32</v>
      </c>
      <c r="R88" s="6"/>
      <c r="S88" s="6"/>
      <c r="T88" s="156"/>
      <c r="U88" s="6"/>
    </row>
    <row r="89" spans="1:21" customFormat="1">
      <c r="A89" s="163" t="s">
        <v>327</v>
      </c>
      <c r="B89" s="100">
        <v>5.64</v>
      </c>
      <c r="C89" s="100">
        <v>18.22</v>
      </c>
      <c r="D89" s="100">
        <v>14.04</v>
      </c>
      <c r="E89" s="100">
        <v>3.51</v>
      </c>
      <c r="F89" s="100">
        <v>0.2</v>
      </c>
      <c r="G89" s="100">
        <v>92.71</v>
      </c>
      <c r="H89" s="100">
        <v>38.909999999999997</v>
      </c>
      <c r="I89" s="100">
        <v>12.21</v>
      </c>
      <c r="J89" s="100">
        <v>0.24</v>
      </c>
      <c r="K89" s="100">
        <v>162.05000000000001</v>
      </c>
      <c r="L89" s="100">
        <v>24.08</v>
      </c>
      <c r="M89" s="100">
        <v>61.74</v>
      </c>
      <c r="N89" s="100">
        <v>3.8</v>
      </c>
      <c r="O89" s="100">
        <v>0</v>
      </c>
      <c r="P89" s="100">
        <v>0.66</v>
      </c>
      <c r="Q89" s="100">
        <v>9.32</v>
      </c>
      <c r="R89" s="6"/>
      <c r="S89" s="6"/>
      <c r="T89" s="156"/>
      <c r="U89" s="6"/>
    </row>
    <row r="90" spans="1:21" customFormat="1">
      <c r="A90" s="163" t="s">
        <v>328</v>
      </c>
      <c r="B90" s="100">
        <v>5.55</v>
      </c>
      <c r="C90" s="100">
        <v>17.809999999999999</v>
      </c>
      <c r="D90" s="100">
        <v>13.75</v>
      </c>
      <c r="E90" s="100">
        <v>3.32</v>
      </c>
      <c r="F90" s="100">
        <v>0.46</v>
      </c>
      <c r="G90" s="100">
        <v>92.71</v>
      </c>
      <c r="H90" s="100">
        <v>38.909999999999997</v>
      </c>
      <c r="I90" s="100">
        <v>10.5</v>
      </c>
      <c r="J90" s="100">
        <v>0.24</v>
      </c>
      <c r="K90" s="100">
        <v>165.62</v>
      </c>
      <c r="L90" s="100">
        <v>24.33</v>
      </c>
      <c r="M90" s="100">
        <v>60.41</v>
      </c>
      <c r="N90" s="100">
        <v>3.4</v>
      </c>
      <c r="O90" s="100">
        <v>0</v>
      </c>
      <c r="P90" s="100">
        <v>0.66</v>
      </c>
      <c r="Q90" s="100">
        <v>9.32</v>
      </c>
      <c r="R90" s="6"/>
      <c r="S90" s="6"/>
      <c r="T90" s="156"/>
      <c r="U90" s="6"/>
    </row>
    <row r="91" spans="1:21" customFormat="1">
      <c r="A91" s="163" t="s">
        <v>329</v>
      </c>
      <c r="B91" s="100">
        <v>5.4</v>
      </c>
      <c r="C91" s="100">
        <v>17.28</v>
      </c>
      <c r="D91" s="100">
        <v>13.36</v>
      </c>
      <c r="E91" s="100">
        <v>3.75</v>
      </c>
      <c r="F91" s="100">
        <v>0.5</v>
      </c>
      <c r="G91" s="100">
        <v>87.05</v>
      </c>
      <c r="H91" s="100">
        <v>40.58</v>
      </c>
      <c r="I91" s="100">
        <v>10.43</v>
      </c>
      <c r="J91" s="100">
        <v>0.21</v>
      </c>
      <c r="K91" s="100">
        <v>178.79</v>
      </c>
      <c r="L91" s="100">
        <v>24.12</v>
      </c>
      <c r="M91" s="100">
        <v>64.260000000000005</v>
      </c>
      <c r="N91" s="100">
        <v>3.7</v>
      </c>
      <c r="O91" s="100">
        <v>0</v>
      </c>
      <c r="P91" s="100">
        <v>0.65</v>
      </c>
      <c r="Q91" s="100">
        <v>9.32</v>
      </c>
      <c r="R91" s="6"/>
      <c r="S91" s="6"/>
      <c r="T91" s="156"/>
      <c r="U91" s="6"/>
    </row>
    <row r="92" spans="1:21" customFormat="1">
      <c r="A92" s="163" t="s">
        <v>330</v>
      </c>
      <c r="B92" s="100">
        <v>5.28</v>
      </c>
      <c r="C92" s="100">
        <v>16.72</v>
      </c>
      <c r="D92" s="100">
        <v>12.97</v>
      </c>
      <c r="E92" s="100">
        <v>3.59</v>
      </c>
      <c r="F92" s="100">
        <v>0.56999999999999995</v>
      </c>
      <c r="G92" s="100">
        <v>86.92</v>
      </c>
      <c r="H92" s="100">
        <v>40.58</v>
      </c>
      <c r="I92" s="100">
        <v>10.3</v>
      </c>
      <c r="J92" s="100">
        <v>0.18</v>
      </c>
      <c r="K92" s="100">
        <v>192.45</v>
      </c>
      <c r="L92" s="100">
        <v>23.26</v>
      </c>
      <c r="M92" s="100">
        <v>72.38</v>
      </c>
      <c r="N92" s="100">
        <v>3.9</v>
      </c>
      <c r="O92" s="100">
        <v>0</v>
      </c>
      <c r="P92" s="100">
        <v>0.65</v>
      </c>
      <c r="Q92" s="100">
        <v>9.32</v>
      </c>
      <c r="R92" s="6"/>
      <c r="S92" s="6"/>
      <c r="T92" s="156"/>
      <c r="U92" s="6"/>
    </row>
    <row r="93" spans="1:21" customFormat="1">
      <c r="A93" s="163" t="s">
        <v>331</v>
      </c>
      <c r="B93" s="100">
        <v>5.18</v>
      </c>
      <c r="C93" s="100">
        <v>16.2</v>
      </c>
      <c r="D93" s="100">
        <v>12.62</v>
      </c>
      <c r="E93" s="100">
        <v>3.86</v>
      </c>
      <c r="F93" s="100">
        <v>0.61</v>
      </c>
      <c r="G93" s="100">
        <v>86.92</v>
      </c>
      <c r="H93" s="100">
        <v>40.58</v>
      </c>
      <c r="I93" s="100">
        <v>10.18</v>
      </c>
      <c r="J93" s="100">
        <v>0.15</v>
      </c>
      <c r="K93" s="100">
        <v>157.94</v>
      </c>
      <c r="L93" s="100">
        <v>22.68</v>
      </c>
      <c r="M93" s="100">
        <v>74.97</v>
      </c>
      <c r="N93" s="100">
        <v>3.8</v>
      </c>
      <c r="O93" s="100">
        <v>0</v>
      </c>
      <c r="P93" s="100">
        <v>0.65</v>
      </c>
      <c r="Q93" s="100">
        <v>9.32</v>
      </c>
      <c r="R93" s="6"/>
      <c r="S93" s="6"/>
      <c r="T93" s="156"/>
      <c r="U93" s="6"/>
    </row>
    <row r="94" spans="1:21" customFormat="1">
      <c r="A94" s="163" t="s">
        <v>332</v>
      </c>
      <c r="B94" s="100">
        <v>5.09</v>
      </c>
      <c r="C94" s="100">
        <v>15.75</v>
      </c>
      <c r="D94" s="100">
        <v>12.31</v>
      </c>
      <c r="E94" s="100">
        <v>3.43</v>
      </c>
      <c r="F94" s="100">
        <v>0.63</v>
      </c>
      <c r="G94" s="100">
        <v>86.92</v>
      </c>
      <c r="H94" s="100">
        <v>40.58</v>
      </c>
      <c r="I94" s="100">
        <v>10.050000000000001</v>
      </c>
      <c r="J94" s="100">
        <v>0.15</v>
      </c>
      <c r="K94" s="100">
        <v>173.72</v>
      </c>
      <c r="L94" s="100">
        <v>22.55</v>
      </c>
      <c r="M94" s="100">
        <v>74.09</v>
      </c>
      <c r="N94" s="100">
        <v>3.5</v>
      </c>
      <c r="O94" s="100">
        <v>0</v>
      </c>
      <c r="P94" s="100">
        <v>0.65</v>
      </c>
      <c r="Q94" s="100">
        <v>9.32</v>
      </c>
      <c r="R94" s="6"/>
      <c r="S94" s="6"/>
      <c r="T94" s="156"/>
      <c r="U94" s="6"/>
    </row>
    <row r="95" spans="1:21" customFormat="1">
      <c r="A95" s="163" t="s">
        <v>333</v>
      </c>
      <c r="B95" s="100">
        <v>5.18</v>
      </c>
      <c r="C95" s="100">
        <v>14.95</v>
      </c>
      <c r="D95" s="100">
        <v>11.97</v>
      </c>
      <c r="E95" s="100">
        <v>3.53</v>
      </c>
      <c r="F95" s="100">
        <v>0.57999999999999996</v>
      </c>
      <c r="G95" s="100">
        <v>75.930000000000007</v>
      </c>
      <c r="H95" s="100">
        <v>39.44</v>
      </c>
      <c r="I95" s="100">
        <v>9.9</v>
      </c>
      <c r="J95" s="100">
        <v>0.17</v>
      </c>
      <c r="K95" s="100">
        <v>179.57</v>
      </c>
      <c r="L95" s="100">
        <v>22.37</v>
      </c>
      <c r="M95" s="100">
        <v>77.12</v>
      </c>
      <c r="N95" s="100">
        <v>3.5</v>
      </c>
      <c r="O95" s="100">
        <v>0</v>
      </c>
      <c r="P95" s="100">
        <v>0.65</v>
      </c>
      <c r="Q95" s="100">
        <v>9.32</v>
      </c>
      <c r="R95" s="6"/>
      <c r="S95" s="6"/>
      <c r="T95" s="156"/>
      <c r="U95" s="6"/>
    </row>
    <row r="96" spans="1:21" customFormat="1">
      <c r="A96" s="163" t="s">
        <v>334</v>
      </c>
      <c r="B96" s="100">
        <v>5.36</v>
      </c>
      <c r="C96" s="100">
        <v>14.39</v>
      </c>
      <c r="D96" s="100">
        <v>11.82</v>
      </c>
      <c r="E96" s="100">
        <v>3.79</v>
      </c>
      <c r="F96" s="100">
        <v>0.41</v>
      </c>
      <c r="G96" s="100">
        <v>75.680000000000007</v>
      </c>
      <c r="H96" s="100">
        <v>39.44</v>
      </c>
      <c r="I96" s="100">
        <v>10.94</v>
      </c>
      <c r="J96" s="100">
        <v>0.14000000000000001</v>
      </c>
      <c r="K96" s="100">
        <v>203.88</v>
      </c>
      <c r="L96" s="100">
        <v>22.07</v>
      </c>
      <c r="M96" s="100">
        <v>80.099999999999994</v>
      </c>
      <c r="N96" s="100">
        <v>3.5</v>
      </c>
      <c r="O96" s="100">
        <v>0</v>
      </c>
      <c r="P96" s="100">
        <v>0.65</v>
      </c>
      <c r="Q96" s="100">
        <v>9.32</v>
      </c>
      <c r="R96" s="6"/>
      <c r="S96" s="6"/>
      <c r="T96" s="156"/>
      <c r="U96" s="6"/>
    </row>
    <row r="97" spans="1:28" customFormat="1">
      <c r="A97" s="163" t="s">
        <v>335</v>
      </c>
      <c r="B97" s="100">
        <v>5.59</v>
      </c>
      <c r="C97" s="100">
        <v>14.02</v>
      </c>
      <c r="D97" s="100">
        <v>11.81</v>
      </c>
      <c r="E97" s="100">
        <v>3.83</v>
      </c>
      <c r="F97" s="100">
        <v>0.2</v>
      </c>
      <c r="G97" s="100">
        <v>75.680000000000007</v>
      </c>
      <c r="H97" s="100">
        <v>39.44</v>
      </c>
      <c r="I97" s="100">
        <v>12.12</v>
      </c>
      <c r="J97" s="100">
        <v>0.08</v>
      </c>
      <c r="K97" s="100">
        <v>195.18</v>
      </c>
      <c r="L97" s="100">
        <v>21.73</v>
      </c>
      <c r="M97" s="100">
        <v>82.64</v>
      </c>
      <c r="N97" s="100">
        <v>3.5</v>
      </c>
      <c r="O97" s="100">
        <v>0</v>
      </c>
      <c r="P97" s="100">
        <v>0.65</v>
      </c>
      <c r="Q97" s="100">
        <v>9.32</v>
      </c>
      <c r="R97" s="6"/>
      <c r="S97" s="6"/>
      <c r="T97" s="156"/>
      <c r="U97" s="6"/>
    </row>
    <row r="98" spans="1:28" customFormat="1">
      <c r="A98" s="163" t="s">
        <v>336</v>
      </c>
      <c r="B98" s="100">
        <v>5.81</v>
      </c>
      <c r="C98" s="100">
        <v>13.75</v>
      </c>
      <c r="D98" s="100">
        <v>11.84</v>
      </c>
      <c r="E98" s="100">
        <v>3.46</v>
      </c>
      <c r="F98" s="100">
        <v>0.25</v>
      </c>
      <c r="G98" s="100">
        <v>75.680000000000007</v>
      </c>
      <c r="H98" s="100">
        <v>39.44</v>
      </c>
      <c r="I98" s="100">
        <v>11.85</v>
      </c>
      <c r="J98" s="100">
        <v>0.12</v>
      </c>
      <c r="K98" s="100">
        <v>167.54</v>
      </c>
      <c r="L98" s="100">
        <v>21.54</v>
      </c>
      <c r="M98" s="100">
        <v>82.23</v>
      </c>
      <c r="N98" s="100">
        <v>3.5</v>
      </c>
      <c r="O98" s="100">
        <v>0</v>
      </c>
      <c r="P98" s="100">
        <v>0.65</v>
      </c>
      <c r="Q98" s="100">
        <v>9.32</v>
      </c>
      <c r="R98" s="6"/>
      <c r="S98" s="6"/>
      <c r="T98" s="156"/>
      <c r="U98" s="6"/>
    </row>
    <row r="99" spans="1:28" customFormat="1">
      <c r="A99" s="163" t="s">
        <v>337</v>
      </c>
      <c r="B99" s="100">
        <v>6.03</v>
      </c>
      <c r="C99" s="100">
        <v>13.54</v>
      </c>
      <c r="D99" s="100">
        <v>11.91</v>
      </c>
      <c r="E99" s="100">
        <v>3.86</v>
      </c>
      <c r="F99" s="100">
        <v>0.23</v>
      </c>
      <c r="G99" s="100">
        <v>65.56</v>
      </c>
      <c r="H99" s="100">
        <v>39.54</v>
      </c>
      <c r="I99" s="100">
        <v>11.74</v>
      </c>
      <c r="J99" s="100">
        <v>0.16</v>
      </c>
      <c r="K99" s="100">
        <v>180.6</v>
      </c>
      <c r="L99" s="100">
        <v>21.58</v>
      </c>
      <c r="M99" s="100">
        <v>81.92</v>
      </c>
      <c r="N99" s="100">
        <v>3.3</v>
      </c>
      <c r="O99" s="100">
        <v>0</v>
      </c>
      <c r="P99" s="100">
        <v>0.65</v>
      </c>
      <c r="Q99" s="100">
        <v>9.32</v>
      </c>
      <c r="R99" s="6"/>
      <c r="S99" s="6"/>
      <c r="T99" s="156"/>
      <c r="U99" s="6"/>
    </row>
    <row r="100" spans="1:28" customFormat="1">
      <c r="A100" s="163" t="s">
        <v>338</v>
      </c>
      <c r="B100" s="100">
        <v>6.19</v>
      </c>
      <c r="C100" s="100">
        <v>13.38</v>
      </c>
      <c r="D100" s="100">
        <v>11.95</v>
      </c>
      <c r="E100" s="100">
        <v>3.57</v>
      </c>
      <c r="F100" s="100">
        <v>0.31</v>
      </c>
      <c r="G100" s="100">
        <v>65.33</v>
      </c>
      <c r="H100" s="100">
        <v>39.54</v>
      </c>
      <c r="I100" s="100">
        <v>11.87</v>
      </c>
      <c r="J100" s="100">
        <v>0.19</v>
      </c>
      <c r="K100" s="100">
        <v>229.58</v>
      </c>
      <c r="L100" s="100">
        <v>21.36</v>
      </c>
      <c r="M100" s="100">
        <v>84.42</v>
      </c>
      <c r="N100" s="100">
        <v>3.5</v>
      </c>
      <c r="O100" s="100">
        <v>0</v>
      </c>
      <c r="P100" s="100">
        <v>0.64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339</v>
      </c>
      <c r="B101" s="100">
        <v>6.36</v>
      </c>
      <c r="C101" s="100">
        <v>13.29</v>
      </c>
      <c r="D101" s="100">
        <v>12.04</v>
      </c>
      <c r="E101" s="100">
        <v>3.79</v>
      </c>
      <c r="F101" s="100">
        <v>0.22</v>
      </c>
      <c r="G101" s="100">
        <v>65.33</v>
      </c>
      <c r="H101" s="100">
        <v>39.54</v>
      </c>
      <c r="I101" s="100">
        <v>11.79</v>
      </c>
      <c r="J101" s="100">
        <v>0.19</v>
      </c>
      <c r="K101" s="100">
        <v>238.29</v>
      </c>
      <c r="L101" s="100">
        <v>21.04</v>
      </c>
      <c r="M101" s="100">
        <v>85.55</v>
      </c>
      <c r="N101" s="100">
        <v>3.5</v>
      </c>
      <c r="O101" s="100">
        <v>0</v>
      </c>
      <c r="P101" s="100">
        <v>0.64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340</v>
      </c>
      <c r="B102" s="100">
        <v>6.51</v>
      </c>
      <c r="C102" s="100">
        <v>13.01</v>
      </c>
      <c r="D102" s="100">
        <v>12.02</v>
      </c>
      <c r="E102" s="100">
        <v>3.63</v>
      </c>
      <c r="F102" s="100">
        <v>0.2</v>
      </c>
      <c r="G102" s="100">
        <v>65.33</v>
      </c>
      <c r="H102" s="100">
        <v>39.54</v>
      </c>
      <c r="I102" s="100">
        <v>11.69</v>
      </c>
      <c r="J102" s="100">
        <v>0.11</v>
      </c>
      <c r="K102" s="100">
        <v>191.21</v>
      </c>
      <c r="L102" s="100">
        <v>20.83</v>
      </c>
      <c r="M102" s="100">
        <v>85.43</v>
      </c>
      <c r="N102" s="100">
        <v>3.5</v>
      </c>
      <c r="O102" s="100">
        <v>0</v>
      </c>
      <c r="P102" s="100">
        <v>0.64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341</v>
      </c>
      <c r="B103" s="100">
        <v>6.67</v>
      </c>
      <c r="C103" s="100">
        <v>12.92</v>
      </c>
      <c r="D103" s="100">
        <v>12.1</v>
      </c>
      <c r="E103" s="100">
        <v>3.91</v>
      </c>
      <c r="F103" s="100">
        <v>0.14000000000000001</v>
      </c>
      <c r="G103" s="100">
        <v>61.4</v>
      </c>
      <c r="H103" s="100">
        <v>36.15</v>
      </c>
      <c r="I103" s="100">
        <v>11.42</v>
      </c>
      <c r="J103" s="100">
        <v>7.0000000000000007E-2</v>
      </c>
      <c r="K103" s="100">
        <v>187.85</v>
      </c>
      <c r="L103" s="100">
        <v>20.68</v>
      </c>
      <c r="M103" s="100">
        <v>85.22</v>
      </c>
      <c r="N103" s="100">
        <v>3.5</v>
      </c>
      <c r="O103" s="100">
        <v>0</v>
      </c>
      <c r="P103" s="100">
        <v>0.62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342</v>
      </c>
      <c r="B104" s="100">
        <v>6.8</v>
      </c>
      <c r="C104" s="100">
        <v>12.73</v>
      </c>
      <c r="D104" s="100">
        <v>12.1</v>
      </c>
      <c r="E104" s="100">
        <v>4.12</v>
      </c>
      <c r="F104" s="100">
        <v>0.31</v>
      </c>
      <c r="G104" s="100">
        <v>61.31</v>
      </c>
      <c r="H104" s="100">
        <v>36.15</v>
      </c>
      <c r="I104" s="100">
        <v>11.13</v>
      </c>
      <c r="J104" s="100">
        <v>0.12</v>
      </c>
      <c r="K104" s="100">
        <v>232.18</v>
      </c>
      <c r="L104" s="100">
        <v>20.53</v>
      </c>
      <c r="M104" s="100">
        <v>85.23</v>
      </c>
      <c r="N104" s="100">
        <v>3.5</v>
      </c>
      <c r="O104" s="100">
        <v>0</v>
      </c>
      <c r="P104" s="100">
        <v>0.62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2.71</v>
      </c>
      <c r="C106" s="158">
        <f>MIN(C9:C104)</f>
        <v>12.73</v>
      </c>
      <c r="D106" s="158">
        <f t="shared" ref="D106:Q106" si="0">MIN(D9:D104)</f>
        <v>9.68</v>
      </c>
      <c r="E106" s="158">
        <f t="shared" si="0"/>
        <v>1.5</v>
      </c>
      <c r="F106" s="158">
        <f t="shared" si="0"/>
        <v>0.01</v>
      </c>
      <c r="G106" s="158">
        <f t="shared" si="0"/>
        <v>31.66</v>
      </c>
      <c r="H106" s="158">
        <f t="shared" si="0"/>
        <v>28.74</v>
      </c>
      <c r="I106" s="158">
        <f t="shared" si="0"/>
        <v>7.58</v>
      </c>
      <c r="J106" s="158">
        <f t="shared" si="0"/>
        <v>0.03</v>
      </c>
      <c r="K106" s="158">
        <f t="shared" si="0"/>
        <v>18.72</v>
      </c>
      <c r="L106" s="158">
        <f t="shared" si="0"/>
        <v>20.2</v>
      </c>
      <c r="M106" s="158">
        <f t="shared" si="0"/>
        <v>34.72</v>
      </c>
      <c r="N106" s="158">
        <f t="shared" si="0"/>
        <v>1.8</v>
      </c>
      <c r="O106" s="158">
        <f t="shared" si="0"/>
        <v>0</v>
      </c>
      <c r="P106" s="158">
        <f t="shared" si="0"/>
        <v>0.43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202.47</v>
      </c>
      <c r="C107" s="157">
        <f t="shared" ref="C107:Q107" si="1">MAX(C9:C104)</f>
        <v>48.29</v>
      </c>
      <c r="D107" s="157">
        <f t="shared" si="1"/>
        <v>245.06</v>
      </c>
      <c r="E107" s="157">
        <f t="shared" si="1"/>
        <v>293.49</v>
      </c>
      <c r="F107" s="157">
        <f t="shared" si="1"/>
        <v>30.55</v>
      </c>
      <c r="G107" s="157">
        <f t="shared" si="1"/>
        <v>96.64</v>
      </c>
      <c r="H107" s="157">
        <f t="shared" si="1"/>
        <v>43.93</v>
      </c>
      <c r="I107" s="157">
        <f t="shared" si="1"/>
        <v>17.57</v>
      </c>
      <c r="J107" s="157">
        <f t="shared" si="1"/>
        <v>1.05</v>
      </c>
      <c r="K107" s="157">
        <f t="shared" si="1"/>
        <v>291.58999999999997</v>
      </c>
      <c r="L107" s="157">
        <f t="shared" si="1"/>
        <v>30.22</v>
      </c>
      <c r="M107" s="157">
        <f t="shared" si="1"/>
        <v>85.55</v>
      </c>
      <c r="N107" s="157">
        <f t="shared" si="1"/>
        <v>570.9</v>
      </c>
      <c r="O107" s="157">
        <f t="shared" si="1"/>
        <v>0</v>
      </c>
      <c r="P107" s="157">
        <f t="shared" si="1"/>
        <v>0.73</v>
      </c>
      <c r="Q107" s="157">
        <f t="shared" si="1"/>
        <v>10.3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11.167916666666665</v>
      </c>
      <c r="C108" s="158">
        <f t="shared" ref="C108:Q108" si="2">AVERAGE(C9:C104)</f>
        <v>17.111770833333328</v>
      </c>
      <c r="D108" s="158">
        <f t="shared" si="2"/>
        <v>19.164583333333329</v>
      </c>
      <c r="E108" s="158">
        <f t="shared" si="2"/>
        <v>19.200729166666658</v>
      </c>
      <c r="F108" s="158">
        <f t="shared" si="2"/>
        <v>5.0445833333333336</v>
      </c>
      <c r="G108" s="158">
        <f t="shared" si="2"/>
        <v>76.153478260869591</v>
      </c>
      <c r="H108" s="158">
        <f t="shared" si="2"/>
        <v>38.12999999999996</v>
      </c>
      <c r="I108" s="158">
        <f t="shared" si="2"/>
        <v>11.748124999999996</v>
      </c>
      <c r="J108" s="158">
        <f t="shared" si="2"/>
        <v>0.37874999999999992</v>
      </c>
      <c r="K108" s="158">
        <f t="shared" si="2"/>
        <v>100.58302083333331</v>
      </c>
      <c r="L108" s="158">
        <f t="shared" si="2"/>
        <v>24.416562500000001</v>
      </c>
      <c r="M108" s="158">
        <f t="shared" si="2"/>
        <v>59.123437500000001</v>
      </c>
      <c r="N108" s="158">
        <f t="shared" si="2"/>
        <v>95.616666666666674</v>
      </c>
      <c r="O108" s="158">
        <f t="shared" si="2"/>
        <v>0</v>
      </c>
      <c r="P108" s="158">
        <f t="shared" si="2"/>
        <v>0.61333333333333317</v>
      </c>
      <c r="Q108" s="158">
        <f t="shared" si="2"/>
        <v>9.3435416666666864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27.54530824188306</v>
      </c>
      <c r="C109" s="158">
        <f t="shared" ref="C109:Q109" si="3">STDEV(C9:C104)</f>
        <v>4.5919185291671818</v>
      </c>
      <c r="D109" s="158">
        <f t="shared" si="3"/>
        <v>32.907879808774858</v>
      </c>
      <c r="E109" s="158">
        <f t="shared" si="3"/>
        <v>46.904493382433202</v>
      </c>
      <c r="F109" s="158">
        <f t="shared" si="3"/>
        <v>8.9229883968222552</v>
      </c>
      <c r="G109" s="158">
        <f t="shared" si="3"/>
        <v>16.790203019590795</v>
      </c>
      <c r="H109" s="158">
        <f t="shared" si="3"/>
        <v>4.3445977570234735</v>
      </c>
      <c r="I109" s="158">
        <f t="shared" si="3"/>
        <v>1.9864627713867156</v>
      </c>
      <c r="J109" s="158">
        <f t="shared" si="3"/>
        <v>0.25109130232897992</v>
      </c>
      <c r="K109" s="158">
        <f t="shared" si="3"/>
        <v>63.879261310032028</v>
      </c>
      <c r="L109" s="158">
        <f t="shared" si="3"/>
        <v>3.4427253060467713</v>
      </c>
      <c r="M109" s="158">
        <f t="shared" si="3"/>
        <v>14.793266094524911</v>
      </c>
      <c r="N109" s="158">
        <f t="shared" si="3"/>
        <v>155.05296254177944</v>
      </c>
      <c r="O109" s="158">
        <f t="shared" si="3"/>
        <v>0</v>
      </c>
      <c r="P109" s="158">
        <f t="shared" si="3"/>
        <v>7.921545126613988E-2</v>
      </c>
      <c r="Q109" s="158">
        <f t="shared" si="3"/>
        <v>0.12253445630701641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COUNT(H9:H104)+4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G18" sqref="G1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343</v>
      </c>
      <c r="B9" s="100">
        <v>6.81</v>
      </c>
      <c r="C9" s="100">
        <v>12.16</v>
      </c>
      <c r="D9" s="100">
        <v>11.82</v>
      </c>
      <c r="E9" s="100">
        <v>3.91</v>
      </c>
      <c r="F9" s="100">
        <v>0.24</v>
      </c>
      <c r="G9" s="100">
        <v>61.31</v>
      </c>
      <c r="H9" s="100">
        <v>36.15</v>
      </c>
      <c r="I9" s="100">
        <v>11.05</v>
      </c>
      <c r="J9" s="100">
        <v>0.16</v>
      </c>
      <c r="K9" s="100">
        <v>209.78</v>
      </c>
      <c r="L9" s="100">
        <v>20.329999999999998</v>
      </c>
      <c r="M9" s="100">
        <v>85.78</v>
      </c>
      <c r="N9" s="100">
        <v>3.5</v>
      </c>
      <c r="O9" s="100">
        <v>0</v>
      </c>
      <c r="P9" s="100">
        <v>0.62</v>
      </c>
      <c r="Q9" s="100">
        <v>9.32</v>
      </c>
      <c r="R9" s="6"/>
      <c r="S9" s="6"/>
      <c r="T9" s="156"/>
      <c r="U9" s="6"/>
    </row>
    <row r="10" spans="1:21" customFormat="1">
      <c r="A10" s="163" t="s">
        <v>344</v>
      </c>
      <c r="B10" s="100">
        <v>6.88</v>
      </c>
      <c r="C10" s="100">
        <v>12.41</v>
      </c>
      <c r="D10" s="100">
        <v>12</v>
      </c>
      <c r="E10" s="100">
        <v>4.07</v>
      </c>
      <c r="F10" s="100">
        <v>0.16</v>
      </c>
      <c r="G10" s="100">
        <v>61.31</v>
      </c>
      <c r="H10" s="100">
        <v>36.15</v>
      </c>
      <c r="I10" s="100">
        <v>10.97</v>
      </c>
      <c r="J10" s="100">
        <v>0.12</v>
      </c>
      <c r="K10" s="100">
        <v>159.80000000000001</v>
      </c>
      <c r="L10" s="100">
        <v>20.170000000000002</v>
      </c>
      <c r="M10" s="100">
        <v>86.6</v>
      </c>
      <c r="N10" s="100">
        <v>3.5</v>
      </c>
      <c r="O10" s="100">
        <v>0</v>
      </c>
      <c r="P10" s="100">
        <v>0.61</v>
      </c>
      <c r="Q10" s="100">
        <v>9.32</v>
      </c>
      <c r="R10" s="6"/>
      <c r="S10" s="6"/>
      <c r="T10" s="156"/>
      <c r="U10" s="6"/>
    </row>
    <row r="11" spans="1:21" customFormat="1">
      <c r="A11" s="163" t="s">
        <v>345</v>
      </c>
      <c r="B11" s="100">
        <v>7.03</v>
      </c>
      <c r="C11" s="100">
        <v>12.33</v>
      </c>
      <c r="D11" s="100">
        <v>12.09</v>
      </c>
      <c r="E11" s="100">
        <v>4.09</v>
      </c>
      <c r="F11" s="100">
        <v>0.04</v>
      </c>
      <c r="G11" s="100">
        <v>50.31</v>
      </c>
      <c r="H11" s="100">
        <v>34.159999999999997</v>
      </c>
      <c r="I11" s="100">
        <v>10.86</v>
      </c>
      <c r="J11" s="100">
        <v>0.13</v>
      </c>
      <c r="K11" s="100">
        <v>197.09</v>
      </c>
      <c r="L11" s="100">
        <v>20.04</v>
      </c>
      <c r="M11" s="100">
        <v>87.13</v>
      </c>
      <c r="N11" s="100">
        <v>3.3</v>
      </c>
      <c r="O11" s="100">
        <v>0</v>
      </c>
      <c r="P11" s="100">
        <v>0.6</v>
      </c>
      <c r="Q11" s="100">
        <v>9.32</v>
      </c>
      <c r="R11" s="6"/>
      <c r="S11" s="6"/>
      <c r="T11" s="156"/>
      <c r="U11" s="6"/>
    </row>
    <row r="12" spans="1:21" customFormat="1">
      <c r="A12" s="163" t="s">
        <v>346</v>
      </c>
      <c r="B12" s="100">
        <v>7.12</v>
      </c>
      <c r="C12" s="100">
        <v>12.27</v>
      </c>
      <c r="D12" s="100">
        <v>12.12</v>
      </c>
      <c r="E12" s="100">
        <v>4.38</v>
      </c>
      <c r="F12" s="100">
        <v>0.06</v>
      </c>
      <c r="G12" s="100">
        <v>50.06</v>
      </c>
      <c r="H12" s="100">
        <v>34.159999999999997</v>
      </c>
      <c r="I12" s="100">
        <v>10.76</v>
      </c>
      <c r="J12" s="100">
        <v>0.16</v>
      </c>
      <c r="K12" s="100">
        <v>235.47</v>
      </c>
      <c r="L12" s="100">
        <v>19.91</v>
      </c>
      <c r="M12" s="100">
        <v>87.78</v>
      </c>
      <c r="N12" s="100">
        <v>3.4</v>
      </c>
      <c r="O12" s="100">
        <v>0</v>
      </c>
      <c r="P12" s="100">
        <v>0.59</v>
      </c>
      <c r="Q12" s="100">
        <v>9.32</v>
      </c>
      <c r="R12" s="6"/>
      <c r="S12" s="6"/>
      <c r="T12" s="156"/>
      <c r="U12" s="6"/>
    </row>
    <row r="13" spans="1:21" customFormat="1">
      <c r="A13" s="163" t="s">
        <v>347</v>
      </c>
      <c r="B13" s="100">
        <v>7.25</v>
      </c>
      <c r="C13" s="100">
        <v>12.1</v>
      </c>
      <c r="D13" s="100">
        <v>12.13</v>
      </c>
      <c r="E13" s="100">
        <v>4</v>
      </c>
      <c r="F13" s="100">
        <v>0.05</v>
      </c>
      <c r="G13" s="100">
        <v>50.06</v>
      </c>
      <c r="H13" s="100">
        <v>34.159999999999997</v>
      </c>
      <c r="I13" s="100">
        <v>10.65</v>
      </c>
      <c r="J13" s="100">
        <v>0.2</v>
      </c>
      <c r="K13" s="100">
        <v>237.48</v>
      </c>
      <c r="L13" s="100">
        <v>19.7</v>
      </c>
      <c r="M13" s="100">
        <v>88.7</v>
      </c>
      <c r="N13" s="100">
        <v>3.5</v>
      </c>
      <c r="O13" s="100">
        <v>0</v>
      </c>
      <c r="P13" s="100">
        <v>0.57999999999999996</v>
      </c>
      <c r="Q13" s="100">
        <v>9.32</v>
      </c>
      <c r="R13" s="6"/>
      <c r="S13" s="6"/>
      <c r="T13" s="156"/>
      <c r="U13" s="6"/>
    </row>
    <row r="14" spans="1:21" customFormat="1">
      <c r="A14" s="163" t="s">
        <v>348</v>
      </c>
      <c r="B14" s="100">
        <v>7.43</v>
      </c>
      <c r="C14" s="100">
        <v>12.01</v>
      </c>
      <c r="D14" s="100">
        <v>12.23</v>
      </c>
      <c r="E14" s="100">
        <v>3.9</v>
      </c>
      <c r="F14" s="100">
        <v>0.01</v>
      </c>
      <c r="G14" s="100">
        <v>50.06</v>
      </c>
      <c r="H14" s="100">
        <v>34.159999999999997</v>
      </c>
      <c r="I14" s="100">
        <v>10.56</v>
      </c>
      <c r="J14" s="100">
        <v>0.15</v>
      </c>
      <c r="K14" s="100">
        <v>217.44</v>
      </c>
      <c r="L14" s="100">
        <v>19.43</v>
      </c>
      <c r="M14" s="100">
        <v>89.31</v>
      </c>
      <c r="N14" s="100">
        <v>3.5</v>
      </c>
      <c r="O14" s="100">
        <v>0</v>
      </c>
      <c r="P14" s="100">
        <v>0.57999999999999996</v>
      </c>
      <c r="Q14" s="100">
        <v>9.32</v>
      </c>
      <c r="R14" s="6"/>
      <c r="S14" s="6"/>
      <c r="T14" s="156"/>
      <c r="U14" s="6"/>
    </row>
    <row r="15" spans="1:21" customFormat="1">
      <c r="A15" s="163" t="s">
        <v>349</v>
      </c>
      <c r="B15" s="100">
        <v>7.61</v>
      </c>
      <c r="C15" s="100">
        <v>11.97</v>
      </c>
      <c r="D15" s="100">
        <v>12.36</v>
      </c>
      <c r="E15" s="100">
        <v>4.18</v>
      </c>
      <c r="F15" s="100">
        <v>0.02</v>
      </c>
      <c r="G15" s="100">
        <v>40.74</v>
      </c>
      <c r="H15" s="100">
        <v>31.16</v>
      </c>
      <c r="I15" s="100">
        <v>10.47</v>
      </c>
      <c r="J15" s="100">
        <v>0.1</v>
      </c>
      <c r="K15" s="100">
        <v>214.1</v>
      </c>
      <c r="L15" s="100">
        <v>19.39</v>
      </c>
      <c r="M15" s="100">
        <v>90.01</v>
      </c>
      <c r="N15" s="100">
        <v>3.5</v>
      </c>
      <c r="O15" s="100">
        <v>0</v>
      </c>
      <c r="P15" s="100">
        <v>0.57999999999999996</v>
      </c>
      <c r="Q15" s="100">
        <v>9.32</v>
      </c>
      <c r="R15" s="6"/>
      <c r="S15" s="6"/>
      <c r="T15" s="156"/>
      <c r="U15" s="6"/>
    </row>
    <row r="16" spans="1:21" customFormat="1">
      <c r="A16" s="163" t="s">
        <v>350</v>
      </c>
      <c r="B16" s="100">
        <v>7.72</v>
      </c>
      <c r="C16" s="100">
        <v>11.91</v>
      </c>
      <c r="D16" s="100">
        <v>12.41</v>
      </c>
      <c r="E16" s="100">
        <v>4.05</v>
      </c>
      <c r="F16" s="100">
        <v>0.17</v>
      </c>
      <c r="G16" s="100">
        <v>40.53</v>
      </c>
      <c r="H16" s="100">
        <v>31.16</v>
      </c>
      <c r="I16" s="100">
        <v>10.38</v>
      </c>
      <c r="J16" s="100">
        <v>0.13</v>
      </c>
      <c r="K16" s="100">
        <v>145.47999999999999</v>
      </c>
      <c r="L16" s="100">
        <v>19.43</v>
      </c>
      <c r="M16" s="100">
        <v>90.42</v>
      </c>
      <c r="N16" s="100">
        <v>3.3</v>
      </c>
      <c r="O16" s="100">
        <v>0</v>
      </c>
      <c r="P16" s="100">
        <v>0.57999999999999996</v>
      </c>
      <c r="Q16" s="100">
        <v>9.32</v>
      </c>
      <c r="R16" s="6"/>
      <c r="S16" s="6"/>
      <c r="T16" s="156"/>
      <c r="U16" s="6"/>
    </row>
    <row r="17" spans="1:21" customFormat="1">
      <c r="A17" s="163" t="s">
        <v>351</v>
      </c>
      <c r="B17" s="100">
        <v>7.91</v>
      </c>
      <c r="C17" s="100">
        <v>11.99</v>
      </c>
      <c r="D17" s="100">
        <v>12.61</v>
      </c>
      <c r="E17" s="100">
        <v>4.18</v>
      </c>
      <c r="F17" s="100">
        <v>0.12</v>
      </c>
      <c r="G17" s="100">
        <v>40.53</v>
      </c>
      <c r="H17" s="100">
        <v>31.16</v>
      </c>
      <c r="I17" s="100">
        <v>10.31</v>
      </c>
      <c r="J17" s="100">
        <v>0.11</v>
      </c>
      <c r="K17" s="100">
        <v>148.16</v>
      </c>
      <c r="L17" s="100">
        <v>19.399999999999999</v>
      </c>
      <c r="M17" s="100">
        <v>90.19</v>
      </c>
      <c r="N17" s="100">
        <v>3.3</v>
      </c>
      <c r="O17" s="100">
        <v>0</v>
      </c>
      <c r="P17" s="100">
        <v>0.56999999999999995</v>
      </c>
      <c r="Q17" s="100">
        <v>9.32</v>
      </c>
      <c r="R17" s="6"/>
      <c r="S17" s="6"/>
      <c r="T17" s="156"/>
      <c r="U17" s="6"/>
    </row>
    <row r="18" spans="1:21" customFormat="1">
      <c r="A18" s="163" t="s">
        <v>352</v>
      </c>
      <c r="B18" s="100">
        <v>8.4</v>
      </c>
      <c r="C18" s="100">
        <v>12.16</v>
      </c>
      <c r="D18" s="100">
        <v>13.09</v>
      </c>
      <c r="E18" s="100">
        <v>5.31</v>
      </c>
      <c r="F18" s="100">
        <v>0.05</v>
      </c>
      <c r="G18" s="100">
        <v>40.53</v>
      </c>
      <c r="H18" s="100">
        <v>31.16</v>
      </c>
      <c r="I18" s="100">
        <v>10.27</v>
      </c>
      <c r="J18" s="100">
        <v>0.14000000000000001</v>
      </c>
      <c r="K18" s="100">
        <v>175.38</v>
      </c>
      <c r="L18" s="100">
        <v>19.43</v>
      </c>
      <c r="M18" s="100">
        <v>89.74</v>
      </c>
      <c r="N18" s="100">
        <v>3.3</v>
      </c>
      <c r="O18" s="100">
        <v>0</v>
      </c>
      <c r="P18" s="100">
        <v>0.56000000000000005</v>
      </c>
      <c r="Q18" s="100">
        <v>9.32</v>
      </c>
      <c r="R18" s="6"/>
      <c r="S18" s="6"/>
      <c r="T18" s="156"/>
      <c r="U18" s="6"/>
    </row>
    <row r="19" spans="1:21" customFormat="1">
      <c r="A19" s="163" t="s">
        <v>353</v>
      </c>
      <c r="B19" s="100">
        <v>8.66</v>
      </c>
      <c r="C19" s="100">
        <v>12.41</v>
      </c>
      <c r="D19" s="100">
        <v>13.43</v>
      </c>
      <c r="E19" s="100">
        <v>5.18</v>
      </c>
      <c r="F19" s="100">
        <v>0.04</v>
      </c>
      <c r="G19" s="100">
        <v>41.75</v>
      </c>
      <c r="H19" s="100">
        <v>28.63</v>
      </c>
      <c r="I19" s="100">
        <v>10.23</v>
      </c>
      <c r="J19" s="100">
        <v>0.11</v>
      </c>
      <c r="K19" s="100">
        <v>193.3</v>
      </c>
      <c r="L19" s="100">
        <v>19.350000000000001</v>
      </c>
      <c r="M19" s="100">
        <v>89.27</v>
      </c>
      <c r="N19" s="100">
        <v>3.3</v>
      </c>
      <c r="O19" s="100">
        <v>0</v>
      </c>
      <c r="P19" s="100">
        <v>0.55000000000000004</v>
      </c>
      <c r="Q19" s="100">
        <v>9.4499999999999993</v>
      </c>
      <c r="R19" s="6"/>
      <c r="S19" s="6"/>
      <c r="T19" s="156"/>
      <c r="U19" s="6"/>
    </row>
    <row r="20" spans="1:21" customFormat="1">
      <c r="A20" s="163" t="s">
        <v>354</v>
      </c>
      <c r="B20" s="100">
        <v>8.69</v>
      </c>
      <c r="C20" s="100">
        <v>12.36</v>
      </c>
      <c r="D20" s="100">
        <v>13.42</v>
      </c>
      <c r="E20" s="100">
        <v>5.16</v>
      </c>
      <c r="F20" s="100">
        <v>0.14000000000000001</v>
      </c>
      <c r="G20" s="100">
        <v>41.78</v>
      </c>
      <c r="H20" s="100">
        <v>28.63</v>
      </c>
      <c r="I20" s="100">
        <v>10.16</v>
      </c>
      <c r="J20" s="100">
        <v>0.11</v>
      </c>
      <c r="K20" s="100">
        <v>198.56</v>
      </c>
      <c r="L20" s="100">
        <v>19.27</v>
      </c>
      <c r="M20" s="100">
        <v>90.71</v>
      </c>
      <c r="N20" s="100">
        <v>3.3</v>
      </c>
      <c r="O20" s="100">
        <v>0</v>
      </c>
      <c r="P20" s="100">
        <v>0.54</v>
      </c>
      <c r="Q20" s="100">
        <v>9.32</v>
      </c>
      <c r="R20" s="6"/>
      <c r="S20" s="6"/>
      <c r="T20" s="156"/>
      <c r="U20" s="6"/>
    </row>
    <row r="21" spans="1:21" customFormat="1">
      <c r="A21" s="163" t="s">
        <v>355</v>
      </c>
      <c r="B21" s="100">
        <v>8.66</v>
      </c>
      <c r="C21" s="100">
        <v>12.25</v>
      </c>
      <c r="D21" s="100">
        <v>13.34</v>
      </c>
      <c r="E21" s="100">
        <v>5</v>
      </c>
      <c r="F21" s="100">
        <v>0.21</v>
      </c>
      <c r="G21" s="100">
        <v>41.78</v>
      </c>
      <c r="H21" s="100">
        <v>28.63</v>
      </c>
      <c r="I21" s="100">
        <v>10.08</v>
      </c>
      <c r="J21" s="100">
        <v>0.08</v>
      </c>
      <c r="K21" s="100">
        <v>196.58</v>
      </c>
      <c r="L21" s="100">
        <v>19.14</v>
      </c>
      <c r="M21" s="100">
        <v>90.78</v>
      </c>
      <c r="N21" s="100">
        <v>3.4</v>
      </c>
      <c r="O21" s="100">
        <v>0</v>
      </c>
      <c r="P21" s="100">
        <v>0.55000000000000004</v>
      </c>
      <c r="Q21" s="100">
        <v>9.32</v>
      </c>
      <c r="R21" s="6"/>
      <c r="S21" s="6"/>
      <c r="T21" s="156"/>
      <c r="U21" s="6"/>
    </row>
    <row r="22" spans="1:21" customFormat="1">
      <c r="A22" s="163" t="s">
        <v>356</v>
      </c>
      <c r="B22" s="100">
        <v>9.0399999999999991</v>
      </c>
      <c r="C22" s="100">
        <v>12.45</v>
      </c>
      <c r="D22" s="100">
        <v>13.75</v>
      </c>
      <c r="E22" s="100">
        <v>5.2</v>
      </c>
      <c r="F22" s="100">
        <v>0.13</v>
      </c>
      <c r="G22" s="100">
        <v>41.78</v>
      </c>
      <c r="H22" s="100">
        <v>28.63</v>
      </c>
      <c r="I22" s="100">
        <v>10</v>
      </c>
      <c r="J22" s="100">
        <v>0.13</v>
      </c>
      <c r="K22" s="100">
        <v>220.09</v>
      </c>
      <c r="L22" s="100">
        <v>19.12</v>
      </c>
      <c r="M22" s="100">
        <v>90.47</v>
      </c>
      <c r="N22" s="100">
        <v>3.3</v>
      </c>
      <c r="O22" s="100">
        <v>0</v>
      </c>
      <c r="P22" s="100">
        <v>0.54</v>
      </c>
      <c r="Q22" s="100">
        <v>9.32</v>
      </c>
      <c r="R22" s="6"/>
      <c r="S22" s="6"/>
      <c r="T22" s="156"/>
      <c r="U22" s="6"/>
    </row>
    <row r="23" spans="1:21" customFormat="1">
      <c r="A23" s="163" t="s">
        <v>357</v>
      </c>
      <c r="B23" s="100">
        <v>10.130000000000001</v>
      </c>
      <c r="C23" s="100">
        <v>13.02</v>
      </c>
      <c r="D23" s="100">
        <v>14.92</v>
      </c>
      <c r="E23" s="100">
        <v>5</v>
      </c>
      <c r="F23" s="100">
        <v>0.01</v>
      </c>
      <c r="G23" s="100">
        <v>42.1</v>
      </c>
      <c r="H23" s="100">
        <v>27.98</v>
      </c>
      <c r="I23" s="100">
        <v>9.91</v>
      </c>
      <c r="J23" s="100">
        <v>0.18</v>
      </c>
      <c r="K23" s="100">
        <v>310.62</v>
      </c>
      <c r="L23" s="100">
        <v>19.03</v>
      </c>
      <c r="M23" s="100">
        <v>90.48</v>
      </c>
      <c r="N23" s="100">
        <v>3.3</v>
      </c>
      <c r="O23" s="100">
        <v>0</v>
      </c>
      <c r="P23" s="100">
        <v>0.54</v>
      </c>
      <c r="Q23" s="100">
        <v>9.32</v>
      </c>
      <c r="R23" s="6"/>
      <c r="S23" s="6"/>
      <c r="T23" s="156"/>
      <c r="U23" s="6"/>
    </row>
    <row r="24" spans="1:21" customFormat="1">
      <c r="A24" s="163" t="s">
        <v>358</v>
      </c>
      <c r="B24" s="100">
        <v>11.14</v>
      </c>
      <c r="C24" s="100">
        <v>13.43</v>
      </c>
      <c r="D24" s="100">
        <v>15.95</v>
      </c>
      <c r="E24" s="100">
        <v>5.19</v>
      </c>
      <c r="F24" s="100">
        <v>0.02</v>
      </c>
      <c r="G24" s="100">
        <v>42.11</v>
      </c>
      <c r="H24" s="100">
        <v>27.98</v>
      </c>
      <c r="I24" s="100">
        <v>9.81</v>
      </c>
      <c r="J24" s="100">
        <v>0.15</v>
      </c>
      <c r="K24" s="100">
        <v>35.5</v>
      </c>
      <c r="L24" s="100">
        <v>19.11</v>
      </c>
      <c r="M24" s="100">
        <v>89.79</v>
      </c>
      <c r="N24" s="100">
        <v>3.2</v>
      </c>
      <c r="O24" s="100">
        <v>0</v>
      </c>
      <c r="P24" s="100">
        <v>0.53</v>
      </c>
      <c r="Q24" s="100">
        <v>9.32</v>
      </c>
      <c r="R24" s="6"/>
      <c r="S24" s="6"/>
      <c r="T24" s="156"/>
      <c r="U24" s="6"/>
    </row>
    <row r="25" spans="1:21" customFormat="1">
      <c r="A25" s="163" t="s">
        <v>359</v>
      </c>
      <c r="B25" s="100">
        <v>11.84</v>
      </c>
      <c r="C25" s="100">
        <v>13.72</v>
      </c>
      <c r="D25" s="100">
        <v>16.66</v>
      </c>
      <c r="E25" s="100">
        <v>5.42</v>
      </c>
      <c r="F25" s="100">
        <v>0.05</v>
      </c>
      <c r="G25" s="100">
        <v>42.11</v>
      </c>
      <c r="H25" s="100">
        <v>27.98</v>
      </c>
      <c r="I25" s="100">
        <v>9.7200000000000006</v>
      </c>
      <c r="J25" s="100">
        <v>0.48</v>
      </c>
      <c r="K25" s="100">
        <v>33.24</v>
      </c>
      <c r="L25" s="100">
        <v>19.190000000000001</v>
      </c>
      <c r="M25" s="100">
        <v>88.65</v>
      </c>
      <c r="N25" s="100">
        <v>3</v>
      </c>
      <c r="O25" s="100">
        <v>0</v>
      </c>
      <c r="P25" s="100">
        <v>0.53</v>
      </c>
      <c r="Q25" s="100">
        <v>9.32</v>
      </c>
      <c r="R25" s="6"/>
      <c r="S25" s="6"/>
      <c r="T25" s="156"/>
      <c r="U25" s="6"/>
    </row>
    <row r="26" spans="1:21" customFormat="1">
      <c r="A26" s="163" t="s">
        <v>360</v>
      </c>
      <c r="B26" s="100">
        <v>12.11</v>
      </c>
      <c r="C26" s="100">
        <v>13.68</v>
      </c>
      <c r="D26" s="100">
        <v>16.86</v>
      </c>
      <c r="E26" s="100">
        <v>5.3</v>
      </c>
      <c r="F26" s="100">
        <v>0.02</v>
      </c>
      <c r="G26" s="100">
        <v>42.11</v>
      </c>
      <c r="H26" s="100">
        <v>27.98</v>
      </c>
      <c r="I26" s="100">
        <v>9.65</v>
      </c>
      <c r="J26" s="100">
        <v>0.55000000000000004</v>
      </c>
      <c r="K26" s="100">
        <v>40.44</v>
      </c>
      <c r="L26" s="100">
        <v>19.13</v>
      </c>
      <c r="M26" s="100">
        <v>88.05</v>
      </c>
      <c r="N26" s="100">
        <v>3.2</v>
      </c>
      <c r="O26" s="100">
        <v>0</v>
      </c>
      <c r="P26" s="100">
        <v>0.53</v>
      </c>
      <c r="Q26" s="100">
        <v>9.32</v>
      </c>
      <c r="R26" s="6"/>
      <c r="S26" s="6"/>
      <c r="T26" s="156"/>
      <c r="U26" s="6"/>
    </row>
    <row r="27" spans="1:21" customFormat="1">
      <c r="A27" s="163" t="s">
        <v>361</v>
      </c>
      <c r="B27" s="100">
        <v>12.26</v>
      </c>
      <c r="C27" s="100">
        <v>13.67</v>
      </c>
      <c r="D27" s="100">
        <v>16.97</v>
      </c>
      <c r="E27" s="100">
        <v>3.49</v>
      </c>
      <c r="F27" s="100">
        <v>0.09</v>
      </c>
      <c r="G27" s="100">
        <v>44.54</v>
      </c>
      <c r="H27" s="100">
        <v>27.67</v>
      </c>
      <c r="I27" s="100">
        <v>9.61</v>
      </c>
      <c r="J27" s="100">
        <v>0.76</v>
      </c>
      <c r="K27" s="100">
        <v>45.42</v>
      </c>
      <c r="L27" s="100">
        <v>19.02</v>
      </c>
      <c r="M27" s="100">
        <v>88.78</v>
      </c>
      <c r="N27" s="100">
        <v>3.3</v>
      </c>
      <c r="O27" s="100">
        <v>0</v>
      </c>
      <c r="P27" s="100">
        <v>0.54</v>
      </c>
      <c r="Q27" s="100">
        <v>9.32</v>
      </c>
      <c r="R27" s="6"/>
      <c r="S27" s="6"/>
      <c r="T27" s="156"/>
      <c r="U27" s="6"/>
    </row>
    <row r="28" spans="1:21" customFormat="1">
      <c r="A28" s="163" t="s">
        <v>362</v>
      </c>
      <c r="B28" s="100">
        <v>12.23</v>
      </c>
      <c r="C28" s="100">
        <v>13.61</v>
      </c>
      <c r="D28" s="100">
        <v>16.920000000000002</v>
      </c>
      <c r="E28" s="100">
        <v>5</v>
      </c>
      <c r="F28" s="100">
        <v>0.09</v>
      </c>
      <c r="G28" s="100">
        <v>44.59</v>
      </c>
      <c r="H28" s="100">
        <v>27.67</v>
      </c>
      <c r="I28" s="100">
        <v>9.61</v>
      </c>
      <c r="J28" s="100">
        <v>0.77</v>
      </c>
      <c r="K28" s="100">
        <v>44.4</v>
      </c>
      <c r="L28" s="100">
        <v>18.84</v>
      </c>
      <c r="M28" s="100">
        <v>89.96</v>
      </c>
      <c r="N28" s="100">
        <v>3.5</v>
      </c>
      <c r="O28" s="100">
        <v>0</v>
      </c>
      <c r="P28" s="100">
        <v>0.55000000000000004</v>
      </c>
      <c r="Q28" s="100">
        <v>9.32</v>
      </c>
      <c r="R28" s="6"/>
      <c r="S28" s="6"/>
      <c r="T28" s="156"/>
      <c r="U28" s="6"/>
    </row>
    <row r="29" spans="1:21" customFormat="1">
      <c r="A29" s="163" t="s">
        <v>363</v>
      </c>
      <c r="B29" s="100">
        <v>12.15</v>
      </c>
      <c r="C29" s="100">
        <v>13.76</v>
      </c>
      <c r="D29" s="100">
        <v>16.93</v>
      </c>
      <c r="E29" s="100">
        <v>5.0999999999999996</v>
      </c>
      <c r="F29" s="100">
        <v>0.23</v>
      </c>
      <c r="G29" s="100">
        <v>44.59</v>
      </c>
      <c r="H29" s="100">
        <v>27.67</v>
      </c>
      <c r="I29" s="100">
        <v>9.6999999999999993</v>
      </c>
      <c r="J29" s="100">
        <v>0.44</v>
      </c>
      <c r="K29" s="100">
        <v>42.2</v>
      </c>
      <c r="L29" s="100">
        <v>18.66</v>
      </c>
      <c r="M29" s="100">
        <v>90.11</v>
      </c>
      <c r="N29" s="100">
        <v>3.5</v>
      </c>
      <c r="O29" s="100">
        <v>0</v>
      </c>
      <c r="P29" s="100">
        <v>0.56000000000000005</v>
      </c>
      <c r="Q29" s="100">
        <v>9.32</v>
      </c>
      <c r="R29" s="6"/>
      <c r="S29" s="6"/>
      <c r="T29" s="156"/>
      <c r="U29" s="6"/>
    </row>
    <row r="30" spans="1:21" customFormat="1">
      <c r="A30" s="163" t="s">
        <v>364</v>
      </c>
      <c r="B30" s="100">
        <v>12.28</v>
      </c>
      <c r="C30" s="100">
        <v>13.8</v>
      </c>
      <c r="D30" s="100">
        <v>17.05</v>
      </c>
      <c r="E30" s="100">
        <v>5.13</v>
      </c>
      <c r="F30" s="100">
        <v>0.03</v>
      </c>
      <c r="G30" s="100">
        <v>44.59</v>
      </c>
      <c r="H30" s="100">
        <v>27.67</v>
      </c>
      <c r="I30" s="100">
        <v>9.82</v>
      </c>
      <c r="J30" s="100">
        <v>0.49</v>
      </c>
      <c r="K30" s="100">
        <v>44.54</v>
      </c>
      <c r="L30" s="100">
        <v>18.63</v>
      </c>
      <c r="M30" s="100">
        <v>89.97</v>
      </c>
      <c r="N30" s="100">
        <v>3.4</v>
      </c>
      <c r="O30" s="100">
        <v>0</v>
      </c>
      <c r="P30" s="100">
        <v>0.56000000000000005</v>
      </c>
      <c r="Q30" s="100">
        <v>9.32</v>
      </c>
      <c r="R30" s="6"/>
      <c r="S30" s="6"/>
      <c r="T30" s="156"/>
      <c r="U30" s="6"/>
    </row>
    <row r="31" spans="1:21" customFormat="1">
      <c r="A31" s="163" t="s">
        <v>365</v>
      </c>
      <c r="B31" s="100">
        <v>12.53</v>
      </c>
      <c r="C31" s="100">
        <v>13.96</v>
      </c>
      <c r="D31" s="100">
        <v>17.34</v>
      </c>
      <c r="E31" s="100">
        <v>5.16</v>
      </c>
      <c r="F31" s="100">
        <v>0.03</v>
      </c>
      <c r="G31" s="100">
        <v>59.22</v>
      </c>
      <c r="H31" s="100">
        <v>32.15</v>
      </c>
      <c r="I31" s="100">
        <v>9.92</v>
      </c>
      <c r="J31" s="100">
        <v>0.38</v>
      </c>
      <c r="K31" s="100">
        <v>33.950000000000003</v>
      </c>
      <c r="L31" s="100">
        <v>18.57</v>
      </c>
      <c r="M31" s="100">
        <v>90.17</v>
      </c>
      <c r="N31" s="100">
        <v>3.3</v>
      </c>
      <c r="O31" s="100">
        <v>0</v>
      </c>
      <c r="P31" s="100">
        <v>0.56999999999999995</v>
      </c>
      <c r="Q31" s="100">
        <v>9.32</v>
      </c>
      <c r="R31" s="6"/>
      <c r="S31" s="6"/>
      <c r="T31" s="156"/>
      <c r="U31" s="6"/>
    </row>
    <row r="32" spans="1:21" customFormat="1">
      <c r="A32" s="163" t="s">
        <v>366</v>
      </c>
      <c r="B32" s="100">
        <v>12.78</v>
      </c>
      <c r="C32" s="100">
        <v>13.92</v>
      </c>
      <c r="D32" s="100">
        <v>17.52</v>
      </c>
      <c r="E32" s="100">
        <v>5.37</v>
      </c>
      <c r="F32" s="100">
        <v>7.0000000000000007E-2</v>
      </c>
      <c r="G32" s="100">
        <v>59.55</v>
      </c>
      <c r="H32" s="100">
        <v>32.15</v>
      </c>
      <c r="I32" s="100">
        <v>10.02</v>
      </c>
      <c r="J32" s="100">
        <v>0.45</v>
      </c>
      <c r="K32" s="100">
        <v>46.46</v>
      </c>
      <c r="L32" s="100">
        <v>18.54</v>
      </c>
      <c r="M32" s="100">
        <v>90.51</v>
      </c>
      <c r="N32" s="100">
        <v>3.3</v>
      </c>
      <c r="O32" s="100">
        <v>0</v>
      </c>
      <c r="P32" s="100">
        <v>0.56999999999999995</v>
      </c>
      <c r="Q32" s="100">
        <v>9.32</v>
      </c>
      <c r="R32" s="6"/>
      <c r="S32" s="6"/>
      <c r="T32" s="156"/>
      <c r="U32" s="6"/>
    </row>
    <row r="33" spans="1:21" customFormat="1">
      <c r="A33" s="163" t="s">
        <v>367</v>
      </c>
      <c r="B33" s="100">
        <v>12.9</v>
      </c>
      <c r="C33" s="100">
        <v>14.01</v>
      </c>
      <c r="D33" s="100">
        <v>17.670000000000002</v>
      </c>
      <c r="E33" s="100">
        <v>5.25</v>
      </c>
      <c r="F33" s="100">
        <v>0.19</v>
      </c>
      <c r="G33" s="100">
        <v>59.55</v>
      </c>
      <c r="H33" s="100">
        <v>32.15</v>
      </c>
      <c r="I33" s="100">
        <v>10.130000000000001</v>
      </c>
      <c r="J33" s="100">
        <v>0.24</v>
      </c>
      <c r="K33" s="100">
        <v>72.7</v>
      </c>
      <c r="L33" s="100">
        <v>18.64</v>
      </c>
      <c r="M33" s="100">
        <v>90.35</v>
      </c>
      <c r="N33" s="100">
        <v>3.6</v>
      </c>
      <c r="O33" s="100">
        <v>0</v>
      </c>
      <c r="P33" s="100">
        <v>0.57999999999999996</v>
      </c>
      <c r="Q33" s="100">
        <v>9.32</v>
      </c>
      <c r="R33" s="6"/>
      <c r="S33" s="6"/>
      <c r="T33" s="156"/>
      <c r="U33" s="6"/>
    </row>
    <row r="34" spans="1:21" customFormat="1">
      <c r="A34" s="163" t="s">
        <v>368</v>
      </c>
      <c r="B34" s="100">
        <v>13.05</v>
      </c>
      <c r="C34" s="100">
        <v>14.09</v>
      </c>
      <c r="D34" s="100">
        <v>17.829999999999998</v>
      </c>
      <c r="E34" s="100">
        <v>5.29</v>
      </c>
      <c r="F34" s="100">
        <v>0.09</v>
      </c>
      <c r="G34" s="100">
        <v>59.55</v>
      </c>
      <c r="H34" s="100">
        <v>32.15</v>
      </c>
      <c r="I34" s="100">
        <v>10.25</v>
      </c>
      <c r="J34" s="100">
        <v>0.3</v>
      </c>
      <c r="K34" s="100">
        <v>44.59</v>
      </c>
      <c r="L34" s="100">
        <v>18.54</v>
      </c>
      <c r="M34" s="100">
        <v>90.46</v>
      </c>
      <c r="N34" s="100">
        <v>5.3</v>
      </c>
      <c r="O34" s="100">
        <v>0</v>
      </c>
      <c r="P34" s="100">
        <v>0.6</v>
      </c>
      <c r="Q34" s="100">
        <v>9.32</v>
      </c>
      <c r="R34" s="6"/>
      <c r="S34" s="6"/>
      <c r="T34" s="156"/>
      <c r="U34" s="6"/>
    </row>
    <row r="35" spans="1:21" customFormat="1">
      <c r="A35" s="163" t="s">
        <v>369</v>
      </c>
      <c r="B35" s="100">
        <v>13.41</v>
      </c>
      <c r="C35" s="100">
        <v>14.09</v>
      </c>
      <c r="D35" s="100">
        <v>18.11</v>
      </c>
      <c r="E35" s="100">
        <v>5.35</v>
      </c>
      <c r="F35" s="100">
        <v>0.06</v>
      </c>
      <c r="G35" s="100">
        <v>70.319999999999993</v>
      </c>
      <c r="H35" s="100">
        <v>37.479999999999997</v>
      </c>
      <c r="I35" s="100">
        <v>10.34</v>
      </c>
      <c r="J35" s="100">
        <v>0.61</v>
      </c>
      <c r="K35" s="100">
        <v>46.12</v>
      </c>
      <c r="L35" s="100">
        <v>18.45</v>
      </c>
      <c r="M35" s="100">
        <v>91.22</v>
      </c>
      <c r="N35" s="100">
        <v>12.9</v>
      </c>
      <c r="O35" s="100">
        <v>0</v>
      </c>
      <c r="P35" s="100">
        <v>0.61</v>
      </c>
      <c r="Q35" s="100">
        <v>9.32</v>
      </c>
      <c r="R35" s="6"/>
      <c r="S35" s="6"/>
      <c r="T35" s="156"/>
      <c r="U35" s="6"/>
    </row>
    <row r="36" spans="1:21" customFormat="1">
      <c r="A36" s="163" t="s">
        <v>370</v>
      </c>
      <c r="B36" s="100">
        <v>13.64</v>
      </c>
      <c r="C36" s="100">
        <v>14.21</v>
      </c>
      <c r="D36" s="100">
        <v>18.37</v>
      </c>
      <c r="E36" s="100">
        <v>5.27</v>
      </c>
      <c r="F36" s="100">
        <v>0.14000000000000001</v>
      </c>
      <c r="G36" s="100">
        <v>70.569999999999993</v>
      </c>
      <c r="H36" s="100">
        <v>37.479999999999997</v>
      </c>
      <c r="I36" s="100">
        <v>10.42</v>
      </c>
      <c r="J36" s="100">
        <v>0.62</v>
      </c>
      <c r="K36" s="100">
        <v>52.58</v>
      </c>
      <c r="L36" s="100">
        <v>18.53</v>
      </c>
      <c r="M36" s="100">
        <v>91.23</v>
      </c>
      <c r="N36" s="100">
        <v>23.9</v>
      </c>
      <c r="O36" s="100">
        <v>0</v>
      </c>
      <c r="P36" s="100">
        <v>0.62</v>
      </c>
      <c r="Q36" s="100">
        <v>9.32</v>
      </c>
      <c r="R36" s="6"/>
      <c r="S36" s="6"/>
      <c r="T36" s="156"/>
      <c r="U36" s="6"/>
    </row>
    <row r="37" spans="1:21" customFormat="1">
      <c r="A37" s="163" t="s">
        <v>371</v>
      </c>
      <c r="B37" s="100">
        <v>13.73</v>
      </c>
      <c r="C37" s="100">
        <v>14.32</v>
      </c>
      <c r="D37" s="100">
        <v>18.5</v>
      </c>
      <c r="E37" s="100">
        <v>5.55</v>
      </c>
      <c r="F37" s="100">
        <v>0.16</v>
      </c>
      <c r="G37" s="100">
        <v>70.569999999999993</v>
      </c>
      <c r="H37" s="100">
        <v>37.479999999999997</v>
      </c>
      <c r="I37" s="100">
        <v>10.5</v>
      </c>
      <c r="J37" s="100">
        <v>0.5</v>
      </c>
      <c r="K37" s="100">
        <v>51.41</v>
      </c>
      <c r="L37" s="100">
        <v>18.73</v>
      </c>
      <c r="M37" s="100">
        <v>90.85</v>
      </c>
      <c r="N37" s="100">
        <v>37.1</v>
      </c>
      <c r="O37" s="100">
        <v>0</v>
      </c>
      <c r="P37" s="100">
        <v>0.62</v>
      </c>
      <c r="Q37" s="100">
        <v>9.32</v>
      </c>
      <c r="R37" s="6"/>
      <c r="S37" s="6"/>
      <c r="T37" s="156"/>
      <c r="U37" s="6"/>
    </row>
    <row r="38" spans="1:21" customFormat="1">
      <c r="A38" s="163" t="s">
        <v>372</v>
      </c>
      <c r="B38" s="100">
        <v>13.86</v>
      </c>
      <c r="C38" s="100">
        <v>14.47</v>
      </c>
      <c r="D38" s="100">
        <v>18.68</v>
      </c>
      <c r="E38" s="100">
        <v>5.52</v>
      </c>
      <c r="F38" s="100">
        <v>0.04</v>
      </c>
      <c r="G38" s="100">
        <v>70.569999999999993</v>
      </c>
      <c r="H38" s="100">
        <v>37.479999999999997</v>
      </c>
      <c r="I38" s="100">
        <v>10.58</v>
      </c>
      <c r="J38" s="100">
        <v>0.46</v>
      </c>
      <c r="K38" s="100">
        <v>48.93</v>
      </c>
      <c r="L38" s="100">
        <v>19.13</v>
      </c>
      <c r="M38" s="100">
        <v>89.47</v>
      </c>
      <c r="N38" s="100">
        <v>50.8</v>
      </c>
      <c r="O38" s="100">
        <v>0</v>
      </c>
      <c r="P38" s="100">
        <v>0.64</v>
      </c>
      <c r="Q38" s="100">
        <v>9.32</v>
      </c>
      <c r="R38" s="6"/>
      <c r="S38" s="6"/>
      <c r="T38" s="156"/>
      <c r="U38" s="6"/>
    </row>
    <row r="39" spans="1:21" customFormat="1">
      <c r="A39" s="163" t="s">
        <v>373</v>
      </c>
      <c r="B39" s="100">
        <v>14.24</v>
      </c>
      <c r="C39" s="100">
        <v>14.7</v>
      </c>
      <c r="D39" s="100">
        <v>19.100000000000001</v>
      </c>
      <c r="E39" s="100">
        <v>5.67</v>
      </c>
      <c r="F39" s="100">
        <v>0.16</v>
      </c>
      <c r="G39" s="100">
        <v>78.44</v>
      </c>
      <c r="H39" s="100">
        <v>38.56</v>
      </c>
      <c r="I39" s="100">
        <v>10.68</v>
      </c>
      <c r="J39" s="100">
        <v>0.44</v>
      </c>
      <c r="K39" s="100">
        <v>50.91</v>
      </c>
      <c r="L39" s="100">
        <v>19.68</v>
      </c>
      <c r="M39" s="100">
        <v>86.96</v>
      </c>
      <c r="N39" s="100">
        <v>65.3</v>
      </c>
      <c r="O39" s="100">
        <v>0</v>
      </c>
      <c r="P39" s="100">
        <v>0.65</v>
      </c>
      <c r="Q39" s="100">
        <v>9.32</v>
      </c>
      <c r="R39" s="6"/>
      <c r="S39" s="6"/>
      <c r="T39" s="156"/>
      <c r="U39" s="6"/>
    </row>
    <row r="40" spans="1:21" customFormat="1">
      <c r="A40" s="163" t="s">
        <v>374</v>
      </c>
      <c r="B40" s="100">
        <v>14.46</v>
      </c>
      <c r="C40" s="100">
        <v>14.99</v>
      </c>
      <c r="D40" s="100">
        <v>19.43</v>
      </c>
      <c r="E40" s="100">
        <v>5.79</v>
      </c>
      <c r="F40" s="100">
        <v>0.14000000000000001</v>
      </c>
      <c r="G40" s="100">
        <v>78.62</v>
      </c>
      <c r="H40" s="100">
        <v>38.56</v>
      </c>
      <c r="I40" s="100">
        <v>10.77</v>
      </c>
      <c r="J40" s="100">
        <v>0.21</v>
      </c>
      <c r="K40" s="100">
        <v>104.95</v>
      </c>
      <c r="L40" s="100">
        <v>20.36</v>
      </c>
      <c r="M40" s="100">
        <v>83.58</v>
      </c>
      <c r="N40" s="100">
        <v>95.6</v>
      </c>
      <c r="O40" s="100">
        <v>0</v>
      </c>
      <c r="P40" s="100">
        <v>0.67</v>
      </c>
      <c r="Q40" s="100">
        <v>9.32</v>
      </c>
      <c r="R40" s="6"/>
      <c r="S40" s="6"/>
      <c r="T40" s="156"/>
      <c r="U40" s="6"/>
    </row>
    <row r="41" spans="1:21" customFormat="1">
      <c r="A41" s="163" t="s">
        <v>375</v>
      </c>
      <c r="B41" s="100">
        <v>14.4</v>
      </c>
      <c r="C41" s="100">
        <v>15.57</v>
      </c>
      <c r="D41" s="100">
        <v>19.68</v>
      </c>
      <c r="E41" s="100">
        <v>5.39</v>
      </c>
      <c r="F41" s="100">
        <v>0.24</v>
      </c>
      <c r="G41" s="100">
        <v>78.62</v>
      </c>
      <c r="H41" s="100">
        <v>38.56</v>
      </c>
      <c r="I41" s="100">
        <v>10.84</v>
      </c>
      <c r="J41" s="100">
        <v>0.27</v>
      </c>
      <c r="K41" s="100">
        <v>114.94</v>
      </c>
      <c r="L41" s="100">
        <v>21.1</v>
      </c>
      <c r="M41" s="100">
        <v>79.66</v>
      </c>
      <c r="N41" s="100">
        <v>153.9</v>
      </c>
      <c r="O41" s="100">
        <v>0</v>
      </c>
      <c r="P41" s="100">
        <v>0.66</v>
      </c>
      <c r="Q41" s="100">
        <v>9.32</v>
      </c>
      <c r="R41" s="6"/>
      <c r="S41" s="6"/>
      <c r="T41" s="156"/>
      <c r="U41" s="6"/>
    </row>
    <row r="42" spans="1:21" customFormat="1">
      <c r="A42" s="163" t="s">
        <v>376</v>
      </c>
      <c r="B42" s="100">
        <v>14.13</v>
      </c>
      <c r="C42" s="100">
        <v>15.57</v>
      </c>
      <c r="D42" s="100">
        <v>19.46</v>
      </c>
      <c r="E42" s="100">
        <v>5.47</v>
      </c>
      <c r="F42" s="100">
        <v>0.27</v>
      </c>
      <c r="G42" s="100">
        <v>78.62</v>
      </c>
      <c r="H42" s="100">
        <v>38.56</v>
      </c>
      <c r="I42" s="100">
        <v>11.07</v>
      </c>
      <c r="J42" s="100">
        <v>0.3</v>
      </c>
      <c r="K42" s="100">
        <v>78.86</v>
      </c>
      <c r="L42" s="100">
        <v>21.98</v>
      </c>
      <c r="M42" s="100">
        <v>76.03</v>
      </c>
      <c r="N42" s="100">
        <v>191.1</v>
      </c>
      <c r="O42" s="100">
        <v>0</v>
      </c>
      <c r="P42" s="100">
        <v>0.67</v>
      </c>
      <c r="Q42" s="100">
        <v>9.32</v>
      </c>
      <c r="R42" s="6"/>
      <c r="S42" s="6"/>
      <c r="T42" s="156"/>
      <c r="U42" s="6"/>
    </row>
    <row r="43" spans="1:21" customFormat="1">
      <c r="A43" s="163" t="s">
        <v>377</v>
      </c>
      <c r="B43" s="100">
        <v>13.98</v>
      </c>
      <c r="C43" s="100">
        <v>15.17</v>
      </c>
      <c r="D43" s="100">
        <v>19.14</v>
      </c>
      <c r="E43" s="100">
        <v>5.81</v>
      </c>
      <c r="F43" s="100">
        <v>0.2</v>
      </c>
      <c r="G43" s="100">
        <v>98.86</v>
      </c>
      <c r="H43" s="100">
        <v>41.91</v>
      </c>
      <c r="I43" s="100">
        <v>11.33</v>
      </c>
      <c r="J43" s="100">
        <v>0.65</v>
      </c>
      <c r="K43" s="100">
        <v>50.29</v>
      </c>
      <c r="L43" s="100">
        <v>22.59</v>
      </c>
      <c r="M43" s="100">
        <v>73.59</v>
      </c>
      <c r="N43" s="100">
        <v>227.2</v>
      </c>
      <c r="O43" s="100">
        <v>0</v>
      </c>
      <c r="P43" s="100">
        <v>0.68</v>
      </c>
      <c r="Q43" s="100">
        <v>9.32</v>
      </c>
      <c r="R43" s="6"/>
      <c r="S43" s="6"/>
      <c r="T43" s="156"/>
      <c r="U43" s="6"/>
    </row>
    <row r="44" spans="1:21" customFormat="1">
      <c r="A44" s="163" t="s">
        <v>378</v>
      </c>
      <c r="B44" s="100">
        <v>13.97</v>
      </c>
      <c r="C44" s="100">
        <v>15.1</v>
      </c>
      <c r="D44" s="100">
        <v>19.09</v>
      </c>
      <c r="E44" s="100">
        <v>5.95</v>
      </c>
      <c r="F44" s="100">
        <v>0.17</v>
      </c>
      <c r="G44" s="100">
        <v>99.32</v>
      </c>
      <c r="H44" s="100">
        <v>41.91</v>
      </c>
      <c r="I44" s="100">
        <v>11.44</v>
      </c>
      <c r="J44" s="100">
        <v>0.56000000000000005</v>
      </c>
      <c r="K44" s="100">
        <v>56.59</v>
      </c>
      <c r="L44" s="100">
        <v>23.36</v>
      </c>
      <c r="M44" s="100">
        <v>67.23</v>
      </c>
      <c r="N44" s="100">
        <v>254.7</v>
      </c>
      <c r="O44" s="100">
        <v>0</v>
      </c>
      <c r="P44" s="100">
        <v>0.67</v>
      </c>
      <c r="Q44" s="100">
        <v>9.32</v>
      </c>
      <c r="R44" s="6"/>
      <c r="S44" s="6"/>
      <c r="T44" s="156"/>
      <c r="U44" s="6"/>
    </row>
    <row r="45" spans="1:21" customFormat="1">
      <c r="A45" s="163" t="s">
        <v>379</v>
      </c>
      <c r="B45" s="100">
        <v>13.97</v>
      </c>
      <c r="C45" s="100">
        <v>15.32</v>
      </c>
      <c r="D45" s="100">
        <v>19.21</v>
      </c>
      <c r="E45" s="100">
        <v>5.98</v>
      </c>
      <c r="F45" s="100">
        <v>0.04</v>
      </c>
      <c r="G45" s="100">
        <v>99.32</v>
      </c>
      <c r="H45" s="100">
        <v>41.91</v>
      </c>
      <c r="I45" s="100">
        <v>11.53</v>
      </c>
      <c r="J45" s="100">
        <v>0.61</v>
      </c>
      <c r="K45" s="100">
        <v>52.27</v>
      </c>
      <c r="L45" s="100">
        <v>24.27</v>
      </c>
      <c r="M45" s="100">
        <v>62.79</v>
      </c>
      <c r="N45" s="100">
        <v>169.1</v>
      </c>
      <c r="O45" s="100">
        <v>0</v>
      </c>
      <c r="P45" s="100">
        <v>0.68</v>
      </c>
      <c r="Q45" s="100">
        <v>9.32</v>
      </c>
      <c r="R45" s="6"/>
      <c r="S45" s="6"/>
      <c r="T45" s="156"/>
      <c r="U45" s="6"/>
    </row>
    <row r="46" spans="1:21" customFormat="1">
      <c r="A46" s="163" t="s">
        <v>380</v>
      </c>
      <c r="B46" s="100">
        <v>13.98</v>
      </c>
      <c r="C46" s="100">
        <v>15.47</v>
      </c>
      <c r="D46" s="100">
        <v>19.29</v>
      </c>
      <c r="E46" s="100">
        <v>5.87</v>
      </c>
      <c r="F46" s="100">
        <v>0.15</v>
      </c>
      <c r="G46" s="100">
        <v>99.32</v>
      </c>
      <c r="H46" s="100">
        <v>41.91</v>
      </c>
      <c r="I46" s="100">
        <v>11.57</v>
      </c>
      <c r="J46" s="100">
        <v>0.64</v>
      </c>
      <c r="K46" s="100">
        <v>42.27</v>
      </c>
      <c r="L46" s="100">
        <v>24.89</v>
      </c>
      <c r="M46" s="100">
        <v>59.25</v>
      </c>
      <c r="N46" s="100">
        <v>165.4</v>
      </c>
      <c r="O46" s="100">
        <v>0</v>
      </c>
      <c r="P46" s="100">
        <v>0.68</v>
      </c>
      <c r="Q46" s="100">
        <v>9.32</v>
      </c>
      <c r="R46" s="6"/>
      <c r="S46" s="6"/>
      <c r="T46" s="156"/>
      <c r="U46" s="6"/>
    </row>
    <row r="47" spans="1:21" customFormat="1">
      <c r="A47" s="163" t="s">
        <v>381</v>
      </c>
      <c r="B47" s="100">
        <v>13.79</v>
      </c>
      <c r="C47" s="100">
        <v>15.58</v>
      </c>
      <c r="D47" s="100">
        <v>19.2</v>
      </c>
      <c r="E47" s="100">
        <v>6.19</v>
      </c>
      <c r="F47" s="100">
        <v>0.3</v>
      </c>
      <c r="G47" s="100">
        <v>93.06</v>
      </c>
      <c r="H47" s="100">
        <v>41.18</v>
      </c>
      <c r="I47" s="100">
        <v>11.59</v>
      </c>
      <c r="J47" s="100">
        <v>0.54</v>
      </c>
      <c r="K47" s="100">
        <v>44.17</v>
      </c>
      <c r="L47" s="100">
        <v>25.5</v>
      </c>
      <c r="M47" s="100">
        <v>58.27</v>
      </c>
      <c r="N47" s="100">
        <v>196.2</v>
      </c>
      <c r="O47" s="100">
        <v>0</v>
      </c>
      <c r="P47" s="100">
        <v>0.68</v>
      </c>
      <c r="Q47" s="100">
        <v>9.32</v>
      </c>
      <c r="R47" s="6"/>
      <c r="S47" s="6"/>
      <c r="T47" s="156"/>
      <c r="U47" s="6"/>
    </row>
    <row r="48" spans="1:21" customFormat="1">
      <c r="A48" s="163" t="s">
        <v>382</v>
      </c>
      <c r="B48" s="100">
        <v>13.44</v>
      </c>
      <c r="C48" s="100">
        <v>15.6</v>
      </c>
      <c r="D48" s="100">
        <v>18.93</v>
      </c>
      <c r="E48" s="100">
        <v>6.18</v>
      </c>
      <c r="F48" s="100">
        <v>0.31</v>
      </c>
      <c r="G48" s="100">
        <v>92.92</v>
      </c>
      <c r="H48" s="100">
        <v>41.18</v>
      </c>
      <c r="I48" s="100">
        <v>11.62</v>
      </c>
      <c r="J48" s="100">
        <v>0.59</v>
      </c>
      <c r="K48" s="100">
        <v>53.12</v>
      </c>
      <c r="L48" s="100">
        <v>26.12</v>
      </c>
      <c r="M48" s="100">
        <v>55.81</v>
      </c>
      <c r="N48" s="100">
        <v>330.8</v>
      </c>
      <c r="O48" s="100">
        <v>0</v>
      </c>
      <c r="P48" s="100">
        <v>0.68</v>
      </c>
      <c r="Q48" s="100">
        <v>9.32</v>
      </c>
      <c r="R48" s="6"/>
      <c r="S48" s="6"/>
      <c r="T48" s="156"/>
      <c r="U48" s="6"/>
    </row>
    <row r="49" spans="1:21" customFormat="1">
      <c r="A49" s="163" t="s">
        <v>383</v>
      </c>
      <c r="B49" s="100">
        <v>13.05</v>
      </c>
      <c r="C49" s="100">
        <v>15.56</v>
      </c>
      <c r="D49" s="100">
        <v>18.600000000000001</v>
      </c>
      <c r="E49" s="100">
        <v>4.95</v>
      </c>
      <c r="F49" s="100">
        <v>0.26</v>
      </c>
      <c r="G49" s="100">
        <v>92.92</v>
      </c>
      <c r="H49" s="100">
        <v>41.18</v>
      </c>
      <c r="I49" s="100">
        <v>11.65</v>
      </c>
      <c r="J49" s="100">
        <v>0.94</v>
      </c>
      <c r="K49" s="100">
        <v>45.8</v>
      </c>
      <c r="L49" s="100">
        <v>26.32</v>
      </c>
      <c r="M49" s="100">
        <v>52.88</v>
      </c>
      <c r="N49" s="100">
        <v>426.8</v>
      </c>
      <c r="O49" s="100">
        <v>0</v>
      </c>
      <c r="P49" s="100">
        <v>0.68</v>
      </c>
      <c r="Q49" s="100">
        <v>9.32</v>
      </c>
      <c r="R49" s="6"/>
      <c r="S49" s="6"/>
      <c r="T49" s="156"/>
      <c r="U49" s="6"/>
    </row>
    <row r="50" spans="1:21" customFormat="1">
      <c r="A50" s="163" t="s">
        <v>384</v>
      </c>
      <c r="B50" s="100">
        <v>12.55</v>
      </c>
      <c r="C50" s="100">
        <v>15.7</v>
      </c>
      <c r="D50" s="100">
        <v>18.260000000000002</v>
      </c>
      <c r="E50" s="100">
        <v>6.19</v>
      </c>
      <c r="F50" s="100">
        <v>0.54</v>
      </c>
      <c r="G50" s="100">
        <v>92.92</v>
      </c>
      <c r="H50" s="100">
        <v>41.18</v>
      </c>
      <c r="I50" s="100">
        <v>11.62</v>
      </c>
      <c r="J50" s="100">
        <v>1.24</v>
      </c>
      <c r="K50" s="100">
        <v>43.04</v>
      </c>
      <c r="L50" s="100">
        <v>26.61</v>
      </c>
      <c r="M50" s="100">
        <v>51.55</v>
      </c>
      <c r="N50" s="100">
        <v>444.6</v>
      </c>
      <c r="O50" s="100">
        <v>0</v>
      </c>
      <c r="P50" s="100">
        <v>0.68</v>
      </c>
      <c r="Q50" s="100">
        <v>9.32</v>
      </c>
      <c r="R50" s="6"/>
      <c r="S50" s="6"/>
      <c r="T50" s="156"/>
      <c r="U50" s="6"/>
    </row>
    <row r="51" spans="1:21" customFormat="1">
      <c r="A51" s="163" t="s">
        <v>385</v>
      </c>
      <c r="B51" s="100">
        <v>11.96</v>
      </c>
      <c r="C51" s="100">
        <v>15.83</v>
      </c>
      <c r="D51" s="100">
        <v>17.86</v>
      </c>
      <c r="E51" s="100">
        <v>6.47</v>
      </c>
      <c r="F51" s="100">
        <v>0.83</v>
      </c>
      <c r="G51" s="100">
        <v>89.31</v>
      </c>
      <c r="H51" s="100">
        <v>38.86</v>
      </c>
      <c r="I51" s="100">
        <v>11.57</v>
      </c>
      <c r="J51" s="100">
        <v>1</v>
      </c>
      <c r="K51" s="100">
        <v>35.909999999999997</v>
      </c>
      <c r="L51" s="100">
        <v>26.81</v>
      </c>
      <c r="M51" s="100">
        <v>51.11</v>
      </c>
      <c r="N51" s="100">
        <v>473.6</v>
      </c>
      <c r="O51" s="100">
        <v>0</v>
      </c>
      <c r="P51" s="100">
        <v>0.68</v>
      </c>
      <c r="Q51" s="100">
        <v>9.32</v>
      </c>
      <c r="R51" s="6"/>
      <c r="S51" s="6"/>
      <c r="T51" s="156"/>
      <c r="U51" s="6"/>
    </row>
    <row r="52" spans="1:21" customFormat="1">
      <c r="A52" s="163" t="s">
        <v>386</v>
      </c>
      <c r="B52" s="100">
        <v>11.44</v>
      </c>
      <c r="C52" s="100">
        <v>15.95</v>
      </c>
      <c r="D52" s="100">
        <v>17.510000000000002</v>
      </c>
      <c r="E52" s="100">
        <v>6.6</v>
      </c>
      <c r="F52" s="100">
        <v>1.29</v>
      </c>
      <c r="G52" s="100">
        <v>89.23</v>
      </c>
      <c r="H52" s="100">
        <v>38.86</v>
      </c>
      <c r="I52" s="100">
        <v>11.54</v>
      </c>
      <c r="J52" s="100">
        <v>0.61</v>
      </c>
      <c r="K52" s="100">
        <v>53.69</v>
      </c>
      <c r="L52" s="100">
        <v>27.73</v>
      </c>
      <c r="M52" s="100">
        <v>48.75</v>
      </c>
      <c r="N52" s="100">
        <v>465.6</v>
      </c>
      <c r="O52" s="100">
        <v>0</v>
      </c>
      <c r="P52" s="100">
        <v>0.69</v>
      </c>
      <c r="Q52" s="100">
        <v>9.32</v>
      </c>
      <c r="R52" s="6"/>
      <c r="S52" s="6"/>
      <c r="T52" s="156"/>
      <c r="U52" s="6"/>
    </row>
    <row r="53" spans="1:21" customFormat="1">
      <c r="A53" s="163" t="s">
        <v>387</v>
      </c>
      <c r="B53" s="100">
        <v>10.72</v>
      </c>
      <c r="C53" s="100">
        <v>16.18</v>
      </c>
      <c r="D53" s="100">
        <v>17.05</v>
      </c>
      <c r="E53" s="100">
        <v>7.35</v>
      </c>
      <c r="F53" s="100">
        <v>1.83</v>
      </c>
      <c r="G53" s="100">
        <v>89.23</v>
      </c>
      <c r="H53" s="100">
        <v>38.86</v>
      </c>
      <c r="I53" s="100">
        <v>11.5</v>
      </c>
      <c r="J53" s="100">
        <v>0.72</v>
      </c>
      <c r="K53" s="100">
        <v>45.84</v>
      </c>
      <c r="L53" s="100">
        <v>28</v>
      </c>
      <c r="M53" s="100">
        <v>47.02</v>
      </c>
      <c r="N53" s="100">
        <v>489.4</v>
      </c>
      <c r="O53" s="100">
        <v>0</v>
      </c>
      <c r="P53" s="100">
        <v>0.69</v>
      </c>
      <c r="Q53" s="100">
        <v>9.32</v>
      </c>
      <c r="R53" s="6"/>
      <c r="S53" s="6"/>
      <c r="T53" s="156"/>
      <c r="U53" s="6"/>
    </row>
    <row r="54" spans="1:21" customFormat="1">
      <c r="A54" s="163" t="s">
        <v>388</v>
      </c>
      <c r="B54" s="100">
        <v>10.01</v>
      </c>
      <c r="C54" s="100">
        <v>16.170000000000002</v>
      </c>
      <c r="D54" s="100">
        <v>16.48</v>
      </c>
      <c r="E54" s="100">
        <v>6.9</v>
      </c>
      <c r="F54" s="100">
        <v>1.56</v>
      </c>
      <c r="G54" s="100">
        <v>89.23</v>
      </c>
      <c r="H54" s="100">
        <v>38.86</v>
      </c>
      <c r="I54" s="100">
        <v>11.42</v>
      </c>
      <c r="J54" s="100">
        <v>0.77</v>
      </c>
      <c r="K54" s="100">
        <v>51.85</v>
      </c>
      <c r="L54" s="100">
        <v>28.41</v>
      </c>
      <c r="M54" s="100">
        <v>45.49</v>
      </c>
      <c r="N54" s="100">
        <v>498.5</v>
      </c>
      <c r="O54" s="100">
        <v>0</v>
      </c>
      <c r="P54" s="100">
        <v>0.69</v>
      </c>
      <c r="Q54" s="100">
        <v>9.32</v>
      </c>
      <c r="R54" s="6"/>
      <c r="S54" s="6"/>
      <c r="T54" s="156"/>
      <c r="U54" s="6"/>
    </row>
    <row r="55" spans="1:21" customFormat="1">
      <c r="A55" s="163" t="s">
        <v>389</v>
      </c>
      <c r="B55" s="100">
        <v>9.3800000000000008</v>
      </c>
      <c r="C55" s="100">
        <v>16.2</v>
      </c>
      <c r="D55" s="100">
        <v>15.98</v>
      </c>
      <c r="E55" s="100">
        <v>8.02</v>
      </c>
      <c r="F55" s="100">
        <v>1.35</v>
      </c>
      <c r="G55" s="100">
        <v>90.25</v>
      </c>
      <c r="H55" s="100">
        <v>36.46</v>
      </c>
      <c r="I55" s="100">
        <v>11.35</v>
      </c>
      <c r="J55" s="100">
        <v>1.08</v>
      </c>
      <c r="K55" s="100">
        <v>38.67</v>
      </c>
      <c r="L55" s="100">
        <v>28.52</v>
      </c>
      <c r="M55" s="100">
        <v>43.91</v>
      </c>
      <c r="N55" s="100">
        <v>502.3</v>
      </c>
      <c r="O55" s="100">
        <v>0</v>
      </c>
      <c r="P55" s="100">
        <v>0.68</v>
      </c>
      <c r="Q55" s="100">
        <v>9.32</v>
      </c>
      <c r="R55" s="6"/>
      <c r="S55" s="6"/>
      <c r="T55" s="156"/>
      <c r="U55" s="6"/>
    </row>
    <row r="56" spans="1:21" customFormat="1">
      <c r="A56" s="163" t="s">
        <v>390</v>
      </c>
      <c r="B56" s="100">
        <v>8.84</v>
      </c>
      <c r="C56" s="100">
        <v>16.43</v>
      </c>
      <c r="D56" s="100">
        <v>15.67</v>
      </c>
      <c r="E56" s="100">
        <v>8.61</v>
      </c>
      <c r="F56" s="100">
        <v>2.12</v>
      </c>
      <c r="G56" s="100">
        <v>90.27</v>
      </c>
      <c r="H56" s="100">
        <v>36.46</v>
      </c>
      <c r="I56" s="100">
        <v>11.3</v>
      </c>
      <c r="J56" s="100">
        <v>0.61</v>
      </c>
      <c r="K56" s="100">
        <v>45.51</v>
      </c>
      <c r="L56" s="100">
        <v>28.93</v>
      </c>
      <c r="M56" s="100">
        <v>42.86</v>
      </c>
      <c r="N56" s="100">
        <v>490.6</v>
      </c>
      <c r="O56" s="100">
        <v>0</v>
      </c>
      <c r="P56" s="100">
        <v>0.68</v>
      </c>
      <c r="Q56" s="100">
        <v>9.32</v>
      </c>
      <c r="R56" s="6"/>
      <c r="S56" s="6"/>
      <c r="T56" s="156"/>
      <c r="U56" s="6"/>
    </row>
    <row r="57" spans="1:21" customFormat="1">
      <c r="A57" s="163" t="s">
        <v>391</v>
      </c>
      <c r="B57" s="100">
        <v>8.3000000000000007</v>
      </c>
      <c r="C57" s="100">
        <v>16.47</v>
      </c>
      <c r="D57" s="100">
        <v>15.26</v>
      </c>
      <c r="E57" s="100">
        <v>7.55</v>
      </c>
      <c r="F57" s="100">
        <v>1.81</v>
      </c>
      <c r="G57" s="100">
        <v>90.27</v>
      </c>
      <c r="H57" s="100">
        <v>36.46</v>
      </c>
      <c r="I57" s="100">
        <v>11.16</v>
      </c>
      <c r="J57" s="100">
        <v>0.89</v>
      </c>
      <c r="K57" s="100">
        <v>29.47</v>
      </c>
      <c r="L57" s="100">
        <v>29.17</v>
      </c>
      <c r="M57" s="100">
        <v>41.78</v>
      </c>
      <c r="N57" s="100">
        <v>496.8</v>
      </c>
      <c r="O57" s="100">
        <v>0</v>
      </c>
      <c r="P57" s="100">
        <v>0.66</v>
      </c>
      <c r="Q57" s="100">
        <v>9.32</v>
      </c>
      <c r="R57" s="6"/>
      <c r="S57" s="6"/>
      <c r="T57" s="156"/>
      <c r="U57" s="6"/>
    </row>
    <row r="58" spans="1:21" customFormat="1">
      <c r="A58" s="163" t="s">
        <v>392</v>
      </c>
      <c r="B58" s="100">
        <v>7.48</v>
      </c>
      <c r="C58" s="100">
        <v>16.72</v>
      </c>
      <c r="D58" s="100">
        <v>14.73</v>
      </c>
      <c r="E58" s="100">
        <v>7.63</v>
      </c>
      <c r="F58" s="100">
        <v>2.93</v>
      </c>
      <c r="G58" s="100">
        <v>90.27</v>
      </c>
      <c r="H58" s="100">
        <v>36.46</v>
      </c>
      <c r="I58" s="100">
        <v>11.09</v>
      </c>
      <c r="J58" s="100">
        <v>1.1499999999999999</v>
      </c>
      <c r="K58" s="100">
        <v>46.31</v>
      </c>
      <c r="L58" s="100">
        <v>29.06</v>
      </c>
      <c r="M58" s="100">
        <v>39.81</v>
      </c>
      <c r="N58" s="100">
        <v>499.4</v>
      </c>
      <c r="O58" s="100">
        <v>0</v>
      </c>
      <c r="P58" s="100">
        <v>0.66</v>
      </c>
      <c r="Q58" s="100">
        <v>9.32</v>
      </c>
      <c r="R58" s="6"/>
      <c r="S58" s="6"/>
      <c r="T58" s="156"/>
      <c r="U58" s="6"/>
    </row>
    <row r="59" spans="1:21" customFormat="1">
      <c r="A59" s="163" t="s">
        <v>393</v>
      </c>
      <c r="B59" s="100">
        <v>6.51</v>
      </c>
      <c r="C59" s="100">
        <v>17.190000000000001</v>
      </c>
      <c r="D59" s="100">
        <v>14.2</v>
      </c>
      <c r="E59" s="100">
        <v>7.35</v>
      </c>
      <c r="F59" s="100">
        <v>3.4</v>
      </c>
      <c r="G59" s="100">
        <v>84.53</v>
      </c>
      <c r="H59" s="100">
        <v>36.85</v>
      </c>
      <c r="I59" s="100">
        <v>11.1</v>
      </c>
      <c r="J59" s="100">
        <v>0.8</v>
      </c>
      <c r="K59" s="100">
        <v>49.67</v>
      </c>
      <c r="L59" s="100">
        <v>29.92</v>
      </c>
      <c r="M59" s="100">
        <v>38.119999999999997</v>
      </c>
      <c r="N59" s="100">
        <v>511.1</v>
      </c>
      <c r="O59" s="100">
        <v>0</v>
      </c>
      <c r="P59" s="100">
        <v>0.65</v>
      </c>
      <c r="Q59" s="100">
        <v>9.32</v>
      </c>
      <c r="R59" s="6"/>
      <c r="S59" s="6"/>
      <c r="T59" s="156"/>
      <c r="U59" s="6"/>
    </row>
    <row r="60" spans="1:21" customFormat="1">
      <c r="A60" s="163" t="s">
        <v>394</v>
      </c>
      <c r="B60" s="100">
        <v>5.55</v>
      </c>
      <c r="C60" s="100">
        <v>17.350000000000001</v>
      </c>
      <c r="D60" s="100">
        <v>13.51</v>
      </c>
      <c r="E60" s="100">
        <v>6.93</v>
      </c>
      <c r="F60" s="100">
        <v>2.4900000000000002</v>
      </c>
      <c r="G60" s="100">
        <v>84.4</v>
      </c>
      <c r="H60" s="100">
        <v>36.85</v>
      </c>
      <c r="I60" s="100">
        <v>10.97</v>
      </c>
      <c r="J60" s="100">
        <v>0.8</v>
      </c>
      <c r="K60" s="100">
        <v>41.4</v>
      </c>
      <c r="L60" s="100">
        <v>29.78</v>
      </c>
      <c r="M60" s="100">
        <v>37.56</v>
      </c>
      <c r="N60" s="100">
        <v>479.3</v>
      </c>
      <c r="O60" s="100">
        <v>0</v>
      </c>
      <c r="P60" s="100">
        <v>0.65</v>
      </c>
      <c r="Q60" s="100">
        <v>9.32</v>
      </c>
      <c r="R60" s="6"/>
      <c r="S60" s="6"/>
      <c r="T60" s="156"/>
      <c r="U60" s="6"/>
    </row>
    <row r="61" spans="1:21" customFormat="1">
      <c r="A61" s="163" t="s">
        <v>395</v>
      </c>
      <c r="B61" s="100">
        <v>4.83</v>
      </c>
      <c r="C61" s="100">
        <v>17.329999999999998</v>
      </c>
      <c r="D61" s="100">
        <v>12.92</v>
      </c>
      <c r="E61" s="100">
        <v>6.93</v>
      </c>
      <c r="F61" s="100">
        <v>2.72</v>
      </c>
      <c r="G61" s="100">
        <v>84.4</v>
      </c>
      <c r="H61" s="100">
        <v>36.85</v>
      </c>
      <c r="I61" s="100">
        <v>10.8</v>
      </c>
      <c r="J61" s="100">
        <v>0.28000000000000003</v>
      </c>
      <c r="K61" s="100">
        <v>104.93</v>
      </c>
      <c r="L61" s="100">
        <v>30.06</v>
      </c>
      <c r="M61" s="100">
        <v>36.4</v>
      </c>
      <c r="N61" s="100">
        <v>438.9</v>
      </c>
      <c r="O61" s="100">
        <v>0</v>
      </c>
      <c r="P61" s="100">
        <v>0.64</v>
      </c>
      <c r="Q61" s="100">
        <v>9.32</v>
      </c>
      <c r="R61" s="6"/>
      <c r="S61" s="6"/>
      <c r="T61" s="156"/>
      <c r="U61" s="6"/>
    </row>
    <row r="62" spans="1:21" customFormat="1">
      <c r="A62" s="163" t="s">
        <v>396</v>
      </c>
      <c r="B62" s="100">
        <v>4.21</v>
      </c>
      <c r="C62" s="100">
        <v>16.97</v>
      </c>
      <c r="D62" s="100">
        <v>12.24</v>
      </c>
      <c r="E62" s="100">
        <v>6.45</v>
      </c>
      <c r="F62" s="100">
        <v>2.62</v>
      </c>
      <c r="G62" s="100">
        <v>84.4</v>
      </c>
      <c r="H62" s="100">
        <v>36.85</v>
      </c>
      <c r="I62" s="100">
        <v>10.65</v>
      </c>
      <c r="J62" s="100">
        <v>0.45</v>
      </c>
      <c r="K62" s="100">
        <v>54.63</v>
      </c>
      <c r="L62" s="100">
        <v>30.03</v>
      </c>
      <c r="M62" s="100">
        <v>36.78</v>
      </c>
      <c r="N62" s="100">
        <v>226.4</v>
      </c>
      <c r="O62" s="100">
        <v>0</v>
      </c>
      <c r="P62" s="100">
        <v>0.63</v>
      </c>
      <c r="Q62" s="100">
        <v>9.32</v>
      </c>
      <c r="R62" s="6"/>
      <c r="S62" s="6"/>
      <c r="T62" s="156"/>
      <c r="U62" s="6"/>
    </row>
    <row r="63" spans="1:21" customFormat="1">
      <c r="A63" s="163" t="s">
        <v>397</v>
      </c>
      <c r="B63" s="100">
        <v>3.9</v>
      </c>
      <c r="C63" s="100">
        <v>16.829999999999998</v>
      </c>
      <c r="D63" s="100">
        <v>11.93</v>
      </c>
      <c r="E63" s="100">
        <v>7.35</v>
      </c>
      <c r="F63" s="100">
        <v>3.13</v>
      </c>
      <c r="G63" s="100">
        <v>72.540000000000006</v>
      </c>
      <c r="H63" s="100">
        <v>37.28</v>
      </c>
      <c r="I63" s="100">
        <v>10.46</v>
      </c>
      <c r="J63" s="100">
        <v>0.19</v>
      </c>
      <c r="K63" s="100">
        <v>84.83</v>
      </c>
      <c r="L63" s="100">
        <v>29.75</v>
      </c>
      <c r="M63" s="100">
        <v>37.18</v>
      </c>
      <c r="N63" s="100">
        <v>174</v>
      </c>
      <c r="O63" s="100">
        <v>0</v>
      </c>
      <c r="P63" s="100">
        <v>0.63</v>
      </c>
      <c r="Q63" s="100">
        <v>9.32</v>
      </c>
      <c r="R63" s="6"/>
      <c r="S63" s="6"/>
      <c r="T63" s="156"/>
      <c r="U63" s="6"/>
    </row>
    <row r="64" spans="1:21" customFormat="1">
      <c r="A64" s="163" t="s">
        <v>398</v>
      </c>
      <c r="B64" s="100">
        <v>3.65</v>
      </c>
      <c r="C64" s="100">
        <v>16.45</v>
      </c>
      <c r="D64" s="100">
        <v>11.52</v>
      </c>
      <c r="E64" s="100">
        <v>7.29</v>
      </c>
      <c r="F64" s="100">
        <v>3.04</v>
      </c>
      <c r="G64" s="100">
        <v>72.27</v>
      </c>
      <c r="H64" s="100">
        <v>37.28</v>
      </c>
      <c r="I64" s="100">
        <v>10.31</v>
      </c>
      <c r="J64" s="100">
        <v>0.33</v>
      </c>
      <c r="K64" s="100">
        <v>110.23</v>
      </c>
      <c r="L64" s="100">
        <v>29.75</v>
      </c>
      <c r="M64" s="100">
        <v>36.630000000000003</v>
      </c>
      <c r="N64" s="100">
        <v>156.1</v>
      </c>
      <c r="O64" s="100">
        <v>0</v>
      </c>
      <c r="P64" s="100">
        <v>0.62</v>
      </c>
      <c r="Q64" s="100">
        <v>9.32</v>
      </c>
      <c r="R64" s="6"/>
      <c r="S64" s="6"/>
      <c r="T64" s="156"/>
      <c r="U64" s="6"/>
    </row>
    <row r="65" spans="1:21" customFormat="1">
      <c r="A65" s="163" t="s">
        <v>399</v>
      </c>
      <c r="B65" s="100">
        <v>3.54</v>
      </c>
      <c r="C65" s="100">
        <v>16.21</v>
      </c>
      <c r="D65" s="100">
        <v>11.31</v>
      </c>
      <c r="E65" s="100">
        <v>7.4</v>
      </c>
      <c r="F65" s="100">
        <v>3.21</v>
      </c>
      <c r="G65" s="100">
        <v>72.27</v>
      </c>
      <c r="H65" s="100">
        <v>37.28</v>
      </c>
      <c r="I65" s="100">
        <v>10.19</v>
      </c>
      <c r="J65" s="100">
        <v>0.37</v>
      </c>
      <c r="K65" s="100">
        <v>21.4</v>
      </c>
      <c r="L65" s="100">
        <v>29.88</v>
      </c>
      <c r="M65" s="100">
        <v>36.04</v>
      </c>
      <c r="N65" s="100">
        <v>146.5</v>
      </c>
      <c r="O65" s="100">
        <v>0</v>
      </c>
      <c r="P65" s="100">
        <v>0.6</v>
      </c>
      <c r="Q65" s="100">
        <v>9.32</v>
      </c>
      <c r="R65" s="6"/>
      <c r="S65" s="6"/>
      <c r="T65" s="156"/>
      <c r="U65" s="6"/>
    </row>
    <row r="66" spans="1:21" customFormat="1">
      <c r="A66" s="163" t="s">
        <v>400</v>
      </c>
      <c r="B66" s="100">
        <v>3.52</v>
      </c>
      <c r="C66" s="100">
        <v>16.3</v>
      </c>
      <c r="D66" s="100">
        <v>11.34</v>
      </c>
      <c r="E66" s="100">
        <v>7.2</v>
      </c>
      <c r="F66" s="100">
        <v>3.67</v>
      </c>
      <c r="G66" s="100">
        <v>72.27</v>
      </c>
      <c r="H66" s="100">
        <v>37.28</v>
      </c>
      <c r="I66" s="100">
        <v>10.039999999999999</v>
      </c>
      <c r="J66" s="100">
        <v>0.32</v>
      </c>
      <c r="K66" s="100">
        <v>18.690000000000001</v>
      </c>
      <c r="L66" s="100">
        <v>29.85</v>
      </c>
      <c r="M66" s="100">
        <v>37.25</v>
      </c>
      <c r="N66" s="100">
        <v>141.1</v>
      </c>
      <c r="O66" s="100">
        <v>0</v>
      </c>
      <c r="P66" s="100">
        <v>0.61</v>
      </c>
      <c r="Q66" s="100">
        <v>9.32</v>
      </c>
      <c r="R66" s="6"/>
      <c r="S66" s="6"/>
      <c r="T66" s="156"/>
      <c r="U66" s="6"/>
    </row>
    <row r="67" spans="1:21" customFormat="1">
      <c r="A67" s="163" t="s">
        <v>401</v>
      </c>
      <c r="B67" s="100">
        <v>3.52</v>
      </c>
      <c r="C67" s="100">
        <v>16.5</v>
      </c>
      <c r="D67" s="100">
        <v>11.44</v>
      </c>
      <c r="E67" s="100">
        <v>7.65</v>
      </c>
      <c r="F67" s="100">
        <v>4.04</v>
      </c>
      <c r="G67" s="100">
        <v>72.36</v>
      </c>
      <c r="H67" s="100">
        <v>35.479999999999997</v>
      </c>
      <c r="I67" s="100">
        <v>9.84</v>
      </c>
      <c r="J67" s="100">
        <v>0.25</v>
      </c>
      <c r="K67" s="100">
        <v>67.819999999999993</v>
      </c>
      <c r="L67" s="100">
        <v>29.86</v>
      </c>
      <c r="M67" s="100">
        <v>37.869999999999997</v>
      </c>
      <c r="N67" s="100">
        <v>144</v>
      </c>
      <c r="O67" s="100">
        <v>0</v>
      </c>
      <c r="P67" s="100">
        <v>0.61</v>
      </c>
      <c r="Q67" s="100">
        <v>9.32</v>
      </c>
      <c r="R67" s="6"/>
      <c r="S67" s="6"/>
      <c r="T67" s="156"/>
      <c r="U67" s="6"/>
    </row>
    <row r="68" spans="1:21" customFormat="1">
      <c r="A68" s="163" t="s">
        <v>402</v>
      </c>
      <c r="B68" s="100">
        <v>3.51</v>
      </c>
      <c r="C68" s="100">
        <v>16.239999999999998</v>
      </c>
      <c r="D68" s="100">
        <v>11.3</v>
      </c>
      <c r="E68" s="100">
        <v>6.69</v>
      </c>
      <c r="F68" s="100">
        <v>2.5099999999999998</v>
      </c>
      <c r="G68" s="100">
        <v>72.36</v>
      </c>
      <c r="H68" s="100">
        <v>35.479999999999997</v>
      </c>
      <c r="I68" s="100">
        <v>9.68</v>
      </c>
      <c r="J68" s="100">
        <v>0.32</v>
      </c>
      <c r="K68" s="100">
        <v>84.1</v>
      </c>
      <c r="L68" s="100">
        <v>29.72</v>
      </c>
      <c r="M68" s="100">
        <v>37.57</v>
      </c>
      <c r="N68" s="100">
        <v>107.4</v>
      </c>
      <c r="O68" s="100">
        <v>0</v>
      </c>
      <c r="P68" s="100">
        <v>0.6</v>
      </c>
      <c r="Q68" s="100">
        <v>9.32</v>
      </c>
      <c r="R68" s="6"/>
      <c r="S68" s="6"/>
      <c r="T68" s="156"/>
      <c r="U68" s="6"/>
    </row>
    <row r="69" spans="1:21" customFormat="1">
      <c r="A69" s="163" t="s">
        <v>403</v>
      </c>
      <c r="B69" s="100">
        <v>3.5</v>
      </c>
      <c r="C69" s="100">
        <v>16.37</v>
      </c>
      <c r="D69" s="100">
        <v>11.36</v>
      </c>
      <c r="E69" s="100">
        <v>7.09</v>
      </c>
      <c r="F69" s="100">
        <v>2.61</v>
      </c>
      <c r="G69" s="100">
        <v>72.36</v>
      </c>
      <c r="H69" s="100">
        <v>35.479999999999997</v>
      </c>
      <c r="I69" s="100">
        <v>9.64</v>
      </c>
      <c r="J69" s="100">
        <v>0.25</v>
      </c>
      <c r="K69" s="100">
        <v>84.61</v>
      </c>
      <c r="L69" s="100">
        <v>29.67</v>
      </c>
      <c r="M69" s="100">
        <v>37.31</v>
      </c>
      <c r="N69" s="100">
        <v>95.3</v>
      </c>
      <c r="O69" s="100">
        <v>0</v>
      </c>
      <c r="P69" s="100">
        <v>0.61</v>
      </c>
      <c r="Q69" s="100">
        <v>9.32</v>
      </c>
      <c r="R69" s="6"/>
      <c r="S69" s="6"/>
      <c r="T69" s="156"/>
      <c r="U69" s="6"/>
    </row>
    <row r="70" spans="1:21" customFormat="1">
      <c r="A70" s="163" t="s">
        <v>404</v>
      </c>
      <c r="B70" s="100">
        <v>3.49</v>
      </c>
      <c r="C70" s="100">
        <v>16.489999999999998</v>
      </c>
      <c r="D70" s="100">
        <v>11.41</v>
      </c>
      <c r="E70" s="100">
        <v>7.09</v>
      </c>
      <c r="F70" s="100">
        <v>2.4700000000000002</v>
      </c>
      <c r="G70" s="100">
        <v>72.36</v>
      </c>
      <c r="H70" s="100">
        <v>35.479999999999997</v>
      </c>
      <c r="I70" s="100">
        <v>9.61</v>
      </c>
      <c r="J70" s="100">
        <v>0.39</v>
      </c>
      <c r="K70" s="100">
        <v>82.11</v>
      </c>
      <c r="L70" s="100">
        <v>29.5</v>
      </c>
      <c r="M70" s="100">
        <v>37.83</v>
      </c>
      <c r="N70" s="100">
        <v>88</v>
      </c>
      <c r="O70" s="100">
        <v>0</v>
      </c>
      <c r="P70" s="100">
        <v>0.6</v>
      </c>
      <c r="Q70" s="100">
        <v>9.32</v>
      </c>
      <c r="R70" s="6"/>
      <c r="S70" s="6"/>
      <c r="T70" s="156"/>
      <c r="U70" s="6"/>
    </row>
    <row r="71" spans="1:21" customFormat="1">
      <c r="A71" s="163" t="s">
        <v>405</v>
      </c>
      <c r="B71" s="100">
        <v>3.52</v>
      </c>
      <c r="C71" s="100">
        <v>16.670000000000002</v>
      </c>
      <c r="D71" s="100">
        <v>11.53</v>
      </c>
      <c r="E71" s="100">
        <v>7.26</v>
      </c>
      <c r="F71" s="100">
        <v>2.5</v>
      </c>
      <c r="G71" s="100">
        <v>71.48</v>
      </c>
      <c r="H71" s="100">
        <v>35.950000000000003</v>
      </c>
      <c r="I71" s="100">
        <v>9.5399999999999991</v>
      </c>
      <c r="J71" s="100">
        <v>0.56999999999999995</v>
      </c>
      <c r="K71" s="100">
        <v>59.97</v>
      </c>
      <c r="L71" s="100">
        <v>29.34</v>
      </c>
      <c r="M71" s="100">
        <v>37.9</v>
      </c>
      <c r="N71" s="100">
        <v>74.400000000000006</v>
      </c>
      <c r="O71" s="100">
        <v>0</v>
      </c>
      <c r="P71" s="100">
        <v>0.6</v>
      </c>
      <c r="Q71" s="100">
        <v>9.32</v>
      </c>
      <c r="R71" s="6"/>
      <c r="S71" s="6"/>
      <c r="T71" s="156"/>
      <c r="U71" s="6"/>
    </row>
    <row r="72" spans="1:21" customFormat="1">
      <c r="A72" s="163" t="s">
        <v>406</v>
      </c>
      <c r="B72" s="100">
        <v>3.54</v>
      </c>
      <c r="C72" s="100">
        <v>16.809999999999999</v>
      </c>
      <c r="D72" s="100">
        <v>11.62</v>
      </c>
      <c r="E72" s="100">
        <v>6.79</v>
      </c>
      <c r="F72" s="100">
        <v>2.2200000000000002</v>
      </c>
      <c r="G72" s="100">
        <v>71.459999999999994</v>
      </c>
      <c r="H72" s="100">
        <v>35.950000000000003</v>
      </c>
      <c r="I72" s="100">
        <v>9.4700000000000006</v>
      </c>
      <c r="J72" s="100">
        <v>0.41</v>
      </c>
      <c r="K72" s="100">
        <v>62.48</v>
      </c>
      <c r="L72" s="100">
        <v>29.29</v>
      </c>
      <c r="M72" s="100">
        <v>38.56</v>
      </c>
      <c r="N72" s="100">
        <v>60.4</v>
      </c>
      <c r="O72" s="100">
        <v>0</v>
      </c>
      <c r="P72" s="100">
        <v>0.6</v>
      </c>
      <c r="Q72" s="100">
        <v>9.32</v>
      </c>
      <c r="R72" s="6"/>
      <c r="S72" s="6"/>
      <c r="T72" s="156"/>
      <c r="U72" s="6"/>
    </row>
    <row r="73" spans="1:21" customFormat="1">
      <c r="A73" s="163" t="s">
        <v>407</v>
      </c>
      <c r="B73" s="100">
        <v>3.56</v>
      </c>
      <c r="C73" s="100">
        <v>17.18</v>
      </c>
      <c r="D73" s="100">
        <v>11.83</v>
      </c>
      <c r="E73" s="100">
        <v>6.89</v>
      </c>
      <c r="F73" s="100">
        <v>2.29</v>
      </c>
      <c r="G73" s="100">
        <v>71.459999999999994</v>
      </c>
      <c r="H73" s="100">
        <v>35.950000000000003</v>
      </c>
      <c r="I73" s="100">
        <v>9.39</v>
      </c>
      <c r="J73" s="100">
        <v>0.21</v>
      </c>
      <c r="K73" s="100">
        <v>111.88</v>
      </c>
      <c r="L73" s="100">
        <v>29.04</v>
      </c>
      <c r="M73" s="100">
        <v>39.82</v>
      </c>
      <c r="N73" s="100">
        <v>47.6</v>
      </c>
      <c r="O73" s="100">
        <v>0</v>
      </c>
      <c r="P73" s="100">
        <v>0.6</v>
      </c>
      <c r="Q73" s="100">
        <v>9.32</v>
      </c>
      <c r="R73" s="6"/>
      <c r="S73" s="6"/>
      <c r="T73" s="156"/>
      <c r="U73" s="6"/>
    </row>
    <row r="74" spans="1:21" customFormat="1">
      <c r="A74" s="163" t="s">
        <v>408</v>
      </c>
      <c r="B74" s="100">
        <v>3.57</v>
      </c>
      <c r="C74" s="100">
        <v>17.21</v>
      </c>
      <c r="D74" s="100">
        <v>11.85</v>
      </c>
      <c r="E74" s="100">
        <v>6.79</v>
      </c>
      <c r="F74" s="100">
        <v>1.99</v>
      </c>
      <c r="G74" s="100">
        <v>71.459999999999994</v>
      </c>
      <c r="H74" s="100">
        <v>35.950000000000003</v>
      </c>
      <c r="I74" s="100">
        <v>9.32</v>
      </c>
      <c r="J74" s="100">
        <v>0.19</v>
      </c>
      <c r="K74" s="100">
        <v>94.24</v>
      </c>
      <c r="L74" s="100">
        <v>28.73</v>
      </c>
      <c r="M74" s="100">
        <v>40.76</v>
      </c>
      <c r="N74" s="100">
        <v>36.6</v>
      </c>
      <c r="O74" s="100">
        <v>0</v>
      </c>
      <c r="P74" s="100">
        <v>0.6</v>
      </c>
      <c r="Q74" s="100">
        <v>9.32</v>
      </c>
      <c r="R74" s="6"/>
      <c r="S74" s="6"/>
      <c r="T74" s="156"/>
      <c r="U74" s="6"/>
    </row>
    <row r="75" spans="1:21" customFormat="1">
      <c r="A75" s="163" t="s">
        <v>409</v>
      </c>
      <c r="B75" s="100">
        <v>3.61</v>
      </c>
      <c r="C75" s="100">
        <v>17.149999999999999</v>
      </c>
      <c r="D75" s="100">
        <v>11.85</v>
      </c>
      <c r="E75" s="100">
        <v>6.89</v>
      </c>
      <c r="F75" s="100">
        <v>1.46</v>
      </c>
      <c r="G75" s="100">
        <v>72.33</v>
      </c>
      <c r="H75" s="100">
        <v>34.67</v>
      </c>
      <c r="I75" s="100">
        <v>9.3000000000000007</v>
      </c>
      <c r="J75" s="100">
        <v>0.19</v>
      </c>
      <c r="K75" s="100">
        <v>67.11</v>
      </c>
      <c r="L75" s="100">
        <v>28.36</v>
      </c>
      <c r="M75" s="100">
        <v>42.83</v>
      </c>
      <c r="N75" s="100">
        <v>26.2</v>
      </c>
      <c r="O75" s="100">
        <v>0</v>
      </c>
      <c r="P75" s="100">
        <v>0.6</v>
      </c>
      <c r="Q75" s="100">
        <v>9.32</v>
      </c>
      <c r="R75" s="6"/>
      <c r="S75" s="6"/>
      <c r="T75" s="156"/>
      <c r="U75" s="6"/>
    </row>
    <row r="76" spans="1:21" customFormat="1">
      <c r="A76" s="163" t="s">
        <v>410</v>
      </c>
      <c r="B76" s="100">
        <v>3.75</v>
      </c>
      <c r="C76" s="100">
        <v>17.149999999999999</v>
      </c>
      <c r="D76" s="100">
        <v>11.97</v>
      </c>
      <c r="E76" s="100">
        <v>6.5</v>
      </c>
      <c r="F76" s="100">
        <v>1.08</v>
      </c>
      <c r="G76" s="100">
        <v>72.349999999999994</v>
      </c>
      <c r="H76" s="100">
        <v>34.67</v>
      </c>
      <c r="I76" s="100">
        <v>9.27</v>
      </c>
      <c r="J76" s="100">
        <v>0.17</v>
      </c>
      <c r="K76" s="100">
        <v>143.76</v>
      </c>
      <c r="L76" s="100">
        <v>27.6</v>
      </c>
      <c r="M76" s="100">
        <v>47.85</v>
      </c>
      <c r="N76" s="100">
        <v>16.2</v>
      </c>
      <c r="O76" s="100">
        <v>0</v>
      </c>
      <c r="P76" s="100">
        <v>0.61</v>
      </c>
      <c r="Q76" s="100">
        <v>9.32</v>
      </c>
      <c r="R76" s="6"/>
      <c r="S76" s="6"/>
      <c r="T76" s="156"/>
      <c r="U76" s="6"/>
    </row>
    <row r="77" spans="1:21" customFormat="1">
      <c r="A77" s="163" t="s">
        <v>411</v>
      </c>
      <c r="B77" s="100">
        <v>3.88</v>
      </c>
      <c r="C77" s="100">
        <v>17.239999999999998</v>
      </c>
      <c r="D77" s="100">
        <v>12.12</v>
      </c>
      <c r="E77" s="100">
        <v>6.57</v>
      </c>
      <c r="F77" s="100">
        <v>0.88</v>
      </c>
      <c r="G77" s="100">
        <v>72.349999999999994</v>
      </c>
      <c r="H77" s="100">
        <v>34.67</v>
      </c>
      <c r="I77" s="100">
        <v>9.1999999999999993</v>
      </c>
      <c r="J77" s="100">
        <v>0.24</v>
      </c>
      <c r="K77" s="100">
        <v>156.71</v>
      </c>
      <c r="L77" s="100">
        <v>26.71</v>
      </c>
      <c r="M77" s="100">
        <v>51.89</v>
      </c>
      <c r="N77" s="100">
        <v>7.9</v>
      </c>
      <c r="O77" s="100">
        <v>0</v>
      </c>
      <c r="P77" s="100">
        <v>0.62</v>
      </c>
      <c r="Q77" s="100">
        <v>9.32</v>
      </c>
      <c r="R77" s="6"/>
      <c r="S77" s="6"/>
      <c r="T77" s="156"/>
      <c r="U77" s="6"/>
    </row>
    <row r="78" spans="1:21" customFormat="1">
      <c r="A78" s="163" t="s">
        <v>412</v>
      </c>
      <c r="B78" s="100">
        <v>4.09</v>
      </c>
      <c r="C78" s="100">
        <v>17.23</v>
      </c>
      <c r="D78" s="100">
        <v>12.29</v>
      </c>
      <c r="E78" s="100">
        <v>6.78</v>
      </c>
      <c r="F78" s="100">
        <v>1.0900000000000001</v>
      </c>
      <c r="G78" s="100">
        <v>72.349999999999994</v>
      </c>
      <c r="H78" s="100">
        <v>34.67</v>
      </c>
      <c r="I78" s="100">
        <v>9.23</v>
      </c>
      <c r="J78" s="100">
        <v>0.24</v>
      </c>
      <c r="K78" s="100">
        <v>156.04</v>
      </c>
      <c r="L78" s="100">
        <v>25.91</v>
      </c>
      <c r="M78" s="100">
        <v>55.03</v>
      </c>
      <c r="N78" s="100">
        <v>4.8</v>
      </c>
      <c r="O78" s="100">
        <v>0</v>
      </c>
      <c r="P78" s="100">
        <v>0.63</v>
      </c>
      <c r="Q78" s="100">
        <v>9.32</v>
      </c>
      <c r="R78" s="6"/>
      <c r="S78" s="6"/>
      <c r="T78" s="156"/>
      <c r="U78" s="6"/>
    </row>
    <row r="79" spans="1:21" customFormat="1">
      <c r="A79" s="163" t="s">
        <v>413</v>
      </c>
      <c r="B79" s="100">
        <v>4.46</v>
      </c>
      <c r="C79" s="100">
        <v>16.75</v>
      </c>
      <c r="D79" s="100">
        <v>12.32</v>
      </c>
      <c r="E79" s="100">
        <v>6.07</v>
      </c>
      <c r="F79" s="100">
        <v>0.57999999999999996</v>
      </c>
      <c r="G79" s="100">
        <v>80.98</v>
      </c>
      <c r="H79" s="100">
        <v>40.770000000000003</v>
      </c>
      <c r="I79" s="100">
        <v>9.2799999999999994</v>
      </c>
      <c r="J79" s="100">
        <v>0.22</v>
      </c>
      <c r="K79" s="100">
        <v>151.16999999999999</v>
      </c>
      <c r="L79" s="100">
        <v>25.26</v>
      </c>
      <c r="M79" s="100">
        <v>56.85</v>
      </c>
      <c r="N79" s="100">
        <v>3.7</v>
      </c>
      <c r="O79" s="100">
        <v>0</v>
      </c>
      <c r="P79" s="100">
        <v>0.64</v>
      </c>
      <c r="Q79" s="100">
        <v>9.32</v>
      </c>
      <c r="R79" s="6"/>
      <c r="S79" s="6"/>
      <c r="T79" s="156"/>
      <c r="U79" s="6"/>
    </row>
    <row r="80" spans="1:21" customFormat="1">
      <c r="A80" s="163" t="s">
        <v>414</v>
      </c>
      <c r="B80" s="100">
        <v>4.92</v>
      </c>
      <c r="C80" s="100">
        <v>16.86</v>
      </c>
      <c r="D80" s="100">
        <v>12.76</v>
      </c>
      <c r="E80" s="100">
        <v>6.69</v>
      </c>
      <c r="F80" s="100">
        <v>0.44</v>
      </c>
      <c r="G80" s="100">
        <v>81.17</v>
      </c>
      <c r="H80" s="100">
        <v>40.770000000000003</v>
      </c>
      <c r="I80" s="100">
        <v>9.2899999999999991</v>
      </c>
      <c r="J80" s="100">
        <v>0.24</v>
      </c>
      <c r="K80" s="100">
        <v>153.56</v>
      </c>
      <c r="L80" s="100">
        <v>24.74</v>
      </c>
      <c r="M80" s="100">
        <v>59</v>
      </c>
      <c r="N80" s="100">
        <v>3.6</v>
      </c>
      <c r="O80" s="100">
        <v>0</v>
      </c>
      <c r="P80" s="100">
        <v>0.65</v>
      </c>
      <c r="Q80" s="100">
        <v>9.32</v>
      </c>
      <c r="R80" s="6"/>
      <c r="S80" s="6"/>
      <c r="T80" s="156"/>
      <c r="U80" s="6"/>
    </row>
    <row r="81" spans="1:21" customFormat="1">
      <c r="A81" s="163" t="s">
        <v>415</v>
      </c>
      <c r="B81" s="100">
        <v>5.5</v>
      </c>
      <c r="C81" s="100">
        <v>16.829999999999998</v>
      </c>
      <c r="D81" s="100">
        <v>13.2</v>
      </c>
      <c r="E81" s="100">
        <v>5.08</v>
      </c>
      <c r="F81" s="100">
        <v>0.28999999999999998</v>
      </c>
      <c r="G81" s="100">
        <v>81.17</v>
      </c>
      <c r="H81" s="100">
        <v>40.770000000000003</v>
      </c>
      <c r="I81" s="100">
        <v>9.43</v>
      </c>
      <c r="J81" s="100">
        <v>0.26</v>
      </c>
      <c r="K81" s="100">
        <v>162.4</v>
      </c>
      <c r="L81" s="100">
        <v>24.58</v>
      </c>
      <c r="M81" s="100">
        <v>60.29</v>
      </c>
      <c r="N81" s="100">
        <v>3.5</v>
      </c>
      <c r="O81" s="100">
        <v>0</v>
      </c>
      <c r="P81" s="100">
        <v>0.67</v>
      </c>
      <c r="Q81" s="100">
        <v>9.32</v>
      </c>
      <c r="R81" s="6"/>
      <c r="S81" s="6"/>
      <c r="T81" s="156"/>
      <c r="U81" s="6"/>
    </row>
    <row r="82" spans="1:21" customFormat="1">
      <c r="A82" s="163" t="s">
        <v>416</v>
      </c>
      <c r="B82" s="100">
        <v>6.02</v>
      </c>
      <c r="C82" s="100">
        <v>16.97</v>
      </c>
      <c r="D82" s="100">
        <v>13.7</v>
      </c>
      <c r="E82" s="100">
        <v>6.15</v>
      </c>
      <c r="F82" s="100">
        <v>0.27</v>
      </c>
      <c r="G82" s="100">
        <v>81.17</v>
      </c>
      <c r="H82" s="100">
        <v>40.770000000000003</v>
      </c>
      <c r="I82" s="100">
        <v>9.58</v>
      </c>
      <c r="J82" s="100">
        <v>0.32</v>
      </c>
      <c r="K82" s="100">
        <v>168.83</v>
      </c>
      <c r="L82" s="100">
        <v>24.14</v>
      </c>
      <c r="M82" s="100">
        <v>65.59</v>
      </c>
      <c r="N82" s="100">
        <v>3.6</v>
      </c>
      <c r="O82" s="100">
        <v>0</v>
      </c>
      <c r="P82" s="100">
        <v>0.68</v>
      </c>
      <c r="Q82" s="100">
        <v>9.32</v>
      </c>
      <c r="R82" s="6"/>
      <c r="S82" s="6"/>
      <c r="T82" s="156"/>
      <c r="U82" s="6"/>
    </row>
    <row r="83" spans="1:21" customFormat="1">
      <c r="A83" s="163" t="s">
        <v>417</v>
      </c>
      <c r="B83" s="100">
        <v>6.48</v>
      </c>
      <c r="C83" s="100">
        <v>17.010000000000002</v>
      </c>
      <c r="D83" s="100">
        <v>14.09</v>
      </c>
      <c r="E83" s="100">
        <v>6.25</v>
      </c>
      <c r="F83" s="100">
        <v>0.14000000000000001</v>
      </c>
      <c r="G83" s="100">
        <v>100.12</v>
      </c>
      <c r="H83" s="100">
        <v>44.81</v>
      </c>
      <c r="I83" s="100">
        <v>9.65</v>
      </c>
      <c r="J83" s="100">
        <v>0.21</v>
      </c>
      <c r="K83" s="100">
        <v>171.8</v>
      </c>
      <c r="L83" s="100">
        <v>23.55</v>
      </c>
      <c r="M83" s="100">
        <v>74.849999999999994</v>
      </c>
      <c r="N83" s="100">
        <v>3.5</v>
      </c>
      <c r="O83" s="100">
        <v>0</v>
      </c>
      <c r="P83" s="100">
        <v>0.69</v>
      </c>
      <c r="Q83" s="100">
        <v>9.32</v>
      </c>
      <c r="R83" s="6"/>
      <c r="S83" s="6"/>
      <c r="T83" s="156"/>
      <c r="U83" s="6"/>
    </row>
    <row r="84" spans="1:21" customFormat="1">
      <c r="A84" s="163" t="s">
        <v>418</v>
      </c>
      <c r="B84" s="100">
        <v>6.87</v>
      </c>
      <c r="C84" s="100">
        <v>16.89</v>
      </c>
      <c r="D84" s="100">
        <v>14.33</v>
      </c>
      <c r="E84" s="100">
        <v>6.1</v>
      </c>
      <c r="F84" s="100">
        <v>0.06</v>
      </c>
      <c r="G84" s="100">
        <v>100.56</v>
      </c>
      <c r="H84" s="100">
        <v>44.81</v>
      </c>
      <c r="I84" s="100">
        <v>9.81</v>
      </c>
      <c r="J84" s="100">
        <v>0.27</v>
      </c>
      <c r="K84" s="100">
        <v>174.39</v>
      </c>
      <c r="L84" s="100">
        <v>23.15</v>
      </c>
      <c r="M84" s="100">
        <v>75.81</v>
      </c>
      <c r="N84" s="100">
        <v>3.5</v>
      </c>
      <c r="O84" s="100">
        <v>0</v>
      </c>
      <c r="P84" s="100">
        <v>0.72</v>
      </c>
      <c r="Q84" s="100">
        <v>9.32</v>
      </c>
      <c r="R84" s="6"/>
      <c r="S84" s="6"/>
      <c r="T84" s="156"/>
      <c r="U84" s="6"/>
    </row>
    <row r="85" spans="1:21" customFormat="1">
      <c r="A85" s="163" t="s">
        <v>419</v>
      </c>
      <c r="B85" s="100">
        <v>7.2</v>
      </c>
      <c r="C85" s="100">
        <v>16.920000000000002</v>
      </c>
      <c r="D85" s="100">
        <v>14.62</v>
      </c>
      <c r="E85" s="100">
        <v>6.06</v>
      </c>
      <c r="F85" s="100">
        <v>0.04</v>
      </c>
      <c r="G85" s="100">
        <v>100.56</v>
      </c>
      <c r="H85" s="100">
        <v>44.81</v>
      </c>
      <c r="I85" s="100">
        <v>10.06</v>
      </c>
      <c r="J85" s="100">
        <v>0.18</v>
      </c>
      <c r="K85" s="100">
        <v>169.97</v>
      </c>
      <c r="L85" s="100">
        <v>22.75</v>
      </c>
      <c r="M85" s="100">
        <v>74.34</v>
      </c>
      <c r="N85" s="100">
        <v>3.5</v>
      </c>
      <c r="O85" s="100">
        <v>0</v>
      </c>
      <c r="P85" s="100">
        <v>0.74</v>
      </c>
      <c r="Q85" s="100">
        <v>9.32</v>
      </c>
      <c r="R85" s="6"/>
      <c r="S85" s="6"/>
      <c r="T85" s="156"/>
      <c r="U85" s="6"/>
    </row>
    <row r="86" spans="1:21" customFormat="1">
      <c r="A86" s="163" t="s">
        <v>420</v>
      </c>
      <c r="B86" s="100">
        <v>7.5</v>
      </c>
      <c r="C86" s="100">
        <v>16.71</v>
      </c>
      <c r="D86" s="100">
        <v>14.74</v>
      </c>
      <c r="E86" s="100">
        <v>6.34</v>
      </c>
      <c r="F86" s="100">
        <v>0.02</v>
      </c>
      <c r="G86" s="100">
        <v>100.56</v>
      </c>
      <c r="H86" s="100">
        <v>44.81</v>
      </c>
      <c r="I86" s="100">
        <v>10.19</v>
      </c>
      <c r="J86" s="100">
        <v>0.15</v>
      </c>
      <c r="K86" s="100">
        <v>174.14</v>
      </c>
      <c r="L86" s="100">
        <v>22.56</v>
      </c>
      <c r="M86" s="100">
        <v>73.400000000000006</v>
      </c>
      <c r="N86" s="100">
        <v>3.4</v>
      </c>
      <c r="O86" s="100">
        <v>0</v>
      </c>
      <c r="P86" s="100">
        <v>0.74</v>
      </c>
      <c r="Q86" s="100">
        <v>9.32</v>
      </c>
      <c r="R86" s="6"/>
      <c r="S86" s="6"/>
      <c r="T86" s="156"/>
      <c r="U86" s="6"/>
    </row>
    <row r="87" spans="1:21" customFormat="1">
      <c r="A87" s="163" t="s">
        <v>421</v>
      </c>
      <c r="B87" s="100">
        <v>7.7</v>
      </c>
      <c r="C87" s="100">
        <v>16.5</v>
      </c>
      <c r="D87" s="100">
        <v>14.79</v>
      </c>
      <c r="E87" s="100">
        <v>5.8</v>
      </c>
      <c r="F87" s="100">
        <v>0.14000000000000001</v>
      </c>
      <c r="G87" s="100">
        <v>112.5</v>
      </c>
      <c r="H87" s="100">
        <v>45.23</v>
      </c>
      <c r="I87" s="100">
        <v>10.220000000000001</v>
      </c>
      <c r="J87" s="100">
        <v>0.17</v>
      </c>
      <c r="K87" s="100">
        <v>183.05</v>
      </c>
      <c r="L87" s="100">
        <v>22.49</v>
      </c>
      <c r="M87" s="100">
        <v>74.5</v>
      </c>
      <c r="N87" s="100">
        <v>3.2</v>
      </c>
      <c r="O87" s="100">
        <v>0</v>
      </c>
      <c r="P87" s="100">
        <v>0.75</v>
      </c>
      <c r="Q87" s="100">
        <v>9.32</v>
      </c>
      <c r="R87" s="6"/>
      <c r="S87" s="6"/>
      <c r="T87" s="156"/>
      <c r="U87" s="6"/>
    </row>
    <row r="88" spans="1:21" customFormat="1">
      <c r="A88" s="163" t="s">
        <v>422</v>
      </c>
      <c r="B88" s="100">
        <v>7.93</v>
      </c>
      <c r="C88" s="100">
        <v>16.32</v>
      </c>
      <c r="D88" s="100">
        <v>14.88</v>
      </c>
      <c r="E88" s="100">
        <v>5.89</v>
      </c>
      <c r="F88" s="100">
        <v>0.06</v>
      </c>
      <c r="G88" s="100">
        <v>112.77</v>
      </c>
      <c r="H88" s="100">
        <v>45.23</v>
      </c>
      <c r="I88" s="100">
        <v>10.29</v>
      </c>
      <c r="J88" s="100">
        <v>0.14000000000000001</v>
      </c>
      <c r="K88" s="100">
        <v>185.07</v>
      </c>
      <c r="L88" s="100">
        <v>22.31</v>
      </c>
      <c r="M88" s="100">
        <v>78.47</v>
      </c>
      <c r="N88" s="100">
        <v>3.2</v>
      </c>
      <c r="O88" s="100">
        <v>0</v>
      </c>
      <c r="P88" s="100">
        <v>0.75</v>
      </c>
      <c r="Q88" s="100">
        <v>9.32</v>
      </c>
      <c r="R88" s="6"/>
      <c r="S88" s="6"/>
      <c r="T88" s="156"/>
      <c r="U88" s="6"/>
    </row>
    <row r="89" spans="1:21" customFormat="1">
      <c r="A89" s="163" t="s">
        <v>423</v>
      </c>
      <c r="B89" s="100">
        <v>8.26</v>
      </c>
      <c r="C89" s="100">
        <v>16.27</v>
      </c>
      <c r="D89" s="100">
        <v>15.12</v>
      </c>
      <c r="E89" s="100">
        <v>6</v>
      </c>
      <c r="F89" s="100">
        <v>0.01</v>
      </c>
      <c r="G89" s="100">
        <v>112.77</v>
      </c>
      <c r="H89" s="100">
        <v>45.23</v>
      </c>
      <c r="I89" s="100">
        <v>10.39</v>
      </c>
      <c r="J89" s="100">
        <v>0.19</v>
      </c>
      <c r="K89" s="100">
        <v>200.2</v>
      </c>
      <c r="L89" s="100">
        <v>22.05</v>
      </c>
      <c r="M89" s="100">
        <v>80.72</v>
      </c>
      <c r="N89" s="100">
        <v>3.3</v>
      </c>
      <c r="O89" s="100">
        <v>0</v>
      </c>
      <c r="P89" s="100">
        <v>0.76</v>
      </c>
      <c r="Q89" s="100">
        <v>9.32</v>
      </c>
      <c r="R89" s="6"/>
      <c r="S89" s="6"/>
      <c r="T89" s="156"/>
      <c r="U89" s="6"/>
    </row>
    <row r="90" spans="1:21" customFormat="1">
      <c r="A90" s="163" t="s">
        <v>424</v>
      </c>
      <c r="B90" s="100">
        <v>8.52</v>
      </c>
      <c r="C90" s="100">
        <v>16.010000000000002</v>
      </c>
      <c r="D90" s="100">
        <v>15.2</v>
      </c>
      <c r="E90" s="100">
        <v>6.15</v>
      </c>
      <c r="F90" s="100">
        <v>0.15</v>
      </c>
      <c r="G90" s="100">
        <v>112.77</v>
      </c>
      <c r="H90" s="100">
        <v>45.23</v>
      </c>
      <c r="I90" s="100">
        <v>10.53</v>
      </c>
      <c r="J90" s="100">
        <v>0.2</v>
      </c>
      <c r="K90" s="100">
        <v>186.28</v>
      </c>
      <c r="L90" s="100">
        <v>21.72</v>
      </c>
      <c r="M90" s="100">
        <v>79.959999999999994</v>
      </c>
      <c r="N90" s="100">
        <v>3.3</v>
      </c>
      <c r="O90" s="100">
        <v>0</v>
      </c>
      <c r="P90" s="100">
        <v>0.77</v>
      </c>
      <c r="Q90" s="100">
        <v>9.32</v>
      </c>
      <c r="R90" s="6"/>
      <c r="S90" s="6"/>
      <c r="T90" s="156"/>
      <c r="U90" s="6"/>
    </row>
    <row r="91" spans="1:21" customFormat="1">
      <c r="A91" s="163" t="s">
        <v>425</v>
      </c>
      <c r="B91" s="100">
        <v>8.6300000000000008</v>
      </c>
      <c r="C91" s="100">
        <v>15.89</v>
      </c>
      <c r="D91" s="100">
        <v>15.22</v>
      </c>
      <c r="E91" s="100">
        <v>6</v>
      </c>
      <c r="F91" s="100">
        <v>0.11</v>
      </c>
      <c r="G91" s="100">
        <v>126.21</v>
      </c>
      <c r="H91" s="100">
        <v>46.8</v>
      </c>
      <c r="I91" s="100">
        <v>10.66</v>
      </c>
      <c r="J91" s="100">
        <v>0.16</v>
      </c>
      <c r="K91" s="100">
        <v>208</v>
      </c>
      <c r="L91" s="100">
        <v>21.5</v>
      </c>
      <c r="M91" s="100">
        <v>79.92</v>
      </c>
      <c r="N91" s="100">
        <v>3.3</v>
      </c>
      <c r="O91" s="100">
        <v>0</v>
      </c>
      <c r="P91" s="100">
        <v>0.76</v>
      </c>
      <c r="Q91" s="100">
        <v>9.32</v>
      </c>
      <c r="R91" s="6"/>
      <c r="S91" s="6"/>
      <c r="T91" s="156"/>
      <c r="U91" s="6"/>
    </row>
    <row r="92" spans="1:21" customFormat="1">
      <c r="A92" s="163" t="s">
        <v>426</v>
      </c>
      <c r="B92" s="100">
        <v>8.73</v>
      </c>
      <c r="C92" s="100">
        <v>15.72</v>
      </c>
      <c r="D92" s="100">
        <v>15.22</v>
      </c>
      <c r="E92" s="100">
        <v>5.91</v>
      </c>
      <c r="F92" s="100">
        <v>0.13</v>
      </c>
      <c r="G92" s="100">
        <v>126.52</v>
      </c>
      <c r="H92" s="100">
        <v>46.8</v>
      </c>
      <c r="I92" s="100">
        <v>10.74</v>
      </c>
      <c r="J92" s="100">
        <v>0.18</v>
      </c>
      <c r="K92" s="100">
        <v>204.76</v>
      </c>
      <c r="L92" s="100">
        <v>21.32</v>
      </c>
      <c r="M92" s="100">
        <v>81.61</v>
      </c>
      <c r="N92" s="100">
        <v>3.2</v>
      </c>
      <c r="O92" s="100">
        <v>0</v>
      </c>
      <c r="P92" s="100">
        <v>0.77</v>
      </c>
      <c r="Q92" s="100">
        <v>9.32</v>
      </c>
      <c r="R92" s="6"/>
      <c r="S92" s="6"/>
      <c r="T92" s="156"/>
      <c r="U92" s="6"/>
    </row>
    <row r="93" spans="1:21" customFormat="1">
      <c r="A93" s="163" t="s">
        <v>427</v>
      </c>
      <c r="B93" s="100">
        <v>8.8000000000000007</v>
      </c>
      <c r="C93" s="100">
        <v>15.64</v>
      </c>
      <c r="D93" s="100">
        <v>15.23</v>
      </c>
      <c r="E93" s="100">
        <v>5.97</v>
      </c>
      <c r="F93" s="100">
        <v>0.06</v>
      </c>
      <c r="G93" s="100">
        <v>126.52</v>
      </c>
      <c r="H93" s="100">
        <v>46.8</v>
      </c>
      <c r="I93" s="100">
        <v>10.82</v>
      </c>
      <c r="J93" s="100">
        <v>0.21</v>
      </c>
      <c r="K93" s="100">
        <v>183.97</v>
      </c>
      <c r="L93" s="100">
        <v>21.18</v>
      </c>
      <c r="M93" s="100">
        <v>82.4</v>
      </c>
      <c r="N93" s="100">
        <v>3.2</v>
      </c>
      <c r="O93" s="100">
        <v>0</v>
      </c>
      <c r="P93" s="100">
        <v>0.77</v>
      </c>
      <c r="Q93" s="100">
        <v>9.32</v>
      </c>
      <c r="R93" s="6"/>
      <c r="S93" s="6"/>
      <c r="T93" s="156"/>
      <c r="U93" s="6"/>
    </row>
    <row r="94" spans="1:21" customFormat="1">
      <c r="A94" s="163" t="s">
        <v>428</v>
      </c>
      <c r="B94" s="100">
        <v>8.8800000000000008</v>
      </c>
      <c r="C94" s="100">
        <v>15.54</v>
      </c>
      <c r="D94" s="100">
        <v>15.24</v>
      </c>
      <c r="E94" s="100">
        <v>5.59</v>
      </c>
      <c r="F94" s="100">
        <v>0.08</v>
      </c>
      <c r="G94" s="100">
        <v>126.52</v>
      </c>
      <c r="H94" s="100">
        <v>46.8</v>
      </c>
      <c r="I94" s="100">
        <v>10.89</v>
      </c>
      <c r="J94" s="100">
        <v>0.16</v>
      </c>
      <c r="K94" s="100">
        <v>197.95</v>
      </c>
      <c r="L94" s="100">
        <v>21.04</v>
      </c>
      <c r="M94" s="100">
        <v>82.35</v>
      </c>
      <c r="N94" s="100">
        <v>3.2</v>
      </c>
      <c r="O94" s="100">
        <v>0</v>
      </c>
      <c r="P94" s="100">
        <v>0.78</v>
      </c>
      <c r="Q94" s="100">
        <v>9.32</v>
      </c>
      <c r="R94" s="6"/>
      <c r="S94" s="6"/>
      <c r="T94" s="156"/>
      <c r="U94" s="6"/>
    </row>
    <row r="95" spans="1:21" customFormat="1">
      <c r="A95" s="163" t="s">
        <v>429</v>
      </c>
      <c r="B95" s="100">
        <v>8.99</v>
      </c>
      <c r="C95" s="100">
        <v>15.55</v>
      </c>
      <c r="D95" s="100">
        <v>15.33</v>
      </c>
      <c r="E95" s="100">
        <v>5.79</v>
      </c>
      <c r="F95" s="100">
        <v>0.04</v>
      </c>
      <c r="G95" s="100">
        <v>118.68</v>
      </c>
      <c r="H95" s="100">
        <v>46.75</v>
      </c>
      <c r="I95" s="100">
        <v>10.94</v>
      </c>
      <c r="J95" s="100">
        <v>0.21</v>
      </c>
      <c r="K95" s="100">
        <v>181.98</v>
      </c>
      <c r="L95" s="100">
        <v>20.88</v>
      </c>
      <c r="M95" s="100">
        <v>83.49</v>
      </c>
      <c r="N95" s="100">
        <v>3.2</v>
      </c>
      <c r="O95" s="100">
        <v>0</v>
      </c>
      <c r="P95" s="100">
        <v>0.77</v>
      </c>
      <c r="Q95" s="100">
        <v>9.32</v>
      </c>
      <c r="R95" s="6"/>
      <c r="S95" s="6"/>
      <c r="T95" s="156"/>
      <c r="U95" s="6"/>
    </row>
    <row r="96" spans="1:21" customFormat="1">
      <c r="A96" s="163" t="s">
        <v>430</v>
      </c>
      <c r="B96" s="100">
        <v>9.09</v>
      </c>
      <c r="C96" s="100">
        <v>15.33</v>
      </c>
      <c r="D96" s="100">
        <v>15.3</v>
      </c>
      <c r="E96" s="100">
        <v>5.76</v>
      </c>
      <c r="F96" s="100">
        <v>0.02</v>
      </c>
      <c r="G96" s="100">
        <v>118.5</v>
      </c>
      <c r="H96" s="100">
        <v>46.75</v>
      </c>
      <c r="I96" s="100">
        <v>11</v>
      </c>
      <c r="J96" s="100">
        <v>0.14000000000000001</v>
      </c>
      <c r="K96" s="100">
        <v>206.33</v>
      </c>
      <c r="L96" s="100">
        <v>20.82</v>
      </c>
      <c r="M96" s="100">
        <v>83.92</v>
      </c>
      <c r="N96" s="100">
        <v>3.2</v>
      </c>
      <c r="O96" s="100">
        <v>0</v>
      </c>
      <c r="P96" s="100">
        <v>0.78</v>
      </c>
      <c r="Q96" s="100">
        <v>9.32</v>
      </c>
      <c r="R96" s="6"/>
      <c r="S96" s="6"/>
      <c r="T96" s="156"/>
      <c r="U96" s="6"/>
    </row>
    <row r="97" spans="1:28" customFormat="1">
      <c r="A97" s="163" t="s">
        <v>431</v>
      </c>
      <c r="B97" s="100">
        <v>9.36</v>
      </c>
      <c r="C97" s="100">
        <v>15.27</v>
      </c>
      <c r="D97" s="100">
        <v>15.49</v>
      </c>
      <c r="E97" s="100">
        <v>5.81</v>
      </c>
      <c r="F97" s="100">
        <v>0.01</v>
      </c>
      <c r="G97" s="100">
        <v>118.5</v>
      </c>
      <c r="H97" s="100">
        <v>46.75</v>
      </c>
      <c r="I97" s="100">
        <v>11.05</v>
      </c>
      <c r="J97" s="100">
        <v>0.16</v>
      </c>
      <c r="K97" s="100">
        <v>214.8</v>
      </c>
      <c r="L97" s="100">
        <v>20.8</v>
      </c>
      <c r="M97" s="100">
        <v>82.61</v>
      </c>
      <c r="N97" s="100">
        <v>3.1</v>
      </c>
      <c r="O97" s="100">
        <v>0</v>
      </c>
      <c r="P97" s="100">
        <v>0.77</v>
      </c>
      <c r="Q97" s="100">
        <v>9.32</v>
      </c>
      <c r="R97" s="6"/>
      <c r="S97" s="6"/>
      <c r="T97" s="156"/>
      <c r="U97" s="6"/>
    </row>
    <row r="98" spans="1:28" customFormat="1">
      <c r="A98" s="163" t="s">
        <v>432</v>
      </c>
      <c r="B98" s="100">
        <v>10.41</v>
      </c>
      <c r="C98" s="100">
        <v>15.66</v>
      </c>
      <c r="D98" s="100">
        <v>16.53</v>
      </c>
      <c r="E98" s="100">
        <v>5.85</v>
      </c>
      <c r="F98" s="100">
        <v>0.01</v>
      </c>
      <c r="G98" s="100">
        <v>118.5</v>
      </c>
      <c r="H98" s="100">
        <v>46.75</v>
      </c>
      <c r="I98" s="100">
        <v>11.11</v>
      </c>
      <c r="J98" s="100">
        <v>0.28999999999999998</v>
      </c>
      <c r="K98" s="100">
        <v>180.71</v>
      </c>
      <c r="L98" s="100">
        <v>20.77</v>
      </c>
      <c r="M98" s="100">
        <v>84.24</v>
      </c>
      <c r="N98" s="100">
        <v>3.2</v>
      </c>
      <c r="O98" s="100">
        <v>0</v>
      </c>
      <c r="P98" s="100">
        <v>0.78</v>
      </c>
      <c r="Q98" s="100">
        <v>9.24</v>
      </c>
      <c r="R98" s="6"/>
      <c r="S98" s="6"/>
      <c r="T98" s="156"/>
      <c r="U98" s="6"/>
    </row>
    <row r="99" spans="1:28" customFormat="1">
      <c r="A99" s="163" t="s">
        <v>433</v>
      </c>
      <c r="B99" s="100">
        <v>10.83</v>
      </c>
      <c r="C99" s="100">
        <v>15.67</v>
      </c>
      <c r="D99" s="100">
        <v>16.87</v>
      </c>
      <c r="E99" s="100">
        <v>5.67</v>
      </c>
      <c r="F99" s="100">
        <v>0.08</v>
      </c>
      <c r="G99" s="100">
        <v>124.11</v>
      </c>
      <c r="H99" s="100">
        <v>47.64</v>
      </c>
      <c r="I99" s="100">
        <v>11.21</v>
      </c>
      <c r="J99" s="100">
        <v>0.13</v>
      </c>
      <c r="K99" s="100">
        <v>182.54</v>
      </c>
      <c r="L99" s="100">
        <v>20.440000000000001</v>
      </c>
      <c r="M99" s="100">
        <v>84.59</v>
      </c>
      <c r="N99" s="100">
        <v>3.3</v>
      </c>
      <c r="O99" s="100">
        <v>0</v>
      </c>
      <c r="P99" s="100">
        <v>0.79</v>
      </c>
      <c r="Q99" s="100">
        <v>9.32</v>
      </c>
      <c r="R99" s="6"/>
      <c r="S99" s="6"/>
      <c r="T99" s="156"/>
      <c r="U99" s="6"/>
    </row>
    <row r="100" spans="1:28" customFormat="1">
      <c r="A100" s="163" t="s">
        <v>434</v>
      </c>
      <c r="B100" s="100">
        <v>10.93</v>
      </c>
      <c r="C100" s="100">
        <v>15.68</v>
      </c>
      <c r="D100" s="100">
        <v>16.96</v>
      </c>
      <c r="E100" s="100">
        <v>5.68</v>
      </c>
      <c r="F100" s="100">
        <v>0.02</v>
      </c>
      <c r="G100" s="100">
        <v>124.24</v>
      </c>
      <c r="H100" s="100">
        <v>47.64</v>
      </c>
      <c r="I100" s="100">
        <v>11.52</v>
      </c>
      <c r="J100" s="100">
        <v>0.24</v>
      </c>
      <c r="K100" s="100">
        <v>178.96</v>
      </c>
      <c r="L100" s="100">
        <v>20.55</v>
      </c>
      <c r="M100" s="100">
        <v>83.22</v>
      </c>
      <c r="N100" s="100">
        <v>3</v>
      </c>
      <c r="O100" s="100">
        <v>0</v>
      </c>
      <c r="P100" s="100">
        <v>0.78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435</v>
      </c>
      <c r="B101" s="100">
        <v>10.89</v>
      </c>
      <c r="C101" s="100">
        <v>15.54</v>
      </c>
      <c r="D101" s="100">
        <v>16.850000000000001</v>
      </c>
      <c r="E101" s="100">
        <v>5.88</v>
      </c>
      <c r="F101" s="100">
        <v>0.03</v>
      </c>
      <c r="G101" s="100">
        <v>124.24</v>
      </c>
      <c r="H101" s="100">
        <v>47.64</v>
      </c>
      <c r="I101" s="100">
        <v>11.8</v>
      </c>
      <c r="J101" s="100">
        <v>0.18</v>
      </c>
      <c r="K101" s="100">
        <v>168.09</v>
      </c>
      <c r="L101" s="100">
        <v>20.32</v>
      </c>
      <c r="M101" s="100">
        <v>84.74</v>
      </c>
      <c r="N101" s="100">
        <v>3.4</v>
      </c>
      <c r="O101" s="100">
        <v>0</v>
      </c>
      <c r="P101" s="100">
        <v>0.79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436</v>
      </c>
      <c r="B102" s="100">
        <v>10.64</v>
      </c>
      <c r="C102" s="100">
        <v>15.39</v>
      </c>
      <c r="D102" s="100">
        <v>16.579999999999998</v>
      </c>
      <c r="E102" s="100">
        <v>5.81</v>
      </c>
      <c r="F102" s="100">
        <v>0.03</v>
      </c>
      <c r="G102" s="100">
        <v>124.24</v>
      </c>
      <c r="H102" s="100">
        <v>47.64</v>
      </c>
      <c r="I102" s="100">
        <v>11.82</v>
      </c>
      <c r="J102" s="100">
        <v>0.18</v>
      </c>
      <c r="K102" s="100">
        <v>188.04</v>
      </c>
      <c r="L102" s="100">
        <v>20.149999999999999</v>
      </c>
      <c r="M102" s="100">
        <v>83.55</v>
      </c>
      <c r="N102" s="100">
        <v>3.2</v>
      </c>
      <c r="O102" s="100">
        <v>0</v>
      </c>
      <c r="P102" s="100">
        <v>0.79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437</v>
      </c>
      <c r="B103" s="100">
        <v>10.42</v>
      </c>
      <c r="C103" s="100">
        <v>15.23</v>
      </c>
      <c r="D103" s="100">
        <v>16.309999999999999</v>
      </c>
      <c r="E103" s="100">
        <v>4.25</v>
      </c>
      <c r="F103" s="100">
        <v>0.04</v>
      </c>
      <c r="G103" s="100">
        <v>106.35</v>
      </c>
      <c r="H103" s="100">
        <v>46.54</v>
      </c>
      <c r="I103" s="100">
        <v>11.6</v>
      </c>
      <c r="J103" s="100">
        <v>0.13</v>
      </c>
      <c r="K103" s="100">
        <v>194.57</v>
      </c>
      <c r="L103" s="100">
        <v>19.989999999999998</v>
      </c>
      <c r="M103" s="100">
        <v>83.97</v>
      </c>
      <c r="N103" s="100">
        <v>3.1</v>
      </c>
      <c r="O103" s="100">
        <v>0</v>
      </c>
      <c r="P103" s="100">
        <v>0.79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438</v>
      </c>
      <c r="B104" s="100">
        <v>10.17</v>
      </c>
      <c r="C104" s="100">
        <v>15.01</v>
      </c>
      <c r="D104" s="100">
        <v>16</v>
      </c>
      <c r="E104" s="100">
        <v>5.69</v>
      </c>
      <c r="F104" s="100">
        <v>0.11</v>
      </c>
      <c r="G104" s="100">
        <v>105.94</v>
      </c>
      <c r="H104" s="100">
        <v>46.54</v>
      </c>
      <c r="I104" s="100">
        <v>11.57</v>
      </c>
      <c r="J104" s="100">
        <v>0.16</v>
      </c>
      <c r="K104" s="100">
        <v>157.22999999999999</v>
      </c>
      <c r="L104" s="100">
        <v>19.98</v>
      </c>
      <c r="M104" s="100">
        <v>84.17</v>
      </c>
      <c r="N104" s="100">
        <v>3.2</v>
      </c>
      <c r="O104" s="100">
        <v>0</v>
      </c>
      <c r="P104" s="100">
        <v>0.78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3.49</v>
      </c>
      <c r="C106" s="158">
        <f>MIN(C9:C104)</f>
        <v>11.91</v>
      </c>
      <c r="D106" s="158">
        <f t="shared" ref="D106:Q106" si="0">MIN(D9:D104)</f>
        <v>11.3</v>
      </c>
      <c r="E106" s="158">
        <f t="shared" si="0"/>
        <v>3.49</v>
      </c>
      <c r="F106" s="158">
        <f t="shared" si="0"/>
        <v>0.01</v>
      </c>
      <c r="G106" s="158">
        <f t="shared" si="0"/>
        <v>40.53</v>
      </c>
      <c r="H106" s="158">
        <f t="shared" si="0"/>
        <v>27.67</v>
      </c>
      <c r="I106" s="158">
        <f t="shared" si="0"/>
        <v>9.1999999999999993</v>
      </c>
      <c r="J106" s="158">
        <f t="shared" si="0"/>
        <v>0.08</v>
      </c>
      <c r="K106" s="158">
        <f t="shared" si="0"/>
        <v>18.690000000000001</v>
      </c>
      <c r="L106" s="158">
        <f t="shared" si="0"/>
        <v>18.45</v>
      </c>
      <c r="M106" s="158">
        <f t="shared" si="0"/>
        <v>36.04</v>
      </c>
      <c r="N106" s="158">
        <f t="shared" si="0"/>
        <v>3</v>
      </c>
      <c r="O106" s="158">
        <f t="shared" si="0"/>
        <v>0</v>
      </c>
      <c r="P106" s="158">
        <f t="shared" si="0"/>
        <v>0.53</v>
      </c>
      <c r="Q106" s="158">
        <f t="shared" si="0"/>
        <v>9.24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14.46</v>
      </c>
      <c r="C107" s="157">
        <f t="shared" ref="C107:Q107" si="1">MAX(C9:C104)</f>
        <v>17.350000000000001</v>
      </c>
      <c r="D107" s="157">
        <f t="shared" si="1"/>
        <v>19.68</v>
      </c>
      <c r="E107" s="157">
        <f t="shared" si="1"/>
        <v>8.61</v>
      </c>
      <c r="F107" s="157">
        <f t="shared" si="1"/>
        <v>4.04</v>
      </c>
      <c r="G107" s="157">
        <f t="shared" si="1"/>
        <v>126.52</v>
      </c>
      <c r="H107" s="157">
        <f t="shared" si="1"/>
        <v>47.64</v>
      </c>
      <c r="I107" s="157">
        <f t="shared" si="1"/>
        <v>11.82</v>
      </c>
      <c r="J107" s="157">
        <f t="shared" si="1"/>
        <v>1.24</v>
      </c>
      <c r="K107" s="157">
        <f t="shared" si="1"/>
        <v>310.62</v>
      </c>
      <c r="L107" s="157">
        <f t="shared" si="1"/>
        <v>30.06</v>
      </c>
      <c r="M107" s="157">
        <f t="shared" si="1"/>
        <v>91.23</v>
      </c>
      <c r="N107" s="157">
        <f t="shared" si="1"/>
        <v>511.1</v>
      </c>
      <c r="O107" s="157">
        <f t="shared" si="1"/>
        <v>0</v>
      </c>
      <c r="P107" s="157">
        <f t="shared" si="1"/>
        <v>0.79</v>
      </c>
      <c r="Q107" s="157">
        <f t="shared" si="1"/>
        <v>9.4499999999999993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8.8616666666666664</v>
      </c>
      <c r="C108" s="158">
        <f t="shared" ref="C108:Q108" si="2">AVERAGE(C9:C104)</f>
        <v>15.217187500000003</v>
      </c>
      <c r="D108" s="158">
        <f t="shared" si="2"/>
        <v>15.056562499999991</v>
      </c>
      <c r="E108" s="158">
        <f t="shared" si="2"/>
        <v>5.8927083333333306</v>
      </c>
      <c r="F108" s="158">
        <f t="shared" si="2"/>
        <v>0.74635416666666676</v>
      </c>
      <c r="G108" s="158">
        <f t="shared" si="2"/>
        <v>79.980208333333366</v>
      </c>
      <c r="H108" s="158">
        <f t="shared" si="2"/>
        <v>37.907291666666659</v>
      </c>
      <c r="I108" s="158">
        <f t="shared" si="2"/>
        <v>10.487916666666665</v>
      </c>
      <c r="J108" s="158">
        <f t="shared" si="2"/>
        <v>0.36541666666666667</v>
      </c>
      <c r="K108" s="158">
        <f t="shared" si="2"/>
        <v>116.78822916666667</v>
      </c>
      <c r="L108" s="158">
        <f t="shared" si="2"/>
        <v>23.292187500000008</v>
      </c>
      <c r="M108" s="158">
        <f t="shared" si="2"/>
        <v>69.531354166666688</v>
      </c>
      <c r="N108" s="158">
        <f t="shared" si="2"/>
        <v>103.32500000000006</v>
      </c>
      <c r="O108" s="158">
        <f t="shared" si="2"/>
        <v>0</v>
      </c>
      <c r="P108" s="158">
        <f t="shared" si="2"/>
        <v>0.65083333333333371</v>
      </c>
      <c r="Q108" s="158">
        <f t="shared" si="2"/>
        <v>9.3205208333333527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3.4922840261494019</v>
      </c>
      <c r="C109" s="158">
        <f t="shared" ref="C109:Q109" si="3">STDEV(C9:C104)</f>
        <v>1.6352213454710651</v>
      </c>
      <c r="D109" s="158">
        <f t="shared" si="3"/>
        <v>2.5940055707951029</v>
      </c>
      <c r="E109" s="158">
        <f t="shared" si="3"/>
        <v>1.0204565326792501</v>
      </c>
      <c r="F109" s="158">
        <f t="shared" si="3"/>
        <v>1.080341193465401</v>
      </c>
      <c r="G109" s="158">
        <f t="shared" si="3"/>
        <v>25.719402464171466</v>
      </c>
      <c r="H109" s="158">
        <f t="shared" si="3"/>
        <v>5.927502621219368</v>
      </c>
      <c r="I109" s="158">
        <f t="shared" si="3"/>
        <v>0.74379810031693927</v>
      </c>
      <c r="J109" s="158">
        <f t="shared" si="3"/>
        <v>0.26330257426397319</v>
      </c>
      <c r="K109" s="158">
        <f t="shared" si="3"/>
        <v>70.499628815667705</v>
      </c>
      <c r="L109" s="158">
        <f t="shared" si="3"/>
        <v>4.1203643689477811</v>
      </c>
      <c r="M109" s="158">
        <f t="shared" si="3"/>
        <v>20.538496722511429</v>
      </c>
      <c r="N109" s="158">
        <f t="shared" si="3"/>
        <v>164.35737634160125</v>
      </c>
      <c r="O109" s="158">
        <f t="shared" si="3"/>
        <v>0</v>
      </c>
      <c r="P109" s="158">
        <f t="shared" si="3"/>
        <v>7.6236013960337981E-2</v>
      </c>
      <c r="Q109" s="158">
        <f t="shared" si="3"/>
        <v>1.5652125577304679E-2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39" sqref="F39:F4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439</v>
      </c>
      <c r="B9" s="100">
        <v>9.7100000000000009</v>
      </c>
      <c r="C9" s="100">
        <v>14.53</v>
      </c>
      <c r="D9" s="100">
        <v>15.38</v>
      </c>
      <c r="E9" s="100">
        <v>5.53</v>
      </c>
      <c r="F9" s="100">
        <v>0.16</v>
      </c>
      <c r="G9" s="100">
        <v>105.94</v>
      </c>
      <c r="H9" s="100">
        <v>46.54</v>
      </c>
      <c r="I9" s="100">
        <v>11.83</v>
      </c>
      <c r="J9" s="100">
        <v>0.08</v>
      </c>
      <c r="K9" s="100">
        <v>107.64</v>
      </c>
      <c r="L9" s="100">
        <v>19.989999999999998</v>
      </c>
      <c r="M9" s="100">
        <v>83.9</v>
      </c>
      <c r="N9" s="100">
        <v>3</v>
      </c>
      <c r="O9" s="100">
        <v>0</v>
      </c>
      <c r="P9" s="100">
        <v>0.78</v>
      </c>
      <c r="Q9" s="100">
        <v>9.32</v>
      </c>
      <c r="R9" s="6"/>
      <c r="S9" s="6"/>
      <c r="T9" s="156"/>
      <c r="U9" s="6"/>
    </row>
    <row r="10" spans="1:21" customFormat="1">
      <c r="A10" s="163" t="s">
        <v>440</v>
      </c>
      <c r="B10" s="100">
        <v>10.7</v>
      </c>
      <c r="C10" s="100">
        <v>15.05</v>
      </c>
      <c r="D10" s="100">
        <v>16.440000000000001</v>
      </c>
      <c r="E10" s="100">
        <v>5.98</v>
      </c>
      <c r="F10" s="100">
        <v>0.01</v>
      </c>
      <c r="G10" s="100">
        <v>105.94</v>
      </c>
      <c r="H10" s="100">
        <v>46.54</v>
      </c>
      <c r="I10" s="100">
        <v>11.8</v>
      </c>
      <c r="J10" s="100">
        <v>0.11</v>
      </c>
      <c r="K10" s="100">
        <v>99.49</v>
      </c>
      <c r="L10" s="100">
        <v>20.16</v>
      </c>
      <c r="M10" s="100">
        <v>82.27</v>
      </c>
      <c r="N10" s="100">
        <v>2.9</v>
      </c>
      <c r="O10" s="100">
        <v>0</v>
      </c>
      <c r="P10" s="100">
        <v>0.78</v>
      </c>
      <c r="Q10" s="100">
        <v>9.32</v>
      </c>
      <c r="R10" s="6"/>
      <c r="S10" s="6"/>
      <c r="T10" s="156"/>
      <c r="U10" s="6"/>
    </row>
    <row r="11" spans="1:21" customFormat="1">
      <c r="A11" s="163" t="s">
        <v>441</v>
      </c>
      <c r="B11" s="100">
        <v>12.09</v>
      </c>
      <c r="C11" s="100">
        <v>15.55</v>
      </c>
      <c r="D11" s="100">
        <v>17.809999999999999</v>
      </c>
      <c r="E11" s="100">
        <v>5.77</v>
      </c>
      <c r="F11" s="100">
        <v>0.01</v>
      </c>
      <c r="G11" s="100">
        <v>95.52</v>
      </c>
      <c r="H11" s="100">
        <v>46.64</v>
      </c>
      <c r="I11" s="100">
        <v>11.81</v>
      </c>
      <c r="J11" s="100">
        <v>0.04</v>
      </c>
      <c r="K11" s="100">
        <v>7.56</v>
      </c>
      <c r="L11" s="100">
        <v>19.989999999999998</v>
      </c>
      <c r="M11" s="100">
        <v>82.94</v>
      </c>
      <c r="N11" s="100">
        <v>3.1</v>
      </c>
      <c r="O11" s="100">
        <v>0</v>
      </c>
      <c r="P11" s="100">
        <v>0.79</v>
      </c>
      <c r="Q11" s="100">
        <v>9.32</v>
      </c>
      <c r="R11" s="6"/>
      <c r="S11" s="6"/>
      <c r="T11" s="156"/>
      <c r="U11" s="6"/>
    </row>
    <row r="12" spans="1:21" customFormat="1">
      <c r="A12" s="163" t="s">
        <v>442</v>
      </c>
      <c r="B12" s="100">
        <v>13.43</v>
      </c>
      <c r="C12" s="100">
        <v>16.059999999999999</v>
      </c>
      <c r="D12" s="100">
        <v>19.16</v>
      </c>
      <c r="E12" s="100">
        <v>5.8</v>
      </c>
      <c r="F12" s="100">
        <v>0.01</v>
      </c>
      <c r="G12" s="100">
        <v>95.28</v>
      </c>
      <c r="H12" s="100">
        <v>46.64</v>
      </c>
      <c r="I12" s="100">
        <v>11.88</v>
      </c>
      <c r="J12" s="100">
        <v>0.25</v>
      </c>
      <c r="K12" s="100">
        <v>37.28</v>
      </c>
      <c r="L12" s="100">
        <v>20.22</v>
      </c>
      <c r="M12" s="100">
        <v>79.56</v>
      </c>
      <c r="N12" s="100">
        <v>2.8</v>
      </c>
      <c r="O12" s="100">
        <v>0</v>
      </c>
      <c r="P12" s="100">
        <v>0.79</v>
      </c>
      <c r="Q12" s="100">
        <v>9.32</v>
      </c>
      <c r="R12" s="6"/>
      <c r="S12" s="6"/>
      <c r="T12" s="156"/>
      <c r="U12" s="6"/>
    </row>
    <row r="13" spans="1:21" customFormat="1">
      <c r="A13" s="163" t="s">
        <v>443</v>
      </c>
      <c r="B13" s="100">
        <v>14.71</v>
      </c>
      <c r="C13" s="100">
        <v>16.489999999999998</v>
      </c>
      <c r="D13" s="100">
        <v>20.420000000000002</v>
      </c>
      <c r="E13" s="100">
        <v>5.87</v>
      </c>
      <c r="F13" s="100">
        <v>0.01</v>
      </c>
      <c r="G13" s="100">
        <v>95.28</v>
      </c>
      <c r="H13" s="100">
        <v>46.64</v>
      </c>
      <c r="I13" s="100">
        <v>11.93</v>
      </c>
      <c r="J13" s="100">
        <v>0.08</v>
      </c>
      <c r="K13" s="100">
        <v>52.03</v>
      </c>
      <c r="L13" s="100">
        <v>20.34</v>
      </c>
      <c r="M13" s="100">
        <v>79.38</v>
      </c>
      <c r="N13" s="100">
        <v>3.2</v>
      </c>
      <c r="O13" s="100">
        <v>0</v>
      </c>
      <c r="P13" s="100">
        <v>0.8</v>
      </c>
      <c r="Q13" s="100">
        <v>9.32</v>
      </c>
      <c r="R13" s="6"/>
      <c r="S13" s="6"/>
      <c r="T13" s="156"/>
      <c r="U13" s="6"/>
    </row>
    <row r="14" spans="1:21" customFormat="1">
      <c r="A14" s="163" t="s">
        <v>444</v>
      </c>
      <c r="B14" s="100">
        <v>15.4</v>
      </c>
      <c r="C14" s="100">
        <v>16.87</v>
      </c>
      <c r="D14" s="100">
        <v>21.16</v>
      </c>
      <c r="E14" s="100">
        <v>6.05</v>
      </c>
      <c r="F14" s="100">
        <v>0.06</v>
      </c>
      <c r="G14" s="100">
        <v>95.28</v>
      </c>
      <c r="H14" s="100">
        <v>46.64</v>
      </c>
      <c r="I14" s="100">
        <v>12.04</v>
      </c>
      <c r="J14" s="100">
        <v>0.15</v>
      </c>
      <c r="K14" s="100">
        <v>121.09</v>
      </c>
      <c r="L14" s="100">
        <v>20.27</v>
      </c>
      <c r="M14" s="100">
        <v>79.680000000000007</v>
      </c>
      <c r="N14" s="100">
        <v>3.3</v>
      </c>
      <c r="O14" s="100">
        <v>0</v>
      </c>
      <c r="P14" s="100">
        <v>0.8</v>
      </c>
      <c r="Q14" s="100">
        <v>9.32</v>
      </c>
      <c r="R14" s="6"/>
      <c r="S14" s="6"/>
      <c r="T14" s="156"/>
      <c r="U14" s="6"/>
    </row>
    <row r="15" spans="1:21" customFormat="1">
      <c r="A15" s="163" t="s">
        <v>445</v>
      </c>
      <c r="B15" s="100">
        <v>15.53</v>
      </c>
      <c r="C15" s="100">
        <v>17</v>
      </c>
      <c r="D15" s="100">
        <v>21.33</v>
      </c>
      <c r="E15" s="100">
        <v>6.13</v>
      </c>
      <c r="F15" s="100">
        <v>0.05</v>
      </c>
      <c r="G15" s="100">
        <v>101.42</v>
      </c>
      <c r="H15" s="100">
        <v>48.9</v>
      </c>
      <c r="I15" s="100">
        <v>12.02</v>
      </c>
      <c r="J15" s="100">
        <v>0.12</v>
      </c>
      <c r="K15" s="100">
        <v>114.05</v>
      </c>
      <c r="L15" s="100">
        <v>20.18</v>
      </c>
      <c r="M15" s="100">
        <v>79.650000000000006</v>
      </c>
      <c r="N15" s="100">
        <v>3.2</v>
      </c>
      <c r="O15" s="100">
        <v>0</v>
      </c>
      <c r="P15" s="100">
        <v>0.8</v>
      </c>
      <c r="Q15" s="100">
        <v>9.32</v>
      </c>
      <c r="R15" s="6"/>
      <c r="S15" s="6"/>
      <c r="T15" s="156"/>
      <c r="U15" s="6"/>
    </row>
    <row r="16" spans="1:21" customFormat="1">
      <c r="A16" s="163" t="s">
        <v>446</v>
      </c>
      <c r="B16" s="100">
        <v>15.6</v>
      </c>
      <c r="C16" s="100">
        <v>16.96</v>
      </c>
      <c r="D16" s="100">
        <v>21.37</v>
      </c>
      <c r="E16" s="100">
        <v>6.11</v>
      </c>
      <c r="F16" s="100">
        <v>0.06</v>
      </c>
      <c r="G16" s="100">
        <v>101.56</v>
      </c>
      <c r="H16" s="100">
        <v>48.9</v>
      </c>
      <c r="I16" s="100">
        <v>11.97</v>
      </c>
      <c r="J16" s="100">
        <v>0.15</v>
      </c>
      <c r="K16" s="100">
        <v>196.16</v>
      </c>
      <c r="L16" s="100">
        <v>19.940000000000001</v>
      </c>
      <c r="M16" s="100">
        <v>82.65</v>
      </c>
      <c r="N16" s="100">
        <v>3.2</v>
      </c>
      <c r="O16" s="100">
        <v>0</v>
      </c>
      <c r="P16" s="100">
        <v>0.79</v>
      </c>
      <c r="Q16" s="100">
        <v>9.32</v>
      </c>
      <c r="R16" s="6"/>
      <c r="S16" s="6"/>
      <c r="T16" s="156"/>
      <c r="U16" s="6"/>
    </row>
    <row r="17" spans="1:21" customFormat="1">
      <c r="A17" s="163" t="s">
        <v>447</v>
      </c>
      <c r="B17" s="100">
        <v>15.47</v>
      </c>
      <c r="C17" s="100">
        <v>16.78</v>
      </c>
      <c r="D17" s="100">
        <v>21.18</v>
      </c>
      <c r="E17" s="100">
        <v>4.38</v>
      </c>
      <c r="F17" s="100">
        <v>0.09</v>
      </c>
      <c r="G17" s="100">
        <v>101.56</v>
      </c>
      <c r="H17" s="100">
        <v>48.9</v>
      </c>
      <c r="I17" s="100">
        <v>11.99</v>
      </c>
      <c r="J17" s="100">
        <v>0.21</v>
      </c>
      <c r="K17" s="100">
        <v>204.21</v>
      </c>
      <c r="L17" s="100">
        <v>19.440000000000001</v>
      </c>
      <c r="M17" s="100">
        <v>86.51</v>
      </c>
      <c r="N17" s="100">
        <v>3.4</v>
      </c>
      <c r="O17" s="100">
        <v>0</v>
      </c>
      <c r="P17" s="100">
        <v>0.78</v>
      </c>
      <c r="Q17" s="100">
        <v>9.32</v>
      </c>
      <c r="R17" s="6"/>
      <c r="S17" s="6"/>
      <c r="T17" s="156"/>
      <c r="U17" s="6"/>
    </row>
    <row r="18" spans="1:21" customFormat="1">
      <c r="A18" s="163" t="s">
        <v>448</v>
      </c>
      <c r="B18" s="100">
        <v>15.15</v>
      </c>
      <c r="C18" s="100">
        <v>16.48</v>
      </c>
      <c r="D18" s="100">
        <v>20.76</v>
      </c>
      <c r="E18" s="100">
        <v>5.26</v>
      </c>
      <c r="F18" s="100">
        <v>0.09</v>
      </c>
      <c r="G18" s="100">
        <v>101.56</v>
      </c>
      <c r="H18" s="100">
        <v>48.9</v>
      </c>
      <c r="I18" s="100">
        <v>11.92</v>
      </c>
      <c r="J18" s="100">
        <v>0.12</v>
      </c>
      <c r="K18" s="100">
        <v>213.06</v>
      </c>
      <c r="L18" s="100">
        <v>18.989999999999998</v>
      </c>
      <c r="M18" s="100">
        <v>87.52</v>
      </c>
      <c r="N18" s="100">
        <v>3.4</v>
      </c>
      <c r="O18" s="100">
        <v>0</v>
      </c>
      <c r="P18" s="100">
        <v>0.78</v>
      </c>
      <c r="Q18" s="100">
        <v>9.32</v>
      </c>
      <c r="R18" s="6"/>
      <c r="S18" s="6"/>
      <c r="T18" s="156"/>
      <c r="U18" s="6"/>
    </row>
    <row r="19" spans="1:21" customFormat="1">
      <c r="A19" s="163" t="s">
        <v>449</v>
      </c>
      <c r="B19" s="100">
        <v>15.06</v>
      </c>
      <c r="C19" s="100">
        <v>16.11</v>
      </c>
      <c r="D19" s="100">
        <v>20.49</v>
      </c>
      <c r="E19" s="100">
        <v>5.57</v>
      </c>
      <c r="F19" s="100">
        <v>0.06</v>
      </c>
      <c r="G19" s="100">
        <v>92.68</v>
      </c>
      <c r="H19" s="100">
        <v>51</v>
      </c>
      <c r="I19" s="100">
        <v>11.87</v>
      </c>
      <c r="J19" s="100">
        <v>0.14000000000000001</v>
      </c>
      <c r="K19" s="100">
        <v>186.18</v>
      </c>
      <c r="L19" s="100">
        <v>18.760000000000002</v>
      </c>
      <c r="M19" s="100">
        <v>88.31</v>
      </c>
      <c r="N19" s="100">
        <v>3.2</v>
      </c>
      <c r="O19" s="100">
        <v>0</v>
      </c>
      <c r="P19" s="100">
        <v>0.78</v>
      </c>
      <c r="Q19" s="100">
        <v>9.32</v>
      </c>
      <c r="R19" s="6"/>
      <c r="S19" s="6"/>
      <c r="T19" s="156"/>
      <c r="U19" s="6"/>
    </row>
    <row r="20" spans="1:21" customFormat="1">
      <c r="A20" s="163" t="s">
        <v>450</v>
      </c>
      <c r="B20" s="100">
        <v>15.61</v>
      </c>
      <c r="C20" s="100">
        <v>16.05</v>
      </c>
      <c r="D20" s="100">
        <v>20.9</v>
      </c>
      <c r="E20" s="100">
        <v>5.38</v>
      </c>
      <c r="F20" s="100">
        <v>0.06</v>
      </c>
      <c r="G20" s="100">
        <v>92.47</v>
      </c>
      <c r="H20" s="100">
        <v>51</v>
      </c>
      <c r="I20" s="100">
        <v>11.8</v>
      </c>
      <c r="J20" s="100">
        <v>0.15</v>
      </c>
      <c r="K20" s="100">
        <v>221.18</v>
      </c>
      <c r="L20" s="100">
        <v>18.7</v>
      </c>
      <c r="M20" s="100">
        <v>88.39</v>
      </c>
      <c r="N20" s="100">
        <v>3.2</v>
      </c>
      <c r="O20" s="100">
        <v>0</v>
      </c>
      <c r="P20" s="100">
        <v>0.78</v>
      </c>
      <c r="Q20" s="100">
        <v>9.32</v>
      </c>
      <c r="R20" s="6"/>
      <c r="S20" s="6"/>
      <c r="T20" s="156"/>
      <c r="U20" s="6"/>
    </row>
    <row r="21" spans="1:21" customFormat="1">
      <c r="A21" s="163" t="s">
        <v>451</v>
      </c>
      <c r="B21" s="100">
        <v>16.600000000000001</v>
      </c>
      <c r="C21" s="100">
        <v>16.16</v>
      </c>
      <c r="D21" s="100">
        <v>21.76</v>
      </c>
      <c r="E21" s="100">
        <v>5.19</v>
      </c>
      <c r="F21" s="100">
        <v>0.06</v>
      </c>
      <c r="G21" s="100">
        <v>92.47</v>
      </c>
      <c r="H21" s="100">
        <v>51</v>
      </c>
      <c r="I21" s="100">
        <v>11.74</v>
      </c>
      <c r="J21" s="100">
        <v>0.13</v>
      </c>
      <c r="K21" s="100">
        <v>185.42</v>
      </c>
      <c r="L21" s="100">
        <v>18.559999999999999</v>
      </c>
      <c r="M21" s="100">
        <v>88.97</v>
      </c>
      <c r="N21" s="100">
        <v>3.1</v>
      </c>
      <c r="O21" s="100">
        <v>0</v>
      </c>
      <c r="P21" s="100">
        <v>0.78</v>
      </c>
      <c r="Q21" s="100">
        <v>9.32</v>
      </c>
      <c r="R21" s="6"/>
      <c r="S21" s="6"/>
      <c r="T21" s="156"/>
      <c r="U21" s="6"/>
    </row>
    <row r="22" spans="1:21" customFormat="1">
      <c r="A22" s="163" t="s">
        <v>452</v>
      </c>
      <c r="B22" s="100">
        <v>17.940000000000001</v>
      </c>
      <c r="C22" s="100">
        <v>16.36</v>
      </c>
      <c r="D22" s="100">
        <v>22.93</v>
      </c>
      <c r="E22" s="100">
        <v>5.38</v>
      </c>
      <c r="F22" s="100">
        <v>0.06</v>
      </c>
      <c r="G22" s="100">
        <v>92.47</v>
      </c>
      <c r="H22" s="100">
        <v>51</v>
      </c>
      <c r="I22" s="100">
        <v>11.53</v>
      </c>
      <c r="J22" s="100">
        <v>0.06</v>
      </c>
      <c r="K22" s="100">
        <v>111.4</v>
      </c>
      <c r="L22" s="100">
        <v>18.649999999999999</v>
      </c>
      <c r="M22" s="100">
        <v>88.59</v>
      </c>
      <c r="N22" s="100">
        <v>3</v>
      </c>
      <c r="O22" s="100">
        <v>0</v>
      </c>
      <c r="P22" s="100">
        <v>0.78</v>
      </c>
      <c r="Q22" s="100">
        <v>9.32</v>
      </c>
      <c r="R22" s="6"/>
      <c r="S22" s="6"/>
      <c r="T22" s="156"/>
      <c r="U22" s="6"/>
    </row>
    <row r="23" spans="1:21" customFormat="1">
      <c r="A23" s="163" t="s">
        <v>453</v>
      </c>
      <c r="B23" s="100">
        <v>19.03</v>
      </c>
      <c r="C23" s="100">
        <v>16.36</v>
      </c>
      <c r="D23" s="100">
        <v>23.81</v>
      </c>
      <c r="E23" s="100">
        <v>5.43</v>
      </c>
      <c r="F23" s="100">
        <v>0.05</v>
      </c>
      <c r="G23" s="100">
        <v>87.08</v>
      </c>
      <c r="H23" s="100">
        <v>49.33</v>
      </c>
      <c r="I23" s="100">
        <v>11.25</v>
      </c>
      <c r="J23" s="100">
        <v>0.43</v>
      </c>
      <c r="K23" s="100">
        <v>39.6</v>
      </c>
      <c r="L23" s="100">
        <v>18.93</v>
      </c>
      <c r="M23" s="100">
        <v>86.34</v>
      </c>
      <c r="N23" s="100">
        <v>2.6</v>
      </c>
      <c r="O23" s="100">
        <v>0</v>
      </c>
      <c r="P23" s="100">
        <v>0.78</v>
      </c>
      <c r="Q23" s="100">
        <v>9.32</v>
      </c>
      <c r="R23" s="6"/>
      <c r="S23" s="6"/>
      <c r="T23" s="156"/>
      <c r="U23" s="6"/>
    </row>
    <row r="24" spans="1:21" customFormat="1">
      <c r="A24" s="163" t="s">
        <v>454</v>
      </c>
      <c r="B24" s="100">
        <v>19.46</v>
      </c>
      <c r="C24" s="100">
        <v>16.21</v>
      </c>
      <c r="D24" s="100">
        <v>24.07</v>
      </c>
      <c r="E24" s="100">
        <v>5.43</v>
      </c>
      <c r="F24" s="100">
        <v>0.02</v>
      </c>
      <c r="G24" s="100">
        <v>86.96</v>
      </c>
      <c r="H24" s="100">
        <v>49.33</v>
      </c>
      <c r="I24" s="100">
        <v>11.23</v>
      </c>
      <c r="J24" s="100">
        <v>0.44</v>
      </c>
      <c r="K24" s="100">
        <v>38.82</v>
      </c>
      <c r="L24" s="100">
        <v>18.89</v>
      </c>
      <c r="M24" s="100">
        <v>85.2</v>
      </c>
      <c r="N24" s="100">
        <v>2.9</v>
      </c>
      <c r="O24" s="100">
        <v>0</v>
      </c>
      <c r="P24" s="100">
        <v>0.78</v>
      </c>
      <c r="Q24" s="100">
        <v>9.32</v>
      </c>
      <c r="R24" s="6"/>
      <c r="S24" s="6"/>
      <c r="T24" s="156"/>
      <c r="U24" s="6"/>
    </row>
    <row r="25" spans="1:21" customFormat="1">
      <c r="A25" s="163" t="s">
        <v>455</v>
      </c>
      <c r="B25" s="100">
        <v>19.420000000000002</v>
      </c>
      <c r="C25" s="100">
        <v>16.27</v>
      </c>
      <c r="D25" s="100">
        <v>24.07</v>
      </c>
      <c r="E25" s="100">
        <v>5.37</v>
      </c>
      <c r="F25" s="100">
        <v>0.1</v>
      </c>
      <c r="G25" s="100">
        <v>86.96</v>
      </c>
      <c r="H25" s="100">
        <v>49.33</v>
      </c>
      <c r="I25" s="100">
        <v>11.26</v>
      </c>
      <c r="J25" s="100">
        <v>0.35</v>
      </c>
      <c r="K25" s="100">
        <v>44.11</v>
      </c>
      <c r="L25" s="100">
        <v>18.809999999999999</v>
      </c>
      <c r="M25" s="100">
        <v>86.39</v>
      </c>
      <c r="N25" s="100">
        <v>3.1</v>
      </c>
      <c r="O25" s="100">
        <v>0</v>
      </c>
      <c r="P25" s="100">
        <v>0.79</v>
      </c>
      <c r="Q25" s="100">
        <v>9.32</v>
      </c>
      <c r="R25" s="6"/>
      <c r="S25" s="6"/>
      <c r="T25" s="156"/>
      <c r="U25" s="6"/>
    </row>
    <row r="26" spans="1:21" customFormat="1">
      <c r="A26" s="163" t="s">
        <v>456</v>
      </c>
      <c r="B26" s="100">
        <v>19.440000000000001</v>
      </c>
      <c r="C26" s="100">
        <v>16.2</v>
      </c>
      <c r="D26" s="100">
        <v>24.05</v>
      </c>
      <c r="E26" s="100">
        <v>5.37</v>
      </c>
      <c r="F26" s="100">
        <v>0.04</v>
      </c>
      <c r="G26" s="100">
        <v>86.96</v>
      </c>
      <c r="H26" s="100">
        <v>49.33</v>
      </c>
      <c r="I26" s="100">
        <v>11.33</v>
      </c>
      <c r="J26" s="100">
        <v>0.31</v>
      </c>
      <c r="K26" s="100">
        <v>31.91</v>
      </c>
      <c r="L26" s="100">
        <v>18.829999999999998</v>
      </c>
      <c r="M26" s="100">
        <v>85.68</v>
      </c>
      <c r="N26" s="100">
        <v>3.2</v>
      </c>
      <c r="O26" s="100">
        <v>0</v>
      </c>
      <c r="P26" s="100">
        <v>0.8</v>
      </c>
      <c r="Q26" s="100">
        <v>9.32</v>
      </c>
      <c r="R26" s="6"/>
      <c r="S26" s="6"/>
      <c r="T26" s="156"/>
      <c r="U26" s="6"/>
    </row>
    <row r="27" spans="1:21" customFormat="1">
      <c r="A27" s="163" t="s">
        <v>457</v>
      </c>
      <c r="B27" s="100">
        <v>19.54</v>
      </c>
      <c r="C27" s="100">
        <v>16.22</v>
      </c>
      <c r="D27" s="100">
        <v>24.14</v>
      </c>
      <c r="E27" s="100">
        <v>5.48</v>
      </c>
      <c r="F27" s="100">
        <v>0.04</v>
      </c>
      <c r="G27" s="100">
        <v>96.89</v>
      </c>
      <c r="H27" s="100">
        <v>51.39</v>
      </c>
      <c r="I27" s="100">
        <v>11.42</v>
      </c>
      <c r="J27" s="100">
        <v>0.12</v>
      </c>
      <c r="K27" s="100">
        <v>30.28</v>
      </c>
      <c r="L27" s="100">
        <v>18.79</v>
      </c>
      <c r="M27" s="100">
        <v>86.08</v>
      </c>
      <c r="N27" s="100">
        <v>3.3</v>
      </c>
      <c r="O27" s="100">
        <v>0</v>
      </c>
      <c r="P27" s="100">
        <v>0.8</v>
      </c>
      <c r="Q27" s="100">
        <v>9.32</v>
      </c>
      <c r="R27" s="6"/>
      <c r="S27" s="6"/>
      <c r="T27" s="156"/>
      <c r="U27" s="6"/>
    </row>
    <row r="28" spans="1:21" customFormat="1">
      <c r="A28" s="163" t="s">
        <v>458</v>
      </c>
      <c r="B28" s="100">
        <v>19.57</v>
      </c>
      <c r="C28" s="100">
        <v>16.28</v>
      </c>
      <c r="D28" s="100">
        <v>24.2</v>
      </c>
      <c r="E28" s="100">
        <v>5.35</v>
      </c>
      <c r="F28" s="100">
        <v>0.04</v>
      </c>
      <c r="G28" s="100">
        <v>97.11</v>
      </c>
      <c r="H28" s="100">
        <v>51.39</v>
      </c>
      <c r="I28" s="100">
        <v>11.55</v>
      </c>
      <c r="J28" s="100">
        <v>0.12</v>
      </c>
      <c r="K28" s="100">
        <v>100.18</v>
      </c>
      <c r="L28" s="100">
        <v>18.71</v>
      </c>
      <c r="M28" s="100">
        <v>86.41</v>
      </c>
      <c r="N28" s="100">
        <v>3.1</v>
      </c>
      <c r="O28" s="100">
        <v>0</v>
      </c>
      <c r="P28" s="100">
        <v>0.81</v>
      </c>
      <c r="Q28" s="100">
        <v>9.32</v>
      </c>
      <c r="R28" s="6"/>
      <c r="S28" s="6"/>
      <c r="T28" s="156"/>
      <c r="U28" s="6"/>
    </row>
    <row r="29" spans="1:21" customFormat="1">
      <c r="A29" s="163" t="s">
        <v>459</v>
      </c>
      <c r="B29" s="100">
        <v>19.46</v>
      </c>
      <c r="C29" s="100">
        <v>16.29</v>
      </c>
      <c r="D29" s="100">
        <v>24.12</v>
      </c>
      <c r="E29" s="100">
        <v>5.34</v>
      </c>
      <c r="F29" s="100">
        <v>0.01</v>
      </c>
      <c r="G29" s="100">
        <v>97.11</v>
      </c>
      <c r="H29" s="100">
        <v>51.39</v>
      </c>
      <c r="I29" s="100">
        <v>11.85</v>
      </c>
      <c r="J29" s="100">
        <v>0.14000000000000001</v>
      </c>
      <c r="K29" s="100">
        <v>190.9</v>
      </c>
      <c r="L29" s="100">
        <v>18.46</v>
      </c>
      <c r="M29" s="100">
        <v>88.13</v>
      </c>
      <c r="N29" s="100">
        <v>3.5</v>
      </c>
      <c r="O29" s="100">
        <v>0</v>
      </c>
      <c r="P29" s="100">
        <v>0.84</v>
      </c>
      <c r="Q29" s="100">
        <v>9.32</v>
      </c>
      <c r="R29" s="6"/>
      <c r="S29" s="6"/>
      <c r="T29" s="156"/>
      <c r="U29" s="6"/>
    </row>
    <row r="30" spans="1:21" customFormat="1">
      <c r="A30" s="163" t="s">
        <v>460</v>
      </c>
      <c r="B30" s="100">
        <v>18.95</v>
      </c>
      <c r="C30" s="100">
        <v>16.059999999999999</v>
      </c>
      <c r="D30" s="100">
        <v>23.59</v>
      </c>
      <c r="E30" s="100">
        <v>5.25</v>
      </c>
      <c r="F30" s="100">
        <v>0.01</v>
      </c>
      <c r="G30" s="100">
        <v>97.11</v>
      </c>
      <c r="H30" s="100">
        <v>51.39</v>
      </c>
      <c r="I30" s="100">
        <v>12.44</v>
      </c>
      <c r="J30" s="100">
        <v>0.13</v>
      </c>
      <c r="K30" s="100">
        <v>186.43</v>
      </c>
      <c r="L30" s="100">
        <v>18.02</v>
      </c>
      <c r="M30" s="100">
        <v>89.83</v>
      </c>
      <c r="N30" s="100">
        <v>3.4</v>
      </c>
      <c r="O30" s="100">
        <v>0</v>
      </c>
      <c r="P30" s="100">
        <v>0.85</v>
      </c>
      <c r="Q30" s="100">
        <v>9.32</v>
      </c>
      <c r="R30" s="6"/>
      <c r="S30" s="6"/>
      <c r="T30" s="156"/>
      <c r="U30" s="6"/>
    </row>
    <row r="31" spans="1:21" customFormat="1">
      <c r="A31" s="163" t="s">
        <v>461</v>
      </c>
      <c r="B31" s="100">
        <v>18.510000000000002</v>
      </c>
      <c r="C31" s="100">
        <v>15.89</v>
      </c>
      <c r="D31" s="100">
        <v>23.15</v>
      </c>
      <c r="E31" s="100">
        <v>4.96</v>
      </c>
      <c r="F31" s="100">
        <v>0.02</v>
      </c>
      <c r="G31" s="100">
        <v>101.27</v>
      </c>
      <c r="H31" s="100">
        <v>52.07</v>
      </c>
      <c r="I31" s="100">
        <v>13.07</v>
      </c>
      <c r="J31" s="100">
        <v>0.06</v>
      </c>
      <c r="K31" s="100">
        <v>180.76</v>
      </c>
      <c r="L31" s="100">
        <v>17.97</v>
      </c>
      <c r="M31" s="100">
        <v>90.97</v>
      </c>
      <c r="N31" s="100">
        <v>3.2</v>
      </c>
      <c r="O31" s="100">
        <v>0</v>
      </c>
      <c r="P31" s="100">
        <v>0.85</v>
      </c>
      <c r="Q31" s="100">
        <v>9.32</v>
      </c>
      <c r="R31" s="6"/>
      <c r="S31" s="6"/>
      <c r="T31" s="156"/>
      <c r="U31" s="6"/>
    </row>
    <row r="32" spans="1:21" customFormat="1">
      <c r="A32" s="163" t="s">
        <v>462</v>
      </c>
      <c r="B32" s="100">
        <v>19.18</v>
      </c>
      <c r="C32" s="100">
        <v>16.100000000000001</v>
      </c>
      <c r="D32" s="100">
        <v>23.8</v>
      </c>
      <c r="E32" s="100">
        <v>5.14</v>
      </c>
      <c r="F32" s="100">
        <v>0.02</v>
      </c>
      <c r="G32" s="100">
        <v>101.36</v>
      </c>
      <c r="H32" s="100">
        <v>52.07</v>
      </c>
      <c r="I32" s="100">
        <v>13.46</v>
      </c>
      <c r="J32" s="100">
        <v>0.12</v>
      </c>
      <c r="K32" s="100">
        <v>217.82</v>
      </c>
      <c r="L32" s="100">
        <v>17.96</v>
      </c>
      <c r="M32" s="100">
        <v>91.15</v>
      </c>
      <c r="N32" s="100">
        <v>3.2</v>
      </c>
      <c r="O32" s="100">
        <v>0</v>
      </c>
      <c r="P32" s="100">
        <v>0.86</v>
      </c>
      <c r="Q32" s="100">
        <v>9.32</v>
      </c>
      <c r="R32" s="6"/>
      <c r="S32" s="6"/>
      <c r="T32" s="156"/>
      <c r="U32" s="6"/>
    </row>
    <row r="33" spans="1:21" customFormat="1">
      <c r="A33" s="163" t="s">
        <v>463</v>
      </c>
      <c r="B33" s="100">
        <v>20.78</v>
      </c>
      <c r="C33" s="100">
        <v>16.309999999999999</v>
      </c>
      <c r="D33" s="100">
        <v>25.19</v>
      </c>
      <c r="E33" s="100">
        <v>5.16</v>
      </c>
      <c r="F33" s="100">
        <v>0.01</v>
      </c>
      <c r="G33" s="100">
        <v>101.36</v>
      </c>
      <c r="H33" s="100">
        <v>52.07</v>
      </c>
      <c r="I33" s="100">
        <v>13.72</v>
      </c>
      <c r="J33" s="100">
        <v>0.21</v>
      </c>
      <c r="K33" s="100">
        <v>200.11</v>
      </c>
      <c r="L33" s="100">
        <v>17.920000000000002</v>
      </c>
      <c r="M33" s="100">
        <v>91.15</v>
      </c>
      <c r="N33" s="100">
        <v>3.4</v>
      </c>
      <c r="O33" s="100">
        <v>0</v>
      </c>
      <c r="P33" s="100">
        <v>0.88</v>
      </c>
      <c r="Q33" s="100">
        <v>9.32</v>
      </c>
      <c r="R33" s="6"/>
      <c r="S33" s="6"/>
      <c r="T33" s="156"/>
      <c r="U33" s="6"/>
    </row>
    <row r="34" spans="1:21" customFormat="1">
      <c r="A34" s="163" t="s">
        <v>464</v>
      </c>
      <c r="B34" s="100">
        <v>21.75</v>
      </c>
      <c r="C34" s="100">
        <v>16.36</v>
      </c>
      <c r="D34" s="100">
        <v>25.99</v>
      </c>
      <c r="E34" s="100">
        <v>4.92</v>
      </c>
      <c r="F34" s="100">
        <v>7.0000000000000007E-2</v>
      </c>
      <c r="G34" s="100">
        <v>101.36</v>
      </c>
      <c r="H34" s="100">
        <v>52.07</v>
      </c>
      <c r="I34" s="100">
        <v>14.11</v>
      </c>
      <c r="J34" s="100">
        <v>0.17</v>
      </c>
      <c r="K34" s="100">
        <v>171.62</v>
      </c>
      <c r="L34" s="100">
        <v>17.73</v>
      </c>
      <c r="M34" s="100">
        <v>92.09</v>
      </c>
      <c r="N34" s="100">
        <v>5.2</v>
      </c>
      <c r="O34" s="100">
        <v>0</v>
      </c>
      <c r="P34" s="100">
        <v>0.89</v>
      </c>
      <c r="Q34" s="100">
        <v>9.32</v>
      </c>
      <c r="R34" s="6"/>
      <c r="S34" s="6"/>
      <c r="T34" s="156"/>
      <c r="U34" s="6"/>
    </row>
    <row r="35" spans="1:21" customFormat="1">
      <c r="A35" s="163" t="s">
        <v>465</v>
      </c>
      <c r="B35" s="100">
        <v>21.6</v>
      </c>
      <c r="C35" s="100">
        <v>16.11</v>
      </c>
      <c r="D35" s="100">
        <v>25.74</v>
      </c>
      <c r="E35" s="100">
        <v>5.12</v>
      </c>
      <c r="F35" s="100">
        <v>0.06</v>
      </c>
      <c r="G35" s="100">
        <v>98.81</v>
      </c>
      <c r="H35" s="100">
        <v>51.82</v>
      </c>
      <c r="I35" s="100">
        <v>14.53</v>
      </c>
      <c r="J35" s="100">
        <v>0.22</v>
      </c>
      <c r="K35" s="100">
        <v>233.04</v>
      </c>
      <c r="L35" s="100">
        <v>17.649999999999999</v>
      </c>
      <c r="M35" s="100">
        <v>92.63</v>
      </c>
      <c r="N35" s="100">
        <v>11.2</v>
      </c>
      <c r="O35" s="100">
        <v>0</v>
      </c>
      <c r="P35" s="100">
        <v>0.89</v>
      </c>
      <c r="Q35" s="100">
        <v>9.32</v>
      </c>
      <c r="R35" s="6"/>
      <c r="S35" s="6"/>
      <c r="T35" s="156"/>
      <c r="U35" s="6"/>
    </row>
    <row r="36" spans="1:21" customFormat="1">
      <c r="A36" s="163" t="s">
        <v>466</v>
      </c>
      <c r="B36" s="100">
        <v>21.17</v>
      </c>
      <c r="C36" s="100">
        <v>15.65</v>
      </c>
      <c r="D36" s="100">
        <v>25.15</v>
      </c>
      <c r="E36" s="100">
        <v>4.91</v>
      </c>
      <c r="F36" s="100">
        <v>0.03</v>
      </c>
      <c r="G36" s="100">
        <v>98.75</v>
      </c>
      <c r="H36" s="100">
        <v>51.82</v>
      </c>
      <c r="I36" s="100">
        <v>14.99</v>
      </c>
      <c r="J36" s="100">
        <v>0.19</v>
      </c>
      <c r="K36" s="100">
        <v>227.11</v>
      </c>
      <c r="L36" s="100">
        <v>17.760000000000002</v>
      </c>
      <c r="M36" s="100">
        <v>92.49</v>
      </c>
      <c r="N36" s="100">
        <v>22.1</v>
      </c>
      <c r="O36" s="100">
        <v>0</v>
      </c>
      <c r="P36" s="100">
        <v>0.89</v>
      </c>
      <c r="Q36" s="100">
        <v>9.32</v>
      </c>
      <c r="R36" s="6"/>
      <c r="S36" s="6"/>
      <c r="T36" s="156"/>
      <c r="U36" s="6"/>
    </row>
    <row r="37" spans="1:21" customFormat="1">
      <c r="A37" s="163" t="s">
        <v>467</v>
      </c>
      <c r="B37" s="100">
        <v>21.01</v>
      </c>
      <c r="C37" s="100">
        <v>15.54</v>
      </c>
      <c r="D37" s="100">
        <v>24.97</v>
      </c>
      <c r="E37" s="100">
        <v>5</v>
      </c>
      <c r="F37" s="100">
        <v>0.01</v>
      </c>
      <c r="G37" s="100">
        <v>98.75</v>
      </c>
      <c r="H37" s="100">
        <v>51.82</v>
      </c>
      <c r="I37" s="100">
        <v>15.07</v>
      </c>
      <c r="J37" s="100">
        <v>0.2</v>
      </c>
      <c r="K37" s="100">
        <v>212.09</v>
      </c>
      <c r="L37" s="100">
        <v>17.989999999999998</v>
      </c>
      <c r="M37" s="100">
        <v>91.66</v>
      </c>
      <c r="N37" s="100">
        <v>35.1</v>
      </c>
      <c r="O37" s="100">
        <v>0</v>
      </c>
      <c r="P37" s="100">
        <v>0.89</v>
      </c>
      <c r="Q37" s="100">
        <v>9.32</v>
      </c>
      <c r="R37" s="6"/>
      <c r="S37" s="6"/>
      <c r="T37" s="156"/>
      <c r="U37" s="6"/>
    </row>
    <row r="38" spans="1:21" customFormat="1">
      <c r="A38" s="163" t="s">
        <v>468</v>
      </c>
      <c r="B38" s="100">
        <v>20.87</v>
      </c>
      <c r="C38" s="100">
        <v>15.48</v>
      </c>
      <c r="D38" s="100">
        <v>24.82</v>
      </c>
      <c r="E38" s="100">
        <v>4.9000000000000004</v>
      </c>
      <c r="F38" s="100">
        <v>7.0000000000000007E-2</v>
      </c>
      <c r="G38" s="100">
        <v>98.75</v>
      </c>
      <c r="H38" s="100">
        <v>51.82</v>
      </c>
      <c r="I38" s="100">
        <v>14.8</v>
      </c>
      <c r="J38" s="100">
        <v>0.06</v>
      </c>
      <c r="K38" s="100">
        <v>166.76</v>
      </c>
      <c r="L38" s="100">
        <v>18.32</v>
      </c>
      <c r="M38" s="100">
        <v>91.24</v>
      </c>
      <c r="N38" s="100">
        <v>50</v>
      </c>
      <c r="O38" s="100">
        <v>0</v>
      </c>
      <c r="P38" s="100">
        <v>0.89</v>
      </c>
      <c r="Q38" s="100">
        <v>9.32</v>
      </c>
      <c r="R38" s="6"/>
      <c r="S38" s="6"/>
      <c r="T38" s="156"/>
      <c r="U38" s="6"/>
    </row>
    <row r="39" spans="1:21" customFormat="1">
      <c r="A39" s="163" t="s">
        <v>469</v>
      </c>
      <c r="B39" s="100">
        <v>20.73</v>
      </c>
      <c r="C39" s="100">
        <v>15.45</v>
      </c>
      <c r="D39" s="100">
        <v>24.7</v>
      </c>
      <c r="E39" s="100">
        <v>4.93</v>
      </c>
      <c r="F39" s="100">
        <v>7.0000000000000007E-2</v>
      </c>
      <c r="G39" s="100">
        <v>94.6</v>
      </c>
      <c r="H39" s="100">
        <v>48.91</v>
      </c>
      <c r="I39" s="100">
        <v>15.02</v>
      </c>
      <c r="J39" s="100">
        <v>0.02</v>
      </c>
      <c r="K39" s="100">
        <v>304.16000000000003</v>
      </c>
      <c r="L39" s="100">
        <v>19.079999999999998</v>
      </c>
      <c r="M39" s="100">
        <v>88.97</v>
      </c>
      <c r="N39" s="100">
        <v>65.400000000000006</v>
      </c>
      <c r="O39" s="100">
        <v>0</v>
      </c>
      <c r="P39" s="100">
        <v>0.89</v>
      </c>
      <c r="Q39" s="100">
        <v>9.32</v>
      </c>
      <c r="R39" s="6"/>
      <c r="S39" s="6"/>
      <c r="T39" s="156"/>
      <c r="U39" s="6"/>
    </row>
    <row r="40" spans="1:21" customFormat="1">
      <c r="A40" s="163" t="s">
        <v>470</v>
      </c>
      <c r="B40" s="100">
        <v>21.01</v>
      </c>
      <c r="C40" s="100">
        <v>15.6</v>
      </c>
      <c r="D40" s="100">
        <v>25</v>
      </c>
      <c r="E40" s="100">
        <v>5.1100000000000003</v>
      </c>
      <c r="F40" s="100">
        <v>7.0000000000000007E-2</v>
      </c>
      <c r="G40" s="100">
        <v>94.5</v>
      </c>
      <c r="H40" s="100">
        <v>48.91</v>
      </c>
      <c r="I40" s="100">
        <v>15.05</v>
      </c>
      <c r="J40" s="100">
        <v>0.55000000000000004</v>
      </c>
      <c r="K40" s="100">
        <v>26.92</v>
      </c>
      <c r="L40" s="100">
        <v>20</v>
      </c>
      <c r="M40" s="100">
        <v>79.13</v>
      </c>
      <c r="N40" s="100">
        <v>93.9</v>
      </c>
      <c r="O40" s="100">
        <v>0</v>
      </c>
      <c r="P40" s="100">
        <v>0.89</v>
      </c>
      <c r="Q40" s="100">
        <v>9.32</v>
      </c>
      <c r="R40" s="6"/>
      <c r="S40" s="6"/>
      <c r="T40" s="156"/>
      <c r="U40" s="6"/>
    </row>
    <row r="41" spans="1:21" customFormat="1">
      <c r="A41" s="163" t="s">
        <v>471</v>
      </c>
      <c r="B41" s="100">
        <v>21.01</v>
      </c>
      <c r="C41" s="100">
        <v>16.489999999999998</v>
      </c>
      <c r="D41" s="100">
        <v>25.46</v>
      </c>
      <c r="E41" s="100">
        <v>4.74</v>
      </c>
      <c r="F41" s="100">
        <v>0.18</v>
      </c>
      <c r="G41" s="100">
        <v>94.5</v>
      </c>
      <c r="H41" s="100">
        <v>48.91</v>
      </c>
      <c r="I41" s="100">
        <v>14.82</v>
      </c>
      <c r="J41" s="100">
        <v>0.73</v>
      </c>
      <c r="K41" s="100">
        <v>31.04</v>
      </c>
      <c r="L41" s="100">
        <v>20.59</v>
      </c>
      <c r="M41" s="100">
        <v>74.400000000000006</v>
      </c>
      <c r="N41" s="100">
        <v>150.69999999999999</v>
      </c>
      <c r="O41" s="100">
        <v>0</v>
      </c>
      <c r="P41" s="100">
        <v>0.88</v>
      </c>
      <c r="Q41" s="100">
        <v>9.32</v>
      </c>
      <c r="R41" s="6"/>
      <c r="S41" s="6"/>
      <c r="T41" s="156"/>
      <c r="U41" s="6"/>
    </row>
    <row r="42" spans="1:21" customFormat="1">
      <c r="A42" s="163" t="s">
        <v>472</v>
      </c>
      <c r="B42" s="100">
        <v>20.6</v>
      </c>
      <c r="C42" s="100">
        <v>16.899999999999999</v>
      </c>
      <c r="D42" s="100">
        <v>25.35</v>
      </c>
      <c r="E42" s="100">
        <v>4.88</v>
      </c>
      <c r="F42" s="100">
        <v>0.11</v>
      </c>
      <c r="G42" s="100">
        <v>94.5</v>
      </c>
      <c r="H42" s="100">
        <v>48.91</v>
      </c>
      <c r="I42" s="100">
        <v>15.06</v>
      </c>
      <c r="J42" s="100">
        <v>0.66</v>
      </c>
      <c r="K42" s="100">
        <v>24.17</v>
      </c>
      <c r="L42" s="100">
        <v>21.24</v>
      </c>
      <c r="M42" s="100">
        <v>72.58</v>
      </c>
      <c r="N42" s="100">
        <v>184</v>
      </c>
      <c r="O42" s="100">
        <v>0</v>
      </c>
      <c r="P42" s="100">
        <v>0.88</v>
      </c>
      <c r="Q42" s="100">
        <v>9.32</v>
      </c>
      <c r="R42" s="6"/>
      <c r="S42" s="6"/>
      <c r="T42" s="156"/>
      <c r="U42" s="6"/>
    </row>
    <row r="43" spans="1:21" customFormat="1">
      <c r="A43" s="163" t="s">
        <v>473</v>
      </c>
      <c r="B43" s="100">
        <v>20.21</v>
      </c>
      <c r="C43" s="100">
        <v>16.95</v>
      </c>
      <c r="D43" s="100">
        <v>25.07</v>
      </c>
      <c r="E43" s="100">
        <v>4.87</v>
      </c>
      <c r="F43" s="100">
        <v>0.15</v>
      </c>
      <c r="G43" s="100">
        <v>94.42</v>
      </c>
      <c r="H43" s="100">
        <v>49.82</v>
      </c>
      <c r="I43" s="100">
        <v>15.03</v>
      </c>
      <c r="J43" s="100">
        <v>0.8</v>
      </c>
      <c r="K43" s="100">
        <v>32.96</v>
      </c>
      <c r="L43" s="100">
        <v>22.01</v>
      </c>
      <c r="M43" s="100">
        <v>67.7</v>
      </c>
      <c r="N43" s="100">
        <v>219.7</v>
      </c>
      <c r="O43" s="100">
        <v>0</v>
      </c>
      <c r="P43" s="100">
        <v>0.88</v>
      </c>
      <c r="Q43" s="100">
        <v>9.32</v>
      </c>
      <c r="R43" s="6"/>
      <c r="S43" s="6"/>
      <c r="T43" s="156"/>
      <c r="U43" s="6"/>
    </row>
    <row r="44" spans="1:21" customFormat="1">
      <c r="A44" s="163" t="s">
        <v>474</v>
      </c>
      <c r="B44" s="100">
        <v>19.96</v>
      </c>
      <c r="C44" s="100">
        <v>17.2</v>
      </c>
      <c r="D44" s="100">
        <v>24.99</v>
      </c>
      <c r="E44" s="100">
        <v>5.2</v>
      </c>
      <c r="F44" s="100">
        <v>0.27</v>
      </c>
      <c r="G44" s="100">
        <v>94.42</v>
      </c>
      <c r="H44" s="100">
        <v>49.82</v>
      </c>
      <c r="I44" s="100">
        <v>14.95</v>
      </c>
      <c r="J44" s="100">
        <v>0.75</v>
      </c>
      <c r="K44" s="100">
        <v>19.28</v>
      </c>
      <c r="L44" s="100">
        <v>22.86</v>
      </c>
      <c r="M44" s="100">
        <v>63.09</v>
      </c>
      <c r="N44" s="100">
        <v>250.4</v>
      </c>
      <c r="O44" s="100">
        <v>0</v>
      </c>
      <c r="P44" s="100">
        <v>0.87</v>
      </c>
      <c r="Q44" s="100">
        <v>9.32</v>
      </c>
      <c r="R44" s="6"/>
      <c r="S44" s="6"/>
      <c r="T44" s="156"/>
      <c r="U44" s="6"/>
    </row>
    <row r="45" spans="1:21" customFormat="1">
      <c r="A45" s="163" t="s">
        <v>475</v>
      </c>
      <c r="B45" s="100">
        <v>19.63</v>
      </c>
      <c r="C45" s="100">
        <v>17.75</v>
      </c>
      <c r="D45" s="100">
        <v>25.02</v>
      </c>
      <c r="E45" s="100">
        <v>5</v>
      </c>
      <c r="F45" s="100">
        <v>0.19</v>
      </c>
      <c r="G45" s="100">
        <v>94.42</v>
      </c>
      <c r="H45" s="100">
        <v>49.82</v>
      </c>
      <c r="I45" s="100">
        <v>15.13</v>
      </c>
      <c r="J45" s="100">
        <v>0.81</v>
      </c>
      <c r="K45" s="100">
        <v>28.11</v>
      </c>
      <c r="L45" s="100">
        <v>23.39</v>
      </c>
      <c r="M45" s="100">
        <v>59.82</v>
      </c>
      <c r="N45" s="100">
        <v>164.3</v>
      </c>
      <c r="O45" s="100">
        <v>0</v>
      </c>
      <c r="P45" s="100">
        <v>0.86</v>
      </c>
      <c r="Q45" s="100">
        <v>9.32</v>
      </c>
      <c r="R45" s="6"/>
      <c r="S45" s="6"/>
      <c r="T45" s="156"/>
      <c r="U45" s="6"/>
    </row>
    <row r="46" spans="1:21" customFormat="1">
      <c r="A46" s="163" t="s">
        <v>476</v>
      </c>
      <c r="B46" s="100">
        <v>19.16</v>
      </c>
      <c r="C46" s="100">
        <v>18.12</v>
      </c>
      <c r="D46" s="100">
        <v>24.83</v>
      </c>
      <c r="E46" s="100">
        <v>4.8099999999999996</v>
      </c>
      <c r="F46" s="100">
        <v>0.13</v>
      </c>
      <c r="G46" s="100">
        <v>94.42</v>
      </c>
      <c r="H46" s="100">
        <v>49.82</v>
      </c>
      <c r="I46" s="100">
        <v>14.99</v>
      </c>
      <c r="J46" s="100">
        <v>0.83</v>
      </c>
      <c r="K46" s="100">
        <v>33.32</v>
      </c>
      <c r="L46" s="100">
        <v>24.19</v>
      </c>
      <c r="M46" s="100">
        <v>56.39</v>
      </c>
      <c r="N46" s="100">
        <v>157.19999999999999</v>
      </c>
      <c r="O46" s="100">
        <v>0</v>
      </c>
      <c r="P46" s="100">
        <v>0.85</v>
      </c>
      <c r="Q46" s="100">
        <v>9.32</v>
      </c>
      <c r="R46" s="6"/>
      <c r="S46" s="6"/>
      <c r="T46" s="156"/>
      <c r="U46" s="6"/>
    </row>
    <row r="47" spans="1:21" customFormat="1">
      <c r="A47" s="163" t="s">
        <v>477</v>
      </c>
      <c r="B47" s="100">
        <v>18.899999999999999</v>
      </c>
      <c r="C47" s="100">
        <v>18.600000000000001</v>
      </c>
      <c r="D47" s="100">
        <v>24.87</v>
      </c>
      <c r="E47" s="100">
        <v>5.24</v>
      </c>
      <c r="F47" s="100">
        <v>0.24</v>
      </c>
      <c r="G47" s="100">
        <v>90.02</v>
      </c>
      <c r="H47" s="100">
        <v>42.47</v>
      </c>
      <c r="I47" s="100">
        <v>14.78</v>
      </c>
      <c r="J47" s="100">
        <v>0.98</v>
      </c>
      <c r="K47" s="100">
        <v>35.4</v>
      </c>
      <c r="L47" s="100">
        <v>24.73</v>
      </c>
      <c r="M47" s="100">
        <v>52</v>
      </c>
      <c r="N47" s="100">
        <v>180.1</v>
      </c>
      <c r="O47" s="100">
        <v>0</v>
      </c>
      <c r="P47" s="100">
        <v>0.84</v>
      </c>
      <c r="Q47" s="100">
        <v>9.32</v>
      </c>
      <c r="R47" s="6"/>
      <c r="S47" s="6"/>
      <c r="T47" s="156"/>
      <c r="U47" s="6"/>
    </row>
    <row r="48" spans="1:21" customFormat="1">
      <c r="A48" s="163" t="s">
        <v>478</v>
      </c>
      <c r="B48" s="100">
        <v>18.309999999999999</v>
      </c>
      <c r="C48" s="100">
        <v>19.100000000000001</v>
      </c>
      <c r="D48" s="100">
        <v>24.67</v>
      </c>
      <c r="E48" s="100">
        <v>5.29</v>
      </c>
      <c r="F48" s="100">
        <v>0.17</v>
      </c>
      <c r="G48" s="100">
        <v>89.92</v>
      </c>
      <c r="H48" s="100">
        <v>42.47</v>
      </c>
      <c r="I48" s="100">
        <v>14.29</v>
      </c>
      <c r="J48" s="100">
        <v>0.87</v>
      </c>
      <c r="K48" s="100">
        <v>41.64</v>
      </c>
      <c r="L48" s="100">
        <v>25.38</v>
      </c>
      <c r="M48" s="100">
        <v>50.32</v>
      </c>
      <c r="N48" s="100">
        <v>331.1</v>
      </c>
      <c r="O48" s="100">
        <v>0</v>
      </c>
      <c r="P48" s="100">
        <v>0.83</v>
      </c>
      <c r="Q48" s="100">
        <v>9.32</v>
      </c>
      <c r="R48" s="6"/>
      <c r="S48" s="6"/>
      <c r="T48" s="156"/>
      <c r="U48" s="6"/>
    </row>
    <row r="49" spans="1:21" customFormat="1">
      <c r="A49" s="163" t="s">
        <v>479</v>
      </c>
      <c r="B49" s="100">
        <v>17.510000000000002</v>
      </c>
      <c r="C49" s="100">
        <v>19.32</v>
      </c>
      <c r="D49" s="100">
        <v>24.14</v>
      </c>
      <c r="E49" s="100">
        <v>5.17</v>
      </c>
      <c r="F49" s="100">
        <v>0.1</v>
      </c>
      <c r="G49" s="100">
        <v>89.92</v>
      </c>
      <c r="H49" s="100">
        <v>42.47</v>
      </c>
      <c r="I49" s="100">
        <v>14.01</v>
      </c>
      <c r="J49" s="100">
        <v>0.87</v>
      </c>
      <c r="K49" s="100">
        <v>31.95</v>
      </c>
      <c r="L49" s="100">
        <v>25.98</v>
      </c>
      <c r="M49" s="100">
        <v>49.74</v>
      </c>
      <c r="N49" s="100">
        <v>440.4</v>
      </c>
      <c r="O49" s="100">
        <v>0</v>
      </c>
      <c r="P49" s="100">
        <v>0.82</v>
      </c>
      <c r="Q49" s="100">
        <v>9.32</v>
      </c>
      <c r="R49" s="6"/>
      <c r="S49" s="6"/>
      <c r="T49" s="156"/>
      <c r="U49" s="6"/>
    </row>
    <row r="50" spans="1:21" customFormat="1">
      <c r="A50" s="163" t="s">
        <v>480</v>
      </c>
      <c r="B50" s="100">
        <v>16.62</v>
      </c>
      <c r="C50" s="100">
        <v>19.59</v>
      </c>
      <c r="D50" s="100">
        <v>23.56</v>
      </c>
      <c r="E50" s="100">
        <v>6.05</v>
      </c>
      <c r="F50" s="100">
        <v>0.36</v>
      </c>
      <c r="G50" s="100">
        <v>89.92</v>
      </c>
      <c r="H50" s="100">
        <v>42.47</v>
      </c>
      <c r="I50" s="100">
        <v>13.81</v>
      </c>
      <c r="J50" s="100">
        <v>1.08</v>
      </c>
      <c r="K50" s="100">
        <v>50.09</v>
      </c>
      <c r="L50" s="100">
        <v>26.29</v>
      </c>
      <c r="M50" s="100">
        <v>46.68</v>
      </c>
      <c r="N50" s="100">
        <v>470.5</v>
      </c>
      <c r="O50" s="100">
        <v>0</v>
      </c>
      <c r="P50" s="100">
        <v>0.81</v>
      </c>
      <c r="Q50" s="100">
        <v>9.31</v>
      </c>
      <c r="R50" s="6"/>
      <c r="S50" s="6"/>
      <c r="T50" s="156"/>
      <c r="U50" s="6"/>
    </row>
    <row r="51" spans="1:21" customFormat="1">
      <c r="A51" s="163" t="s">
        <v>481</v>
      </c>
      <c r="B51" s="100">
        <v>15.53</v>
      </c>
      <c r="C51" s="100">
        <v>19.77</v>
      </c>
      <c r="D51" s="100">
        <v>22.78</v>
      </c>
      <c r="E51" s="100">
        <v>6.52</v>
      </c>
      <c r="F51" s="100">
        <v>0.49</v>
      </c>
      <c r="G51" s="100">
        <v>82.29</v>
      </c>
      <c r="H51" s="100">
        <v>39.409999999999997</v>
      </c>
      <c r="I51" s="100">
        <v>13.35</v>
      </c>
      <c r="J51" s="100">
        <v>1.1000000000000001</v>
      </c>
      <c r="K51" s="100">
        <v>40.4</v>
      </c>
      <c r="L51" s="100">
        <v>27.03</v>
      </c>
      <c r="M51" s="100">
        <v>43.54</v>
      </c>
      <c r="N51" s="100">
        <v>492</v>
      </c>
      <c r="O51" s="100">
        <v>0</v>
      </c>
      <c r="P51" s="100">
        <v>0.79</v>
      </c>
      <c r="Q51" s="100">
        <v>9.34</v>
      </c>
      <c r="R51" s="6"/>
      <c r="S51" s="6"/>
      <c r="T51" s="156"/>
      <c r="U51" s="6"/>
    </row>
    <row r="52" spans="1:21" customFormat="1">
      <c r="A52" s="163" t="s">
        <v>482</v>
      </c>
      <c r="B52" s="100">
        <v>14.54</v>
      </c>
      <c r="C52" s="100">
        <v>20.010000000000002</v>
      </c>
      <c r="D52" s="100">
        <v>22.11</v>
      </c>
      <c r="E52" s="100">
        <v>6.57</v>
      </c>
      <c r="F52" s="100">
        <v>0.66</v>
      </c>
      <c r="G52" s="100">
        <v>82.12</v>
      </c>
      <c r="H52" s="100">
        <v>39.409999999999997</v>
      </c>
      <c r="I52" s="100">
        <v>13.08</v>
      </c>
      <c r="J52" s="100">
        <v>1.1599999999999999</v>
      </c>
      <c r="K52" s="100">
        <v>35.869999999999997</v>
      </c>
      <c r="L52" s="100">
        <v>27.93</v>
      </c>
      <c r="M52" s="100">
        <v>37.24</v>
      </c>
      <c r="N52" s="100">
        <v>491.8</v>
      </c>
      <c r="O52" s="100">
        <v>0</v>
      </c>
      <c r="P52" s="100">
        <v>0.77</v>
      </c>
      <c r="Q52" s="100">
        <v>9.42</v>
      </c>
      <c r="R52" s="6"/>
      <c r="S52" s="6"/>
      <c r="T52" s="156"/>
      <c r="U52" s="6"/>
    </row>
    <row r="53" spans="1:21" customFormat="1">
      <c r="A53" s="163" t="s">
        <v>483</v>
      </c>
      <c r="B53" s="100">
        <v>13.43</v>
      </c>
      <c r="C53" s="100">
        <v>20.29</v>
      </c>
      <c r="D53" s="100">
        <v>21.37</v>
      </c>
      <c r="E53" s="100">
        <v>6.26</v>
      </c>
      <c r="F53" s="100">
        <v>0.64</v>
      </c>
      <c r="G53" s="100">
        <v>82.12</v>
      </c>
      <c r="H53" s="100">
        <v>39.409999999999997</v>
      </c>
      <c r="I53" s="100">
        <v>12.74</v>
      </c>
      <c r="J53" s="100">
        <v>0.82</v>
      </c>
      <c r="K53" s="100">
        <v>53.69</v>
      </c>
      <c r="L53" s="100">
        <v>28.47</v>
      </c>
      <c r="M53" s="100">
        <v>36.229999999999997</v>
      </c>
      <c r="N53" s="100">
        <v>491.7</v>
      </c>
      <c r="O53" s="100">
        <v>0</v>
      </c>
      <c r="P53" s="100">
        <v>0.76</v>
      </c>
      <c r="Q53" s="100">
        <v>9.43</v>
      </c>
      <c r="R53" s="6"/>
      <c r="S53" s="6"/>
      <c r="T53" s="156"/>
      <c r="U53" s="6"/>
    </row>
    <row r="54" spans="1:21" customFormat="1">
      <c r="A54" s="163" t="s">
        <v>484</v>
      </c>
      <c r="B54" s="100">
        <v>12.2</v>
      </c>
      <c r="C54" s="100">
        <v>20.53</v>
      </c>
      <c r="D54" s="100">
        <v>20.51</v>
      </c>
      <c r="E54" s="100">
        <v>6.3</v>
      </c>
      <c r="F54" s="100">
        <v>1.1599999999999999</v>
      </c>
      <c r="G54" s="100">
        <v>82.12</v>
      </c>
      <c r="H54" s="100">
        <v>39.409999999999997</v>
      </c>
      <c r="I54" s="100">
        <v>12.44</v>
      </c>
      <c r="J54" s="100">
        <v>1.07</v>
      </c>
      <c r="K54" s="100">
        <v>42.97</v>
      </c>
      <c r="L54" s="100">
        <v>28.82</v>
      </c>
      <c r="M54" s="100">
        <v>35.82</v>
      </c>
      <c r="N54" s="100">
        <v>519.20000000000005</v>
      </c>
      <c r="O54" s="100">
        <v>0</v>
      </c>
      <c r="P54" s="100">
        <v>0.74</v>
      </c>
      <c r="Q54" s="100">
        <v>9.4600000000000009</v>
      </c>
      <c r="R54" s="6"/>
      <c r="S54" s="6"/>
      <c r="T54" s="156"/>
      <c r="U54" s="6"/>
    </row>
    <row r="55" spans="1:21" customFormat="1">
      <c r="A55" s="163" t="s">
        <v>485</v>
      </c>
      <c r="B55" s="100">
        <v>11</v>
      </c>
      <c r="C55" s="100">
        <v>20.72</v>
      </c>
      <c r="D55" s="100">
        <v>19.64</v>
      </c>
      <c r="E55" s="100">
        <v>6.89</v>
      </c>
      <c r="F55" s="100">
        <v>1.59</v>
      </c>
      <c r="G55" s="100">
        <v>73.05</v>
      </c>
      <c r="H55" s="100">
        <v>34.85</v>
      </c>
      <c r="I55" s="100">
        <v>12.14</v>
      </c>
      <c r="J55" s="100">
        <v>1.04</v>
      </c>
      <c r="K55" s="100">
        <v>40.799999999999997</v>
      </c>
      <c r="L55" s="100">
        <v>28.82</v>
      </c>
      <c r="M55" s="100">
        <v>35.270000000000003</v>
      </c>
      <c r="N55" s="100">
        <v>530.79999999999995</v>
      </c>
      <c r="O55" s="100">
        <v>0</v>
      </c>
      <c r="P55" s="100">
        <v>0.72</v>
      </c>
      <c r="Q55" s="100">
        <v>9.48</v>
      </c>
      <c r="R55" s="6"/>
      <c r="S55" s="6"/>
      <c r="T55" s="156"/>
      <c r="U55" s="6"/>
    </row>
    <row r="56" spans="1:21" customFormat="1">
      <c r="A56" s="163" t="s">
        <v>486</v>
      </c>
      <c r="B56" s="100">
        <v>9.93</v>
      </c>
      <c r="C56" s="100">
        <v>20.9</v>
      </c>
      <c r="D56" s="100">
        <v>18.89</v>
      </c>
      <c r="E56" s="100">
        <v>6.42</v>
      </c>
      <c r="F56" s="100">
        <v>1.37</v>
      </c>
      <c r="G56" s="100">
        <v>72.84</v>
      </c>
      <c r="H56" s="100">
        <v>34.85</v>
      </c>
      <c r="I56" s="100">
        <v>11.83</v>
      </c>
      <c r="J56" s="100">
        <v>0.94</v>
      </c>
      <c r="K56" s="100">
        <v>21.34</v>
      </c>
      <c r="L56" s="100">
        <v>29.14</v>
      </c>
      <c r="M56" s="100">
        <v>34.35</v>
      </c>
      <c r="N56" s="100">
        <v>531.9</v>
      </c>
      <c r="O56" s="100">
        <v>0</v>
      </c>
      <c r="P56" s="100">
        <v>0.71</v>
      </c>
      <c r="Q56" s="100">
        <v>9.49</v>
      </c>
      <c r="R56" s="6"/>
      <c r="S56" s="6"/>
      <c r="T56" s="156"/>
      <c r="U56" s="6"/>
    </row>
    <row r="57" spans="1:21" customFormat="1">
      <c r="A57" s="163" t="s">
        <v>487</v>
      </c>
      <c r="B57" s="100">
        <v>9.0399999999999991</v>
      </c>
      <c r="C57" s="100">
        <v>20.98</v>
      </c>
      <c r="D57" s="100">
        <v>18.21</v>
      </c>
      <c r="E57" s="100">
        <v>6.75</v>
      </c>
      <c r="F57" s="100">
        <v>1.8</v>
      </c>
      <c r="G57" s="100">
        <v>72.84</v>
      </c>
      <c r="H57" s="100">
        <v>34.85</v>
      </c>
      <c r="I57" s="100">
        <v>11.68</v>
      </c>
      <c r="J57" s="100">
        <v>1.42</v>
      </c>
      <c r="K57" s="100">
        <v>34.549999999999997</v>
      </c>
      <c r="L57" s="100">
        <v>29.27</v>
      </c>
      <c r="M57" s="100">
        <v>33.76</v>
      </c>
      <c r="N57" s="100">
        <v>524.6</v>
      </c>
      <c r="O57" s="100">
        <v>0</v>
      </c>
      <c r="P57" s="100">
        <v>0.7</v>
      </c>
      <c r="Q57" s="100">
        <v>9.5</v>
      </c>
      <c r="R57" s="6"/>
      <c r="S57" s="6"/>
      <c r="T57" s="156"/>
      <c r="U57" s="6"/>
    </row>
    <row r="58" spans="1:21" customFormat="1">
      <c r="A58" s="163" t="s">
        <v>488</v>
      </c>
      <c r="B58" s="100">
        <v>8.11</v>
      </c>
      <c r="C58" s="100">
        <v>21.19</v>
      </c>
      <c r="D58" s="100">
        <v>17.57</v>
      </c>
      <c r="E58" s="100">
        <v>7.54</v>
      </c>
      <c r="F58" s="100">
        <v>2.4</v>
      </c>
      <c r="G58" s="100">
        <v>72.84</v>
      </c>
      <c r="H58" s="100">
        <v>34.85</v>
      </c>
      <c r="I58" s="100">
        <v>11.46</v>
      </c>
      <c r="J58" s="100">
        <v>1.07</v>
      </c>
      <c r="K58" s="100">
        <v>27.55</v>
      </c>
      <c r="L58" s="100">
        <v>29.33</v>
      </c>
      <c r="M58" s="100">
        <v>33.1</v>
      </c>
      <c r="N58" s="100">
        <v>524.70000000000005</v>
      </c>
      <c r="O58" s="100">
        <v>0</v>
      </c>
      <c r="P58" s="100">
        <v>0.69</v>
      </c>
      <c r="Q58" s="100">
        <v>9.5399999999999991</v>
      </c>
      <c r="R58" s="6"/>
      <c r="S58" s="6"/>
      <c r="T58" s="156"/>
      <c r="U58" s="6"/>
    </row>
    <row r="59" spans="1:21" customFormat="1">
      <c r="A59" s="163" t="s">
        <v>489</v>
      </c>
      <c r="B59" s="100">
        <v>7.29</v>
      </c>
      <c r="C59" s="100">
        <v>21.17</v>
      </c>
      <c r="D59" s="100">
        <v>16.899999999999999</v>
      </c>
      <c r="E59" s="100">
        <v>6.88</v>
      </c>
      <c r="F59" s="100">
        <v>1.72</v>
      </c>
      <c r="G59" s="100">
        <v>67.91</v>
      </c>
      <c r="H59" s="100">
        <v>33.630000000000003</v>
      </c>
      <c r="I59" s="100">
        <v>11.08</v>
      </c>
      <c r="J59" s="100">
        <v>0.88</v>
      </c>
      <c r="K59" s="100">
        <v>36.08</v>
      </c>
      <c r="L59" s="100">
        <v>29.64</v>
      </c>
      <c r="M59" s="100">
        <v>32.840000000000003</v>
      </c>
      <c r="N59" s="100">
        <v>497</v>
      </c>
      <c r="O59" s="100">
        <v>0</v>
      </c>
      <c r="P59" s="100">
        <v>0.68</v>
      </c>
      <c r="Q59" s="100">
        <v>9.5299999999999994</v>
      </c>
      <c r="R59" s="6"/>
      <c r="S59" s="6"/>
      <c r="T59" s="156"/>
      <c r="U59" s="6"/>
    </row>
    <row r="60" spans="1:21" customFormat="1">
      <c r="A60" s="163" t="s">
        <v>490</v>
      </c>
      <c r="B60" s="100">
        <v>6.6</v>
      </c>
      <c r="C60" s="100">
        <v>21.34</v>
      </c>
      <c r="D60" s="100">
        <v>16.440000000000001</v>
      </c>
      <c r="E60" s="100">
        <v>7.63</v>
      </c>
      <c r="F60" s="100">
        <v>2.52</v>
      </c>
      <c r="G60" s="100">
        <v>67.8</v>
      </c>
      <c r="H60" s="100">
        <v>33.630000000000003</v>
      </c>
      <c r="I60" s="100">
        <v>10.85</v>
      </c>
      <c r="J60" s="100">
        <v>0.81</v>
      </c>
      <c r="K60" s="100">
        <v>27.3</v>
      </c>
      <c r="L60" s="100">
        <v>29.81</v>
      </c>
      <c r="M60" s="100">
        <v>32.909999999999997</v>
      </c>
      <c r="N60" s="100">
        <v>465.4</v>
      </c>
      <c r="O60" s="100">
        <v>0</v>
      </c>
      <c r="P60" s="100">
        <v>0.68</v>
      </c>
      <c r="Q60" s="100">
        <v>9.5500000000000007</v>
      </c>
      <c r="R60" s="6"/>
      <c r="S60" s="6"/>
      <c r="T60" s="156"/>
      <c r="U60" s="6"/>
    </row>
    <row r="61" spans="1:21" customFormat="1">
      <c r="A61" s="163" t="s">
        <v>491</v>
      </c>
      <c r="B61" s="100">
        <v>6.21</v>
      </c>
      <c r="C61" s="100">
        <v>21.1</v>
      </c>
      <c r="D61" s="100">
        <v>16</v>
      </c>
      <c r="E61" s="100">
        <v>7.45</v>
      </c>
      <c r="F61" s="100">
        <v>2.77</v>
      </c>
      <c r="G61" s="100">
        <v>67.8</v>
      </c>
      <c r="H61" s="100">
        <v>33.630000000000003</v>
      </c>
      <c r="I61" s="100">
        <v>10.65</v>
      </c>
      <c r="J61" s="100">
        <v>0.79</v>
      </c>
      <c r="K61" s="100">
        <v>59.27</v>
      </c>
      <c r="L61" s="100">
        <v>30.08</v>
      </c>
      <c r="M61" s="100">
        <v>31.91</v>
      </c>
      <c r="N61" s="100">
        <v>441.1</v>
      </c>
      <c r="O61" s="100">
        <v>0</v>
      </c>
      <c r="P61" s="100">
        <v>0.68</v>
      </c>
      <c r="Q61" s="100">
        <v>9.65</v>
      </c>
      <c r="R61" s="6"/>
      <c r="S61" s="6"/>
      <c r="T61" s="156"/>
      <c r="U61" s="6"/>
    </row>
    <row r="62" spans="1:21" customFormat="1">
      <c r="A62" s="163" t="s">
        <v>492</v>
      </c>
      <c r="B62" s="100">
        <v>5.83</v>
      </c>
      <c r="C62" s="100">
        <v>20.34</v>
      </c>
      <c r="D62" s="100">
        <v>15.3</v>
      </c>
      <c r="E62" s="100">
        <v>7.08</v>
      </c>
      <c r="F62" s="100">
        <v>4.75</v>
      </c>
      <c r="G62" s="100">
        <v>67.8</v>
      </c>
      <c r="H62" s="100">
        <v>33.630000000000003</v>
      </c>
      <c r="I62" s="100">
        <v>10.53</v>
      </c>
      <c r="J62" s="100">
        <v>0.64</v>
      </c>
      <c r="K62" s="100">
        <v>38.56</v>
      </c>
      <c r="L62" s="100">
        <v>29.86</v>
      </c>
      <c r="M62" s="100">
        <v>32.24</v>
      </c>
      <c r="N62" s="100">
        <v>223.8</v>
      </c>
      <c r="O62" s="100">
        <v>0</v>
      </c>
      <c r="P62" s="100">
        <v>0.66</v>
      </c>
      <c r="Q62" s="100">
        <v>9.61</v>
      </c>
      <c r="R62" s="6"/>
      <c r="S62" s="6"/>
      <c r="T62" s="156"/>
      <c r="U62" s="6"/>
    </row>
    <row r="63" spans="1:21" customFormat="1">
      <c r="A63" s="163" t="s">
        <v>493</v>
      </c>
      <c r="B63" s="100">
        <v>5.53</v>
      </c>
      <c r="C63" s="100">
        <v>19.760000000000002</v>
      </c>
      <c r="D63" s="100">
        <v>14.76</v>
      </c>
      <c r="E63" s="100">
        <v>8.19</v>
      </c>
      <c r="F63" s="100">
        <v>4.0199999999999996</v>
      </c>
      <c r="G63" s="100">
        <v>64.37</v>
      </c>
      <c r="H63" s="100">
        <v>32.43</v>
      </c>
      <c r="I63" s="100">
        <v>10.45</v>
      </c>
      <c r="J63" s="100">
        <v>1.07</v>
      </c>
      <c r="K63" s="100">
        <v>27.98</v>
      </c>
      <c r="L63" s="100">
        <v>29.71</v>
      </c>
      <c r="M63" s="100">
        <v>32.39</v>
      </c>
      <c r="N63" s="100">
        <v>159.80000000000001</v>
      </c>
      <c r="O63" s="100">
        <v>0</v>
      </c>
      <c r="P63" s="100">
        <v>0.66</v>
      </c>
      <c r="Q63" s="100">
        <v>9.58</v>
      </c>
      <c r="R63" s="6"/>
      <c r="S63" s="6"/>
      <c r="T63" s="156"/>
      <c r="U63" s="6"/>
    </row>
    <row r="64" spans="1:21" customFormat="1">
      <c r="A64" s="163" t="s">
        <v>494</v>
      </c>
      <c r="B64" s="100">
        <v>5.23</v>
      </c>
      <c r="C64" s="100">
        <v>19.440000000000001</v>
      </c>
      <c r="D64" s="100">
        <v>14.35</v>
      </c>
      <c r="E64" s="100">
        <v>7.46</v>
      </c>
      <c r="F64" s="100">
        <v>3.94</v>
      </c>
      <c r="G64" s="100">
        <v>64.3</v>
      </c>
      <c r="H64" s="100">
        <v>32.43</v>
      </c>
      <c r="I64" s="100">
        <v>10.29</v>
      </c>
      <c r="J64" s="100">
        <v>0.86</v>
      </c>
      <c r="K64" s="100">
        <v>46.91</v>
      </c>
      <c r="L64" s="100">
        <v>29.89</v>
      </c>
      <c r="M64" s="100">
        <v>31.78</v>
      </c>
      <c r="N64" s="100">
        <v>136.4</v>
      </c>
      <c r="O64" s="100">
        <v>0</v>
      </c>
      <c r="P64" s="100">
        <v>0.64</v>
      </c>
      <c r="Q64" s="100">
        <v>9.59</v>
      </c>
      <c r="R64" s="6"/>
      <c r="S64" s="6"/>
      <c r="T64" s="156"/>
      <c r="U64" s="6"/>
    </row>
    <row r="65" spans="1:21" customFormat="1">
      <c r="A65" s="163" t="s">
        <v>495</v>
      </c>
      <c r="B65" s="100">
        <v>4.91</v>
      </c>
      <c r="C65" s="100">
        <v>18.77</v>
      </c>
      <c r="D65" s="100">
        <v>13.74</v>
      </c>
      <c r="E65" s="100">
        <v>7.61</v>
      </c>
      <c r="F65" s="100">
        <v>4.5199999999999996</v>
      </c>
      <c r="G65" s="100">
        <v>64.3</v>
      </c>
      <c r="H65" s="100">
        <v>32.43</v>
      </c>
      <c r="I65" s="100">
        <v>10.19</v>
      </c>
      <c r="J65" s="100">
        <v>0.54</v>
      </c>
      <c r="K65" s="100">
        <v>57.26</v>
      </c>
      <c r="L65" s="100">
        <v>29.66</v>
      </c>
      <c r="M65" s="100">
        <v>31.84</v>
      </c>
      <c r="N65" s="100">
        <v>122.6</v>
      </c>
      <c r="O65" s="100">
        <v>0</v>
      </c>
      <c r="P65" s="100">
        <v>0.52</v>
      </c>
      <c r="Q65" s="100">
        <v>9.48</v>
      </c>
      <c r="R65" s="6"/>
      <c r="S65" s="6"/>
      <c r="T65" s="156"/>
      <c r="U65" s="6"/>
    </row>
    <row r="66" spans="1:21" customFormat="1">
      <c r="A66" s="163" t="s">
        <v>496</v>
      </c>
      <c r="B66" s="100">
        <v>4.5999999999999996</v>
      </c>
      <c r="C66" s="100">
        <v>18.350000000000001</v>
      </c>
      <c r="D66" s="100">
        <v>13.27</v>
      </c>
      <c r="E66" s="100">
        <v>7.88</v>
      </c>
      <c r="F66" s="100">
        <v>4.96</v>
      </c>
      <c r="G66" s="100">
        <v>64.3</v>
      </c>
      <c r="H66" s="100">
        <v>32.43</v>
      </c>
      <c r="I66" s="100">
        <v>10.14</v>
      </c>
      <c r="J66" s="100">
        <v>0.81</v>
      </c>
      <c r="K66" s="100">
        <v>46.99</v>
      </c>
      <c r="L66" s="100">
        <v>29.74</v>
      </c>
      <c r="M66" s="100">
        <v>31.22</v>
      </c>
      <c r="N66" s="100">
        <v>113.1</v>
      </c>
      <c r="O66" s="100">
        <v>0</v>
      </c>
      <c r="P66" s="100">
        <v>0.55000000000000004</v>
      </c>
      <c r="Q66" s="100">
        <v>9.49</v>
      </c>
      <c r="R66" s="6"/>
      <c r="S66" s="6"/>
      <c r="T66" s="156"/>
      <c r="U66" s="6"/>
    </row>
    <row r="67" spans="1:21" customFormat="1">
      <c r="A67" s="163" t="s">
        <v>497</v>
      </c>
      <c r="B67" s="100">
        <v>4.3899999999999997</v>
      </c>
      <c r="C67" s="100">
        <v>18.16</v>
      </c>
      <c r="D67" s="100">
        <v>13.01</v>
      </c>
      <c r="E67" s="100">
        <v>8.36</v>
      </c>
      <c r="F67" s="100">
        <v>7.35</v>
      </c>
      <c r="G67" s="100">
        <v>61.67</v>
      </c>
      <c r="H67" s="100">
        <v>33.130000000000003</v>
      </c>
      <c r="I67" s="100">
        <v>10.029999999999999</v>
      </c>
      <c r="J67" s="100">
        <v>0.68</v>
      </c>
      <c r="K67" s="100">
        <v>53.53</v>
      </c>
      <c r="L67" s="100">
        <v>29.68</v>
      </c>
      <c r="M67" s="100">
        <v>30.85</v>
      </c>
      <c r="N67" s="100">
        <v>129.9</v>
      </c>
      <c r="O67" s="100">
        <v>0</v>
      </c>
      <c r="P67" s="100">
        <v>0.55000000000000004</v>
      </c>
      <c r="Q67" s="100">
        <v>9.57</v>
      </c>
      <c r="R67" s="6"/>
      <c r="S67" s="6"/>
      <c r="T67" s="156"/>
      <c r="U67" s="6"/>
    </row>
    <row r="68" spans="1:21" customFormat="1">
      <c r="A68" s="163" t="s">
        <v>498</v>
      </c>
      <c r="B68" s="100">
        <v>4.26</v>
      </c>
      <c r="C68" s="100">
        <v>17.66</v>
      </c>
      <c r="D68" s="100">
        <v>12.64</v>
      </c>
      <c r="E68" s="100">
        <v>8.25</v>
      </c>
      <c r="F68" s="100">
        <v>5.12</v>
      </c>
      <c r="G68" s="100">
        <v>61.61</v>
      </c>
      <c r="H68" s="100">
        <v>33.130000000000003</v>
      </c>
      <c r="I68" s="100">
        <v>9.92</v>
      </c>
      <c r="J68" s="100">
        <v>0.6</v>
      </c>
      <c r="K68" s="100">
        <v>58.08</v>
      </c>
      <c r="L68" s="100">
        <v>29.65</v>
      </c>
      <c r="M68" s="100">
        <v>30.89</v>
      </c>
      <c r="N68" s="100">
        <v>91.4</v>
      </c>
      <c r="O68" s="100">
        <v>0</v>
      </c>
      <c r="P68" s="100">
        <v>0.54</v>
      </c>
      <c r="Q68" s="100">
        <v>9.6300000000000008</v>
      </c>
      <c r="R68" s="6"/>
      <c r="S68" s="6"/>
      <c r="T68" s="156"/>
      <c r="U68" s="6"/>
    </row>
    <row r="69" spans="1:21" customFormat="1">
      <c r="A69" s="163" t="s">
        <v>499</v>
      </c>
      <c r="B69" s="100">
        <v>4.16</v>
      </c>
      <c r="C69" s="100">
        <v>17.23</v>
      </c>
      <c r="D69" s="100">
        <v>12.34</v>
      </c>
      <c r="E69" s="100">
        <v>8.1300000000000008</v>
      </c>
      <c r="F69" s="100">
        <v>6.52</v>
      </c>
      <c r="G69" s="100">
        <v>61.61</v>
      </c>
      <c r="H69" s="100">
        <v>33.130000000000003</v>
      </c>
      <c r="I69" s="100">
        <v>9.84</v>
      </c>
      <c r="J69" s="100">
        <v>1.03</v>
      </c>
      <c r="K69" s="100">
        <v>36.659999999999997</v>
      </c>
      <c r="L69" s="100">
        <v>29.59</v>
      </c>
      <c r="M69" s="100">
        <v>29.59</v>
      </c>
      <c r="N69" s="100">
        <v>79.7</v>
      </c>
      <c r="O69" s="100">
        <v>0</v>
      </c>
      <c r="P69" s="100">
        <v>0.53</v>
      </c>
      <c r="Q69" s="100">
        <v>9.64</v>
      </c>
      <c r="R69" s="6"/>
      <c r="S69" s="6"/>
      <c r="T69" s="156"/>
      <c r="U69" s="6"/>
    </row>
    <row r="70" spans="1:21" customFormat="1">
      <c r="A70" s="163" t="s">
        <v>500</v>
      </c>
      <c r="B70" s="100">
        <v>4.01</v>
      </c>
      <c r="C70" s="100">
        <v>17.45</v>
      </c>
      <c r="D70" s="100">
        <v>12.33</v>
      </c>
      <c r="E70" s="100">
        <v>8.0399999999999991</v>
      </c>
      <c r="F70" s="100">
        <v>7.39</v>
      </c>
      <c r="G70" s="100">
        <v>61.61</v>
      </c>
      <c r="H70" s="100">
        <v>33.130000000000003</v>
      </c>
      <c r="I70" s="100">
        <v>9.83</v>
      </c>
      <c r="J70" s="100">
        <v>0.8</v>
      </c>
      <c r="K70" s="100">
        <v>33.14</v>
      </c>
      <c r="L70" s="100">
        <v>29.49</v>
      </c>
      <c r="M70" s="100">
        <v>28.99</v>
      </c>
      <c r="N70" s="100">
        <v>74.5</v>
      </c>
      <c r="O70" s="100">
        <v>0</v>
      </c>
      <c r="P70" s="100">
        <v>0.53</v>
      </c>
      <c r="Q70" s="100">
        <v>9.64</v>
      </c>
      <c r="R70" s="6"/>
      <c r="S70" s="6"/>
      <c r="T70" s="156"/>
      <c r="U70" s="6"/>
    </row>
    <row r="71" spans="1:21" customFormat="1">
      <c r="A71" s="163" t="s">
        <v>501</v>
      </c>
      <c r="B71" s="100">
        <v>3.91</v>
      </c>
      <c r="C71" s="100">
        <v>17.02</v>
      </c>
      <c r="D71" s="100">
        <v>12.02</v>
      </c>
      <c r="E71" s="100">
        <v>7.81</v>
      </c>
      <c r="F71" s="100">
        <v>4.47</v>
      </c>
      <c r="G71" s="100">
        <v>56.88</v>
      </c>
      <c r="H71" s="100">
        <v>31.16</v>
      </c>
      <c r="I71" s="100">
        <v>9.69</v>
      </c>
      <c r="J71" s="100">
        <v>0.65</v>
      </c>
      <c r="K71" s="100">
        <v>34.03</v>
      </c>
      <c r="L71" s="100">
        <v>29.43</v>
      </c>
      <c r="M71" s="100">
        <v>29.62</v>
      </c>
      <c r="N71" s="100">
        <v>63</v>
      </c>
      <c r="O71" s="100">
        <v>0</v>
      </c>
      <c r="P71" s="100">
        <v>0.53</v>
      </c>
      <c r="Q71" s="100">
        <v>9.61</v>
      </c>
      <c r="R71" s="6"/>
      <c r="S71" s="6"/>
      <c r="T71" s="156"/>
      <c r="U71" s="6"/>
    </row>
    <row r="72" spans="1:21" customFormat="1">
      <c r="A72" s="163" t="s">
        <v>502</v>
      </c>
      <c r="B72" s="100">
        <v>3.89</v>
      </c>
      <c r="C72" s="100">
        <v>16.68</v>
      </c>
      <c r="D72" s="100">
        <v>11.84</v>
      </c>
      <c r="E72" s="100">
        <v>8.06</v>
      </c>
      <c r="F72" s="100">
        <v>7.08</v>
      </c>
      <c r="G72" s="100">
        <v>56.78</v>
      </c>
      <c r="H72" s="100">
        <v>31.16</v>
      </c>
      <c r="I72" s="100">
        <v>9.49</v>
      </c>
      <c r="J72" s="100">
        <v>0.94</v>
      </c>
      <c r="K72" s="100">
        <v>42.98</v>
      </c>
      <c r="L72" s="100">
        <v>29.31</v>
      </c>
      <c r="M72" s="100">
        <v>28.71</v>
      </c>
      <c r="N72" s="100">
        <v>53.2</v>
      </c>
      <c r="O72" s="100">
        <v>0</v>
      </c>
      <c r="P72" s="100">
        <v>0.53</v>
      </c>
      <c r="Q72" s="100">
        <v>9.65</v>
      </c>
      <c r="R72" s="6"/>
      <c r="S72" s="6"/>
      <c r="T72" s="156"/>
      <c r="U72" s="6"/>
    </row>
    <row r="73" spans="1:21" customFormat="1">
      <c r="A73" s="163" t="s">
        <v>503</v>
      </c>
      <c r="B73" s="100">
        <v>3.88</v>
      </c>
      <c r="C73" s="100">
        <v>16.63</v>
      </c>
      <c r="D73" s="100">
        <v>11.8</v>
      </c>
      <c r="E73" s="100">
        <v>7.35</v>
      </c>
      <c r="F73" s="100">
        <v>3.3</v>
      </c>
      <c r="G73" s="100">
        <v>56.78</v>
      </c>
      <c r="H73" s="100">
        <v>31.16</v>
      </c>
      <c r="I73" s="100">
        <v>9.4700000000000006</v>
      </c>
      <c r="J73" s="100">
        <v>0.62</v>
      </c>
      <c r="K73" s="100">
        <v>42.13</v>
      </c>
      <c r="L73" s="100">
        <v>29.12</v>
      </c>
      <c r="M73" s="100">
        <v>28.88</v>
      </c>
      <c r="N73" s="100">
        <v>43.5</v>
      </c>
      <c r="O73" s="100">
        <v>0</v>
      </c>
      <c r="P73" s="100">
        <v>0.53</v>
      </c>
      <c r="Q73" s="100">
        <v>9.7100000000000009</v>
      </c>
      <c r="R73" s="6"/>
      <c r="S73" s="6"/>
      <c r="T73" s="156"/>
      <c r="U73" s="6"/>
    </row>
    <row r="74" spans="1:21" customFormat="1">
      <c r="A74" s="163" t="s">
        <v>504</v>
      </c>
      <c r="B74" s="100">
        <v>3.96</v>
      </c>
      <c r="C74" s="100">
        <v>16.62</v>
      </c>
      <c r="D74" s="100">
        <v>11.87</v>
      </c>
      <c r="E74" s="100">
        <v>7.54</v>
      </c>
      <c r="F74" s="100">
        <v>4.46</v>
      </c>
      <c r="G74" s="100">
        <v>56.78</v>
      </c>
      <c r="H74" s="100">
        <v>31.16</v>
      </c>
      <c r="I74" s="100">
        <v>9.5500000000000007</v>
      </c>
      <c r="J74" s="100">
        <v>0.5</v>
      </c>
      <c r="K74" s="100">
        <v>49.12</v>
      </c>
      <c r="L74" s="100">
        <v>28.8</v>
      </c>
      <c r="M74" s="100">
        <v>29.51</v>
      </c>
      <c r="N74" s="100">
        <v>35.200000000000003</v>
      </c>
      <c r="O74" s="100">
        <v>0</v>
      </c>
      <c r="P74" s="100">
        <v>0.53</v>
      </c>
      <c r="Q74" s="100">
        <v>9.75</v>
      </c>
      <c r="R74" s="6"/>
      <c r="S74" s="6"/>
      <c r="T74" s="156"/>
      <c r="U74" s="6"/>
    </row>
    <row r="75" spans="1:21" customFormat="1">
      <c r="A75" s="163" t="s">
        <v>505</v>
      </c>
      <c r="B75" s="100">
        <v>4.0199999999999996</v>
      </c>
      <c r="C75" s="100">
        <v>16.350000000000001</v>
      </c>
      <c r="D75" s="100">
        <v>11.77</v>
      </c>
      <c r="E75" s="100">
        <v>6.84</v>
      </c>
      <c r="F75" s="100">
        <v>2.2000000000000002</v>
      </c>
      <c r="G75" s="100">
        <v>56.52</v>
      </c>
      <c r="H75" s="100">
        <v>30.4</v>
      </c>
      <c r="I75" s="100">
        <v>9.6</v>
      </c>
      <c r="J75" s="100">
        <v>0.37</v>
      </c>
      <c r="K75" s="100">
        <v>50.52</v>
      </c>
      <c r="L75" s="100">
        <v>28.14</v>
      </c>
      <c r="M75" s="100">
        <v>32.61</v>
      </c>
      <c r="N75" s="100">
        <v>26.8</v>
      </c>
      <c r="O75" s="100">
        <v>0</v>
      </c>
      <c r="P75" s="100">
        <v>0.53</v>
      </c>
      <c r="Q75" s="100">
        <v>9.75</v>
      </c>
      <c r="R75" s="6"/>
      <c r="S75" s="6"/>
      <c r="T75" s="156"/>
      <c r="U75" s="6"/>
    </row>
    <row r="76" spans="1:21" customFormat="1">
      <c r="A76" s="163" t="s">
        <v>506</v>
      </c>
      <c r="B76" s="100">
        <v>4.08</v>
      </c>
      <c r="C76" s="100">
        <v>16.14</v>
      </c>
      <c r="D76" s="100">
        <v>11.71</v>
      </c>
      <c r="E76" s="100">
        <v>7.08</v>
      </c>
      <c r="F76" s="100">
        <v>2.5499999999999998</v>
      </c>
      <c r="G76" s="100">
        <v>56.52</v>
      </c>
      <c r="H76" s="100">
        <v>30.4</v>
      </c>
      <c r="I76" s="100">
        <v>9.7100000000000009</v>
      </c>
      <c r="J76" s="100">
        <v>0.16</v>
      </c>
      <c r="K76" s="100">
        <v>145.05000000000001</v>
      </c>
      <c r="L76" s="100">
        <v>27.45</v>
      </c>
      <c r="M76" s="100">
        <v>36.64</v>
      </c>
      <c r="N76" s="100">
        <v>17.3</v>
      </c>
      <c r="O76" s="100">
        <v>0</v>
      </c>
      <c r="P76" s="100">
        <v>0.52</v>
      </c>
      <c r="Q76" s="100">
        <v>9.81</v>
      </c>
      <c r="R76" s="6"/>
      <c r="S76" s="6"/>
      <c r="T76" s="156"/>
      <c r="U76" s="6"/>
    </row>
    <row r="77" spans="1:21" customFormat="1">
      <c r="A77" s="163" t="s">
        <v>507</v>
      </c>
      <c r="B77" s="100">
        <v>4.1500000000000004</v>
      </c>
      <c r="C77" s="100">
        <v>15.59</v>
      </c>
      <c r="D77" s="100">
        <v>11.47</v>
      </c>
      <c r="E77" s="100">
        <v>6.61</v>
      </c>
      <c r="F77" s="100">
        <v>1.31</v>
      </c>
      <c r="G77" s="100">
        <v>56.52</v>
      </c>
      <c r="H77" s="100">
        <v>30.4</v>
      </c>
      <c r="I77" s="100">
        <v>9.92</v>
      </c>
      <c r="J77" s="100">
        <v>0.32</v>
      </c>
      <c r="K77" s="100">
        <v>164.68</v>
      </c>
      <c r="L77" s="100">
        <v>26.14</v>
      </c>
      <c r="M77" s="100">
        <v>42.58</v>
      </c>
      <c r="N77" s="100">
        <v>9.6999999999999993</v>
      </c>
      <c r="O77" s="100">
        <v>0</v>
      </c>
      <c r="P77" s="100">
        <v>0.53</v>
      </c>
      <c r="Q77" s="100">
        <v>9.74</v>
      </c>
      <c r="R77" s="6"/>
      <c r="S77" s="6"/>
      <c r="T77" s="156"/>
      <c r="U77" s="6"/>
    </row>
    <row r="78" spans="1:21" customFormat="1">
      <c r="A78" s="163" t="s">
        <v>508</v>
      </c>
      <c r="B78" s="100">
        <v>4.26</v>
      </c>
      <c r="C78" s="100">
        <v>15.36</v>
      </c>
      <c r="D78" s="100">
        <v>11.44</v>
      </c>
      <c r="E78" s="100">
        <v>6.38</v>
      </c>
      <c r="F78" s="100">
        <v>0.94</v>
      </c>
      <c r="G78" s="100">
        <v>56.52</v>
      </c>
      <c r="H78" s="100">
        <v>30.4</v>
      </c>
      <c r="I78" s="100">
        <v>10.31</v>
      </c>
      <c r="J78" s="100">
        <v>0.26</v>
      </c>
      <c r="K78" s="100">
        <v>163.31</v>
      </c>
      <c r="L78" s="100">
        <v>25.35</v>
      </c>
      <c r="M78" s="100">
        <v>44.89</v>
      </c>
      <c r="N78" s="100">
        <v>5.4</v>
      </c>
      <c r="O78" s="100">
        <v>0</v>
      </c>
      <c r="P78" s="100">
        <v>0.53</v>
      </c>
      <c r="Q78" s="100">
        <v>9.7100000000000009</v>
      </c>
      <c r="R78" s="6"/>
      <c r="S78" s="6"/>
      <c r="T78" s="156"/>
      <c r="U78" s="6"/>
    </row>
    <row r="79" spans="1:21" customFormat="1">
      <c r="A79" s="163" t="s">
        <v>509</v>
      </c>
      <c r="B79" s="100">
        <v>4.4000000000000004</v>
      </c>
      <c r="C79" s="100">
        <v>15.58</v>
      </c>
      <c r="D79" s="100">
        <v>11.67</v>
      </c>
      <c r="E79" s="100">
        <v>6.73</v>
      </c>
      <c r="F79" s="100">
        <v>0.95</v>
      </c>
      <c r="G79" s="100">
        <v>63.28</v>
      </c>
      <c r="H79" s="100">
        <v>30.95</v>
      </c>
      <c r="I79" s="100">
        <v>10.73</v>
      </c>
      <c r="J79" s="100">
        <v>0.3</v>
      </c>
      <c r="K79" s="100">
        <v>165.02</v>
      </c>
      <c r="L79" s="100">
        <v>24.67</v>
      </c>
      <c r="M79" s="100">
        <v>48.55</v>
      </c>
      <c r="N79" s="100">
        <v>4.0999999999999996</v>
      </c>
      <c r="O79" s="100">
        <v>0</v>
      </c>
      <c r="P79" s="100">
        <v>0.53</v>
      </c>
      <c r="Q79" s="100">
        <v>9.74</v>
      </c>
      <c r="R79" s="6"/>
      <c r="S79" s="6"/>
      <c r="T79" s="156"/>
      <c r="U79" s="6"/>
    </row>
    <row r="80" spans="1:21" customFormat="1">
      <c r="A80" s="163" t="s">
        <v>510</v>
      </c>
      <c r="B80" s="100">
        <v>4.49</v>
      </c>
      <c r="C80" s="100">
        <v>15.67</v>
      </c>
      <c r="D80" s="100">
        <v>11.78</v>
      </c>
      <c r="E80" s="100">
        <v>6.51</v>
      </c>
      <c r="F80" s="100">
        <v>0.33</v>
      </c>
      <c r="G80" s="100">
        <v>63.43</v>
      </c>
      <c r="H80" s="100">
        <v>30.95</v>
      </c>
      <c r="I80" s="100">
        <v>11.53</v>
      </c>
      <c r="J80" s="100">
        <v>0.25</v>
      </c>
      <c r="K80" s="100">
        <v>149.72999999999999</v>
      </c>
      <c r="L80" s="100">
        <v>24.2</v>
      </c>
      <c r="M80" s="100">
        <v>52.13</v>
      </c>
      <c r="N80" s="100">
        <v>3.7</v>
      </c>
      <c r="O80" s="100">
        <v>0</v>
      </c>
      <c r="P80" s="100">
        <v>0.53</v>
      </c>
      <c r="Q80" s="100">
        <v>9.6999999999999993</v>
      </c>
      <c r="R80" s="6"/>
      <c r="S80" s="6"/>
      <c r="T80" s="156"/>
      <c r="U80" s="6"/>
    </row>
    <row r="81" spans="1:21" customFormat="1">
      <c r="A81" s="163" t="s">
        <v>511</v>
      </c>
      <c r="B81" s="100">
        <v>4.8</v>
      </c>
      <c r="C81" s="100">
        <v>16.2</v>
      </c>
      <c r="D81" s="100">
        <v>12.31</v>
      </c>
      <c r="E81" s="100">
        <v>5.44</v>
      </c>
      <c r="F81" s="100">
        <v>0.3</v>
      </c>
      <c r="G81" s="100">
        <v>63.43</v>
      </c>
      <c r="H81" s="100">
        <v>30.95</v>
      </c>
      <c r="I81" s="100">
        <v>12.65</v>
      </c>
      <c r="J81" s="100">
        <v>0.28999999999999998</v>
      </c>
      <c r="K81" s="100">
        <v>160.21</v>
      </c>
      <c r="L81" s="100">
        <v>24.1</v>
      </c>
      <c r="M81" s="100">
        <v>54.31</v>
      </c>
      <c r="N81" s="100">
        <v>3.7</v>
      </c>
      <c r="O81" s="100">
        <v>0</v>
      </c>
      <c r="P81" s="100">
        <v>0.55000000000000004</v>
      </c>
      <c r="Q81" s="100">
        <v>9.7100000000000009</v>
      </c>
      <c r="R81" s="6"/>
      <c r="S81" s="6"/>
      <c r="T81" s="156"/>
      <c r="U81" s="6"/>
    </row>
    <row r="82" spans="1:21" customFormat="1">
      <c r="A82" s="163" t="s">
        <v>512</v>
      </c>
      <c r="B82" s="100">
        <v>5.08</v>
      </c>
      <c r="C82" s="100">
        <v>16.79</v>
      </c>
      <c r="D82" s="100">
        <v>12.84</v>
      </c>
      <c r="E82" s="100">
        <v>6.48</v>
      </c>
      <c r="F82" s="100">
        <v>7.0000000000000007E-2</v>
      </c>
      <c r="G82" s="100">
        <v>63.43</v>
      </c>
      <c r="H82" s="100">
        <v>30.95</v>
      </c>
      <c r="I82" s="100">
        <v>13.7</v>
      </c>
      <c r="J82" s="100">
        <v>0.26</v>
      </c>
      <c r="K82" s="100">
        <v>177.91</v>
      </c>
      <c r="L82" s="100">
        <v>23.52</v>
      </c>
      <c r="M82" s="100">
        <v>60.98</v>
      </c>
      <c r="N82" s="100">
        <v>3.7</v>
      </c>
      <c r="O82" s="100">
        <v>0</v>
      </c>
      <c r="P82" s="100">
        <v>0.56000000000000005</v>
      </c>
      <c r="Q82" s="100">
        <v>9.7100000000000009</v>
      </c>
      <c r="R82" s="6"/>
      <c r="S82" s="6"/>
      <c r="T82" s="156"/>
      <c r="U82" s="6"/>
    </row>
    <row r="83" spans="1:21" customFormat="1">
      <c r="A83" s="163" t="s">
        <v>513</v>
      </c>
      <c r="B83" s="100">
        <v>5.28</v>
      </c>
      <c r="C83" s="100">
        <v>17.309999999999999</v>
      </c>
      <c r="D83" s="100">
        <v>13.28</v>
      </c>
      <c r="E83" s="100">
        <v>5.47</v>
      </c>
      <c r="F83" s="100">
        <v>0.09</v>
      </c>
      <c r="G83" s="100">
        <v>87.12</v>
      </c>
      <c r="H83" s="100">
        <v>35.56</v>
      </c>
      <c r="I83" s="100">
        <v>14.46</v>
      </c>
      <c r="J83" s="100">
        <v>0.3</v>
      </c>
      <c r="K83" s="100">
        <v>173.62</v>
      </c>
      <c r="L83" s="100">
        <v>22.89</v>
      </c>
      <c r="M83" s="100">
        <v>60.77</v>
      </c>
      <c r="N83" s="100">
        <v>3.6</v>
      </c>
      <c r="O83" s="100">
        <v>0</v>
      </c>
      <c r="P83" s="100">
        <v>0.56999999999999995</v>
      </c>
      <c r="Q83" s="100">
        <v>9.7100000000000009</v>
      </c>
      <c r="R83" s="6"/>
      <c r="S83" s="6"/>
      <c r="T83" s="156"/>
      <c r="U83" s="6"/>
    </row>
    <row r="84" spans="1:21" customFormat="1">
      <c r="A84" s="163" t="s">
        <v>514</v>
      </c>
      <c r="B84" s="100">
        <v>5.46</v>
      </c>
      <c r="C84" s="100">
        <v>17.649999999999999</v>
      </c>
      <c r="D84" s="100">
        <v>13.6</v>
      </c>
      <c r="E84" s="100">
        <v>6.17</v>
      </c>
      <c r="F84" s="100">
        <v>0.08</v>
      </c>
      <c r="G84" s="100">
        <v>87.66</v>
      </c>
      <c r="H84" s="100">
        <v>35.56</v>
      </c>
      <c r="I84" s="100">
        <v>14.64</v>
      </c>
      <c r="J84" s="100">
        <v>0.19</v>
      </c>
      <c r="K84" s="100">
        <v>169.51</v>
      </c>
      <c r="L84" s="100">
        <v>22.54</v>
      </c>
      <c r="M84" s="100">
        <v>65.19</v>
      </c>
      <c r="N84" s="100">
        <v>3.6</v>
      </c>
      <c r="O84" s="100">
        <v>0</v>
      </c>
      <c r="P84" s="100">
        <v>0.59</v>
      </c>
      <c r="Q84" s="100">
        <v>9.74</v>
      </c>
      <c r="R84" s="6"/>
      <c r="S84" s="6"/>
      <c r="T84" s="156"/>
      <c r="U84" s="6"/>
    </row>
    <row r="85" spans="1:21" customFormat="1">
      <c r="A85" s="163" t="s">
        <v>515</v>
      </c>
      <c r="B85" s="100">
        <v>5.68</v>
      </c>
      <c r="C85" s="100">
        <v>17.62</v>
      </c>
      <c r="D85" s="100">
        <v>13.75</v>
      </c>
      <c r="E85" s="100">
        <v>6.32</v>
      </c>
      <c r="F85" s="100">
        <v>7.0000000000000007E-2</v>
      </c>
      <c r="G85" s="100">
        <v>87.66</v>
      </c>
      <c r="H85" s="100">
        <v>35.56</v>
      </c>
      <c r="I85" s="100">
        <v>14.58</v>
      </c>
      <c r="J85" s="100">
        <v>0.2</v>
      </c>
      <c r="K85" s="100">
        <v>188.04</v>
      </c>
      <c r="L85" s="100">
        <v>22.36</v>
      </c>
      <c r="M85" s="100">
        <v>65.45</v>
      </c>
      <c r="N85" s="100">
        <v>3.5</v>
      </c>
      <c r="O85" s="100">
        <v>0</v>
      </c>
      <c r="P85" s="100">
        <v>0.6</v>
      </c>
      <c r="Q85" s="100">
        <v>9.7100000000000009</v>
      </c>
      <c r="R85" s="6"/>
      <c r="S85" s="6"/>
      <c r="T85" s="156"/>
      <c r="U85" s="6"/>
    </row>
    <row r="86" spans="1:21" customFormat="1">
      <c r="A86" s="163" t="s">
        <v>516</v>
      </c>
      <c r="B86" s="100">
        <v>6.11</v>
      </c>
      <c r="C86" s="100">
        <v>17.86</v>
      </c>
      <c r="D86" s="100">
        <v>14.24</v>
      </c>
      <c r="E86" s="100">
        <v>6.32</v>
      </c>
      <c r="F86" s="100">
        <v>0.06</v>
      </c>
      <c r="G86" s="100">
        <v>87.66</v>
      </c>
      <c r="H86" s="100">
        <v>35.56</v>
      </c>
      <c r="I86" s="100">
        <v>14.38</v>
      </c>
      <c r="J86" s="100">
        <v>0.18</v>
      </c>
      <c r="K86" s="100">
        <v>203.15</v>
      </c>
      <c r="L86" s="100">
        <v>22.11</v>
      </c>
      <c r="M86" s="100">
        <v>64.900000000000006</v>
      </c>
      <c r="N86" s="100">
        <v>3.5</v>
      </c>
      <c r="O86" s="100">
        <v>0</v>
      </c>
      <c r="P86" s="100">
        <v>0.62</v>
      </c>
      <c r="Q86" s="100">
        <v>9.76</v>
      </c>
      <c r="R86" s="6"/>
      <c r="S86" s="6"/>
      <c r="T86" s="156"/>
      <c r="U86" s="6"/>
    </row>
    <row r="87" spans="1:21" customFormat="1">
      <c r="A87" s="163" t="s">
        <v>517</v>
      </c>
      <c r="B87" s="100">
        <v>7.34</v>
      </c>
      <c r="C87" s="100">
        <v>18.21</v>
      </c>
      <c r="D87" s="100">
        <v>15.4</v>
      </c>
      <c r="E87" s="100">
        <v>6.12</v>
      </c>
      <c r="F87" s="100">
        <v>0.06</v>
      </c>
      <c r="G87" s="100">
        <v>110.65</v>
      </c>
      <c r="H87" s="100">
        <v>37.5</v>
      </c>
      <c r="I87" s="100">
        <v>14.19</v>
      </c>
      <c r="J87" s="100">
        <v>0.21</v>
      </c>
      <c r="K87" s="100">
        <v>178.75</v>
      </c>
      <c r="L87" s="100">
        <v>22.02</v>
      </c>
      <c r="M87" s="100">
        <v>65.58</v>
      </c>
      <c r="N87" s="100">
        <v>3.4</v>
      </c>
      <c r="O87" s="100">
        <v>0</v>
      </c>
      <c r="P87" s="100">
        <v>0.63</v>
      </c>
      <c r="Q87" s="100">
        <v>9.8000000000000007</v>
      </c>
      <c r="R87" s="6"/>
      <c r="S87" s="6"/>
      <c r="T87" s="156"/>
      <c r="U87" s="6"/>
    </row>
    <row r="88" spans="1:21" customFormat="1">
      <c r="A88" s="163" t="s">
        <v>518</v>
      </c>
      <c r="B88" s="100">
        <v>8.89</v>
      </c>
      <c r="C88" s="100">
        <v>18.63</v>
      </c>
      <c r="D88" s="100">
        <v>16.86</v>
      </c>
      <c r="E88" s="100">
        <v>6.5</v>
      </c>
      <c r="F88" s="100">
        <v>7.0000000000000007E-2</v>
      </c>
      <c r="G88" s="100">
        <v>111.18</v>
      </c>
      <c r="H88" s="100">
        <v>37.5</v>
      </c>
      <c r="I88" s="100">
        <v>14.24</v>
      </c>
      <c r="J88" s="100">
        <v>0.17</v>
      </c>
      <c r="K88" s="100">
        <v>201.96</v>
      </c>
      <c r="L88" s="100">
        <v>21.72</v>
      </c>
      <c r="M88" s="100">
        <v>74.400000000000006</v>
      </c>
      <c r="N88" s="100">
        <v>3.5</v>
      </c>
      <c r="O88" s="100">
        <v>0</v>
      </c>
      <c r="P88" s="100">
        <v>0.67</v>
      </c>
      <c r="Q88" s="100">
        <v>9.81</v>
      </c>
      <c r="R88" s="6"/>
      <c r="S88" s="6"/>
      <c r="T88" s="156"/>
      <c r="U88" s="6"/>
    </row>
    <row r="89" spans="1:21" customFormat="1">
      <c r="A89" s="163" t="s">
        <v>519</v>
      </c>
      <c r="B89" s="100">
        <v>10.119999999999999</v>
      </c>
      <c r="C89" s="100">
        <v>18.91</v>
      </c>
      <c r="D89" s="100">
        <v>17.989999999999998</v>
      </c>
      <c r="E89" s="100">
        <v>6.34</v>
      </c>
      <c r="F89" s="100">
        <v>7.0000000000000007E-2</v>
      </c>
      <c r="G89" s="100">
        <v>111.18</v>
      </c>
      <c r="H89" s="100">
        <v>37.5</v>
      </c>
      <c r="I89" s="100">
        <v>14.43</v>
      </c>
      <c r="J89" s="100">
        <v>0.09</v>
      </c>
      <c r="K89" s="100">
        <v>145.13</v>
      </c>
      <c r="L89" s="100">
        <v>21.6</v>
      </c>
      <c r="M89" s="100">
        <v>72.88</v>
      </c>
      <c r="N89" s="100">
        <v>3.3</v>
      </c>
      <c r="O89" s="100">
        <v>0</v>
      </c>
      <c r="P89" s="100">
        <v>0.69</v>
      </c>
      <c r="Q89" s="100">
        <v>9.7799999999999994</v>
      </c>
      <c r="R89" s="6"/>
      <c r="S89" s="6"/>
      <c r="T89" s="156"/>
      <c r="U89" s="6"/>
    </row>
    <row r="90" spans="1:21" customFormat="1">
      <c r="A90" s="163" t="s">
        <v>520</v>
      </c>
      <c r="B90" s="100">
        <v>12.32</v>
      </c>
      <c r="C90" s="100">
        <v>19.48</v>
      </c>
      <c r="D90" s="100">
        <v>20.05</v>
      </c>
      <c r="E90" s="100">
        <v>6.29</v>
      </c>
      <c r="F90" s="100">
        <v>0</v>
      </c>
      <c r="G90" s="100">
        <v>111.18</v>
      </c>
      <c r="H90" s="100">
        <v>37.5</v>
      </c>
      <c r="I90" s="100">
        <v>14.86</v>
      </c>
      <c r="J90" s="100">
        <v>0.12</v>
      </c>
      <c r="K90" s="100">
        <v>149.88</v>
      </c>
      <c r="L90" s="100">
        <v>21.95</v>
      </c>
      <c r="M90" s="100">
        <v>65.680000000000007</v>
      </c>
      <c r="N90" s="100">
        <v>3.2</v>
      </c>
      <c r="O90" s="100">
        <v>0</v>
      </c>
      <c r="P90" s="100">
        <v>0.72</v>
      </c>
      <c r="Q90" s="100">
        <v>9.76</v>
      </c>
      <c r="R90" s="6"/>
      <c r="S90" s="6"/>
      <c r="T90" s="156"/>
      <c r="U90" s="6"/>
    </row>
    <row r="91" spans="1:21" customFormat="1">
      <c r="A91" s="163" t="s">
        <v>521</v>
      </c>
      <c r="B91" s="100">
        <v>14.25</v>
      </c>
      <c r="C91" s="100">
        <v>19.82</v>
      </c>
      <c r="D91" s="100">
        <v>21.78</v>
      </c>
      <c r="E91" s="100">
        <v>6.44</v>
      </c>
      <c r="F91" s="100">
        <v>0.01</v>
      </c>
      <c r="G91" s="100">
        <v>129.43</v>
      </c>
      <c r="H91" s="100">
        <v>43.83</v>
      </c>
      <c r="I91" s="100">
        <v>15.4</v>
      </c>
      <c r="J91" s="100">
        <v>0.17</v>
      </c>
      <c r="K91" s="100">
        <v>152.97</v>
      </c>
      <c r="L91" s="100">
        <v>22</v>
      </c>
      <c r="M91" s="100">
        <v>64.02</v>
      </c>
      <c r="N91" s="100">
        <v>3.3</v>
      </c>
      <c r="O91" s="100">
        <v>0</v>
      </c>
      <c r="P91" s="100">
        <v>0.75</v>
      </c>
      <c r="Q91" s="100">
        <v>9.76</v>
      </c>
      <c r="R91" s="6"/>
      <c r="S91" s="6"/>
      <c r="T91" s="156"/>
      <c r="U91" s="6"/>
    </row>
    <row r="92" spans="1:21" customFormat="1">
      <c r="A92" s="163" t="s">
        <v>522</v>
      </c>
      <c r="B92" s="100">
        <v>15.56</v>
      </c>
      <c r="C92" s="100">
        <v>20.010000000000002</v>
      </c>
      <c r="D92" s="100">
        <v>22.94</v>
      </c>
      <c r="E92" s="100">
        <v>6.71</v>
      </c>
      <c r="F92" s="100">
        <v>0.06</v>
      </c>
      <c r="G92" s="100">
        <v>129.84</v>
      </c>
      <c r="H92" s="100">
        <v>43.83</v>
      </c>
      <c r="I92" s="100">
        <v>15.77</v>
      </c>
      <c r="J92" s="100">
        <v>0.16</v>
      </c>
      <c r="K92" s="100">
        <v>174.63</v>
      </c>
      <c r="L92" s="100">
        <v>21.69</v>
      </c>
      <c r="M92" s="100">
        <v>68.17</v>
      </c>
      <c r="N92" s="100">
        <v>3.5</v>
      </c>
      <c r="O92" s="100">
        <v>0</v>
      </c>
      <c r="P92" s="100">
        <v>0.78</v>
      </c>
      <c r="Q92" s="100">
        <v>9.7899999999999991</v>
      </c>
      <c r="R92" s="6"/>
      <c r="S92" s="6"/>
      <c r="T92" s="156"/>
      <c r="U92" s="6"/>
    </row>
    <row r="93" spans="1:21" customFormat="1">
      <c r="A93" s="163" t="s">
        <v>523</v>
      </c>
      <c r="B93" s="100">
        <v>16.78</v>
      </c>
      <c r="C93" s="100">
        <v>20.25</v>
      </c>
      <c r="D93" s="100">
        <v>24.04</v>
      </c>
      <c r="E93" s="100">
        <v>6.45</v>
      </c>
      <c r="F93" s="100">
        <v>0.02</v>
      </c>
      <c r="G93" s="100">
        <v>129.84</v>
      </c>
      <c r="H93" s="100">
        <v>43.83</v>
      </c>
      <c r="I93" s="100">
        <v>16.04</v>
      </c>
      <c r="J93" s="100">
        <v>0.3</v>
      </c>
      <c r="K93" s="100">
        <v>163.69</v>
      </c>
      <c r="L93" s="100">
        <v>21.61</v>
      </c>
      <c r="M93" s="100">
        <v>70.760000000000005</v>
      </c>
      <c r="N93" s="100">
        <v>3.3</v>
      </c>
      <c r="O93" s="100">
        <v>0</v>
      </c>
      <c r="P93" s="100">
        <v>0.81</v>
      </c>
      <c r="Q93" s="100">
        <v>9.74</v>
      </c>
      <c r="R93" s="6"/>
      <c r="S93" s="6"/>
      <c r="T93" s="156"/>
      <c r="U93" s="6"/>
    </row>
    <row r="94" spans="1:21" customFormat="1">
      <c r="A94" s="163" t="s">
        <v>524</v>
      </c>
      <c r="B94" s="100">
        <v>17.739999999999998</v>
      </c>
      <c r="C94" s="100">
        <v>20.21</v>
      </c>
      <c r="D94" s="100">
        <v>24.78</v>
      </c>
      <c r="E94" s="100">
        <v>6.63</v>
      </c>
      <c r="F94" s="100">
        <v>0.01</v>
      </c>
      <c r="G94" s="100">
        <v>129.84</v>
      </c>
      <c r="H94" s="100">
        <v>43.83</v>
      </c>
      <c r="I94" s="100">
        <v>16.29</v>
      </c>
      <c r="J94" s="100">
        <v>0.17</v>
      </c>
      <c r="K94" s="100">
        <v>174.04</v>
      </c>
      <c r="L94" s="100">
        <v>21.11</v>
      </c>
      <c r="M94" s="100">
        <v>78.69</v>
      </c>
      <c r="N94" s="100">
        <v>3.6</v>
      </c>
      <c r="O94" s="100">
        <v>0</v>
      </c>
      <c r="P94" s="100">
        <v>0.84</v>
      </c>
      <c r="Q94" s="100">
        <v>9.75</v>
      </c>
      <c r="R94" s="6"/>
      <c r="S94" s="6"/>
      <c r="T94" s="156"/>
      <c r="U94" s="6"/>
    </row>
    <row r="95" spans="1:21" customFormat="1">
      <c r="A95" s="163" t="s">
        <v>525</v>
      </c>
      <c r="B95" s="100">
        <v>18.600000000000001</v>
      </c>
      <c r="C95" s="100">
        <v>20.3</v>
      </c>
      <c r="D95" s="100">
        <v>25.52</v>
      </c>
      <c r="E95" s="100">
        <v>6.87</v>
      </c>
      <c r="F95" s="100">
        <v>0.02</v>
      </c>
      <c r="G95" s="100">
        <v>146.26</v>
      </c>
      <c r="H95" s="100">
        <v>46.48</v>
      </c>
      <c r="I95" s="100">
        <v>16.61</v>
      </c>
      <c r="J95" s="100">
        <v>0.11</v>
      </c>
      <c r="K95" s="100">
        <v>142.27000000000001</v>
      </c>
      <c r="L95" s="100">
        <v>21.11</v>
      </c>
      <c r="M95" s="100">
        <v>70.22</v>
      </c>
      <c r="N95" s="100">
        <v>3.5</v>
      </c>
      <c r="O95" s="100">
        <v>0</v>
      </c>
      <c r="P95" s="100">
        <v>0.87</v>
      </c>
      <c r="Q95" s="100">
        <v>9.75</v>
      </c>
      <c r="R95" s="6"/>
      <c r="S95" s="6"/>
      <c r="T95" s="156"/>
      <c r="U95" s="6"/>
    </row>
    <row r="96" spans="1:21" customFormat="1">
      <c r="A96" s="163" t="s">
        <v>526</v>
      </c>
      <c r="B96" s="100">
        <v>19.54</v>
      </c>
      <c r="C96" s="100">
        <v>20.58</v>
      </c>
      <c r="D96" s="100">
        <v>26.42</v>
      </c>
      <c r="E96" s="100">
        <v>6.55</v>
      </c>
      <c r="F96" s="100">
        <v>0.04</v>
      </c>
      <c r="G96" s="100">
        <v>146.63999999999999</v>
      </c>
      <c r="H96" s="100">
        <v>46.48</v>
      </c>
      <c r="I96" s="100">
        <v>16.98</v>
      </c>
      <c r="J96" s="100">
        <v>0.23</v>
      </c>
      <c r="K96" s="100">
        <v>173.84</v>
      </c>
      <c r="L96" s="100">
        <v>21.32</v>
      </c>
      <c r="M96" s="100">
        <v>69.62</v>
      </c>
      <c r="N96" s="100">
        <v>3.3</v>
      </c>
      <c r="O96" s="100">
        <v>0</v>
      </c>
      <c r="P96" s="100">
        <v>0.9</v>
      </c>
      <c r="Q96" s="100">
        <v>9.73</v>
      </c>
      <c r="R96" s="6"/>
      <c r="S96" s="6"/>
      <c r="T96" s="156"/>
      <c r="U96" s="6"/>
    </row>
    <row r="97" spans="1:28" customFormat="1">
      <c r="A97" s="163" t="s">
        <v>527</v>
      </c>
      <c r="B97" s="100">
        <v>19.940000000000001</v>
      </c>
      <c r="C97" s="100">
        <v>20.48</v>
      </c>
      <c r="D97" s="100">
        <v>26.69</v>
      </c>
      <c r="E97" s="100">
        <v>6.34</v>
      </c>
      <c r="F97" s="100">
        <v>0</v>
      </c>
      <c r="G97" s="100">
        <v>146.63999999999999</v>
      </c>
      <c r="H97" s="100">
        <v>46.48</v>
      </c>
      <c r="I97" s="100">
        <v>17.3</v>
      </c>
      <c r="J97" s="100">
        <v>0.2</v>
      </c>
      <c r="K97" s="100">
        <v>167.63</v>
      </c>
      <c r="L97" s="100">
        <v>20.67</v>
      </c>
      <c r="M97" s="100">
        <v>77.489999999999995</v>
      </c>
      <c r="N97" s="100">
        <v>3.6</v>
      </c>
      <c r="O97" s="100">
        <v>0</v>
      </c>
      <c r="P97" s="100">
        <v>0.91</v>
      </c>
      <c r="Q97" s="100">
        <v>9.7200000000000006</v>
      </c>
      <c r="R97" s="6"/>
      <c r="S97" s="6"/>
      <c r="T97" s="156"/>
      <c r="U97" s="6"/>
    </row>
    <row r="98" spans="1:28" customFormat="1">
      <c r="A98" s="163" t="s">
        <v>528</v>
      </c>
      <c r="B98" s="100">
        <v>20.23</v>
      </c>
      <c r="C98" s="100">
        <v>20.329999999999998</v>
      </c>
      <c r="D98" s="100">
        <v>26.84</v>
      </c>
      <c r="E98" s="100">
        <v>6.49</v>
      </c>
      <c r="F98" s="100">
        <v>0.06</v>
      </c>
      <c r="G98" s="100">
        <v>146.63999999999999</v>
      </c>
      <c r="H98" s="100">
        <v>46.48</v>
      </c>
      <c r="I98" s="100">
        <v>17.559999999999999</v>
      </c>
      <c r="J98" s="100">
        <v>0.17</v>
      </c>
      <c r="K98" s="100">
        <v>144.24</v>
      </c>
      <c r="L98" s="100">
        <v>20.64</v>
      </c>
      <c r="M98" s="100">
        <v>74.459999999999994</v>
      </c>
      <c r="N98" s="100">
        <v>3.4</v>
      </c>
      <c r="O98" s="100">
        <v>0</v>
      </c>
      <c r="P98" s="100">
        <v>0.93</v>
      </c>
      <c r="Q98" s="100">
        <v>9.76</v>
      </c>
      <c r="R98" s="6"/>
      <c r="S98" s="6"/>
      <c r="T98" s="156"/>
      <c r="U98" s="6"/>
    </row>
    <row r="99" spans="1:28" customFormat="1">
      <c r="A99" s="163" t="s">
        <v>529</v>
      </c>
      <c r="B99" s="100">
        <v>20.55</v>
      </c>
      <c r="C99" s="100">
        <v>20.25</v>
      </c>
      <c r="D99" s="100">
        <v>27.06</v>
      </c>
      <c r="E99" s="100">
        <v>6.7</v>
      </c>
      <c r="F99" s="100">
        <v>0.09</v>
      </c>
      <c r="G99" s="100">
        <v>144.08000000000001</v>
      </c>
      <c r="H99" s="100">
        <v>51.13</v>
      </c>
      <c r="I99" s="100">
        <v>17.71</v>
      </c>
      <c r="J99" s="100">
        <v>0.16</v>
      </c>
      <c r="K99" s="100">
        <v>100.81</v>
      </c>
      <c r="L99" s="100">
        <v>20.76</v>
      </c>
      <c r="M99" s="100">
        <v>66.58</v>
      </c>
      <c r="N99" s="100">
        <v>3.1</v>
      </c>
      <c r="O99" s="100">
        <v>0</v>
      </c>
      <c r="P99" s="100">
        <v>0.94</v>
      </c>
      <c r="Q99" s="100">
        <v>9.77</v>
      </c>
      <c r="R99" s="6"/>
      <c r="S99" s="6"/>
      <c r="T99" s="156"/>
      <c r="U99" s="6"/>
    </row>
    <row r="100" spans="1:28" customFormat="1">
      <c r="A100" s="163" t="s">
        <v>530</v>
      </c>
      <c r="B100" s="100">
        <v>20.75</v>
      </c>
      <c r="C100" s="100">
        <v>19.96</v>
      </c>
      <c r="D100" s="100">
        <v>27.07</v>
      </c>
      <c r="E100" s="100">
        <v>6.44</v>
      </c>
      <c r="F100" s="100">
        <v>0.32</v>
      </c>
      <c r="G100" s="100">
        <v>144.02000000000001</v>
      </c>
      <c r="H100" s="100">
        <v>51.13</v>
      </c>
      <c r="I100" s="100">
        <v>17.79</v>
      </c>
      <c r="J100" s="100">
        <v>0.16</v>
      </c>
      <c r="K100" s="100">
        <v>97.98</v>
      </c>
      <c r="L100" s="100">
        <v>21.1</v>
      </c>
      <c r="M100" s="100">
        <v>59.06</v>
      </c>
      <c r="N100" s="100">
        <v>3.2</v>
      </c>
      <c r="O100" s="100">
        <v>0</v>
      </c>
      <c r="P100" s="100">
        <v>0.94</v>
      </c>
      <c r="Q100" s="100">
        <v>9.74</v>
      </c>
      <c r="R100" s="6"/>
      <c r="S100" s="6"/>
      <c r="T100" s="156"/>
      <c r="U100" s="6"/>
      <c r="AB100" s="161"/>
    </row>
    <row r="101" spans="1:28" customFormat="1">
      <c r="A101" s="163" t="s">
        <v>531</v>
      </c>
      <c r="B101" s="100">
        <v>20.83</v>
      </c>
      <c r="C101" s="100">
        <v>19.72</v>
      </c>
      <c r="D101" s="100">
        <v>27</v>
      </c>
      <c r="E101" s="100">
        <v>6.5</v>
      </c>
      <c r="F101" s="100">
        <v>0.2</v>
      </c>
      <c r="G101" s="100">
        <v>144.02000000000001</v>
      </c>
      <c r="H101" s="100">
        <v>51.13</v>
      </c>
      <c r="I101" s="100">
        <v>17.77</v>
      </c>
      <c r="J101" s="100">
        <v>0.13</v>
      </c>
      <c r="K101" s="100">
        <v>132.88999999999999</v>
      </c>
      <c r="L101" s="100">
        <v>21.07</v>
      </c>
      <c r="M101" s="100">
        <v>57.7</v>
      </c>
      <c r="N101" s="100">
        <v>3.2</v>
      </c>
      <c r="O101" s="100">
        <v>0</v>
      </c>
      <c r="P101" s="100">
        <v>0.94</v>
      </c>
      <c r="Q101" s="100">
        <v>9.6999999999999993</v>
      </c>
      <c r="R101" s="6"/>
      <c r="S101" s="6"/>
      <c r="T101" s="156"/>
      <c r="U101" s="6"/>
    </row>
    <row r="102" spans="1:28" customFormat="1">
      <c r="A102" s="163" t="s">
        <v>532</v>
      </c>
      <c r="B102" s="100">
        <v>20.92</v>
      </c>
      <c r="C102" s="100">
        <v>19.579999999999998</v>
      </c>
      <c r="D102" s="100">
        <v>27</v>
      </c>
      <c r="E102" s="100">
        <v>6.52</v>
      </c>
      <c r="F102" s="100">
        <v>0.09</v>
      </c>
      <c r="G102" s="100">
        <v>144.02000000000001</v>
      </c>
      <c r="H102" s="100">
        <v>51.13</v>
      </c>
      <c r="I102" s="100">
        <v>17.62</v>
      </c>
      <c r="J102" s="100">
        <v>0.15</v>
      </c>
      <c r="K102" s="100">
        <v>116.25</v>
      </c>
      <c r="L102" s="100">
        <v>21.02</v>
      </c>
      <c r="M102" s="100">
        <v>55.74</v>
      </c>
      <c r="N102" s="100">
        <v>3.2</v>
      </c>
      <c r="O102" s="100">
        <v>0</v>
      </c>
      <c r="P102" s="100">
        <v>0.94</v>
      </c>
      <c r="Q102" s="100">
        <v>9.75</v>
      </c>
      <c r="R102" s="6"/>
      <c r="S102" s="6"/>
      <c r="T102" s="156"/>
      <c r="U102" s="6"/>
    </row>
    <row r="103" spans="1:28" customFormat="1">
      <c r="A103" s="163" t="s">
        <v>533</v>
      </c>
      <c r="B103" s="100">
        <v>21.02</v>
      </c>
      <c r="C103" s="100">
        <v>19.45</v>
      </c>
      <c r="D103" s="100">
        <v>27.02</v>
      </c>
      <c r="E103" s="100">
        <v>6.41</v>
      </c>
      <c r="F103" s="100">
        <v>7.0000000000000007E-2</v>
      </c>
      <c r="G103" s="100">
        <v>125.07</v>
      </c>
      <c r="H103" s="100">
        <v>48.63</v>
      </c>
      <c r="I103" s="100">
        <v>17.440000000000001</v>
      </c>
      <c r="J103" s="100">
        <v>7.0000000000000007E-2</v>
      </c>
      <c r="K103" s="100">
        <v>181.3</v>
      </c>
      <c r="L103" s="100">
        <v>20.95</v>
      </c>
      <c r="M103" s="100">
        <v>56.2</v>
      </c>
      <c r="N103" s="100">
        <v>3.4</v>
      </c>
      <c r="O103" s="100">
        <v>0</v>
      </c>
      <c r="P103" s="100">
        <v>0.93</v>
      </c>
      <c r="Q103" s="100">
        <v>9.77</v>
      </c>
      <c r="R103" s="6"/>
      <c r="S103" s="6"/>
      <c r="T103" s="156"/>
      <c r="U103" s="6"/>
    </row>
    <row r="104" spans="1:28" customFormat="1">
      <c r="A104" s="163" t="s">
        <v>534</v>
      </c>
      <c r="B104" s="100">
        <v>20.74</v>
      </c>
      <c r="C104" s="100">
        <v>19.260000000000002</v>
      </c>
      <c r="D104" s="100">
        <v>26.7</v>
      </c>
      <c r="E104" s="100">
        <v>6.48</v>
      </c>
      <c r="F104" s="100">
        <v>0.16</v>
      </c>
      <c r="G104" s="100">
        <v>124.64</v>
      </c>
      <c r="H104" s="100">
        <v>48.63</v>
      </c>
      <c r="I104" s="100">
        <v>17.23</v>
      </c>
      <c r="J104" s="100">
        <v>0.21</v>
      </c>
      <c r="K104" s="100">
        <v>229.81</v>
      </c>
      <c r="L104" s="100">
        <v>19.690000000000001</v>
      </c>
      <c r="M104" s="100">
        <v>69.319999999999993</v>
      </c>
      <c r="N104" s="100">
        <v>3.9</v>
      </c>
      <c r="O104" s="100">
        <v>0</v>
      </c>
      <c r="P104" s="100">
        <v>0.91</v>
      </c>
      <c r="Q104" s="100">
        <v>9.75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3.88</v>
      </c>
      <c r="C106" s="158">
        <f>MIN(C9:C104)</f>
        <v>14.53</v>
      </c>
      <c r="D106" s="158">
        <f t="shared" ref="D106:Q106" si="0">MIN(D9:D104)</f>
        <v>11.44</v>
      </c>
      <c r="E106" s="158">
        <f t="shared" si="0"/>
        <v>4.38</v>
      </c>
      <c r="F106" s="158">
        <f t="shared" si="0"/>
        <v>0</v>
      </c>
      <c r="G106" s="158">
        <f t="shared" si="0"/>
        <v>56.52</v>
      </c>
      <c r="H106" s="158">
        <f t="shared" si="0"/>
        <v>30.4</v>
      </c>
      <c r="I106" s="158">
        <f t="shared" si="0"/>
        <v>9.4700000000000006</v>
      </c>
      <c r="J106" s="158">
        <f t="shared" si="0"/>
        <v>0.02</v>
      </c>
      <c r="K106" s="158">
        <f t="shared" si="0"/>
        <v>7.56</v>
      </c>
      <c r="L106" s="158">
        <f t="shared" si="0"/>
        <v>17.649999999999999</v>
      </c>
      <c r="M106" s="158">
        <f t="shared" si="0"/>
        <v>28.71</v>
      </c>
      <c r="N106" s="158">
        <f t="shared" si="0"/>
        <v>2.6</v>
      </c>
      <c r="O106" s="158">
        <f t="shared" si="0"/>
        <v>0</v>
      </c>
      <c r="P106" s="158">
        <f t="shared" si="0"/>
        <v>0.52</v>
      </c>
      <c r="Q106" s="158">
        <f t="shared" si="0"/>
        <v>9.31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21.75</v>
      </c>
      <c r="C107" s="157">
        <f t="shared" ref="C107:Q107" si="1">MAX(C9:C104)</f>
        <v>21.34</v>
      </c>
      <c r="D107" s="157">
        <f t="shared" si="1"/>
        <v>27.07</v>
      </c>
      <c r="E107" s="157">
        <f t="shared" si="1"/>
        <v>8.36</v>
      </c>
      <c r="F107" s="157">
        <f t="shared" si="1"/>
        <v>7.39</v>
      </c>
      <c r="G107" s="157">
        <f t="shared" si="1"/>
        <v>146.63999999999999</v>
      </c>
      <c r="H107" s="157">
        <f t="shared" si="1"/>
        <v>52.07</v>
      </c>
      <c r="I107" s="157">
        <f t="shared" si="1"/>
        <v>17.79</v>
      </c>
      <c r="J107" s="157">
        <f t="shared" si="1"/>
        <v>1.42</v>
      </c>
      <c r="K107" s="157">
        <f t="shared" si="1"/>
        <v>304.16000000000003</v>
      </c>
      <c r="L107" s="157">
        <f t="shared" si="1"/>
        <v>30.08</v>
      </c>
      <c r="M107" s="157">
        <f t="shared" si="1"/>
        <v>92.63</v>
      </c>
      <c r="N107" s="157">
        <f t="shared" si="1"/>
        <v>531.9</v>
      </c>
      <c r="O107" s="157">
        <f t="shared" si="1"/>
        <v>0</v>
      </c>
      <c r="P107" s="157">
        <f t="shared" si="1"/>
        <v>0.94</v>
      </c>
      <c r="Q107" s="157">
        <f t="shared" si="1"/>
        <v>9.81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13.466249999999995</v>
      </c>
      <c r="C108" s="158">
        <f t="shared" ref="C108:Q108" si="2">AVERAGE(C9:C104)</f>
        <v>17.817812500000002</v>
      </c>
      <c r="D108" s="158">
        <f t="shared" si="2"/>
        <v>20.107499999999998</v>
      </c>
      <c r="E108" s="158">
        <f t="shared" si="2"/>
        <v>6.1762500000000022</v>
      </c>
      <c r="F108" s="158">
        <f t="shared" si="2"/>
        <v>1.0284374999999997</v>
      </c>
      <c r="G108" s="158">
        <f t="shared" si="2"/>
        <v>92.177291666666704</v>
      </c>
      <c r="H108" s="158">
        <f t="shared" si="2"/>
        <v>42.516458333333311</v>
      </c>
      <c r="I108" s="158">
        <f t="shared" si="2"/>
        <v>13.034479166666666</v>
      </c>
      <c r="J108" s="158">
        <f t="shared" si="2"/>
        <v>0.42614583333333306</v>
      </c>
      <c r="K108" s="158">
        <f t="shared" si="2"/>
        <v>109.51395833333328</v>
      </c>
      <c r="L108" s="158">
        <f t="shared" si="2"/>
        <v>23.129583333333333</v>
      </c>
      <c r="M108" s="158">
        <f t="shared" si="2"/>
        <v>62.454479166666651</v>
      </c>
      <c r="N108" s="158">
        <f t="shared" si="2"/>
        <v>103.08333333333336</v>
      </c>
      <c r="O108" s="158">
        <f t="shared" si="2"/>
        <v>0</v>
      </c>
      <c r="P108" s="158">
        <f t="shared" si="2"/>
        <v>0.74770833333333353</v>
      </c>
      <c r="Q108" s="158">
        <f t="shared" si="2"/>
        <v>9.5123958333333327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6.4687566933603895</v>
      </c>
      <c r="C109" s="158">
        <f t="shared" ref="C109:Q109" si="3">STDEV(C9:C104)</f>
        <v>1.8781111469407459</v>
      </c>
      <c r="D109" s="158">
        <f t="shared" si="3"/>
        <v>5.2356981136083753</v>
      </c>
      <c r="E109" s="158">
        <f t="shared" si="3"/>
        <v>0.96529706362995138</v>
      </c>
      <c r="F109" s="158">
        <f t="shared" si="3"/>
        <v>1.848523922157751</v>
      </c>
      <c r="G109" s="158">
        <f t="shared" si="3"/>
        <v>24.691276937376877</v>
      </c>
      <c r="H109" s="158">
        <f t="shared" si="3"/>
        <v>7.8558037518589927</v>
      </c>
      <c r="I109" s="158">
        <f t="shared" si="3"/>
        <v>2.3545726485832081</v>
      </c>
      <c r="J109" s="158">
        <f t="shared" si="3"/>
        <v>0.35264525127330748</v>
      </c>
      <c r="K109" s="158">
        <f t="shared" si="3"/>
        <v>72.927341324003677</v>
      </c>
      <c r="L109" s="158">
        <f t="shared" si="3"/>
        <v>4.1962765240945012</v>
      </c>
      <c r="M109" s="158">
        <f t="shared" si="3"/>
        <v>21.972374994155146</v>
      </c>
      <c r="N109" s="158">
        <f t="shared" si="3"/>
        <v>169.00399912220496</v>
      </c>
      <c r="O109" s="158">
        <f t="shared" si="3"/>
        <v>0</v>
      </c>
      <c r="P109" s="158">
        <f t="shared" si="3"/>
        <v>0.13219984207862953</v>
      </c>
      <c r="Q109" s="158">
        <f t="shared" si="3"/>
        <v>0.19218272440935855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91" sqref="F91:F9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535</v>
      </c>
      <c r="B9" s="100">
        <v>20.059999999999999</v>
      </c>
      <c r="C9" s="100">
        <v>18.059999999999999</v>
      </c>
      <c r="D9" s="100">
        <v>25.52</v>
      </c>
      <c r="E9" s="100">
        <v>6.43</v>
      </c>
      <c r="F9" s="100">
        <v>7.0000000000000007E-2</v>
      </c>
      <c r="G9" s="100">
        <v>124.64</v>
      </c>
      <c r="H9" s="100">
        <v>48.63</v>
      </c>
      <c r="I9" s="100">
        <v>16.93</v>
      </c>
      <c r="J9" s="100">
        <v>0.13</v>
      </c>
      <c r="K9" s="100">
        <v>236.61</v>
      </c>
      <c r="L9" s="100">
        <v>19.07</v>
      </c>
      <c r="M9" s="100">
        <v>70.290000000000006</v>
      </c>
      <c r="N9" s="100">
        <v>3.6</v>
      </c>
      <c r="O9" s="100">
        <v>0</v>
      </c>
      <c r="P9" s="100">
        <v>0.9</v>
      </c>
      <c r="Q9" s="100">
        <v>9.8000000000000007</v>
      </c>
      <c r="R9" s="6"/>
      <c r="S9" s="6"/>
      <c r="T9" s="156"/>
      <c r="U9" s="6"/>
    </row>
    <row r="10" spans="1:21" customFormat="1">
      <c r="A10" s="163" t="s">
        <v>536</v>
      </c>
      <c r="B10" s="100">
        <v>20.399999999999999</v>
      </c>
      <c r="C10" s="100">
        <v>18.54</v>
      </c>
      <c r="D10" s="100">
        <v>26.05</v>
      </c>
      <c r="E10" s="100">
        <v>6.25</v>
      </c>
      <c r="F10" s="100">
        <v>0.03</v>
      </c>
      <c r="G10" s="100">
        <v>124.64</v>
      </c>
      <c r="H10" s="100">
        <v>48.63</v>
      </c>
      <c r="I10" s="100">
        <v>16.61</v>
      </c>
      <c r="J10" s="100">
        <v>0.37</v>
      </c>
      <c r="K10" s="100">
        <v>46.31</v>
      </c>
      <c r="L10" s="100">
        <v>19.32</v>
      </c>
      <c r="M10" s="100">
        <v>64.56</v>
      </c>
      <c r="N10" s="100">
        <v>2.8</v>
      </c>
      <c r="O10" s="100">
        <v>0</v>
      </c>
      <c r="P10" s="100">
        <v>0.89</v>
      </c>
      <c r="Q10" s="100">
        <v>9.85</v>
      </c>
      <c r="R10" s="6"/>
      <c r="S10" s="6"/>
      <c r="T10" s="156"/>
      <c r="U10" s="6"/>
    </row>
    <row r="11" spans="1:21" customFormat="1">
      <c r="A11" s="163" t="s">
        <v>537</v>
      </c>
      <c r="B11" s="100">
        <v>21.41</v>
      </c>
      <c r="C11" s="100">
        <v>18.87</v>
      </c>
      <c r="D11" s="100">
        <v>27.03</v>
      </c>
      <c r="E11" s="100">
        <v>6.56</v>
      </c>
      <c r="F11" s="100">
        <v>0.12</v>
      </c>
      <c r="G11" s="100">
        <v>98.43</v>
      </c>
      <c r="H11" s="100">
        <v>43.78</v>
      </c>
      <c r="I11" s="100">
        <v>16.34</v>
      </c>
      <c r="J11" s="100">
        <v>0.46</v>
      </c>
      <c r="K11" s="100">
        <v>38.92</v>
      </c>
      <c r="L11" s="100">
        <v>20.21</v>
      </c>
      <c r="M11" s="100">
        <v>55.9</v>
      </c>
      <c r="N11" s="100">
        <v>2.4</v>
      </c>
      <c r="O11" s="100">
        <v>0</v>
      </c>
      <c r="P11" s="100">
        <v>0.87</v>
      </c>
      <c r="Q11" s="100">
        <v>9.85</v>
      </c>
      <c r="R11" s="6"/>
      <c r="S11" s="6"/>
      <c r="T11" s="156"/>
      <c r="U11" s="6"/>
    </row>
    <row r="12" spans="1:21" customFormat="1">
      <c r="A12" s="163" t="s">
        <v>538</v>
      </c>
      <c r="B12" s="100">
        <v>21.74</v>
      </c>
      <c r="C12" s="100">
        <v>19</v>
      </c>
      <c r="D12" s="100">
        <v>27.36</v>
      </c>
      <c r="E12" s="100">
        <v>6.32</v>
      </c>
      <c r="F12" s="100">
        <v>0.04</v>
      </c>
      <c r="G12" s="100">
        <v>97.84</v>
      </c>
      <c r="H12" s="100">
        <v>43.78</v>
      </c>
      <c r="I12" s="100">
        <v>16.13</v>
      </c>
      <c r="J12" s="100">
        <v>0.44</v>
      </c>
      <c r="K12" s="100">
        <v>45.73</v>
      </c>
      <c r="L12" s="100">
        <v>20.29</v>
      </c>
      <c r="M12" s="100">
        <v>54.97</v>
      </c>
      <c r="N12" s="100">
        <v>3.1</v>
      </c>
      <c r="O12" s="100">
        <v>0</v>
      </c>
      <c r="P12" s="100">
        <v>0.86</v>
      </c>
      <c r="Q12" s="100">
        <v>9.86</v>
      </c>
      <c r="R12" s="6"/>
      <c r="S12" s="6"/>
      <c r="T12" s="156"/>
      <c r="U12" s="6"/>
    </row>
    <row r="13" spans="1:21" customFormat="1">
      <c r="A13" s="163" t="s">
        <v>539</v>
      </c>
      <c r="B13" s="100">
        <v>21.64</v>
      </c>
      <c r="C13" s="100">
        <v>19</v>
      </c>
      <c r="D13" s="100">
        <v>27.28</v>
      </c>
      <c r="E13" s="100">
        <v>6.22</v>
      </c>
      <c r="F13" s="100">
        <v>0.02</v>
      </c>
      <c r="G13" s="100">
        <v>97.84</v>
      </c>
      <c r="H13" s="100">
        <v>43.78</v>
      </c>
      <c r="I13" s="100">
        <v>15.87</v>
      </c>
      <c r="J13" s="100">
        <v>0.35</v>
      </c>
      <c r="K13" s="100">
        <v>44.15</v>
      </c>
      <c r="L13" s="100">
        <v>20.059999999999999</v>
      </c>
      <c r="M13" s="100">
        <v>55.96</v>
      </c>
      <c r="N13" s="100">
        <v>3.4</v>
      </c>
      <c r="O13" s="100">
        <v>0</v>
      </c>
      <c r="P13" s="100">
        <v>0.85</v>
      </c>
      <c r="Q13" s="100">
        <v>10.91</v>
      </c>
      <c r="R13" s="6"/>
      <c r="S13" s="6"/>
      <c r="T13" s="156"/>
      <c r="U13" s="6"/>
    </row>
    <row r="14" spans="1:21" customFormat="1">
      <c r="A14" s="163" t="s">
        <v>540</v>
      </c>
      <c r="B14" s="100">
        <v>21.45</v>
      </c>
      <c r="C14" s="100">
        <v>18.88</v>
      </c>
      <c r="D14" s="100">
        <v>27.07</v>
      </c>
      <c r="E14" s="100">
        <v>6.14</v>
      </c>
      <c r="F14" s="100">
        <v>0.02</v>
      </c>
      <c r="G14" s="100">
        <v>97.84</v>
      </c>
      <c r="H14" s="100">
        <v>43.78</v>
      </c>
      <c r="I14" s="100">
        <v>15.62</v>
      </c>
      <c r="J14" s="100">
        <v>0.42</v>
      </c>
      <c r="K14" s="100">
        <v>39.58</v>
      </c>
      <c r="L14" s="100">
        <v>19.77</v>
      </c>
      <c r="M14" s="100">
        <v>57.18</v>
      </c>
      <c r="N14" s="100">
        <v>3.4</v>
      </c>
      <c r="O14" s="100">
        <v>0</v>
      </c>
      <c r="P14" s="100">
        <v>0.83</v>
      </c>
      <c r="Q14" s="100">
        <v>11</v>
      </c>
      <c r="R14" s="6"/>
      <c r="S14" s="6"/>
      <c r="T14" s="156"/>
      <c r="U14" s="6"/>
    </row>
    <row r="15" spans="1:21" customFormat="1">
      <c r="A15" s="163" t="s">
        <v>541</v>
      </c>
      <c r="B15" s="100">
        <v>21.25</v>
      </c>
      <c r="C15" s="100">
        <v>18.55</v>
      </c>
      <c r="D15" s="100">
        <v>26.73</v>
      </c>
      <c r="E15" s="100">
        <v>6.02</v>
      </c>
      <c r="F15" s="100">
        <v>0.11</v>
      </c>
      <c r="G15" s="100">
        <v>82.88</v>
      </c>
      <c r="H15" s="100">
        <v>41.91</v>
      </c>
      <c r="I15" s="100">
        <v>15.32</v>
      </c>
      <c r="J15" s="100">
        <v>0.43</v>
      </c>
      <c r="K15" s="100">
        <v>32.44</v>
      </c>
      <c r="L15" s="100">
        <v>19.760000000000002</v>
      </c>
      <c r="M15" s="100">
        <v>56.52</v>
      </c>
      <c r="N15" s="100">
        <v>3.1</v>
      </c>
      <c r="O15" s="100">
        <v>0</v>
      </c>
      <c r="P15" s="100">
        <v>0.81</v>
      </c>
      <c r="Q15" s="100">
        <v>10.18</v>
      </c>
      <c r="R15" s="6"/>
      <c r="S15" s="6"/>
      <c r="T15" s="156"/>
      <c r="U15" s="6"/>
    </row>
    <row r="16" spans="1:21" customFormat="1">
      <c r="A16" s="163" t="s">
        <v>542</v>
      </c>
      <c r="B16" s="100">
        <v>21.06</v>
      </c>
      <c r="C16" s="100">
        <v>18.41</v>
      </c>
      <c r="D16" s="100">
        <v>26.51</v>
      </c>
      <c r="E16" s="100">
        <v>5.95</v>
      </c>
      <c r="F16" s="100">
        <v>0.04</v>
      </c>
      <c r="G16" s="100">
        <v>82.54</v>
      </c>
      <c r="H16" s="100">
        <v>41.91</v>
      </c>
      <c r="I16" s="100">
        <v>15.01</v>
      </c>
      <c r="J16" s="100">
        <v>0.3</v>
      </c>
      <c r="K16" s="100">
        <v>38.86</v>
      </c>
      <c r="L16" s="100">
        <v>19.63</v>
      </c>
      <c r="M16" s="100">
        <v>57.16</v>
      </c>
      <c r="N16" s="100">
        <v>3.4</v>
      </c>
      <c r="O16" s="100">
        <v>0</v>
      </c>
      <c r="P16" s="100">
        <v>0.8</v>
      </c>
      <c r="Q16" s="100">
        <v>9.94</v>
      </c>
      <c r="R16" s="6"/>
      <c r="S16" s="6"/>
      <c r="T16" s="156"/>
      <c r="U16" s="6"/>
    </row>
    <row r="17" spans="1:21" customFormat="1">
      <c r="A17" s="163" t="s">
        <v>543</v>
      </c>
      <c r="B17" s="100">
        <v>20.94</v>
      </c>
      <c r="C17" s="100">
        <v>18.3</v>
      </c>
      <c r="D17" s="100">
        <v>26.36</v>
      </c>
      <c r="E17" s="100">
        <v>5.52</v>
      </c>
      <c r="F17" s="100">
        <v>0.02</v>
      </c>
      <c r="G17" s="100">
        <v>82.54</v>
      </c>
      <c r="H17" s="100">
        <v>41.91</v>
      </c>
      <c r="I17" s="100">
        <v>14.8</v>
      </c>
      <c r="J17" s="100">
        <v>0.26</v>
      </c>
      <c r="K17" s="100">
        <v>39.58</v>
      </c>
      <c r="L17" s="100">
        <v>19.29</v>
      </c>
      <c r="M17" s="100">
        <v>59.71</v>
      </c>
      <c r="N17" s="100">
        <v>3.5</v>
      </c>
      <c r="O17" s="100">
        <v>0</v>
      </c>
      <c r="P17" s="100">
        <v>0.8</v>
      </c>
      <c r="Q17" s="100">
        <v>9.91</v>
      </c>
      <c r="R17" s="6"/>
      <c r="S17" s="6"/>
      <c r="T17" s="156"/>
      <c r="U17" s="6"/>
    </row>
    <row r="18" spans="1:21" customFormat="1">
      <c r="A18" s="163" t="s">
        <v>544</v>
      </c>
      <c r="B18" s="100">
        <v>20.68</v>
      </c>
      <c r="C18" s="100">
        <v>18.059999999999999</v>
      </c>
      <c r="D18" s="100">
        <v>26.02</v>
      </c>
      <c r="E18" s="100">
        <v>6.23</v>
      </c>
      <c r="F18" s="100">
        <v>0.03</v>
      </c>
      <c r="G18" s="100">
        <v>82.54</v>
      </c>
      <c r="H18" s="100">
        <v>41.91</v>
      </c>
      <c r="I18" s="100">
        <v>14.56</v>
      </c>
      <c r="J18" s="100">
        <v>0.45</v>
      </c>
      <c r="K18" s="100">
        <v>25.87</v>
      </c>
      <c r="L18" s="100">
        <v>19.059999999999999</v>
      </c>
      <c r="M18" s="100">
        <v>60.15</v>
      </c>
      <c r="N18" s="100">
        <v>3.3</v>
      </c>
      <c r="O18" s="100">
        <v>0</v>
      </c>
      <c r="P18" s="100">
        <v>0.78</v>
      </c>
      <c r="Q18" s="100">
        <v>9.8699999999999992</v>
      </c>
      <c r="R18" s="6"/>
      <c r="S18" s="6"/>
      <c r="T18" s="156"/>
      <c r="U18" s="6"/>
    </row>
    <row r="19" spans="1:21" customFormat="1">
      <c r="A19" s="163" t="s">
        <v>545</v>
      </c>
      <c r="B19" s="100">
        <v>20.39</v>
      </c>
      <c r="C19" s="100">
        <v>18.010000000000002</v>
      </c>
      <c r="D19" s="100">
        <v>25.76</v>
      </c>
      <c r="E19" s="100">
        <v>6.25</v>
      </c>
      <c r="F19" s="100">
        <v>0.01</v>
      </c>
      <c r="G19" s="100">
        <v>85.65</v>
      </c>
      <c r="H19" s="100">
        <v>39.909999999999997</v>
      </c>
      <c r="I19" s="100">
        <v>14.35</v>
      </c>
      <c r="J19" s="100">
        <v>0.4</v>
      </c>
      <c r="K19" s="100">
        <v>23.4</v>
      </c>
      <c r="L19" s="100">
        <v>18.88</v>
      </c>
      <c r="M19" s="100">
        <v>61.51</v>
      </c>
      <c r="N19" s="100">
        <v>3.3</v>
      </c>
      <c r="O19" s="100">
        <v>0</v>
      </c>
      <c r="P19" s="100">
        <v>0.77</v>
      </c>
      <c r="Q19" s="100">
        <v>9.85</v>
      </c>
      <c r="R19" s="6"/>
      <c r="S19" s="6"/>
      <c r="T19" s="156"/>
      <c r="U19" s="6"/>
    </row>
    <row r="20" spans="1:21" customFormat="1">
      <c r="A20" s="163" t="s">
        <v>546</v>
      </c>
      <c r="B20" s="100">
        <v>20.05</v>
      </c>
      <c r="C20" s="100">
        <v>17.899999999999999</v>
      </c>
      <c r="D20" s="100">
        <v>25.43</v>
      </c>
      <c r="E20" s="100">
        <v>6.33</v>
      </c>
      <c r="F20" s="100">
        <v>0.03</v>
      </c>
      <c r="G20" s="100">
        <v>85.72</v>
      </c>
      <c r="H20" s="100">
        <v>39.909999999999997</v>
      </c>
      <c r="I20" s="100">
        <v>14.15</v>
      </c>
      <c r="J20" s="100">
        <v>0.34</v>
      </c>
      <c r="K20" s="100">
        <v>30.87</v>
      </c>
      <c r="L20" s="100">
        <v>18.87</v>
      </c>
      <c r="M20" s="100">
        <v>61.09</v>
      </c>
      <c r="N20" s="100">
        <v>3.2</v>
      </c>
      <c r="O20" s="100">
        <v>0</v>
      </c>
      <c r="P20" s="100">
        <v>0.76</v>
      </c>
      <c r="Q20" s="100">
        <v>9.85</v>
      </c>
      <c r="R20" s="6"/>
      <c r="S20" s="6"/>
      <c r="T20" s="156"/>
      <c r="U20" s="6"/>
    </row>
    <row r="21" spans="1:21" customFormat="1">
      <c r="A21" s="163" t="s">
        <v>547</v>
      </c>
      <c r="B21" s="100">
        <v>19.77</v>
      </c>
      <c r="C21" s="100">
        <v>17.75</v>
      </c>
      <c r="D21" s="100">
        <v>25.13</v>
      </c>
      <c r="E21" s="100">
        <v>6.06</v>
      </c>
      <c r="F21" s="100">
        <v>0.04</v>
      </c>
      <c r="G21" s="100">
        <v>85.72</v>
      </c>
      <c r="H21" s="100">
        <v>39.909999999999997</v>
      </c>
      <c r="I21" s="100">
        <v>13.98</v>
      </c>
      <c r="J21" s="100">
        <v>0.28000000000000003</v>
      </c>
      <c r="K21" s="100">
        <v>20.57</v>
      </c>
      <c r="L21" s="100">
        <v>18.71</v>
      </c>
      <c r="M21" s="100">
        <v>62</v>
      </c>
      <c r="N21" s="100">
        <v>3.3</v>
      </c>
      <c r="O21" s="100">
        <v>0</v>
      </c>
      <c r="P21" s="100">
        <v>0.75</v>
      </c>
      <c r="Q21" s="100">
        <v>9.86</v>
      </c>
      <c r="R21" s="6"/>
      <c r="S21" s="6"/>
      <c r="T21" s="156"/>
      <c r="U21" s="6"/>
    </row>
    <row r="22" spans="1:21" customFormat="1">
      <c r="A22" s="163" t="s">
        <v>548</v>
      </c>
      <c r="B22" s="100">
        <v>19.489999999999998</v>
      </c>
      <c r="C22" s="100">
        <v>17.63</v>
      </c>
      <c r="D22" s="100">
        <v>24.84</v>
      </c>
      <c r="E22" s="100">
        <v>6.04</v>
      </c>
      <c r="F22" s="100">
        <v>0.04</v>
      </c>
      <c r="G22" s="100">
        <v>85.72</v>
      </c>
      <c r="H22" s="100">
        <v>39.909999999999997</v>
      </c>
      <c r="I22" s="100">
        <v>13.76</v>
      </c>
      <c r="J22" s="100">
        <v>0.26</v>
      </c>
      <c r="K22" s="100">
        <v>38.22</v>
      </c>
      <c r="L22" s="100">
        <v>18.57</v>
      </c>
      <c r="M22" s="100">
        <v>62.94</v>
      </c>
      <c r="N22" s="100">
        <v>3.3</v>
      </c>
      <c r="O22" s="100">
        <v>0</v>
      </c>
      <c r="P22" s="100">
        <v>0.74</v>
      </c>
      <c r="Q22" s="100">
        <v>9.83</v>
      </c>
      <c r="R22" s="6"/>
      <c r="S22" s="6"/>
      <c r="T22" s="156"/>
      <c r="U22" s="6"/>
    </row>
    <row r="23" spans="1:21" customFormat="1">
      <c r="A23" s="163" t="s">
        <v>549</v>
      </c>
      <c r="B23" s="100">
        <v>19.36</v>
      </c>
      <c r="C23" s="100">
        <v>17.54</v>
      </c>
      <c r="D23" s="100">
        <v>24.68</v>
      </c>
      <c r="E23" s="100">
        <v>6.01</v>
      </c>
      <c r="F23" s="100">
        <v>0.04</v>
      </c>
      <c r="G23" s="100">
        <v>82.3</v>
      </c>
      <c r="H23" s="100">
        <v>35.24</v>
      </c>
      <c r="I23" s="100">
        <v>13.5</v>
      </c>
      <c r="J23" s="100">
        <v>0.11</v>
      </c>
      <c r="K23" s="100">
        <v>169.87</v>
      </c>
      <c r="L23" s="100">
        <v>18.170000000000002</v>
      </c>
      <c r="M23" s="100">
        <v>67.069999999999993</v>
      </c>
      <c r="N23" s="100">
        <v>3.5</v>
      </c>
      <c r="O23" s="100">
        <v>0</v>
      </c>
      <c r="P23" s="100">
        <v>0.71</v>
      </c>
      <c r="Q23" s="100">
        <v>9.81</v>
      </c>
      <c r="R23" s="6"/>
      <c r="S23" s="6"/>
      <c r="T23" s="156"/>
      <c r="U23" s="6"/>
    </row>
    <row r="24" spans="1:21" customFormat="1">
      <c r="A24" s="163" t="s">
        <v>550</v>
      </c>
      <c r="B24" s="100">
        <v>19.05</v>
      </c>
      <c r="C24" s="100">
        <v>17.39</v>
      </c>
      <c r="D24" s="100">
        <v>24.37</v>
      </c>
      <c r="E24" s="100">
        <v>5.95</v>
      </c>
      <c r="F24" s="100">
        <v>0.04</v>
      </c>
      <c r="G24" s="100">
        <v>82.22</v>
      </c>
      <c r="H24" s="100">
        <v>35.24</v>
      </c>
      <c r="I24" s="100">
        <v>13.09</v>
      </c>
      <c r="J24" s="100">
        <v>0.13</v>
      </c>
      <c r="K24" s="100">
        <v>165.97</v>
      </c>
      <c r="L24" s="100">
        <v>17.739999999999998</v>
      </c>
      <c r="M24" s="100">
        <v>71.540000000000006</v>
      </c>
      <c r="N24" s="100">
        <v>3.5</v>
      </c>
      <c r="O24" s="100">
        <v>0</v>
      </c>
      <c r="P24" s="100">
        <v>0.71</v>
      </c>
      <c r="Q24" s="100">
        <v>9.77</v>
      </c>
      <c r="R24" s="6"/>
      <c r="S24" s="6"/>
      <c r="T24" s="156"/>
      <c r="U24" s="6"/>
    </row>
    <row r="25" spans="1:21" customFormat="1">
      <c r="A25" s="163" t="s">
        <v>551</v>
      </c>
      <c r="B25" s="100">
        <v>18.809999999999999</v>
      </c>
      <c r="C25" s="100">
        <v>17.309999999999999</v>
      </c>
      <c r="D25" s="100">
        <v>24.13</v>
      </c>
      <c r="E25" s="100">
        <v>5.95</v>
      </c>
      <c r="F25" s="100">
        <v>0.15</v>
      </c>
      <c r="G25" s="100">
        <v>82.22</v>
      </c>
      <c r="H25" s="100">
        <v>35.24</v>
      </c>
      <c r="I25" s="100">
        <v>12.74</v>
      </c>
      <c r="J25" s="100">
        <v>0.11</v>
      </c>
      <c r="K25" s="100">
        <v>159.97999999999999</v>
      </c>
      <c r="L25" s="100">
        <v>17.55</v>
      </c>
      <c r="M25" s="100">
        <v>74.790000000000006</v>
      </c>
      <c r="N25" s="100">
        <v>3.4</v>
      </c>
      <c r="O25" s="100">
        <v>0</v>
      </c>
      <c r="P25" s="100">
        <v>0.69</v>
      </c>
      <c r="Q25" s="100">
        <v>9.74</v>
      </c>
      <c r="R25" s="6"/>
      <c r="S25" s="6"/>
      <c r="T25" s="156"/>
      <c r="U25" s="6"/>
    </row>
    <row r="26" spans="1:21" customFormat="1">
      <c r="A26" s="163" t="s">
        <v>552</v>
      </c>
      <c r="B26" s="100">
        <v>18.690000000000001</v>
      </c>
      <c r="C26" s="100">
        <v>17.25</v>
      </c>
      <c r="D26" s="100">
        <v>24</v>
      </c>
      <c r="E26" s="100">
        <v>5.76</v>
      </c>
      <c r="F26" s="100">
        <v>0.14000000000000001</v>
      </c>
      <c r="G26" s="100">
        <v>82.22</v>
      </c>
      <c r="H26" s="100">
        <v>35.24</v>
      </c>
      <c r="I26" s="100">
        <v>12.56</v>
      </c>
      <c r="J26" s="100">
        <v>0.19</v>
      </c>
      <c r="K26" s="100">
        <v>189.94</v>
      </c>
      <c r="L26" s="100">
        <v>17.43</v>
      </c>
      <c r="M26" s="100">
        <v>77.98</v>
      </c>
      <c r="N26" s="100">
        <v>3.3</v>
      </c>
      <c r="O26" s="100">
        <v>0</v>
      </c>
      <c r="P26" s="100">
        <v>0.68</v>
      </c>
      <c r="Q26" s="100">
        <v>9.76</v>
      </c>
      <c r="R26" s="6"/>
      <c r="S26" s="6"/>
      <c r="T26" s="156"/>
      <c r="U26" s="6"/>
    </row>
    <row r="27" spans="1:21" customFormat="1">
      <c r="A27" s="163" t="s">
        <v>553</v>
      </c>
      <c r="B27" s="100">
        <v>18.399999999999999</v>
      </c>
      <c r="C27" s="100">
        <v>17.03</v>
      </c>
      <c r="D27" s="100">
        <v>23.65</v>
      </c>
      <c r="E27" s="100">
        <v>5.75</v>
      </c>
      <c r="F27" s="100">
        <v>0.04</v>
      </c>
      <c r="G27" s="100">
        <v>65.2</v>
      </c>
      <c r="H27" s="100">
        <v>31.83</v>
      </c>
      <c r="I27" s="100">
        <v>12.62</v>
      </c>
      <c r="J27" s="100">
        <v>0.09</v>
      </c>
      <c r="K27" s="100">
        <v>244.49</v>
      </c>
      <c r="L27" s="100">
        <v>16.96</v>
      </c>
      <c r="M27" s="100">
        <v>82.77</v>
      </c>
      <c r="N27" s="100">
        <v>3.3</v>
      </c>
      <c r="O27" s="100">
        <v>0</v>
      </c>
      <c r="P27" s="100">
        <v>0.68</v>
      </c>
      <c r="Q27" s="100">
        <v>9.76</v>
      </c>
      <c r="R27" s="6"/>
      <c r="S27" s="6"/>
      <c r="T27" s="156"/>
      <c r="U27" s="6"/>
    </row>
    <row r="28" spans="1:21" customFormat="1">
      <c r="A28" s="163" t="s">
        <v>554</v>
      </c>
      <c r="B28" s="100">
        <v>18.579999999999998</v>
      </c>
      <c r="C28" s="100">
        <v>16.829999999999998</v>
      </c>
      <c r="D28" s="100">
        <v>23.7</v>
      </c>
      <c r="E28" s="100">
        <v>5.88</v>
      </c>
      <c r="F28" s="100">
        <v>0.04</v>
      </c>
      <c r="G28" s="100">
        <v>64.81</v>
      </c>
      <c r="H28" s="100">
        <v>31.83</v>
      </c>
      <c r="I28" s="100">
        <v>12.47</v>
      </c>
      <c r="J28" s="100">
        <v>0.15</v>
      </c>
      <c r="K28" s="100">
        <v>172.78</v>
      </c>
      <c r="L28" s="100">
        <v>16.97</v>
      </c>
      <c r="M28" s="100">
        <v>81.78</v>
      </c>
      <c r="N28" s="100">
        <v>3.3</v>
      </c>
      <c r="O28" s="100">
        <v>0</v>
      </c>
      <c r="P28" s="100">
        <v>0.67</v>
      </c>
      <c r="Q28" s="100">
        <v>9.6999999999999993</v>
      </c>
      <c r="R28" s="6"/>
      <c r="S28" s="6"/>
      <c r="T28" s="156"/>
      <c r="U28" s="6"/>
    </row>
    <row r="29" spans="1:21" customFormat="1">
      <c r="A29" s="163" t="s">
        <v>555</v>
      </c>
      <c r="B29" s="100">
        <v>18.66</v>
      </c>
      <c r="C29" s="100">
        <v>16.71</v>
      </c>
      <c r="D29" s="100">
        <v>23.69</v>
      </c>
      <c r="E29" s="100">
        <v>5.93</v>
      </c>
      <c r="F29" s="100">
        <v>0.03</v>
      </c>
      <c r="G29" s="100">
        <v>64.81</v>
      </c>
      <c r="H29" s="100">
        <v>31.83</v>
      </c>
      <c r="I29" s="100">
        <v>12.1</v>
      </c>
      <c r="J29" s="100">
        <v>7.0000000000000007E-2</v>
      </c>
      <c r="K29" s="100">
        <v>110.48</v>
      </c>
      <c r="L29" s="100">
        <v>16.75</v>
      </c>
      <c r="M29" s="100">
        <v>81.64</v>
      </c>
      <c r="N29" s="100">
        <v>3.2</v>
      </c>
      <c r="O29" s="100">
        <v>0</v>
      </c>
      <c r="P29" s="100">
        <v>0.66</v>
      </c>
      <c r="Q29" s="100">
        <v>9.68</v>
      </c>
      <c r="R29" s="6"/>
      <c r="S29" s="6"/>
      <c r="T29" s="156"/>
      <c r="U29" s="6"/>
    </row>
    <row r="30" spans="1:21" customFormat="1">
      <c r="A30" s="163" t="s">
        <v>556</v>
      </c>
      <c r="B30" s="100">
        <v>18.989999999999998</v>
      </c>
      <c r="C30" s="100">
        <v>16.72</v>
      </c>
      <c r="D30" s="100">
        <v>23.97</v>
      </c>
      <c r="E30" s="100">
        <v>6.01</v>
      </c>
      <c r="F30" s="100">
        <v>0.01</v>
      </c>
      <c r="G30" s="100">
        <v>64.81</v>
      </c>
      <c r="H30" s="100">
        <v>31.83</v>
      </c>
      <c r="I30" s="100">
        <v>11.97</v>
      </c>
      <c r="J30" s="100">
        <v>0.18</v>
      </c>
      <c r="K30" s="100">
        <v>146.49</v>
      </c>
      <c r="L30" s="100">
        <v>17.04</v>
      </c>
      <c r="M30" s="100">
        <v>78.53</v>
      </c>
      <c r="N30" s="100">
        <v>3.2</v>
      </c>
      <c r="O30" s="100">
        <v>0</v>
      </c>
      <c r="P30" s="100">
        <v>0.65</v>
      </c>
      <c r="Q30" s="100">
        <v>9.66</v>
      </c>
      <c r="R30" s="6"/>
      <c r="S30" s="6"/>
      <c r="T30" s="156"/>
      <c r="U30" s="6"/>
    </row>
    <row r="31" spans="1:21" customFormat="1">
      <c r="A31" s="163" t="s">
        <v>557</v>
      </c>
      <c r="B31" s="100">
        <v>19.14</v>
      </c>
      <c r="C31" s="100">
        <v>16.690000000000001</v>
      </c>
      <c r="D31" s="100">
        <v>24.07</v>
      </c>
      <c r="E31" s="100">
        <v>5.65</v>
      </c>
      <c r="F31" s="100">
        <v>0.01</v>
      </c>
      <c r="G31" s="100">
        <v>66.23</v>
      </c>
      <c r="H31" s="100">
        <v>32.22</v>
      </c>
      <c r="I31" s="100">
        <v>11.85</v>
      </c>
      <c r="J31" s="100">
        <v>0.04</v>
      </c>
      <c r="K31" s="100">
        <v>134.37</v>
      </c>
      <c r="L31" s="100">
        <v>16.649999999999999</v>
      </c>
      <c r="M31" s="100">
        <v>79.56</v>
      </c>
      <c r="N31" s="100">
        <v>3.2</v>
      </c>
      <c r="O31" s="100">
        <v>0</v>
      </c>
      <c r="P31" s="100">
        <v>0.65</v>
      </c>
      <c r="Q31" s="100">
        <v>9.67</v>
      </c>
      <c r="R31" s="6"/>
      <c r="S31" s="6"/>
      <c r="T31" s="156"/>
      <c r="U31" s="6"/>
    </row>
    <row r="32" spans="1:21" customFormat="1">
      <c r="A32" s="163" t="s">
        <v>558</v>
      </c>
      <c r="B32" s="100">
        <v>19.329999999999998</v>
      </c>
      <c r="C32" s="100">
        <v>16.57</v>
      </c>
      <c r="D32" s="100">
        <v>24.16</v>
      </c>
      <c r="E32" s="100">
        <v>5.54</v>
      </c>
      <c r="F32" s="100">
        <v>0.01</v>
      </c>
      <c r="G32" s="100">
        <v>66.27</v>
      </c>
      <c r="H32" s="100">
        <v>32.22</v>
      </c>
      <c r="I32" s="100">
        <v>11.77</v>
      </c>
      <c r="J32" s="100">
        <v>0.04</v>
      </c>
      <c r="K32" s="100">
        <v>109.33</v>
      </c>
      <c r="L32" s="100">
        <v>16.77</v>
      </c>
      <c r="M32" s="100">
        <v>78.38</v>
      </c>
      <c r="N32" s="100">
        <v>3</v>
      </c>
      <c r="O32" s="100">
        <v>0</v>
      </c>
      <c r="P32" s="100">
        <v>0.65</v>
      </c>
      <c r="Q32" s="100">
        <v>9.68</v>
      </c>
      <c r="R32" s="6"/>
      <c r="S32" s="6"/>
      <c r="T32" s="156"/>
      <c r="U32" s="6"/>
    </row>
    <row r="33" spans="1:21" customFormat="1">
      <c r="A33" s="163" t="s">
        <v>559</v>
      </c>
      <c r="B33" s="100">
        <v>19.63</v>
      </c>
      <c r="C33" s="100">
        <v>16.690000000000001</v>
      </c>
      <c r="D33" s="100">
        <v>24.46</v>
      </c>
      <c r="E33" s="100">
        <v>5.47</v>
      </c>
      <c r="F33" s="100">
        <v>0.01</v>
      </c>
      <c r="G33" s="100">
        <v>66.27</v>
      </c>
      <c r="H33" s="100">
        <v>32.22</v>
      </c>
      <c r="I33" s="100">
        <v>11.72</v>
      </c>
      <c r="J33" s="100">
        <v>0.14000000000000001</v>
      </c>
      <c r="K33" s="100">
        <v>191.1</v>
      </c>
      <c r="L33" s="100">
        <v>16.5</v>
      </c>
      <c r="M33" s="100">
        <v>81</v>
      </c>
      <c r="N33" s="100">
        <v>3.7</v>
      </c>
      <c r="O33" s="100">
        <v>0</v>
      </c>
      <c r="P33" s="100">
        <v>0.65</v>
      </c>
      <c r="Q33" s="100">
        <v>9.68</v>
      </c>
      <c r="R33" s="6"/>
      <c r="S33" s="6"/>
      <c r="T33" s="156"/>
      <c r="U33" s="6"/>
    </row>
    <row r="34" spans="1:21" customFormat="1">
      <c r="A34" s="163" t="s">
        <v>560</v>
      </c>
      <c r="B34" s="100">
        <v>19.8</v>
      </c>
      <c r="C34" s="100">
        <v>16.7</v>
      </c>
      <c r="D34" s="100">
        <v>24.61</v>
      </c>
      <c r="E34" s="100">
        <v>5.42</v>
      </c>
      <c r="F34" s="100">
        <v>0.02</v>
      </c>
      <c r="G34" s="100">
        <v>66.27</v>
      </c>
      <c r="H34" s="100">
        <v>32.22</v>
      </c>
      <c r="I34" s="100">
        <v>11.69</v>
      </c>
      <c r="J34" s="100">
        <v>0.13</v>
      </c>
      <c r="K34" s="100">
        <v>184.1</v>
      </c>
      <c r="L34" s="100">
        <v>16.329999999999998</v>
      </c>
      <c r="M34" s="100">
        <v>82.93</v>
      </c>
      <c r="N34" s="100">
        <v>5.2</v>
      </c>
      <c r="O34" s="100">
        <v>0</v>
      </c>
      <c r="P34" s="100">
        <v>0.64</v>
      </c>
      <c r="Q34" s="100">
        <v>9.65</v>
      </c>
      <c r="R34" s="6"/>
      <c r="S34" s="6"/>
      <c r="T34" s="156"/>
      <c r="U34" s="6"/>
    </row>
    <row r="35" spans="1:21" customFormat="1">
      <c r="A35" s="163" t="s">
        <v>561</v>
      </c>
      <c r="B35" s="100">
        <v>20.12</v>
      </c>
      <c r="C35" s="100">
        <v>16.66</v>
      </c>
      <c r="D35" s="100">
        <v>24.84</v>
      </c>
      <c r="E35" s="100">
        <v>5.67</v>
      </c>
      <c r="F35" s="100">
        <v>0.05</v>
      </c>
      <c r="G35" s="100">
        <v>74.42</v>
      </c>
      <c r="H35" s="100">
        <v>33.82</v>
      </c>
      <c r="I35" s="100">
        <v>11.67</v>
      </c>
      <c r="J35" s="100">
        <v>0.15</v>
      </c>
      <c r="K35" s="100">
        <v>165.2</v>
      </c>
      <c r="L35" s="100">
        <v>16.2</v>
      </c>
      <c r="M35" s="100">
        <v>83.76</v>
      </c>
      <c r="N35" s="100">
        <v>9.6999999999999993</v>
      </c>
      <c r="O35" s="100">
        <v>0</v>
      </c>
      <c r="P35" s="100">
        <v>0.64</v>
      </c>
      <c r="Q35" s="100">
        <v>9.6199999999999992</v>
      </c>
      <c r="R35" s="6"/>
      <c r="S35" s="6"/>
      <c r="T35" s="156"/>
      <c r="U35" s="6"/>
    </row>
    <row r="36" spans="1:21" customFormat="1">
      <c r="A36" s="163" t="s">
        <v>562</v>
      </c>
      <c r="B36" s="100">
        <v>21.08</v>
      </c>
      <c r="C36" s="100">
        <v>16.72</v>
      </c>
      <c r="D36" s="100">
        <v>25.64</v>
      </c>
      <c r="E36" s="100">
        <v>5.73</v>
      </c>
      <c r="F36" s="100">
        <v>7.0000000000000007E-2</v>
      </c>
      <c r="G36" s="100">
        <v>74.61</v>
      </c>
      <c r="H36" s="100">
        <v>33.82</v>
      </c>
      <c r="I36" s="100">
        <v>11.64</v>
      </c>
      <c r="J36" s="100">
        <v>0.09</v>
      </c>
      <c r="K36" s="100">
        <v>161.41999999999999</v>
      </c>
      <c r="L36" s="100">
        <v>16.399999999999999</v>
      </c>
      <c r="M36" s="100">
        <v>82.81</v>
      </c>
      <c r="N36" s="100">
        <v>17</v>
      </c>
      <c r="O36" s="100">
        <v>0</v>
      </c>
      <c r="P36" s="100">
        <v>0.64</v>
      </c>
      <c r="Q36" s="100">
        <v>9.6</v>
      </c>
      <c r="R36" s="6"/>
      <c r="S36" s="6"/>
      <c r="T36" s="156"/>
      <c r="U36" s="6"/>
    </row>
    <row r="37" spans="1:21" customFormat="1">
      <c r="A37" s="163" t="s">
        <v>563</v>
      </c>
      <c r="B37" s="100">
        <v>22.39</v>
      </c>
      <c r="C37" s="100">
        <v>16.87</v>
      </c>
      <c r="D37" s="100">
        <v>26.77</v>
      </c>
      <c r="E37" s="100">
        <v>5.98</v>
      </c>
      <c r="F37" s="100">
        <v>0.1</v>
      </c>
      <c r="G37" s="100">
        <v>74.61</v>
      </c>
      <c r="H37" s="100">
        <v>33.82</v>
      </c>
      <c r="I37" s="100">
        <v>11.63</v>
      </c>
      <c r="J37" s="100">
        <v>0.23</v>
      </c>
      <c r="K37" s="100">
        <v>43.13</v>
      </c>
      <c r="L37" s="100">
        <v>16.84</v>
      </c>
      <c r="M37" s="100">
        <v>78.930000000000007</v>
      </c>
      <c r="N37" s="100">
        <v>23.2</v>
      </c>
      <c r="O37" s="100">
        <v>0</v>
      </c>
      <c r="P37" s="100">
        <v>0.64</v>
      </c>
      <c r="Q37" s="100">
        <v>9.6</v>
      </c>
      <c r="R37" s="6"/>
      <c r="S37" s="6"/>
      <c r="T37" s="156"/>
      <c r="U37" s="6"/>
    </row>
    <row r="38" spans="1:21" customFormat="1">
      <c r="A38" s="163" t="s">
        <v>564</v>
      </c>
      <c r="B38" s="100">
        <v>23.38</v>
      </c>
      <c r="C38" s="100">
        <v>17.079999999999998</v>
      </c>
      <c r="D38" s="100">
        <v>27.68</v>
      </c>
      <c r="E38" s="100">
        <v>6.01</v>
      </c>
      <c r="F38" s="100">
        <v>0.02</v>
      </c>
      <c r="G38" s="100">
        <v>74.61</v>
      </c>
      <c r="H38" s="100">
        <v>33.82</v>
      </c>
      <c r="I38" s="100">
        <v>11.68</v>
      </c>
      <c r="J38" s="100">
        <v>0.15</v>
      </c>
      <c r="K38" s="100">
        <v>68.36</v>
      </c>
      <c r="L38" s="100">
        <v>17.420000000000002</v>
      </c>
      <c r="M38" s="100">
        <v>76.03</v>
      </c>
      <c r="N38" s="100">
        <v>40.6</v>
      </c>
      <c r="O38" s="100">
        <v>0</v>
      </c>
      <c r="P38" s="100">
        <v>0.63</v>
      </c>
      <c r="Q38" s="100">
        <v>9.6199999999999992</v>
      </c>
      <c r="R38" s="6"/>
      <c r="S38" s="6"/>
      <c r="T38" s="156"/>
      <c r="U38" s="6"/>
    </row>
    <row r="39" spans="1:21" customFormat="1">
      <c r="A39" s="163" t="s">
        <v>565</v>
      </c>
      <c r="B39" s="100">
        <v>23.82</v>
      </c>
      <c r="C39" s="100">
        <v>17.3</v>
      </c>
      <c r="D39" s="100">
        <v>28.14</v>
      </c>
      <c r="E39" s="100">
        <v>5.92</v>
      </c>
      <c r="F39" s="100">
        <v>0.09</v>
      </c>
      <c r="G39" s="100">
        <v>69.900000000000006</v>
      </c>
      <c r="H39" s="100">
        <v>34.74</v>
      </c>
      <c r="I39" s="100">
        <v>11.71</v>
      </c>
      <c r="J39" s="100">
        <v>0.6</v>
      </c>
      <c r="K39" s="100">
        <v>19.649999999999999</v>
      </c>
      <c r="L39" s="100">
        <v>18.239999999999998</v>
      </c>
      <c r="M39" s="100">
        <v>67.11</v>
      </c>
      <c r="N39" s="100">
        <v>53.3</v>
      </c>
      <c r="O39" s="100">
        <v>0</v>
      </c>
      <c r="P39" s="100">
        <v>0.64</v>
      </c>
      <c r="Q39" s="100">
        <v>9.56</v>
      </c>
      <c r="R39" s="6"/>
      <c r="S39" s="6"/>
      <c r="T39" s="156"/>
      <c r="U39" s="6"/>
    </row>
    <row r="40" spans="1:21" customFormat="1">
      <c r="A40" s="163" t="s">
        <v>566</v>
      </c>
      <c r="B40" s="100">
        <v>23.76</v>
      </c>
      <c r="C40" s="100">
        <v>17.61</v>
      </c>
      <c r="D40" s="100">
        <v>28.25</v>
      </c>
      <c r="E40" s="100">
        <v>6.18</v>
      </c>
      <c r="F40" s="100">
        <v>0.14000000000000001</v>
      </c>
      <c r="G40" s="100">
        <v>69.790000000000006</v>
      </c>
      <c r="H40" s="100">
        <v>34.74</v>
      </c>
      <c r="I40" s="100">
        <v>11.69</v>
      </c>
      <c r="J40" s="100">
        <v>0.87</v>
      </c>
      <c r="K40" s="100">
        <v>18.93</v>
      </c>
      <c r="L40" s="100">
        <v>18.82</v>
      </c>
      <c r="M40" s="100">
        <v>64.900000000000006</v>
      </c>
      <c r="N40" s="100">
        <v>84.7</v>
      </c>
      <c r="O40" s="100">
        <v>0</v>
      </c>
      <c r="P40" s="100">
        <v>0.64</v>
      </c>
      <c r="Q40" s="100">
        <v>9.57</v>
      </c>
      <c r="R40" s="6"/>
      <c r="S40" s="6"/>
      <c r="T40" s="156"/>
      <c r="U40" s="6"/>
    </row>
    <row r="41" spans="1:21" customFormat="1">
      <c r="A41" s="163" t="s">
        <v>567</v>
      </c>
      <c r="B41" s="100">
        <v>23.32</v>
      </c>
      <c r="C41" s="100">
        <v>17.940000000000001</v>
      </c>
      <c r="D41" s="100">
        <v>28.08</v>
      </c>
      <c r="E41" s="100">
        <v>5.99</v>
      </c>
      <c r="F41" s="100">
        <v>0.02</v>
      </c>
      <c r="G41" s="100">
        <v>69.790000000000006</v>
      </c>
      <c r="H41" s="100">
        <v>34.74</v>
      </c>
      <c r="I41" s="100">
        <v>11.69</v>
      </c>
      <c r="J41" s="100">
        <v>0.78</v>
      </c>
      <c r="K41" s="100">
        <v>20.74</v>
      </c>
      <c r="L41" s="100">
        <v>19.47</v>
      </c>
      <c r="M41" s="100">
        <v>64.010000000000005</v>
      </c>
      <c r="N41" s="100">
        <v>178.9</v>
      </c>
      <c r="O41" s="100">
        <v>0</v>
      </c>
      <c r="P41" s="100">
        <v>0.64</v>
      </c>
      <c r="Q41" s="100">
        <v>9.5</v>
      </c>
      <c r="R41" s="6"/>
      <c r="S41" s="6"/>
      <c r="T41" s="156"/>
      <c r="U41" s="6"/>
    </row>
    <row r="42" spans="1:21" customFormat="1">
      <c r="A42" s="163" t="s">
        <v>568</v>
      </c>
      <c r="B42" s="100">
        <v>22.87</v>
      </c>
      <c r="C42" s="100">
        <v>18.350000000000001</v>
      </c>
      <c r="D42" s="100">
        <v>27.92</v>
      </c>
      <c r="E42" s="100">
        <v>5.88</v>
      </c>
      <c r="F42" s="100">
        <v>0.08</v>
      </c>
      <c r="G42" s="100">
        <v>69.790000000000006</v>
      </c>
      <c r="H42" s="100">
        <v>34.74</v>
      </c>
      <c r="I42" s="100">
        <v>11.68</v>
      </c>
      <c r="J42" s="100">
        <v>0.83</v>
      </c>
      <c r="K42" s="100">
        <v>33.86</v>
      </c>
      <c r="L42" s="100">
        <v>20.440000000000001</v>
      </c>
      <c r="M42" s="100">
        <v>61.42</v>
      </c>
      <c r="N42" s="100">
        <v>233.4</v>
      </c>
      <c r="O42" s="100">
        <v>0</v>
      </c>
      <c r="P42" s="100">
        <v>0.64</v>
      </c>
      <c r="Q42" s="100">
        <v>9.4700000000000006</v>
      </c>
      <c r="R42" s="6"/>
      <c r="S42" s="6"/>
      <c r="T42" s="156"/>
      <c r="U42" s="6"/>
    </row>
    <row r="43" spans="1:21" customFormat="1">
      <c r="A43" s="163" t="s">
        <v>569</v>
      </c>
      <c r="B43" s="100">
        <v>22.34</v>
      </c>
      <c r="C43" s="100">
        <v>18.690000000000001</v>
      </c>
      <c r="D43" s="100">
        <v>27.68</v>
      </c>
      <c r="E43" s="100">
        <v>5.77</v>
      </c>
      <c r="F43" s="100">
        <v>7.0000000000000007E-2</v>
      </c>
      <c r="G43" s="100">
        <v>77.959999999999994</v>
      </c>
      <c r="H43" s="100">
        <v>35.97</v>
      </c>
      <c r="I43" s="100">
        <v>11.67</v>
      </c>
      <c r="J43" s="100">
        <v>0.77</v>
      </c>
      <c r="K43" s="100">
        <v>37.880000000000003</v>
      </c>
      <c r="L43" s="100">
        <v>21.47</v>
      </c>
      <c r="M43" s="100">
        <v>56.25</v>
      </c>
      <c r="N43" s="100">
        <v>265.39999999999998</v>
      </c>
      <c r="O43" s="100">
        <v>0</v>
      </c>
      <c r="P43" s="100">
        <v>0.64</v>
      </c>
      <c r="Q43" s="100">
        <v>9.5</v>
      </c>
      <c r="R43" s="6"/>
      <c r="S43" s="6"/>
      <c r="T43" s="156"/>
      <c r="U43" s="6"/>
    </row>
    <row r="44" spans="1:21" customFormat="1">
      <c r="A44" s="163" t="s">
        <v>570</v>
      </c>
      <c r="B44" s="100">
        <v>21.95</v>
      </c>
      <c r="C44" s="100">
        <v>18.739999999999998</v>
      </c>
      <c r="D44" s="100">
        <v>27.39</v>
      </c>
      <c r="E44" s="100">
        <v>5.97</v>
      </c>
      <c r="F44" s="100">
        <v>0.14000000000000001</v>
      </c>
      <c r="G44" s="100">
        <v>78.14</v>
      </c>
      <c r="H44" s="100">
        <v>35.97</v>
      </c>
      <c r="I44" s="100">
        <v>11.67</v>
      </c>
      <c r="J44" s="100">
        <v>0.75</v>
      </c>
      <c r="K44" s="100">
        <v>51.84</v>
      </c>
      <c r="L44" s="100">
        <v>22.59</v>
      </c>
      <c r="M44" s="100">
        <v>52.06</v>
      </c>
      <c r="N44" s="100">
        <v>300.5</v>
      </c>
      <c r="O44" s="100">
        <v>0</v>
      </c>
      <c r="P44" s="100">
        <v>0.64</v>
      </c>
      <c r="Q44" s="100">
        <v>9.44</v>
      </c>
      <c r="R44" s="6"/>
      <c r="S44" s="6"/>
      <c r="T44" s="156"/>
      <c r="U44" s="6"/>
    </row>
    <row r="45" spans="1:21" customFormat="1">
      <c r="A45" s="163" t="s">
        <v>571</v>
      </c>
      <c r="B45" s="100">
        <v>21.8</v>
      </c>
      <c r="C45" s="100">
        <v>18.86</v>
      </c>
      <c r="D45" s="100">
        <v>27.33</v>
      </c>
      <c r="E45" s="100">
        <v>6.1</v>
      </c>
      <c r="F45" s="100">
        <v>0.17</v>
      </c>
      <c r="G45" s="100">
        <v>78.14</v>
      </c>
      <c r="H45" s="100">
        <v>35.97</v>
      </c>
      <c r="I45" s="100">
        <v>11.6</v>
      </c>
      <c r="J45" s="100">
        <v>1</v>
      </c>
      <c r="K45" s="100">
        <v>49.5</v>
      </c>
      <c r="L45" s="100">
        <v>23.33</v>
      </c>
      <c r="M45" s="100">
        <v>47.91</v>
      </c>
      <c r="N45" s="100">
        <v>146</v>
      </c>
      <c r="O45" s="100">
        <v>0</v>
      </c>
      <c r="P45" s="100">
        <v>0.64</v>
      </c>
      <c r="Q45" s="100">
        <v>9.44</v>
      </c>
      <c r="R45" s="6"/>
      <c r="S45" s="6"/>
      <c r="T45" s="156"/>
      <c r="U45" s="6"/>
    </row>
    <row r="46" spans="1:21" customFormat="1">
      <c r="A46" s="163" t="s">
        <v>572</v>
      </c>
      <c r="B46" s="100">
        <v>21.78</v>
      </c>
      <c r="C46" s="100">
        <v>18.91</v>
      </c>
      <c r="D46" s="100">
        <v>27.34</v>
      </c>
      <c r="E46" s="100">
        <v>6.05</v>
      </c>
      <c r="F46" s="100">
        <v>0.05</v>
      </c>
      <c r="G46" s="100">
        <v>78.14</v>
      </c>
      <c r="H46" s="100">
        <v>35.97</v>
      </c>
      <c r="I46" s="100">
        <v>11.5</v>
      </c>
      <c r="J46" s="100">
        <v>1.03</v>
      </c>
      <c r="K46" s="100">
        <v>51.4</v>
      </c>
      <c r="L46" s="100">
        <v>24.1</v>
      </c>
      <c r="M46" s="100">
        <v>45.26</v>
      </c>
      <c r="N46" s="100">
        <v>126.8</v>
      </c>
      <c r="O46" s="100">
        <v>0</v>
      </c>
      <c r="P46" s="100">
        <v>0.62</v>
      </c>
      <c r="Q46" s="100">
        <v>9.44</v>
      </c>
      <c r="R46" s="6"/>
      <c r="S46" s="6"/>
      <c r="T46" s="156"/>
      <c r="U46" s="6"/>
    </row>
    <row r="47" spans="1:21" customFormat="1">
      <c r="A47" s="163" t="s">
        <v>573</v>
      </c>
      <c r="B47" s="100">
        <v>21.54</v>
      </c>
      <c r="C47" s="100">
        <v>19</v>
      </c>
      <c r="D47" s="100">
        <v>27.2</v>
      </c>
      <c r="E47" s="100">
        <v>6.55</v>
      </c>
      <c r="F47" s="100">
        <v>0.21</v>
      </c>
      <c r="G47" s="100">
        <v>72.569999999999993</v>
      </c>
      <c r="H47" s="100">
        <v>32.94</v>
      </c>
      <c r="I47" s="100">
        <v>11.41</v>
      </c>
      <c r="J47" s="100">
        <v>0.78</v>
      </c>
      <c r="K47" s="100">
        <v>43.85</v>
      </c>
      <c r="L47" s="100">
        <v>24.65</v>
      </c>
      <c r="M47" s="100">
        <v>44.05</v>
      </c>
      <c r="N47" s="100">
        <v>144.30000000000001</v>
      </c>
      <c r="O47" s="100">
        <v>0</v>
      </c>
      <c r="P47" s="100">
        <v>0.62</v>
      </c>
      <c r="Q47" s="100">
        <v>9.42</v>
      </c>
      <c r="R47" s="6"/>
      <c r="S47" s="6"/>
      <c r="T47" s="156"/>
      <c r="U47" s="6"/>
    </row>
    <row r="48" spans="1:21" customFormat="1">
      <c r="A48" s="163" t="s">
        <v>574</v>
      </c>
      <c r="B48" s="100">
        <v>21.24</v>
      </c>
      <c r="C48" s="100">
        <v>19.02</v>
      </c>
      <c r="D48" s="100">
        <v>26.97</v>
      </c>
      <c r="E48" s="100">
        <v>6.37</v>
      </c>
      <c r="F48" s="100">
        <v>0.16</v>
      </c>
      <c r="G48" s="100">
        <v>72.45</v>
      </c>
      <c r="H48" s="100">
        <v>32.94</v>
      </c>
      <c r="I48" s="100">
        <v>11.29</v>
      </c>
      <c r="J48" s="100">
        <v>1.1499999999999999</v>
      </c>
      <c r="K48" s="100">
        <v>30.06</v>
      </c>
      <c r="L48" s="100">
        <v>25.26</v>
      </c>
      <c r="M48" s="100">
        <v>43.2</v>
      </c>
      <c r="N48" s="100">
        <v>340.8</v>
      </c>
      <c r="O48" s="100">
        <v>0</v>
      </c>
      <c r="P48" s="100">
        <v>0.61</v>
      </c>
      <c r="Q48" s="100">
        <v>9.35</v>
      </c>
      <c r="R48" s="6"/>
      <c r="S48" s="6"/>
      <c r="T48" s="156"/>
      <c r="U48" s="6"/>
    </row>
    <row r="49" spans="1:21" customFormat="1">
      <c r="A49" s="163" t="s">
        <v>575</v>
      </c>
      <c r="B49" s="100">
        <v>20.89</v>
      </c>
      <c r="C49" s="100">
        <v>19.09</v>
      </c>
      <c r="D49" s="100">
        <v>26.73</v>
      </c>
      <c r="E49" s="100">
        <v>5.95</v>
      </c>
      <c r="F49" s="100">
        <v>0.25</v>
      </c>
      <c r="G49" s="100">
        <v>72.45</v>
      </c>
      <c r="H49" s="100">
        <v>32.94</v>
      </c>
      <c r="I49" s="100">
        <v>11.31</v>
      </c>
      <c r="J49" s="100">
        <v>0.7</v>
      </c>
      <c r="K49" s="100">
        <v>56.14</v>
      </c>
      <c r="L49" s="100">
        <v>26.16</v>
      </c>
      <c r="M49" s="100">
        <v>39.130000000000003</v>
      </c>
      <c r="N49" s="100">
        <v>485.5</v>
      </c>
      <c r="O49" s="100">
        <v>0</v>
      </c>
      <c r="P49" s="100">
        <v>0.61</v>
      </c>
      <c r="Q49" s="100">
        <v>9.36</v>
      </c>
      <c r="R49" s="6"/>
      <c r="S49" s="6"/>
      <c r="T49" s="156"/>
      <c r="U49" s="6"/>
    </row>
    <row r="50" spans="1:21" customFormat="1">
      <c r="A50" s="163" t="s">
        <v>576</v>
      </c>
      <c r="B50" s="100">
        <v>20.39</v>
      </c>
      <c r="C50" s="100">
        <v>19.25</v>
      </c>
      <c r="D50" s="100">
        <v>26.41</v>
      </c>
      <c r="E50" s="100">
        <v>7.26</v>
      </c>
      <c r="F50" s="100">
        <v>0.44</v>
      </c>
      <c r="G50" s="100">
        <v>72.45</v>
      </c>
      <c r="H50" s="100">
        <v>32.94</v>
      </c>
      <c r="I50" s="100">
        <v>11.22</v>
      </c>
      <c r="J50" s="100">
        <v>1.19</v>
      </c>
      <c r="K50" s="100">
        <v>49.77</v>
      </c>
      <c r="L50" s="100">
        <v>26.44</v>
      </c>
      <c r="M50" s="100">
        <v>36.729999999999997</v>
      </c>
      <c r="N50" s="100">
        <v>516.29999999999995</v>
      </c>
      <c r="O50" s="100">
        <v>0</v>
      </c>
      <c r="P50" s="100">
        <v>0.61</v>
      </c>
      <c r="Q50" s="100">
        <v>9.34</v>
      </c>
      <c r="R50" s="6"/>
      <c r="S50" s="6"/>
      <c r="T50" s="156"/>
      <c r="U50" s="6"/>
    </row>
    <row r="51" spans="1:21" customFormat="1">
      <c r="A51" s="163" t="s">
        <v>577</v>
      </c>
      <c r="B51" s="100">
        <v>19.75</v>
      </c>
      <c r="C51" s="100">
        <v>19.260000000000002</v>
      </c>
      <c r="D51" s="100">
        <v>25.91</v>
      </c>
      <c r="E51" s="100">
        <v>7.03</v>
      </c>
      <c r="F51" s="100">
        <v>0.38</v>
      </c>
      <c r="G51" s="100">
        <v>67.31</v>
      </c>
      <c r="H51" s="100">
        <v>32.07</v>
      </c>
      <c r="I51" s="100">
        <v>11.08</v>
      </c>
      <c r="J51" s="100">
        <v>0.53</v>
      </c>
      <c r="K51" s="100">
        <v>69.98</v>
      </c>
      <c r="L51" s="100">
        <v>27.09</v>
      </c>
      <c r="M51" s="100">
        <v>34.9</v>
      </c>
      <c r="N51" s="100">
        <v>539.6</v>
      </c>
      <c r="O51" s="100">
        <v>0</v>
      </c>
      <c r="P51" s="100">
        <v>0.59</v>
      </c>
      <c r="Q51" s="100">
        <v>9.32</v>
      </c>
      <c r="R51" s="6"/>
      <c r="S51" s="6"/>
      <c r="T51" s="156"/>
      <c r="U51" s="6"/>
    </row>
    <row r="52" spans="1:21" customFormat="1">
      <c r="A52" s="163" t="s">
        <v>578</v>
      </c>
      <c r="B52" s="100">
        <v>18.73</v>
      </c>
      <c r="C52" s="100">
        <v>19.14</v>
      </c>
      <c r="D52" s="100">
        <v>25.02</v>
      </c>
      <c r="E52" s="100">
        <v>6.92</v>
      </c>
      <c r="F52" s="100">
        <v>0.57999999999999996</v>
      </c>
      <c r="G52" s="100">
        <v>67.19</v>
      </c>
      <c r="H52" s="100">
        <v>32.07</v>
      </c>
      <c r="I52" s="100">
        <v>11.07</v>
      </c>
      <c r="J52" s="100">
        <v>1.01</v>
      </c>
      <c r="K52" s="100">
        <v>37.58</v>
      </c>
      <c r="L52" s="100">
        <v>27.54</v>
      </c>
      <c r="M52" s="100">
        <v>34.04</v>
      </c>
      <c r="N52" s="100">
        <v>542</v>
      </c>
      <c r="O52" s="100">
        <v>0</v>
      </c>
      <c r="P52" s="100">
        <v>0.57999999999999996</v>
      </c>
      <c r="Q52" s="100">
        <v>9.32</v>
      </c>
      <c r="R52" s="6"/>
      <c r="S52" s="6"/>
      <c r="T52" s="156"/>
      <c r="U52" s="6"/>
    </row>
    <row r="53" spans="1:21" customFormat="1">
      <c r="A53" s="163" t="s">
        <v>579</v>
      </c>
      <c r="B53" s="100">
        <v>17.52</v>
      </c>
      <c r="C53" s="100">
        <v>19.11</v>
      </c>
      <c r="D53" s="100">
        <v>24.03</v>
      </c>
      <c r="E53" s="100">
        <v>6.79</v>
      </c>
      <c r="F53" s="100">
        <v>1.27</v>
      </c>
      <c r="G53" s="100">
        <v>67.19</v>
      </c>
      <c r="H53" s="100">
        <v>32.07</v>
      </c>
      <c r="I53" s="100">
        <v>10.97</v>
      </c>
      <c r="J53" s="100">
        <v>0.66</v>
      </c>
      <c r="K53" s="100">
        <v>55.03</v>
      </c>
      <c r="L53" s="100">
        <v>28.31</v>
      </c>
      <c r="M53" s="100">
        <v>32.65</v>
      </c>
      <c r="N53" s="100">
        <v>548.29999999999995</v>
      </c>
      <c r="O53" s="100">
        <v>0</v>
      </c>
      <c r="P53" s="100">
        <v>0.57999999999999996</v>
      </c>
      <c r="Q53" s="100">
        <v>9.32</v>
      </c>
      <c r="R53" s="6"/>
      <c r="S53" s="6"/>
      <c r="T53" s="156"/>
      <c r="U53" s="6"/>
    </row>
    <row r="54" spans="1:21" customFormat="1">
      <c r="A54" s="163" t="s">
        <v>580</v>
      </c>
      <c r="B54" s="100">
        <v>16.170000000000002</v>
      </c>
      <c r="C54" s="100">
        <v>19.079999999999998</v>
      </c>
      <c r="D54" s="100">
        <v>22.94</v>
      </c>
      <c r="E54" s="100">
        <v>7.11</v>
      </c>
      <c r="F54" s="100">
        <v>1.53</v>
      </c>
      <c r="G54" s="100">
        <v>67.19</v>
      </c>
      <c r="H54" s="100">
        <v>32.07</v>
      </c>
      <c r="I54" s="100">
        <v>10.88</v>
      </c>
      <c r="J54" s="100">
        <v>0.95</v>
      </c>
      <c r="K54" s="100">
        <v>40.54</v>
      </c>
      <c r="L54" s="100">
        <v>28.37</v>
      </c>
      <c r="M54" s="100">
        <v>31.8</v>
      </c>
      <c r="N54" s="100">
        <v>595.9</v>
      </c>
      <c r="O54" s="100">
        <v>0</v>
      </c>
      <c r="P54" s="100">
        <v>0.56999999999999995</v>
      </c>
      <c r="Q54" s="100">
        <v>9.32</v>
      </c>
      <c r="R54" s="6"/>
      <c r="S54" s="6"/>
      <c r="T54" s="156"/>
      <c r="U54" s="6"/>
    </row>
    <row r="55" spans="1:21" customFormat="1">
      <c r="A55" s="163" t="s">
        <v>581</v>
      </c>
      <c r="B55" s="100">
        <v>14.84</v>
      </c>
      <c r="C55" s="100">
        <v>19.079999999999998</v>
      </c>
      <c r="D55" s="100">
        <v>21.87</v>
      </c>
      <c r="E55" s="100">
        <v>7.19</v>
      </c>
      <c r="F55" s="100">
        <v>2.46</v>
      </c>
      <c r="G55" s="100">
        <v>69.959999999999994</v>
      </c>
      <c r="H55" s="100">
        <v>30.96</v>
      </c>
      <c r="I55" s="100">
        <v>10.8</v>
      </c>
      <c r="J55" s="100">
        <v>0.62</v>
      </c>
      <c r="K55" s="100">
        <v>60.67</v>
      </c>
      <c r="L55" s="100">
        <v>28.72</v>
      </c>
      <c r="M55" s="100">
        <v>31.12</v>
      </c>
      <c r="N55" s="100">
        <v>606.20000000000005</v>
      </c>
      <c r="O55" s="100">
        <v>0</v>
      </c>
      <c r="P55" s="100">
        <v>0.55000000000000004</v>
      </c>
      <c r="Q55" s="100">
        <v>9.32</v>
      </c>
      <c r="R55" s="6"/>
      <c r="S55" s="6"/>
      <c r="T55" s="156"/>
      <c r="U55" s="6"/>
    </row>
    <row r="56" spans="1:21" customFormat="1">
      <c r="A56" s="163" t="s">
        <v>582</v>
      </c>
      <c r="B56" s="100">
        <v>13.62</v>
      </c>
      <c r="C56" s="100">
        <v>18.88</v>
      </c>
      <c r="D56" s="100">
        <v>20.79</v>
      </c>
      <c r="E56" s="100">
        <v>6.96</v>
      </c>
      <c r="F56" s="100">
        <v>1.44</v>
      </c>
      <c r="G56" s="100">
        <v>70.02</v>
      </c>
      <c r="H56" s="100">
        <v>30.96</v>
      </c>
      <c r="I56" s="100">
        <v>10.62</v>
      </c>
      <c r="J56" s="100">
        <v>0.83</v>
      </c>
      <c r="K56" s="100">
        <v>41.34</v>
      </c>
      <c r="L56" s="100">
        <v>28.98</v>
      </c>
      <c r="M56" s="100">
        <v>30.18</v>
      </c>
      <c r="N56" s="100">
        <v>600.9</v>
      </c>
      <c r="O56" s="100">
        <v>0</v>
      </c>
      <c r="P56" s="100">
        <v>0.55000000000000004</v>
      </c>
      <c r="Q56" s="100">
        <v>9.32</v>
      </c>
      <c r="R56" s="6"/>
      <c r="S56" s="6"/>
      <c r="T56" s="156"/>
      <c r="U56" s="6"/>
    </row>
    <row r="57" spans="1:21" customFormat="1">
      <c r="A57" s="163" t="s">
        <v>583</v>
      </c>
      <c r="B57" s="100">
        <v>12.44</v>
      </c>
      <c r="C57" s="100">
        <v>18.920000000000002</v>
      </c>
      <c r="D57" s="100">
        <v>19.86</v>
      </c>
      <c r="E57" s="100">
        <v>6.84</v>
      </c>
      <c r="F57" s="100">
        <v>1.46</v>
      </c>
      <c r="G57" s="100">
        <v>70.02</v>
      </c>
      <c r="H57" s="100">
        <v>30.96</v>
      </c>
      <c r="I57" s="100">
        <v>10.48</v>
      </c>
      <c r="J57" s="100">
        <v>0.8</v>
      </c>
      <c r="K57" s="100">
        <v>38.090000000000003</v>
      </c>
      <c r="L57" s="100">
        <v>29.24</v>
      </c>
      <c r="M57" s="100">
        <v>28.65</v>
      </c>
      <c r="N57" s="100">
        <v>602.20000000000005</v>
      </c>
      <c r="O57" s="100">
        <v>0</v>
      </c>
      <c r="P57" s="100">
        <v>0.54</v>
      </c>
      <c r="Q57" s="100">
        <v>9.32</v>
      </c>
      <c r="R57" s="6"/>
      <c r="S57" s="6"/>
      <c r="T57" s="156"/>
      <c r="U57" s="6"/>
    </row>
    <row r="58" spans="1:21" customFormat="1">
      <c r="A58" s="163" t="s">
        <v>584</v>
      </c>
      <c r="B58" s="100">
        <v>11.32</v>
      </c>
      <c r="C58" s="100">
        <v>18.82</v>
      </c>
      <c r="D58" s="100">
        <v>18.91</v>
      </c>
      <c r="E58" s="100">
        <v>6.89</v>
      </c>
      <c r="F58" s="100">
        <v>1.47</v>
      </c>
      <c r="G58" s="100">
        <v>70.02</v>
      </c>
      <c r="H58" s="100">
        <v>30.96</v>
      </c>
      <c r="I58" s="100">
        <v>10.41</v>
      </c>
      <c r="J58" s="100">
        <v>0.7</v>
      </c>
      <c r="K58" s="100">
        <v>35.47</v>
      </c>
      <c r="L58" s="100">
        <v>29.32</v>
      </c>
      <c r="M58" s="100">
        <v>27.75</v>
      </c>
      <c r="N58" s="100">
        <v>609</v>
      </c>
      <c r="O58" s="100">
        <v>0</v>
      </c>
      <c r="P58" s="100">
        <v>0.53</v>
      </c>
      <c r="Q58" s="100">
        <v>9.32</v>
      </c>
      <c r="R58" s="6"/>
      <c r="S58" s="6"/>
      <c r="T58" s="156"/>
      <c r="U58" s="6"/>
    </row>
    <row r="59" spans="1:21" customFormat="1">
      <c r="A59" s="163" t="s">
        <v>585</v>
      </c>
      <c r="B59" s="100">
        <v>10.26</v>
      </c>
      <c r="C59" s="100">
        <v>18.5</v>
      </c>
      <c r="D59" s="100">
        <v>17.89</v>
      </c>
      <c r="E59" s="100">
        <v>6.97</v>
      </c>
      <c r="F59" s="100">
        <v>1.86</v>
      </c>
      <c r="G59" s="100">
        <v>64.55</v>
      </c>
      <c r="H59" s="100">
        <v>28.19</v>
      </c>
      <c r="I59" s="100">
        <v>10.3</v>
      </c>
      <c r="J59" s="100">
        <v>0.89</v>
      </c>
      <c r="K59" s="100">
        <v>46.14</v>
      </c>
      <c r="L59" s="100">
        <v>29.74</v>
      </c>
      <c r="M59" s="100">
        <v>25.86</v>
      </c>
      <c r="N59" s="100">
        <v>597.9</v>
      </c>
      <c r="O59" s="100">
        <v>0</v>
      </c>
      <c r="P59" s="100">
        <v>0.52</v>
      </c>
      <c r="Q59" s="100">
        <v>9.32</v>
      </c>
      <c r="R59" s="6"/>
      <c r="S59" s="6"/>
      <c r="T59" s="156"/>
      <c r="U59" s="6"/>
    </row>
    <row r="60" spans="1:21" customFormat="1">
      <c r="A60" s="163" t="s">
        <v>586</v>
      </c>
      <c r="B60" s="100">
        <v>9.2200000000000006</v>
      </c>
      <c r="C60" s="100">
        <v>18.46</v>
      </c>
      <c r="D60" s="100">
        <v>17.04</v>
      </c>
      <c r="E60" s="100">
        <v>7.01</v>
      </c>
      <c r="F60" s="100">
        <v>2.48</v>
      </c>
      <c r="G60" s="100">
        <v>64.430000000000007</v>
      </c>
      <c r="H60" s="100">
        <v>28.19</v>
      </c>
      <c r="I60" s="100">
        <v>10.17</v>
      </c>
      <c r="J60" s="100">
        <v>0.82</v>
      </c>
      <c r="K60" s="100">
        <v>35.31</v>
      </c>
      <c r="L60" s="100">
        <v>29.53</v>
      </c>
      <c r="M60" s="100">
        <v>25.76</v>
      </c>
      <c r="N60" s="100">
        <v>569.70000000000005</v>
      </c>
      <c r="O60" s="100">
        <v>0</v>
      </c>
      <c r="P60" s="100">
        <v>0.51</v>
      </c>
      <c r="Q60" s="100">
        <v>9.32</v>
      </c>
      <c r="R60" s="6"/>
      <c r="S60" s="6"/>
      <c r="T60" s="156"/>
      <c r="U60" s="6"/>
    </row>
    <row r="61" spans="1:21" customFormat="1">
      <c r="A61" s="163" t="s">
        <v>587</v>
      </c>
      <c r="B61" s="100">
        <v>8.35</v>
      </c>
      <c r="C61" s="100">
        <v>18.2</v>
      </c>
      <c r="D61" s="100">
        <v>16.21</v>
      </c>
      <c r="E61" s="100">
        <v>6.84</v>
      </c>
      <c r="F61" s="100">
        <v>1.18</v>
      </c>
      <c r="G61" s="100">
        <v>64.430000000000007</v>
      </c>
      <c r="H61" s="100">
        <v>28.19</v>
      </c>
      <c r="I61" s="100">
        <v>10.039999999999999</v>
      </c>
      <c r="J61" s="100">
        <v>0.53</v>
      </c>
      <c r="K61" s="100">
        <v>54.81</v>
      </c>
      <c r="L61" s="100">
        <v>29.96</v>
      </c>
      <c r="M61" s="100">
        <v>24.41</v>
      </c>
      <c r="N61" s="100">
        <v>538.20000000000005</v>
      </c>
      <c r="O61" s="100">
        <v>0</v>
      </c>
      <c r="P61" s="100">
        <v>0.5</v>
      </c>
      <c r="Q61" s="100">
        <v>9.32</v>
      </c>
      <c r="R61" s="6"/>
      <c r="S61" s="6"/>
      <c r="T61" s="156"/>
      <c r="U61" s="6"/>
    </row>
    <row r="62" spans="1:21" customFormat="1">
      <c r="A62" s="163" t="s">
        <v>588</v>
      </c>
      <c r="B62" s="100">
        <v>7.43</v>
      </c>
      <c r="C62" s="100">
        <v>17.97</v>
      </c>
      <c r="D62" s="100">
        <v>15.35</v>
      </c>
      <c r="E62" s="100">
        <v>6.72</v>
      </c>
      <c r="F62" s="100">
        <v>1.08</v>
      </c>
      <c r="G62" s="100">
        <v>64.430000000000007</v>
      </c>
      <c r="H62" s="100">
        <v>28.19</v>
      </c>
      <c r="I62" s="100">
        <v>9.93</v>
      </c>
      <c r="J62" s="100">
        <v>0.57999999999999996</v>
      </c>
      <c r="K62" s="100">
        <v>46.5</v>
      </c>
      <c r="L62" s="100">
        <v>29.65</v>
      </c>
      <c r="M62" s="100">
        <v>24.47</v>
      </c>
      <c r="N62" s="100">
        <v>210.6</v>
      </c>
      <c r="O62" s="100">
        <v>0</v>
      </c>
      <c r="P62" s="100">
        <v>0.5</v>
      </c>
      <c r="Q62" s="100">
        <v>9.32</v>
      </c>
      <c r="R62" s="6"/>
      <c r="S62" s="6"/>
      <c r="T62" s="156"/>
      <c r="U62" s="6"/>
    </row>
    <row r="63" spans="1:21" customFormat="1">
      <c r="A63" s="163" t="s">
        <v>589</v>
      </c>
      <c r="B63" s="100">
        <v>6.4</v>
      </c>
      <c r="C63" s="100">
        <v>17.920000000000002</v>
      </c>
      <c r="D63" s="100">
        <v>14.49</v>
      </c>
      <c r="E63" s="100">
        <v>5.99</v>
      </c>
      <c r="F63" s="100">
        <v>1.27</v>
      </c>
      <c r="G63" s="100">
        <v>57.61</v>
      </c>
      <c r="H63" s="100">
        <v>27.13</v>
      </c>
      <c r="I63" s="100">
        <v>9.82</v>
      </c>
      <c r="J63" s="100">
        <v>0.73</v>
      </c>
      <c r="K63" s="100">
        <v>48.65</v>
      </c>
      <c r="L63" s="100">
        <v>29.5</v>
      </c>
      <c r="M63" s="100">
        <v>24.29</v>
      </c>
      <c r="N63" s="100">
        <v>133.9</v>
      </c>
      <c r="O63" s="100">
        <v>0</v>
      </c>
      <c r="P63" s="100">
        <v>0.49</v>
      </c>
      <c r="Q63" s="100">
        <v>9.32</v>
      </c>
      <c r="R63" s="6"/>
      <c r="S63" s="6"/>
      <c r="T63" s="156"/>
      <c r="U63" s="6"/>
    </row>
    <row r="64" spans="1:21" customFormat="1">
      <c r="A64" s="163" t="s">
        <v>590</v>
      </c>
      <c r="B64" s="100">
        <v>5.33</v>
      </c>
      <c r="C64" s="100">
        <v>18.010000000000002</v>
      </c>
      <c r="D64" s="100">
        <v>13.68</v>
      </c>
      <c r="E64" s="100">
        <v>6.54</v>
      </c>
      <c r="F64" s="100">
        <v>1.88</v>
      </c>
      <c r="G64" s="100">
        <v>57.46</v>
      </c>
      <c r="H64" s="100">
        <v>27.13</v>
      </c>
      <c r="I64" s="100">
        <v>9.68</v>
      </c>
      <c r="J64" s="100">
        <v>0.27</v>
      </c>
      <c r="K64" s="100">
        <v>95.53</v>
      </c>
      <c r="L64" s="100">
        <v>29.48</v>
      </c>
      <c r="M64" s="100">
        <v>24.93</v>
      </c>
      <c r="N64" s="100">
        <v>117.7</v>
      </c>
      <c r="O64" s="100">
        <v>0</v>
      </c>
      <c r="P64" s="100">
        <v>0.48</v>
      </c>
      <c r="Q64" s="100">
        <v>9.32</v>
      </c>
      <c r="R64" s="6"/>
      <c r="S64" s="6"/>
      <c r="T64" s="156"/>
      <c r="U64" s="6"/>
    </row>
    <row r="65" spans="1:21" customFormat="1">
      <c r="A65" s="163" t="s">
        <v>591</v>
      </c>
      <c r="B65" s="100">
        <v>4.4400000000000004</v>
      </c>
      <c r="C65" s="100">
        <v>17.940000000000001</v>
      </c>
      <c r="D65" s="100">
        <v>12.93</v>
      </c>
      <c r="E65" s="100">
        <v>6.66</v>
      </c>
      <c r="F65" s="100">
        <v>4.01</v>
      </c>
      <c r="G65" s="100">
        <v>57.46</v>
      </c>
      <c r="H65" s="100">
        <v>27.13</v>
      </c>
      <c r="I65" s="100">
        <v>9.51</v>
      </c>
      <c r="J65" s="100">
        <v>0.66</v>
      </c>
      <c r="K65" s="100">
        <v>35.65</v>
      </c>
      <c r="L65" s="100">
        <v>29.56</v>
      </c>
      <c r="M65" s="100">
        <v>25.18</v>
      </c>
      <c r="N65" s="100">
        <v>113.5</v>
      </c>
      <c r="O65" s="100">
        <v>0</v>
      </c>
      <c r="P65" s="100">
        <v>0.44</v>
      </c>
      <c r="Q65" s="100">
        <v>9.32</v>
      </c>
      <c r="R65" s="6"/>
      <c r="S65" s="6"/>
      <c r="T65" s="156"/>
      <c r="U65" s="6"/>
    </row>
    <row r="66" spans="1:21" customFormat="1">
      <c r="A66" s="163" t="s">
        <v>592</v>
      </c>
      <c r="B66" s="100">
        <v>3.8</v>
      </c>
      <c r="C66" s="100">
        <v>17.850000000000001</v>
      </c>
      <c r="D66" s="100">
        <v>12.37</v>
      </c>
      <c r="E66" s="100">
        <v>6.88</v>
      </c>
      <c r="F66" s="100">
        <v>4.38</v>
      </c>
      <c r="G66" s="100">
        <v>57.46</v>
      </c>
      <c r="H66" s="100">
        <v>27.13</v>
      </c>
      <c r="I66" s="100">
        <v>9.34</v>
      </c>
      <c r="J66" s="100">
        <v>0.3</v>
      </c>
      <c r="K66" s="100">
        <v>58.51</v>
      </c>
      <c r="L66" s="100">
        <v>29.39</v>
      </c>
      <c r="M66" s="100">
        <v>25.29</v>
      </c>
      <c r="N66" s="100">
        <v>108</v>
      </c>
      <c r="O66" s="100">
        <v>0</v>
      </c>
      <c r="P66" s="100">
        <v>0.47</v>
      </c>
      <c r="Q66" s="100">
        <v>9.32</v>
      </c>
      <c r="R66" s="6"/>
      <c r="S66" s="6"/>
      <c r="T66" s="156"/>
      <c r="U66" s="6"/>
    </row>
    <row r="67" spans="1:21" customFormat="1">
      <c r="A67" s="163" t="s">
        <v>593</v>
      </c>
      <c r="B67" s="100">
        <v>3.41</v>
      </c>
      <c r="C67" s="100">
        <v>17.47</v>
      </c>
      <c r="D67" s="100">
        <v>11.86</v>
      </c>
      <c r="E67" s="100">
        <v>7.2</v>
      </c>
      <c r="F67" s="100">
        <v>6.24</v>
      </c>
      <c r="G67" s="100">
        <v>53.67</v>
      </c>
      <c r="H67" s="100">
        <v>26.45</v>
      </c>
      <c r="I67" s="100">
        <v>9.17</v>
      </c>
      <c r="J67" s="100">
        <v>0.27</v>
      </c>
      <c r="K67" s="100">
        <v>45.53</v>
      </c>
      <c r="L67" s="100">
        <v>29.33</v>
      </c>
      <c r="M67" s="100">
        <v>25.44</v>
      </c>
      <c r="N67" s="100">
        <v>129.80000000000001</v>
      </c>
      <c r="O67" s="100">
        <v>0</v>
      </c>
      <c r="P67" s="100">
        <v>0.46</v>
      </c>
      <c r="Q67" s="100">
        <v>9.32</v>
      </c>
      <c r="R67" s="6"/>
      <c r="S67" s="6"/>
      <c r="T67" s="156"/>
      <c r="U67" s="6"/>
    </row>
    <row r="68" spans="1:21" customFormat="1">
      <c r="A68" s="163" t="s">
        <v>594</v>
      </c>
      <c r="B68" s="100">
        <v>3.21</v>
      </c>
      <c r="C68" s="100">
        <v>17.41</v>
      </c>
      <c r="D68" s="100">
        <v>11.67</v>
      </c>
      <c r="E68" s="100">
        <v>6.84</v>
      </c>
      <c r="F68" s="100">
        <v>4.71</v>
      </c>
      <c r="G68" s="100">
        <v>53.59</v>
      </c>
      <c r="H68" s="100">
        <v>26.45</v>
      </c>
      <c r="I68" s="100">
        <v>9</v>
      </c>
      <c r="J68" s="100">
        <v>0.51</v>
      </c>
      <c r="K68" s="100">
        <v>49.27</v>
      </c>
      <c r="L68" s="100">
        <v>29.48</v>
      </c>
      <c r="M68" s="100">
        <v>25.06</v>
      </c>
      <c r="N68" s="100">
        <v>91.2</v>
      </c>
      <c r="O68" s="100">
        <v>0</v>
      </c>
      <c r="P68" s="100">
        <v>0.46</v>
      </c>
      <c r="Q68" s="100">
        <v>9.32</v>
      </c>
      <c r="R68" s="6"/>
      <c r="S68" s="6"/>
      <c r="T68" s="156"/>
      <c r="U68" s="6"/>
    </row>
    <row r="69" spans="1:21" customFormat="1">
      <c r="A69" s="163" t="s">
        <v>595</v>
      </c>
      <c r="B69" s="100">
        <v>3.1</v>
      </c>
      <c r="C69" s="100">
        <v>17.22</v>
      </c>
      <c r="D69" s="100">
        <v>11.48</v>
      </c>
      <c r="E69" s="100">
        <v>7.04</v>
      </c>
      <c r="F69" s="100">
        <v>4.8899999999999997</v>
      </c>
      <c r="G69" s="100">
        <v>53.59</v>
      </c>
      <c r="H69" s="100">
        <v>26.45</v>
      </c>
      <c r="I69" s="100">
        <v>8.8699999999999992</v>
      </c>
      <c r="J69" s="100">
        <v>0.54</v>
      </c>
      <c r="K69" s="100">
        <v>49.86</v>
      </c>
      <c r="L69" s="100">
        <v>29.44</v>
      </c>
      <c r="M69" s="100">
        <v>24.55</v>
      </c>
      <c r="N69" s="100">
        <v>81.599999999999994</v>
      </c>
      <c r="O69" s="100">
        <v>0</v>
      </c>
      <c r="P69" s="100">
        <v>0.46</v>
      </c>
      <c r="Q69" s="100">
        <v>9.32</v>
      </c>
      <c r="R69" s="6"/>
      <c r="S69" s="6"/>
      <c r="T69" s="156"/>
      <c r="U69" s="6"/>
    </row>
    <row r="70" spans="1:21" customFormat="1">
      <c r="A70" s="163" t="s">
        <v>596</v>
      </c>
      <c r="B70" s="100">
        <v>3.06</v>
      </c>
      <c r="C70" s="100">
        <v>17.100000000000001</v>
      </c>
      <c r="D70" s="100">
        <v>11.38</v>
      </c>
      <c r="E70" s="100">
        <v>7.05</v>
      </c>
      <c r="F70" s="100">
        <v>4.25</v>
      </c>
      <c r="G70" s="100">
        <v>53.59</v>
      </c>
      <c r="H70" s="100">
        <v>26.45</v>
      </c>
      <c r="I70" s="100">
        <v>8.8000000000000007</v>
      </c>
      <c r="J70" s="100">
        <v>0.73</v>
      </c>
      <c r="K70" s="100">
        <v>50.04</v>
      </c>
      <c r="L70" s="100">
        <v>29.35</v>
      </c>
      <c r="M70" s="100">
        <v>24.55</v>
      </c>
      <c r="N70" s="100">
        <v>77.900000000000006</v>
      </c>
      <c r="O70" s="100">
        <v>0</v>
      </c>
      <c r="P70" s="100">
        <v>0.46</v>
      </c>
      <c r="Q70" s="100">
        <v>9.32</v>
      </c>
      <c r="R70" s="6"/>
      <c r="S70" s="6"/>
      <c r="T70" s="156"/>
      <c r="U70" s="6"/>
    </row>
    <row r="71" spans="1:21" customFormat="1">
      <c r="A71" s="163" t="s">
        <v>597</v>
      </c>
      <c r="B71" s="100">
        <v>3.14</v>
      </c>
      <c r="C71" s="100">
        <v>17.46</v>
      </c>
      <c r="D71" s="100">
        <v>11.64</v>
      </c>
      <c r="E71" s="100">
        <v>7.64</v>
      </c>
      <c r="F71" s="100">
        <v>4.38</v>
      </c>
      <c r="G71" s="100">
        <v>51.54</v>
      </c>
      <c r="H71" s="100">
        <v>25.57</v>
      </c>
      <c r="I71" s="100">
        <v>8.69</v>
      </c>
      <c r="J71" s="100">
        <v>0.28000000000000003</v>
      </c>
      <c r="K71" s="100">
        <v>41.91</v>
      </c>
      <c r="L71" s="100">
        <v>29.27</v>
      </c>
      <c r="M71" s="100">
        <v>25.97</v>
      </c>
      <c r="N71" s="100">
        <v>65.8</v>
      </c>
      <c r="O71" s="100">
        <v>0</v>
      </c>
      <c r="P71" s="100">
        <v>0.46</v>
      </c>
      <c r="Q71" s="100">
        <v>9.32</v>
      </c>
      <c r="R71" s="6"/>
      <c r="S71" s="6"/>
      <c r="T71" s="156"/>
      <c r="U71" s="6"/>
    </row>
    <row r="72" spans="1:21" customFormat="1">
      <c r="A72" s="163" t="s">
        <v>598</v>
      </c>
      <c r="B72" s="100">
        <v>3.21</v>
      </c>
      <c r="C72" s="100">
        <v>17.64</v>
      </c>
      <c r="D72" s="100">
        <v>11.78</v>
      </c>
      <c r="E72" s="100">
        <v>7.12</v>
      </c>
      <c r="F72" s="100">
        <v>2.67</v>
      </c>
      <c r="G72" s="100">
        <v>51.5</v>
      </c>
      <c r="H72" s="100">
        <v>25.57</v>
      </c>
      <c r="I72" s="100">
        <v>8.58</v>
      </c>
      <c r="J72" s="100">
        <v>0.39</v>
      </c>
      <c r="K72" s="100">
        <v>78.2</v>
      </c>
      <c r="L72" s="100">
        <v>29.12</v>
      </c>
      <c r="M72" s="100">
        <v>25.93</v>
      </c>
      <c r="N72" s="100">
        <v>57.5</v>
      </c>
      <c r="O72" s="100">
        <v>0</v>
      </c>
      <c r="P72" s="100">
        <v>0.45</v>
      </c>
      <c r="Q72" s="100">
        <v>9.32</v>
      </c>
      <c r="R72" s="6"/>
      <c r="S72" s="6"/>
      <c r="T72" s="156"/>
      <c r="U72" s="6"/>
    </row>
    <row r="73" spans="1:21" customFormat="1">
      <c r="A73" s="163" t="s">
        <v>599</v>
      </c>
      <c r="B73" s="100">
        <v>3.25</v>
      </c>
      <c r="C73" s="100">
        <v>17.690000000000001</v>
      </c>
      <c r="D73" s="100">
        <v>11.85</v>
      </c>
      <c r="E73" s="100">
        <v>7.4</v>
      </c>
      <c r="F73" s="100">
        <v>2.29</v>
      </c>
      <c r="G73" s="100">
        <v>51.5</v>
      </c>
      <c r="H73" s="100">
        <v>25.57</v>
      </c>
      <c r="I73" s="100">
        <v>8.49</v>
      </c>
      <c r="J73" s="100">
        <v>0.18</v>
      </c>
      <c r="K73" s="100">
        <v>88.39</v>
      </c>
      <c r="L73" s="100">
        <v>28.86</v>
      </c>
      <c r="M73" s="100">
        <v>28.11</v>
      </c>
      <c r="N73" s="100">
        <v>49.9</v>
      </c>
      <c r="O73" s="100">
        <v>0</v>
      </c>
      <c r="P73" s="100">
        <v>0.46</v>
      </c>
      <c r="Q73" s="100">
        <v>9.32</v>
      </c>
      <c r="R73" s="6"/>
      <c r="S73" s="6"/>
      <c r="T73" s="156"/>
      <c r="U73" s="6"/>
    </row>
    <row r="74" spans="1:21" customFormat="1">
      <c r="A74" s="163" t="s">
        <v>600</v>
      </c>
      <c r="B74" s="100">
        <v>3.26</v>
      </c>
      <c r="C74" s="100">
        <v>17.559999999999999</v>
      </c>
      <c r="D74" s="100">
        <v>11.79</v>
      </c>
      <c r="E74" s="100">
        <v>6.85</v>
      </c>
      <c r="F74" s="100">
        <v>1.8</v>
      </c>
      <c r="G74" s="100">
        <v>51.5</v>
      </c>
      <c r="H74" s="100">
        <v>25.57</v>
      </c>
      <c r="I74" s="100">
        <v>8.44</v>
      </c>
      <c r="J74" s="100">
        <v>0.21</v>
      </c>
      <c r="K74" s="100">
        <v>160.78</v>
      </c>
      <c r="L74" s="100">
        <v>28.14</v>
      </c>
      <c r="M74" s="100">
        <v>31.75</v>
      </c>
      <c r="N74" s="100">
        <v>42.1</v>
      </c>
      <c r="O74" s="100">
        <v>0</v>
      </c>
      <c r="P74" s="100">
        <v>0.45</v>
      </c>
      <c r="Q74" s="100">
        <v>9.32</v>
      </c>
      <c r="R74" s="6"/>
      <c r="S74" s="6"/>
      <c r="T74" s="156"/>
      <c r="U74" s="6"/>
    </row>
    <row r="75" spans="1:21" customFormat="1">
      <c r="A75" s="163" t="s">
        <v>601</v>
      </c>
      <c r="B75" s="100">
        <v>3.31</v>
      </c>
      <c r="C75" s="100">
        <v>17.3</v>
      </c>
      <c r="D75" s="100">
        <v>11.69</v>
      </c>
      <c r="E75" s="100">
        <v>6.41</v>
      </c>
      <c r="F75" s="100">
        <v>1.41</v>
      </c>
      <c r="G75" s="100">
        <v>55.33</v>
      </c>
      <c r="H75" s="100">
        <v>27.29</v>
      </c>
      <c r="I75" s="100">
        <v>8.33</v>
      </c>
      <c r="J75" s="100">
        <v>0.2</v>
      </c>
      <c r="K75" s="100">
        <v>154.18</v>
      </c>
      <c r="L75" s="100">
        <v>27.51</v>
      </c>
      <c r="M75" s="100">
        <v>35.65</v>
      </c>
      <c r="N75" s="100">
        <v>33</v>
      </c>
      <c r="O75" s="100">
        <v>0</v>
      </c>
      <c r="P75" s="100">
        <v>0.44</v>
      </c>
      <c r="Q75" s="100">
        <v>9.32</v>
      </c>
      <c r="R75" s="6"/>
      <c r="S75" s="6"/>
      <c r="T75" s="156"/>
      <c r="U75" s="6"/>
    </row>
    <row r="76" spans="1:21" customFormat="1">
      <c r="A76" s="163" t="s">
        <v>602</v>
      </c>
      <c r="B76" s="100">
        <v>3.41</v>
      </c>
      <c r="C76" s="100">
        <v>17.2</v>
      </c>
      <c r="D76" s="100">
        <v>11.72</v>
      </c>
      <c r="E76" s="100">
        <v>6.46</v>
      </c>
      <c r="F76" s="100">
        <v>1.23</v>
      </c>
      <c r="G76" s="100">
        <v>55.41</v>
      </c>
      <c r="H76" s="100">
        <v>27.29</v>
      </c>
      <c r="I76" s="100">
        <v>8.23</v>
      </c>
      <c r="J76" s="100">
        <v>0.27</v>
      </c>
      <c r="K76" s="100">
        <v>156.87</v>
      </c>
      <c r="L76" s="100">
        <v>26.64</v>
      </c>
      <c r="M76" s="100">
        <v>40.08</v>
      </c>
      <c r="N76" s="100">
        <v>23.8</v>
      </c>
      <c r="O76" s="100">
        <v>0</v>
      </c>
      <c r="P76" s="100">
        <v>0.44</v>
      </c>
      <c r="Q76" s="100">
        <v>9.32</v>
      </c>
      <c r="R76" s="6"/>
      <c r="S76" s="6"/>
      <c r="T76" s="156"/>
      <c r="U76" s="6"/>
    </row>
    <row r="77" spans="1:21" customFormat="1">
      <c r="A77" s="163" t="s">
        <v>603</v>
      </c>
      <c r="B77" s="100">
        <v>3.61</v>
      </c>
      <c r="C77" s="100">
        <v>17.43</v>
      </c>
      <c r="D77" s="100">
        <v>12</v>
      </c>
      <c r="E77" s="100">
        <v>6.67</v>
      </c>
      <c r="F77" s="100">
        <v>0.52</v>
      </c>
      <c r="G77" s="100">
        <v>55.41</v>
      </c>
      <c r="H77" s="100">
        <v>27.29</v>
      </c>
      <c r="I77" s="100">
        <v>8.1999999999999993</v>
      </c>
      <c r="J77" s="100">
        <v>0.24</v>
      </c>
      <c r="K77" s="100">
        <v>157.44999999999999</v>
      </c>
      <c r="L77" s="100">
        <v>25.89</v>
      </c>
      <c r="M77" s="100">
        <v>42.56</v>
      </c>
      <c r="N77" s="100">
        <v>16.3</v>
      </c>
      <c r="O77" s="100">
        <v>0</v>
      </c>
      <c r="P77" s="100">
        <v>0.45</v>
      </c>
      <c r="Q77" s="100">
        <v>9.32</v>
      </c>
      <c r="R77" s="6"/>
      <c r="S77" s="6"/>
      <c r="T77" s="156"/>
      <c r="U77" s="6"/>
    </row>
    <row r="78" spans="1:21" customFormat="1">
      <c r="A78" s="163" t="s">
        <v>604</v>
      </c>
      <c r="B78" s="100">
        <v>4.01</v>
      </c>
      <c r="C78" s="100">
        <v>17.97</v>
      </c>
      <c r="D78" s="100">
        <v>12.61</v>
      </c>
      <c r="E78" s="100">
        <v>6.4</v>
      </c>
      <c r="F78" s="100">
        <v>0.2</v>
      </c>
      <c r="G78" s="100">
        <v>55.41</v>
      </c>
      <c r="H78" s="100">
        <v>27.29</v>
      </c>
      <c r="I78" s="100">
        <v>8.17</v>
      </c>
      <c r="J78" s="100">
        <v>0.22</v>
      </c>
      <c r="K78" s="100">
        <v>155.91999999999999</v>
      </c>
      <c r="L78" s="100">
        <v>25.28</v>
      </c>
      <c r="M78" s="100">
        <v>44.43</v>
      </c>
      <c r="N78" s="100">
        <v>12.2</v>
      </c>
      <c r="O78" s="100">
        <v>0</v>
      </c>
      <c r="P78" s="100">
        <v>0.46</v>
      </c>
      <c r="Q78" s="100">
        <v>9.32</v>
      </c>
      <c r="R78" s="6"/>
      <c r="S78" s="6"/>
      <c r="T78" s="156"/>
      <c r="U78" s="6"/>
    </row>
    <row r="79" spans="1:21" customFormat="1">
      <c r="A79" s="163" t="s">
        <v>605</v>
      </c>
      <c r="B79" s="100">
        <v>4.59</v>
      </c>
      <c r="C79" s="100">
        <v>18.39</v>
      </c>
      <c r="D79" s="100">
        <v>13.29</v>
      </c>
      <c r="E79" s="100">
        <v>6.69</v>
      </c>
      <c r="F79" s="100">
        <v>0.04</v>
      </c>
      <c r="G79" s="100">
        <v>69.02</v>
      </c>
      <c r="H79" s="100">
        <v>30.38</v>
      </c>
      <c r="I79" s="100">
        <v>8.18</v>
      </c>
      <c r="J79" s="100">
        <v>0.31</v>
      </c>
      <c r="K79" s="100">
        <v>158.11000000000001</v>
      </c>
      <c r="L79" s="100">
        <v>24.63</v>
      </c>
      <c r="M79" s="100">
        <v>47.04</v>
      </c>
      <c r="N79" s="100">
        <v>11</v>
      </c>
      <c r="O79" s="100">
        <v>0</v>
      </c>
      <c r="P79" s="100">
        <v>0.47</v>
      </c>
      <c r="Q79" s="100">
        <v>9.32</v>
      </c>
      <c r="R79" s="6"/>
      <c r="S79" s="6"/>
      <c r="T79" s="156"/>
      <c r="U79" s="6"/>
    </row>
    <row r="80" spans="1:21" customFormat="1">
      <c r="A80" s="163" t="s">
        <v>606</v>
      </c>
      <c r="B80" s="100">
        <v>5.41</v>
      </c>
      <c r="C80" s="100">
        <v>18.87</v>
      </c>
      <c r="D80" s="100">
        <v>14.19</v>
      </c>
      <c r="E80" s="100">
        <v>6.52</v>
      </c>
      <c r="F80" s="100">
        <v>7.0000000000000007E-2</v>
      </c>
      <c r="G80" s="100">
        <v>69.33</v>
      </c>
      <c r="H80" s="100">
        <v>30.38</v>
      </c>
      <c r="I80" s="100">
        <v>8.31</v>
      </c>
      <c r="J80" s="100">
        <v>0.26</v>
      </c>
      <c r="K80" s="100">
        <v>148.30000000000001</v>
      </c>
      <c r="L80" s="100">
        <v>24.21</v>
      </c>
      <c r="M80" s="100">
        <v>47.84</v>
      </c>
      <c r="N80" s="100">
        <v>10.8</v>
      </c>
      <c r="O80" s="100">
        <v>0</v>
      </c>
      <c r="P80" s="100">
        <v>0.49</v>
      </c>
      <c r="Q80" s="100">
        <v>9.32</v>
      </c>
      <c r="R80" s="6"/>
      <c r="S80" s="6"/>
      <c r="T80" s="156"/>
      <c r="U80" s="6"/>
    </row>
    <row r="81" spans="1:21" customFormat="1">
      <c r="A81" s="163" t="s">
        <v>607</v>
      </c>
      <c r="B81" s="100">
        <v>6.52</v>
      </c>
      <c r="C81" s="100">
        <v>19.53</v>
      </c>
      <c r="D81" s="100">
        <v>15.44</v>
      </c>
      <c r="E81" s="100">
        <v>5.09</v>
      </c>
      <c r="F81" s="100">
        <v>0.03</v>
      </c>
      <c r="G81" s="100">
        <v>69.33</v>
      </c>
      <c r="H81" s="100">
        <v>30.38</v>
      </c>
      <c r="I81" s="100">
        <v>8.52</v>
      </c>
      <c r="J81" s="100">
        <v>0.2</v>
      </c>
      <c r="K81" s="100">
        <v>145.46</v>
      </c>
      <c r="L81" s="100">
        <v>24.07</v>
      </c>
      <c r="M81" s="100">
        <v>47.91</v>
      </c>
      <c r="N81" s="100">
        <v>10.5</v>
      </c>
      <c r="O81" s="100">
        <v>0</v>
      </c>
      <c r="P81" s="100">
        <v>0.51</v>
      </c>
      <c r="Q81" s="100">
        <v>9.32</v>
      </c>
      <c r="R81" s="6"/>
      <c r="S81" s="6"/>
      <c r="T81" s="156"/>
      <c r="U81" s="6"/>
    </row>
    <row r="82" spans="1:21" customFormat="1">
      <c r="A82" s="163" t="s">
        <v>608</v>
      </c>
      <c r="B82" s="100">
        <v>7.91</v>
      </c>
      <c r="C82" s="100">
        <v>20.059999999999999</v>
      </c>
      <c r="D82" s="100">
        <v>16.82</v>
      </c>
      <c r="E82" s="100">
        <v>5.96</v>
      </c>
      <c r="F82" s="100">
        <v>0.01</v>
      </c>
      <c r="G82" s="100">
        <v>69.33</v>
      </c>
      <c r="H82" s="100">
        <v>30.38</v>
      </c>
      <c r="I82" s="100">
        <v>8.77</v>
      </c>
      <c r="J82" s="100">
        <v>0.15</v>
      </c>
      <c r="K82" s="100">
        <v>136.55000000000001</v>
      </c>
      <c r="L82" s="100">
        <v>23.76</v>
      </c>
      <c r="M82" s="100">
        <v>48.6</v>
      </c>
      <c r="N82" s="100">
        <v>10.5</v>
      </c>
      <c r="O82" s="100">
        <v>0</v>
      </c>
      <c r="P82" s="100">
        <v>0.52</v>
      </c>
      <c r="Q82" s="100">
        <v>9.32</v>
      </c>
      <c r="R82" s="6"/>
      <c r="S82" s="6"/>
      <c r="T82" s="156"/>
      <c r="U82" s="6"/>
    </row>
    <row r="83" spans="1:21" customFormat="1">
      <c r="A83" s="163" t="s">
        <v>609</v>
      </c>
      <c r="B83" s="100">
        <v>10.37</v>
      </c>
      <c r="C83" s="100">
        <v>20.89</v>
      </c>
      <c r="D83" s="100">
        <v>19.23</v>
      </c>
      <c r="E83" s="100">
        <v>6.19</v>
      </c>
      <c r="F83" s="100">
        <v>0.17</v>
      </c>
      <c r="G83" s="100">
        <v>90.94</v>
      </c>
      <c r="H83" s="100">
        <v>36.340000000000003</v>
      </c>
      <c r="I83" s="100">
        <v>9.02</v>
      </c>
      <c r="J83" s="100">
        <v>0.15</v>
      </c>
      <c r="K83" s="100">
        <v>134.04</v>
      </c>
      <c r="L83" s="100">
        <v>23.53</v>
      </c>
      <c r="M83" s="100">
        <v>48.62</v>
      </c>
      <c r="N83" s="100">
        <v>10.4</v>
      </c>
      <c r="O83" s="100">
        <v>0</v>
      </c>
      <c r="P83" s="100">
        <v>0.56000000000000005</v>
      </c>
      <c r="Q83" s="100">
        <v>9.32</v>
      </c>
      <c r="R83" s="6"/>
      <c r="S83" s="6"/>
      <c r="T83" s="156"/>
      <c r="U83" s="6"/>
    </row>
    <row r="84" spans="1:21" customFormat="1">
      <c r="A84" s="163" t="s">
        <v>610</v>
      </c>
      <c r="B84" s="100">
        <v>10.94</v>
      </c>
      <c r="C84" s="100">
        <v>20.27</v>
      </c>
      <c r="D84" s="100">
        <v>19.36</v>
      </c>
      <c r="E84" s="100">
        <v>6.1</v>
      </c>
      <c r="F84" s="100">
        <v>0.05</v>
      </c>
      <c r="G84" s="100">
        <v>91.44</v>
      </c>
      <c r="H84" s="100">
        <v>36.340000000000003</v>
      </c>
      <c r="I84" s="100">
        <v>9.2200000000000006</v>
      </c>
      <c r="J84" s="100">
        <v>0.22</v>
      </c>
      <c r="K84" s="100">
        <v>142.41</v>
      </c>
      <c r="L84" s="100">
        <v>22.8</v>
      </c>
      <c r="M84" s="100">
        <v>52.9</v>
      </c>
      <c r="N84" s="100">
        <v>10.8</v>
      </c>
      <c r="O84" s="100">
        <v>0</v>
      </c>
      <c r="P84" s="100">
        <v>0.57999999999999996</v>
      </c>
      <c r="Q84" s="100">
        <v>9.32</v>
      </c>
      <c r="R84" s="6"/>
      <c r="S84" s="6"/>
      <c r="T84" s="156"/>
      <c r="U84" s="6"/>
    </row>
    <row r="85" spans="1:21" customFormat="1">
      <c r="A85" s="163" t="s">
        <v>611</v>
      </c>
      <c r="B85" s="100">
        <v>11.81</v>
      </c>
      <c r="C85" s="100">
        <v>20.059999999999999</v>
      </c>
      <c r="D85" s="100">
        <v>19.95</v>
      </c>
      <c r="E85" s="100">
        <v>6.06</v>
      </c>
      <c r="F85" s="100">
        <v>0.04</v>
      </c>
      <c r="G85" s="100">
        <v>91.44</v>
      </c>
      <c r="H85" s="100">
        <v>36.340000000000003</v>
      </c>
      <c r="I85" s="100">
        <v>9.4600000000000009</v>
      </c>
      <c r="J85" s="100">
        <v>0.19</v>
      </c>
      <c r="K85" s="100">
        <v>166.98</v>
      </c>
      <c r="L85" s="100">
        <v>22.5</v>
      </c>
      <c r="M85" s="100">
        <v>54.8</v>
      </c>
      <c r="N85" s="100">
        <v>10.5</v>
      </c>
      <c r="O85" s="100">
        <v>0</v>
      </c>
      <c r="P85" s="100">
        <v>0.6</v>
      </c>
      <c r="Q85" s="100">
        <v>9.32</v>
      </c>
      <c r="R85" s="6"/>
      <c r="S85" s="6"/>
      <c r="T85" s="156"/>
      <c r="U85" s="6"/>
    </row>
    <row r="86" spans="1:21" customFormat="1">
      <c r="A86" s="163" t="s">
        <v>612</v>
      </c>
      <c r="B86" s="100">
        <v>12.69</v>
      </c>
      <c r="C86" s="100">
        <v>20.07</v>
      </c>
      <c r="D86" s="100">
        <v>20.66</v>
      </c>
      <c r="E86" s="100">
        <v>6.07</v>
      </c>
      <c r="F86" s="100">
        <v>0.16</v>
      </c>
      <c r="G86" s="100">
        <v>91.44</v>
      </c>
      <c r="H86" s="100">
        <v>36.340000000000003</v>
      </c>
      <c r="I86" s="100">
        <v>10</v>
      </c>
      <c r="J86" s="100">
        <v>0.1</v>
      </c>
      <c r="K86" s="100">
        <v>167.71</v>
      </c>
      <c r="L86" s="100">
        <v>22.39</v>
      </c>
      <c r="M86" s="100">
        <v>52.18</v>
      </c>
      <c r="N86" s="100">
        <v>10.199999999999999</v>
      </c>
      <c r="O86" s="100">
        <v>0</v>
      </c>
      <c r="P86" s="100">
        <v>0.61</v>
      </c>
      <c r="Q86" s="100">
        <v>9.32</v>
      </c>
      <c r="R86" s="6"/>
      <c r="S86" s="6"/>
      <c r="T86" s="156"/>
      <c r="U86" s="6"/>
    </row>
    <row r="87" spans="1:21" customFormat="1">
      <c r="A87" s="163" t="s">
        <v>613</v>
      </c>
      <c r="B87" s="100">
        <v>13.73</v>
      </c>
      <c r="C87" s="100">
        <v>20.13</v>
      </c>
      <c r="D87" s="100">
        <v>21.53</v>
      </c>
      <c r="E87" s="100">
        <v>6.27</v>
      </c>
      <c r="F87" s="100">
        <v>0.11</v>
      </c>
      <c r="G87" s="100">
        <v>104.11</v>
      </c>
      <c r="H87" s="100">
        <v>41.97</v>
      </c>
      <c r="I87" s="100">
        <v>10.63</v>
      </c>
      <c r="J87" s="100">
        <v>0.24</v>
      </c>
      <c r="K87" s="100">
        <v>148.09</v>
      </c>
      <c r="L87" s="100">
        <v>22.16</v>
      </c>
      <c r="M87" s="100">
        <v>53.31</v>
      </c>
      <c r="N87" s="100">
        <v>10.4</v>
      </c>
      <c r="O87" s="100">
        <v>0</v>
      </c>
      <c r="P87" s="100">
        <v>0.64</v>
      </c>
      <c r="Q87" s="100">
        <v>9.32</v>
      </c>
      <c r="R87" s="6"/>
      <c r="S87" s="6"/>
      <c r="T87" s="156"/>
      <c r="U87" s="6"/>
    </row>
    <row r="88" spans="1:21" customFormat="1">
      <c r="A88" s="163" t="s">
        <v>614</v>
      </c>
      <c r="B88" s="100">
        <v>14.63</v>
      </c>
      <c r="C88" s="100">
        <v>20.09</v>
      </c>
      <c r="D88" s="100">
        <v>22.23</v>
      </c>
      <c r="E88" s="100">
        <v>6.11</v>
      </c>
      <c r="F88" s="100">
        <v>0.01</v>
      </c>
      <c r="G88" s="100">
        <v>104.4</v>
      </c>
      <c r="H88" s="100">
        <v>41.97</v>
      </c>
      <c r="I88" s="100">
        <v>11.11</v>
      </c>
      <c r="J88" s="100">
        <v>0.21</v>
      </c>
      <c r="K88" s="100">
        <v>187.83</v>
      </c>
      <c r="L88" s="100">
        <v>21.71</v>
      </c>
      <c r="M88" s="100">
        <v>60.55</v>
      </c>
      <c r="N88" s="100">
        <v>10.5</v>
      </c>
      <c r="O88" s="100">
        <v>0</v>
      </c>
      <c r="P88" s="100">
        <v>0.66</v>
      </c>
      <c r="Q88" s="100">
        <v>9.32</v>
      </c>
      <c r="R88" s="6"/>
      <c r="S88" s="6"/>
      <c r="T88" s="156"/>
      <c r="U88" s="6"/>
    </row>
    <row r="89" spans="1:21" customFormat="1">
      <c r="A89" s="163" t="s">
        <v>615</v>
      </c>
      <c r="B89" s="100">
        <v>15.16</v>
      </c>
      <c r="C89" s="100">
        <v>20</v>
      </c>
      <c r="D89" s="100">
        <v>22.6</v>
      </c>
      <c r="E89" s="100">
        <v>6.12</v>
      </c>
      <c r="F89" s="100">
        <v>0.01</v>
      </c>
      <c r="G89" s="100">
        <v>104.4</v>
      </c>
      <c r="H89" s="100">
        <v>41.97</v>
      </c>
      <c r="I89" s="100">
        <v>11.53</v>
      </c>
      <c r="J89" s="100">
        <v>0.2</v>
      </c>
      <c r="K89" s="100">
        <v>203.08</v>
      </c>
      <c r="L89" s="100">
        <v>20.85</v>
      </c>
      <c r="M89" s="100">
        <v>70.27</v>
      </c>
      <c r="N89" s="100">
        <v>10.7</v>
      </c>
      <c r="O89" s="100">
        <v>0</v>
      </c>
      <c r="P89" s="100">
        <v>0.68</v>
      </c>
      <c r="Q89" s="100">
        <v>9.32</v>
      </c>
      <c r="R89" s="6"/>
      <c r="S89" s="6"/>
      <c r="T89" s="156"/>
      <c r="U89" s="6"/>
    </row>
    <row r="90" spans="1:21" customFormat="1">
      <c r="A90" s="163" t="s">
        <v>616</v>
      </c>
      <c r="B90" s="100">
        <v>15.45</v>
      </c>
      <c r="C90" s="100">
        <v>19.95</v>
      </c>
      <c r="D90" s="100">
        <v>22.81</v>
      </c>
      <c r="E90" s="100">
        <v>5.83</v>
      </c>
      <c r="F90" s="100">
        <v>0.1</v>
      </c>
      <c r="G90" s="100">
        <v>104.4</v>
      </c>
      <c r="H90" s="100">
        <v>41.97</v>
      </c>
      <c r="I90" s="100">
        <v>11.94</v>
      </c>
      <c r="J90" s="100">
        <v>0.18</v>
      </c>
      <c r="K90" s="100">
        <v>203.02</v>
      </c>
      <c r="L90" s="100">
        <v>20.32</v>
      </c>
      <c r="M90" s="100">
        <v>71.09</v>
      </c>
      <c r="N90" s="100">
        <v>10.5</v>
      </c>
      <c r="O90" s="100">
        <v>0</v>
      </c>
      <c r="P90" s="100">
        <v>0.71</v>
      </c>
      <c r="Q90" s="100">
        <v>9.32</v>
      </c>
      <c r="R90" s="6"/>
      <c r="S90" s="6"/>
      <c r="T90" s="156"/>
      <c r="U90" s="6"/>
    </row>
    <row r="91" spans="1:21" customFormat="1">
      <c r="A91" s="163" t="s">
        <v>617</v>
      </c>
      <c r="B91" s="100">
        <v>15.66</v>
      </c>
      <c r="C91" s="100">
        <v>19.86</v>
      </c>
      <c r="D91" s="100">
        <v>22.93</v>
      </c>
      <c r="E91" s="100">
        <v>5.96</v>
      </c>
      <c r="F91" s="100">
        <v>0.01</v>
      </c>
      <c r="G91" s="100">
        <v>108.75</v>
      </c>
      <c r="H91" s="100">
        <v>44.45</v>
      </c>
      <c r="I91" s="100">
        <v>12.29</v>
      </c>
      <c r="J91" s="100">
        <v>0.17</v>
      </c>
      <c r="K91" s="100">
        <v>180.13</v>
      </c>
      <c r="L91" s="100">
        <v>20.28</v>
      </c>
      <c r="M91" s="100">
        <v>68.989999999999995</v>
      </c>
      <c r="N91" s="100">
        <v>10.1</v>
      </c>
      <c r="O91" s="100">
        <v>0</v>
      </c>
      <c r="P91" s="100">
        <v>0.72</v>
      </c>
      <c r="Q91" s="100">
        <v>9.32</v>
      </c>
      <c r="R91" s="6"/>
      <c r="S91" s="6"/>
      <c r="T91" s="156"/>
      <c r="U91" s="6"/>
    </row>
    <row r="92" spans="1:21" customFormat="1">
      <c r="A92" s="163" t="s">
        <v>618</v>
      </c>
      <c r="B92" s="100">
        <v>15.9</v>
      </c>
      <c r="C92" s="100">
        <v>19.68</v>
      </c>
      <c r="D92" s="100">
        <v>23.03</v>
      </c>
      <c r="E92" s="100">
        <v>5.96</v>
      </c>
      <c r="F92" s="100">
        <v>0.01</v>
      </c>
      <c r="G92" s="100">
        <v>108.85</v>
      </c>
      <c r="H92" s="100">
        <v>44.45</v>
      </c>
      <c r="I92" s="100">
        <v>12.79</v>
      </c>
      <c r="J92" s="100">
        <v>0.16</v>
      </c>
      <c r="K92" s="100">
        <v>174.85</v>
      </c>
      <c r="L92" s="100">
        <v>20.21</v>
      </c>
      <c r="M92" s="100">
        <v>74.47</v>
      </c>
      <c r="N92" s="100">
        <v>10.1</v>
      </c>
      <c r="O92" s="100">
        <v>0</v>
      </c>
      <c r="P92" s="100">
        <v>0.74</v>
      </c>
      <c r="Q92" s="100">
        <v>9.32</v>
      </c>
      <c r="R92" s="6"/>
      <c r="S92" s="6"/>
      <c r="T92" s="156"/>
      <c r="U92" s="6"/>
    </row>
    <row r="93" spans="1:21" customFormat="1">
      <c r="A93" s="163" t="s">
        <v>619</v>
      </c>
      <c r="B93" s="100">
        <v>16.39</v>
      </c>
      <c r="C93" s="100">
        <v>19.600000000000001</v>
      </c>
      <c r="D93" s="100">
        <v>23.38</v>
      </c>
      <c r="E93" s="100">
        <v>6.06</v>
      </c>
      <c r="F93" s="100">
        <v>0.01</v>
      </c>
      <c r="G93" s="100">
        <v>108.85</v>
      </c>
      <c r="H93" s="100">
        <v>44.45</v>
      </c>
      <c r="I93" s="100">
        <v>12.97</v>
      </c>
      <c r="J93" s="100">
        <v>0.19</v>
      </c>
      <c r="K93" s="100">
        <v>178.49</v>
      </c>
      <c r="L93" s="100">
        <v>20.16</v>
      </c>
      <c r="M93" s="100">
        <v>77.569999999999993</v>
      </c>
      <c r="N93" s="100">
        <v>10.1</v>
      </c>
      <c r="O93" s="100">
        <v>0</v>
      </c>
      <c r="P93" s="100">
        <v>0.76</v>
      </c>
      <c r="Q93" s="100">
        <v>9.36</v>
      </c>
      <c r="R93" s="6"/>
      <c r="S93" s="6"/>
      <c r="T93" s="156"/>
      <c r="U93" s="6"/>
    </row>
    <row r="94" spans="1:21" customFormat="1">
      <c r="A94" s="163" t="s">
        <v>620</v>
      </c>
      <c r="B94" s="100">
        <v>16.75</v>
      </c>
      <c r="C94" s="100">
        <v>19.39</v>
      </c>
      <c r="D94" s="100">
        <v>23.56</v>
      </c>
      <c r="E94" s="100">
        <v>6.02</v>
      </c>
      <c r="F94" s="100">
        <v>0.02</v>
      </c>
      <c r="G94" s="100">
        <v>108.85</v>
      </c>
      <c r="H94" s="100">
        <v>44.45</v>
      </c>
      <c r="I94" s="100">
        <v>13.08</v>
      </c>
      <c r="J94" s="100">
        <v>0.14000000000000001</v>
      </c>
      <c r="K94" s="100">
        <v>180.43</v>
      </c>
      <c r="L94" s="100">
        <v>20</v>
      </c>
      <c r="M94" s="100">
        <v>80.91</v>
      </c>
      <c r="N94" s="100">
        <v>10.1</v>
      </c>
      <c r="O94" s="100">
        <v>0</v>
      </c>
      <c r="P94" s="100">
        <v>0.76</v>
      </c>
      <c r="Q94" s="100">
        <v>9.34</v>
      </c>
      <c r="R94" s="6"/>
      <c r="S94" s="6"/>
      <c r="T94" s="156"/>
      <c r="U94" s="6"/>
    </row>
    <row r="95" spans="1:21" customFormat="1">
      <c r="A95" s="163" t="s">
        <v>621</v>
      </c>
      <c r="B95" s="100">
        <v>17.09</v>
      </c>
      <c r="C95" s="100">
        <v>19.3</v>
      </c>
      <c r="D95" s="100">
        <v>23.79</v>
      </c>
      <c r="E95" s="100">
        <v>6.19</v>
      </c>
      <c r="F95" s="100">
        <v>0.01</v>
      </c>
      <c r="G95" s="100">
        <v>111.79</v>
      </c>
      <c r="H95" s="100">
        <v>46.86</v>
      </c>
      <c r="I95" s="100">
        <v>13.49</v>
      </c>
      <c r="J95" s="100">
        <v>0.11</v>
      </c>
      <c r="K95" s="100">
        <v>141.22</v>
      </c>
      <c r="L95" s="100">
        <v>20.329999999999998</v>
      </c>
      <c r="M95" s="100">
        <v>62.81</v>
      </c>
      <c r="N95" s="100">
        <v>9.9</v>
      </c>
      <c r="O95" s="100">
        <v>0</v>
      </c>
      <c r="P95" s="100">
        <v>0.77</v>
      </c>
      <c r="Q95" s="100">
        <v>9.31</v>
      </c>
      <c r="R95" s="6"/>
      <c r="S95" s="6"/>
      <c r="T95" s="156"/>
      <c r="U95" s="6"/>
    </row>
    <row r="96" spans="1:21" customFormat="1">
      <c r="A96" s="163" t="s">
        <v>622</v>
      </c>
      <c r="B96" s="100">
        <v>17.53</v>
      </c>
      <c r="C96" s="100">
        <v>19.16</v>
      </c>
      <c r="D96" s="100">
        <v>24.07</v>
      </c>
      <c r="E96" s="100">
        <v>5.87</v>
      </c>
      <c r="F96" s="100">
        <v>0.02</v>
      </c>
      <c r="G96" s="100">
        <v>111.86</v>
      </c>
      <c r="H96" s="100">
        <v>46.86</v>
      </c>
      <c r="I96" s="100">
        <v>13.57</v>
      </c>
      <c r="J96" s="100">
        <v>0.2</v>
      </c>
      <c r="K96" s="100">
        <v>71.209999999999994</v>
      </c>
      <c r="L96" s="100">
        <v>21.56</v>
      </c>
      <c r="M96" s="100">
        <v>50.82</v>
      </c>
      <c r="N96" s="100">
        <v>9.3000000000000007</v>
      </c>
      <c r="O96" s="100">
        <v>0</v>
      </c>
      <c r="P96" s="100">
        <v>0.77</v>
      </c>
      <c r="Q96" s="100">
        <v>9.33</v>
      </c>
      <c r="R96" s="6"/>
      <c r="S96" s="6"/>
      <c r="T96" s="156"/>
      <c r="U96" s="6"/>
    </row>
    <row r="97" spans="1:28" customFormat="1">
      <c r="A97" s="163" t="s">
        <v>623</v>
      </c>
      <c r="B97" s="100">
        <v>17.420000000000002</v>
      </c>
      <c r="C97" s="100">
        <v>19.309999999999999</v>
      </c>
      <c r="D97" s="100">
        <v>24.06</v>
      </c>
      <c r="E97" s="100">
        <v>6.07</v>
      </c>
      <c r="F97" s="100">
        <v>0.04</v>
      </c>
      <c r="G97" s="100">
        <v>111.86</v>
      </c>
      <c r="H97" s="100">
        <v>46.86</v>
      </c>
      <c r="I97" s="100">
        <v>13.6</v>
      </c>
      <c r="J97" s="100">
        <v>0.14000000000000001</v>
      </c>
      <c r="K97" s="100">
        <v>121</v>
      </c>
      <c r="L97" s="100">
        <v>21.71</v>
      </c>
      <c r="M97" s="100">
        <v>49.57</v>
      </c>
      <c r="N97" s="100">
        <v>10</v>
      </c>
      <c r="O97" s="100">
        <v>0</v>
      </c>
      <c r="P97" s="100">
        <v>0.77</v>
      </c>
      <c r="Q97" s="100">
        <v>9.35</v>
      </c>
      <c r="R97" s="6"/>
      <c r="S97" s="6"/>
      <c r="T97" s="156"/>
      <c r="U97" s="6"/>
    </row>
    <row r="98" spans="1:28" customFormat="1">
      <c r="A98" s="163" t="s">
        <v>624</v>
      </c>
      <c r="B98" s="100">
        <v>17.079999999999998</v>
      </c>
      <c r="C98" s="100">
        <v>19.38</v>
      </c>
      <c r="D98" s="100">
        <v>23.83</v>
      </c>
      <c r="E98" s="100">
        <v>6.19</v>
      </c>
      <c r="F98" s="100">
        <v>0.16</v>
      </c>
      <c r="G98" s="100">
        <v>111.86</v>
      </c>
      <c r="H98" s="100">
        <v>46.86</v>
      </c>
      <c r="I98" s="100">
        <v>13.57</v>
      </c>
      <c r="J98" s="100">
        <v>0.22</v>
      </c>
      <c r="K98" s="100">
        <v>90.99</v>
      </c>
      <c r="L98" s="100">
        <v>21.6</v>
      </c>
      <c r="M98" s="100">
        <v>50.36</v>
      </c>
      <c r="N98" s="100">
        <v>10.1</v>
      </c>
      <c r="O98" s="100">
        <v>0</v>
      </c>
      <c r="P98" s="100">
        <v>0.75</v>
      </c>
      <c r="Q98" s="100">
        <v>9.32</v>
      </c>
      <c r="R98" s="6"/>
      <c r="S98" s="6"/>
      <c r="T98" s="156"/>
      <c r="U98" s="6"/>
    </row>
    <row r="99" spans="1:28" customFormat="1">
      <c r="A99" s="163" t="s">
        <v>625</v>
      </c>
      <c r="B99" s="100">
        <v>16.73</v>
      </c>
      <c r="C99" s="100">
        <v>19.329999999999998</v>
      </c>
      <c r="D99" s="100">
        <v>23.51</v>
      </c>
      <c r="E99" s="100">
        <v>6.08</v>
      </c>
      <c r="F99" s="100">
        <v>0.12</v>
      </c>
      <c r="G99" s="100">
        <v>94.01</v>
      </c>
      <c r="H99" s="100">
        <v>41.72</v>
      </c>
      <c r="I99" s="100">
        <v>13.41</v>
      </c>
      <c r="J99" s="100">
        <v>0.13</v>
      </c>
      <c r="K99" s="100">
        <v>86.34</v>
      </c>
      <c r="L99" s="100">
        <v>21.62</v>
      </c>
      <c r="M99" s="100">
        <v>49.06</v>
      </c>
      <c r="N99" s="100">
        <v>10</v>
      </c>
      <c r="O99" s="100">
        <v>0</v>
      </c>
      <c r="P99" s="100">
        <v>0.75</v>
      </c>
      <c r="Q99" s="100">
        <v>9.32</v>
      </c>
      <c r="R99" s="6"/>
      <c r="S99" s="6"/>
      <c r="T99" s="156"/>
      <c r="U99" s="6"/>
    </row>
    <row r="100" spans="1:28" customFormat="1">
      <c r="A100" s="163" t="s">
        <v>626</v>
      </c>
      <c r="B100" s="100">
        <v>16.22</v>
      </c>
      <c r="C100" s="100">
        <v>19.260000000000002</v>
      </c>
      <c r="D100" s="100">
        <v>23.08</v>
      </c>
      <c r="E100" s="100">
        <v>5.66</v>
      </c>
      <c r="F100" s="100">
        <v>0.12</v>
      </c>
      <c r="G100" s="100">
        <v>93.61</v>
      </c>
      <c r="H100" s="100">
        <v>41.72</v>
      </c>
      <c r="I100" s="100">
        <v>12.98</v>
      </c>
      <c r="J100" s="100">
        <v>0.08</v>
      </c>
      <c r="K100" s="100">
        <v>208.77</v>
      </c>
      <c r="L100" s="100">
        <v>20.97</v>
      </c>
      <c r="M100" s="100">
        <v>56.02</v>
      </c>
      <c r="N100" s="100">
        <v>10.8</v>
      </c>
      <c r="O100" s="100">
        <v>0</v>
      </c>
      <c r="P100" s="100">
        <v>0.73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627</v>
      </c>
      <c r="B101" s="100">
        <v>15.68</v>
      </c>
      <c r="C101" s="100">
        <v>18.98</v>
      </c>
      <c r="D101" s="100">
        <v>22.49</v>
      </c>
      <c r="E101" s="100">
        <v>5.82</v>
      </c>
      <c r="F101" s="100">
        <v>0.08</v>
      </c>
      <c r="G101" s="100">
        <v>93.61</v>
      </c>
      <c r="H101" s="100">
        <v>41.72</v>
      </c>
      <c r="I101" s="100">
        <v>12.52</v>
      </c>
      <c r="J101" s="100">
        <v>0.14000000000000001</v>
      </c>
      <c r="K101" s="100">
        <v>209.63</v>
      </c>
      <c r="L101" s="100">
        <v>19.850000000000001</v>
      </c>
      <c r="M101" s="100">
        <v>63.95</v>
      </c>
      <c r="N101" s="100">
        <v>10.8</v>
      </c>
      <c r="O101" s="100">
        <v>0</v>
      </c>
      <c r="P101" s="100">
        <v>0.72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628</v>
      </c>
      <c r="B102" s="100">
        <v>15.18</v>
      </c>
      <c r="C102" s="100">
        <v>18.88</v>
      </c>
      <c r="D102" s="100">
        <v>22.04</v>
      </c>
      <c r="E102" s="100">
        <v>5.69</v>
      </c>
      <c r="F102" s="100">
        <v>0.06</v>
      </c>
      <c r="G102" s="100">
        <v>93.61</v>
      </c>
      <c r="H102" s="100">
        <v>41.72</v>
      </c>
      <c r="I102" s="100">
        <v>12.32</v>
      </c>
      <c r="J102" s="100">
        <v>0.18</v>
      </c>
      <c r="K102" s="100">
        <v>227.88</v>
      </c>
      <c r="L102" s="100">
        <v>19.39</v>
      </c>
      <c r="M102" s="100">
        <v>64.989999999999995</v>
      </c>
      <c r="N102" s="100">
        <v>10.4</v>
      </c>
      <c r="O102" s="100">
        <v>0</v>
      </c>
      <c r="P102" s="100">
        <v>0.7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629</v>
      </c>
      <c r="B103" s="100">
        <v>15.28</v>
      </c>
      <c r="C103" s="100">
        <v>19</v>
      </c>
      <c r="D103" s="100">
        <v>22.18</v>
      </c>
      <c r="E103" s="100">
        <v>5.94</v>
      </c>
      <c r="F103" s="100">
        <v>0.02</v>
      </c>
      <c r="G103" s="100">
        <v>82.79</v>
      </c>
      <c r="H103" s="100">
        <v>36.409999999999997</v>
      </c>
      <c r="I103" s="100">
        <v>12.15</v>
      </c>
      <c r="J103" s="100">
        <v>0.19</v>
      </c>
      <c r="K103" s="100">
        <v>213.8</v>
      </c>
      <c r="L103" s="100">
        <v>19.190000000000001</v>
      </c>
      <c r="M103" s="100">
        <v>66.040000000000006</v>
      </c>
      <c r="N103" s="100">
        <v>10.4</v>
      </c>
      <c r="O103" s="100">
        <v>0</v>
      </c>
      <c r="P103" s="100">
        <v>0.69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630</v>
      </c>
      <c r="B104" s="100">
        <v>15.62</v>
      </c>
      <c r="C104" s="100">
        <v>19.02</v>
      </c>
      <c r="D104" s="100">
        <v>22.46</v>
      </c>
      <c r="E104" s="100">
        <v>5.83</v>
      </c>
      <c r="F104" s="100">
        <v>0.16</v>
      </c>
      <c r="G104" s="100">
        <v>82.54</v>
      </c>
      <c r="H104" s="100">
        <v>36.409999999999997</v>
      </c>
      <c r="I104" s="100">
        <v>12.05</v>
      </c>
      <c r="J104" s="100">
        <v>0.13</v>
      </c>
      <c r="K104" s="100">
        <v>215.07</v>
      </c>
      <c r="L104" s="100">
        <v>18.829999999999998</v>
      </c>
      <c r="M104" s="100">
        <v>69.959999999999994</v>
      </c>
      <c r="N104" s="100">
        <v>10.3</v>
      </c>
      <c r="O104" s="100">
        <v>0</v>
      </c>
      <c r="P104" s="100">
        <v>0.69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3.06</v>
      </c>
      <c r="C106" s="158">
        <f>MIN(C9:C104)</f>
        <v>16.57</v>
      </c>
      <c r="D106" s="158">
        <f t="shared" ref="D106:Q106" si="0">MIN(D9:D104)</f>
        <v>11.38</v>
      </c>
      <c r="E106" s="158">
        <f t="shared" si="0"/>
        <v>5.09</v>
      </c>
      <c r="F106" s="158">
        <f t="shared" si="0"/>
        <v>0.01</v>
      </c>
      <c r="G106" s="158">
        <f t="shared" si="0"/>
        <v>51.5</v>
      </c>
      <c r="H106" s="158">
        <f t="shared" si="0"/>
        <v>25.57</v>
      </c>
      <c r="I106" s="158">
        <f t="shared" si="0"/>
        <v>8.17</v>
      </c>
      <c r="J106" s="158">
        <f t="shared" si="0"/>
        <v>0.04</v>
      </c>
      <c r="K106" s="158">
        <f t="shared" si="0"/>
        <v>18.93</v>
      </c>
      <c r="L106" s="158">
        <f t="shared" si="0"/>
        <v>16.2</v>
      </c>
      <c r="M106" s="158">
        <f t="shared" si="0"/>
        <v>24.29</v>
      </c>
      <c r="N106" s="158">
        <f t="shared" si="0"/>
        <v>2.4</v>
      </c>
      <c r="O106" s="158">
        <f t="shared" si="0"/>
        <v>0</v>
      </c>
      <c r="P106" s="158">
        <f t="shared" si="0"/>
        <v>0.44</v>
      </c>
      <c r="Q106" s="158">
        <f t="shared" si="0"/>
        <v>9.31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23.82</v>
      </c>
      <c r="C107" s="157">
        <f t="shared" ref="C107:Q107" si="1">MAX(C9:C104)</f>
        <v>20.89</v>
      </c>
      <c r="D107" s="157">
        <f t="shared" si="1"/>
        <v>28.25</v>
      </c>
      <c r="E107" s="157">
        <f t="shared" si="1"/>
        <v>7.64</v>
      </c>
      <c r="F107" s="157">
        <f t="shared" si="1"/>
        <v>6.24</v>
      </c>
      <c r="G107" s="157">
        <f t="shared" si="1"/>
        <v>124.64</v>
      </c>
      <c r="H107" s="157">
        <f t="shared" si="1"/>
        <v>48.63</v>
      </c>
      <c r="I107" s="157">
        <f t="shared" si="1"/>
        <v>16.93</v>
      </c>
      <c r="J107" s="157">
        <f t="shared" si="1"/>
        <v>1.19</v>
      </c>
      <c r="K107" s="157">
        <f t="shared" si="1"/>
        <v>244.49</v>
      </c>
      <c r="L107" s="157">
        <f t="shared" si="1"/>
        <v>29.96</v>
      </c>
      <c r="M107" s="157">
        <f t="shared" si="1"/>
        <v>83.76</v>
      </c>
      <c r="N107" s="157">
        <f t="shared" si="1"/>
        <v>609</v>
      </c>
      <c r="O107" s="157">
        <f t="shared" si="1"/>
        <v>0</v>
      </c>
      <c r="P107" s="157">
        <f t="shared" si="1"/>
        <v>0.9</v>
      </c>
      <c r="Q107" s="157">
        <f t="shared" si="1"/>
        <v>11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15.091458333333341</v>
      </c>
      <c r="C108" s="158">
        <f t="shared" ref="C108:Q108" si="2">AVERAGE(C9:C104)</f>
        <v>18.390937500000003</v>
      </c>
      <c r="D108" s="158">
        <f t="shared" si="2"/>
        <v>21.710729166666663</v>
      </c>
      <c r="E108" s="158">
        <f t="shared" si="2"/>
        <v>6.2686458333333368</v>
      </c>
      <c r="F108" s="158">
        <f t="shared" si="2"/>
        <v>0.71020833333333355</v>
      </c>
      <c r="G108" s="158">
        <f t="shared" si="2"/>
        <v>78.220624999999956</v>
      </c>
      <c r="H108" s="158">
        <f t="shared" si="2"/>
        <v>35.177500000000002</v>
      </c>
      <c r="I108" s="158">
        <f t="shared" si="2"/>
        <v>11.584583333333335</v>
      </c>
      <c r="J108" s="158">
        <f t="shared" si="2"/>
        <v>0.38385416666666677</v>
      </c>
      <c r="K108" s="158">
        <f t="shared" si="2"/>
        <v>102.2013541666666</v>
      </c>
      <c r="L108" s="158">
        <f t="shared" si="2"/>
        <v>22.661458333333332</v>
      </c>
      <c r="M108" s="158">
        <f t="shared" si="2"/>
        <v>52.994374999999998</v>
      </c>
      <c r="N108" s="158">
        <f t="shared" si="2"/>
        <v>114.9708333333333</v>
      </c>
      <c r="O108" s="158">
        <f t="shared" si="2"/>
        <v>0</v>
      </c>
      <c r="P108" s="158">
        <f t="shared" si="2"/>
        <v>0.6328125</v>
      </c>
      <c r="Q108" s="158">
        <f t="shared" si="2"/>
        <v>9.5033333333333534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6.610418567711938</v>
      </c>
      <c r="C109" s="158">
        <f t="shared" ref="C109:Q109" si="3">STDEV(C9:C104)</f>
        <v>1.0378561690482835</v>
      </c>
      <c r="D109" s="158">
        <f t="shared" si="3"/>
        <v>5.3443751532343722</v>
      </c>
      <c r="E109" s="158">
        <f t="shared" si="3"/>
        <v>0.50332498613387611</v>
      </c>
      <c r="F109" s="158">
        <f t="shared" si="3"/>
        <v>1.3115823943591887</v>
      </c>
      <c r="G109" s="158">
        <f t="shared" si="3"/>
        <v>18.232621361464538</v>
      </c>
      <c r="H109" s="158">
        <f t="shared" si="3"/>
        <v>6.3844638731351493</v>
      </c>
      <c r="I109" s="158">
        <f t="shared" si="3"/>
        <v>2.1551284815364933</v>
      </c>
      <c r="J109" s="158">
        <f t="shared" si="3"/>
        <v>0.2911442752916289</v>
      </c>
      <c r="K109" s="158">
        <f t="shared" si="3"/>
        <v>66.462808905587352</v>
      </c>
      <c r="L109" s="158">
        <f t="shared" si="3"/>
        <v>4.4931918040207526</v>
      </c>
      <c r="M109" s="158">
        <f t="shared" si="3"/>
        <v>18.70505081311066</v>
      </c>
      <c r="N109" s="158">
        <f t="shared" si="3"/>
        <v>191.87608167590417</v>
      </c>
      <c r="O109" s="158">
        <f t="shared" si="3"/>
        <v>0</v>
      </c>
      <c r="P109" s="158">
        <f t="shared" si="3"/>
        <v>0.12058369554620152</v>
      </c>
      <c r="Q109" s="158">
        <f t="shared" si="3"/>
        <v>0.30062274545968609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86" sqref="F86:F8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631</v>
      </c>
      <c r="B9" s="100">
        <v>16.89</v>
      </c>
      <c r="C9" s="100">
        <v>18.86</v>
      </c>
      <c r="D9" s="100">
        <v>23.4</v>
      </c>
      <c r="E9" s="100">
        <v>5.42</v>
      </c>
      <c r="F9" s="100">
        <v>0.2</v>
      </c>
      <c r="G9" s="100">
        <v>82.54</v>
      </c>
      <c r="H9" s="100">
        <v>36.409999999999997</v>
      </c>
      <c r="I9" s="100">
        <v>12</v>
      </c>
      <c r="J9" s="100">
        <v>0.13</v>
      </c>
      <c r="K9" s="100">
        <v>206.51</v>
      </c>
      <c r="L9" s="100">
        <v>18.739999999999998</v>
      </c>
      <c r="M9" s="100">
        <v>69.819999999999993</v>
      </c>
      <c r="N9" s="100">
        <v>10.1</v>
      </c>
      <c r="O9" s="100">
        <v>0</v>
      </c>
      <c r="P9" s="100">
        <v>0.69</v>
      </c>
      <c r="Q9" s="100">
        <v>9.32</v>
      </c>
      <c r="R9" s="6"/>
      <c r="S9" s="6"/>
      <c r="T9" s="156"/>
      <c r="U9" s="6"/>
    </row>
    <row r="10" spans="1:21" customFormat="1">
      <c r="A10" s="163" t="s">
        <v>632</v>
      </c>
      <c r="B10" s="100">
        <v>18.100000000000001</v>
      </c>
      <c r="C10" s="100">
        <v>19.489999999999998</v>
      </c>
      <c r="D10" s="100">
        <v>24.7</v>
      </c>
      <c r="E10" s="100">
        <v>5.58</v>
      </c>
      <c r="F10" s="100">
        <v>0.2</v>
      </c>
      <c r="G10" s="100">
        <v>82.54</v>
      </c>
      <c r="H10" s="100">
        <v>36.409999999999997</v>
      </c>
      <c r="I10" s="100">
        <v>11.95</v>
      </c>
      <c r="J10" s="100">
        <v>0.04</v>
      </c>
      <c r="K10" s="100">
        <v>73.760000000000005</v>
      </c>
      <c r="L10" s="100">
        <v>18.75</v>
      </c>
      <c r="M10" s="100">
        <v>68.86</v>
      </c>
      <c r="N10" s="100">
        <v>9.9</v>
      </c>
      <c r="O10" s="100">
        <v>0</v>
      </c>
      <c r="P10" s="100">
        <v>0.69</v>
      </c>
      <c r="Q10" s="100">
        <v>9.32</v>
      </c>
      <c r="R10" s="6"/>
      <c r="S10" s="6"/>
      <c r="T10" s="156"/>
      <c r="U10" s="6"/>
    </row>
    <row r="11" spans="1:21" customFormat="1">
      <c r="A11" s="163" t="s">
        <v>633</v>
      </c>
      <c r="B11" s="100">
        <v>19.25</v>
      </c>
      <c r="C11" s="100">
        <v>19.87</v>
      </c>
      <c r="D11" s="100">
        <v>25.82</v>
      </c>
      <c r="E11" s="100">
        <v>5.59</v>
      </c>
      <c r="F11" s="100">
        <v>0.02</v>
      </c>
      <c r="G11" s="100">
        <v>87.08</v>
      </c>
      <c r="H11" s="100">
        <v>36.69</v>
      </c>
      <c r="I11" s="100">
        <v>11.97</v>
      </c>
      <c r="J11" s="100">
        <v>0.41</v>
      </c>
      <c r="K11" s="100">
        <v>25.57</v>
      </c>
      <c r="L11" s="100">
        <v>19.34</v>
      </c>
      <c r="M11" s="100">
        <v>60.83</v>
      </c>
      <c r="N11" s="100">
        <v>9.4</v>
      </c>
      <c r="O11" s="100">
        <v>0</v>
      </c>
      <c r="P11" s="100">
        <v>0.69</v>
      </c>
      <c r="Q11" s="100">
        <v>9.32</v>
      </c>
      <c r="R11" s="6"/>
      <c r="S11" s="6"/>
      <c r="T11" s="156"/>
      <c r="U11" s="6"/>
    </row>
    <row r="12" spans="1:21" customFormat="1">
      <c r="A12" s="163" t="s">
        <v>634</v>
      </c>
      <c r="B12" s="100">
        <v>19.16</v>
      </c>
      <c r="C12" s="100">
        <v>19.79</v>
      </c>
      <c r="D12" s="100">
        <v>25.7</v>
      </c>
      <c r="E12" s="100">
        <v>5.96</v>
      </c>
      <c r="F12" s="100">
        <v>0.09</v>
      </c>
      <c r="G12" s="100">
        <v>87.18</v>
      </c>
      <c r="H12" s="100">
        <v>36.69</v>
      </c>
      <c r="I12" s="100">
        <v>12.08</v>
      </c>
      <c r="J12" s="100">
        <v>0.12</v>
      </c>
      <c r="K12" s="100">
        <v>138.94</v>
      </c>
      <c r="L12" s="100">
        <v>19.36</v>
      </c>
      <c r="M12" s="100">
        <v>61.69</v>
      </c>
      <c r="N12" s="100">
        <v>10.199999999999999</v>
      </c>
      <c r="O12" s="100">
        <v>0</v>
      </c>
      <c r="P12" s="100">
        <v>0.68</v>
      </c>
      <c r="Q12" s="100">
        <v>9.32</v>
      </c>
      <c r="R12" s="6"/>
      <c r="S12" s="6"/>
      <c r="T12" s="156"/>
      <c r="U12" s="6"/>
    </row>
    <row r="13" spans="1:21" customFormat="1">
      <c r="A13" s="163" t="s">
        <v>635</v>
      </c>
      <c r="B13" s="100">
        <v>18.899999999999999</v>
      </c>
      <c r="C13" s="100">
        <v>19.73</v>
      </c>
      <c r="D13" s="100">
        <v>25.46</v>
      </c>
      <c r="E13" s="100">
        <v>5.72</v>
      </c>
      <c r="F13" s="100">
        <v>7.0000000000000007E-2</v>
      </c>
      <c r="G13" s="100">
        <v>87.18</v>
      </c>
      <c r="H13" s="100">
        <v>36.69</v>
      </c>
      <c r="I13" s="100">
        <v>12.13</v>
      </c>
      <c r="J13" s="100">
        <v>0.14000000000000001</v>
      </c>
      <c r="K13" s="100">
        <v>195.7</v>
      </c>
      <c r="L13" s="100">
        <v>18.73</v>
      </c>
      <c r="M13" s="100">
        <v>65.989999999999995</v>
      </c>
      <c r="N13" s="100">
        <v>10.4</v>
      </c>
      <c r="O13" s="100">
        <v>0</v>
      </c>
      <c r="P13" s="100">
        <v>0.67</v>
      </c>
      <c r="Q13" s="100">
        <v>9.32</v>
      </c>
      <c r="R13" s="6"/>
      <c r="S13" s="6"/>
      <c r="T13" s="156"/>
      <c r="U13" s="6"/>
    </row>
    <row r="14" spans="1:21" customFormat="1">
      <c r="A14" s="163" t="s">
        <v>636</v>
      </c>
      <c r="B14" s="100">
        <v>18.559999999999999</v>
      </c>
      <c r="C14" s="100">
        <v>19.59</v>
      </c>
      <c r="D14" s="100">
        <v>25.12</v>
      </c>
      <c r="E14" s="100">
        <v>5.98</v>
      </c>
      <c r="F14" s="100">
        <v>7.0000000000000007E-2</v>
      </c>
      <c r="G14" s="100">
        <v>87.18</v>
      </c>
      <c r="H14" s="100">
        <v>36.69</v>
      </c>
      <c r="I14" s="100">
        <v>12.04</v>
      </c>
      <c r="J14" s="100">
        <v>0.12</v>
      </c>
      <c r="K14" s="100">
        <v>170.3</v>
      </c>
      <c r="L14" s="100">
        <v>18.350000000000001</v>
      </c>
      <c r="M14" s="100">
        <v>68.63</v>
      </c>
      <c r="N14" s="100">
        <v>10.3</v>
      </c>
      <c r="O14" s="100">
        <v>0</v>
      </c>
      <c r="P14" s="100">
        <v>0.66</v>
      </c>
      <c r="Q14" s="100">
        <v>9.32</v>
      </c>
      <c r="R14" s="6"/>
      <c r="S14" s="6"/>
      <c r="T14" s="156"/>
      <c r="U14" s="6"/>
    </row>
    <row r="15" spans="1:21" customFormat="1">
      <c r="A15" s="163" t="s">
        <v>637</v>
      </c>
      <c r="B15" s="100">
        <v>18.48</v>
      </c>
      <c r="C15" s="100">
        <v>19.25</v>
      </c>
      <c r="D15" s="100">
        <v>24.87</v>
      </c>
      <c r="E15" s="100">
        <v>5.53</v>
      </c>
      <c r="F15" s="100">
        <v>7.0000000000000007E-2</v>
      </c>
      <c r="G15" s="100">
        <v>78.87</v>
      </c>
      <c r="H15" s="100">
        <v>36.090000000000003</v>
      </c>
      <c r="I15" s="100">
        <v>11.93</v>
      </c>
      <c r="J15" s="100">
        <v>0.12</v>
      </c>
      <c r="K15" s="100">
        <v>180</v>
      </c>
      <c r="L15" s="100">
        <v>18.25</v>
      </c>
      <c r="M15" s="100">
        <v>69.23</v>
      </c>
      <c r="N15" s="100">
        <v>10.1</v>
      </c>
      <c r="O15" s="100">
        <v>0</v>
      </c>
      <c r="P15" s="100">
        <v>0.66</v>
      </c>
      <c r="Q15" s="100">
        <v>9.32</v>
      </c>
      <c r="R15" s="6"/>
      <c r="S15" s="6"/>
      <c r="T15" s="156"/>
      <c r="U15" s="6"/>
    </row>
    <row r="16" spans="1:21" customFormat="1">
      <c r="A16" s="163" t="s">
        <v>638</v>
      </c>
      <c r="B16" s="100">
        <v>18.34</v>
      </c>
      <c r="C16" s="100">
        <v>19.04</v>
      </c>
      <c r="D16" s="100">
        <v>24.65</v>
      </c>
      <c r="E16" s="100">
        <v>5.42</v>
      </c>
      <c r="F16" s="100">
        <v>0.01</v>
      </c>
      <c r="G16" s="100">
        <v>78.680000000000007</v>
      </c>
      <c r="H16" s="100">
        <v>36.090000000000003</v>
      </c>
      <c r="I16" s="100">
        <v>11.8</v>
      </c>
      <c r="J16" s="100">
        <v>0.16</v>
      </c>
      <c r="K16" s="100">
        <v>159.71</v>
      </c>
      <c r="L16" s="100">
        <v>18.22</v>
      </c>
      <c r="M16" s="100">
        <v>71.989999999999995</v>
      </c>
      <c r="N16" s="100">
        <v>10.199999999999999</v>
      </c>
      <c r="O16" s="100">
        <v>0</v>
      </c>
      <c r="P16" s="100">
        <v>0.66</v>
      </c>
      <c r="Q16" s="100">
        <v>9.32</v>
      </c>
      <c r="R16" s="6"/>
      <c r="S16" s="6"/>
      <c r="T16" s="156"/>
      <c r="U16" s="6"/>
    </row>
    <row r="17" spans="1:21" customFormat="1">
      <c r="A17" s="163" t="s">
        <v>639</v>
      </c>
      <c r="B17" s="100">
        <v>18.190000000000001</v>
      </c>
      <c r="C17" s="100">
        <v>18.89</v>
      </c>
      <c r="D17" s="100">
        <v>24.45</v>
      </c>
      <c r="E17" s="100">
        <v>4.74</v>
      </c>
      <c r="F17" s="100">
        <v>7.0000000000000007E-2</v>
      </c>
      <c r="G17" s="100">
        <v>78.680000000000007</v>
      </c>
      <c r="H17" s="100">
        <v>36.090000000000003</v>
      </c>
      <c r="I17" s="100">
        <v>11.7</v>
      </c>
      <c r="J17" s="100">
        <v>0.18</v>
      </c>
      <c r="K17" s="100">
        <v>43.68</v>
      </c>
      <c r="L17" s="100">
        <v>18.13</v>
      </c>
      <c r="M17" s="100">
        <v>70.89</v>
      </c>
      <c r="N17" s="100">
        <v>9.9</v>
      </c>
      <c r="O17" s="100">
        <v>0</v>
      </c>
      <c r="P17" s="100">
        <v>0.66</v>
      </c>
      <c r="Q17" s="100">
        <v>9.32</v>
      </c>
      <c r="R17" s="6"/>
      <c r="S17" s="6"/>
      <c r="T17" s="156"/>
      <c r="U17" s="6"/>
    </row>
    <row r="18" spans="1:21" customFormat="1">
      <c r="A18" s="163" t="s">
        <v>640</v>
      </c>
      <c r="B18" s="100">
        <v>18.32</v>
      </c>
      <c r="C18" s="100">
        <v>18.72</v>
      </c>
      <c r="D18" s="100">
        <v>24.47</v>
      </c>
      <c r="E18" s="100">
        <v>5.65</v>
      </c>
      <c r="F18" s="100">
        <v>0.01</v>
      </c>
      <c r="G18" s="100">
        <v>78.680000000000007</v>
      </c>
      <c r="H18" s="100">
        <v>36.090000000000003</v>
      </c>
      <c r="I18" s="100">
        <v>11.62</v>
      </c>
      <c r="J18" s="100">
        <v>0.24</v>
      </c>
      <c r="K18" s="100">
        <v>39.369999999999997</v>
      </c>
      <c r="L18" s="100">
        <v>18.41</v>
      </c>
      <c r="M18" s="100">
        <v>66.78</v>
      </c>
      <c r="N18" s="100">
        <v>9.6999999999999993</v>
      </c>
      <c r="O18" s="100">
        <v>0</v>
      </c>
      <c r="P18" s="100">
        <v>0.66</v>
      </c>
      <c r="Q18" s="100">
        <v>9.32</v>
      </c>
      <c r="R18" s="6"/>
      <c r="S18" s="6"/>
      <c r="T18" s="156"/>
      <c r="U18" s="6"/>
    </row>
    <row r="19" spans="1:21" customFormat="1">
      <c r="A19" s="163" t="s">
        <v>641</v>
      </c>
      <c r="B19" s="100">
        <v>18.239999999999998</v>
      </c>
      <c r="C19" s="100">
        <v>18.440000000000001</v>
      </c>
      <c r="D19" s="100">
        <v>24.26</v>
      </c>
      <c r="E19" s="100">
        <v>5.72</v>
      </c>
      <c r="F19" s="100">
        <v>0.06</v>
      </c>
      <c r="G19" s="100">
        <v>81.58</v>
      </c>
      <c r="H19" s="100">
        <v>34.99</v>
      </c>
      <c r="I19" s="100">
        <v>11.56</v>
      </c>
      <c r="J19" s="100">
        <v>0.14000000000000001</v>
      </c>
      <c r="K19" s="100">
        <v>37.56</v>
      </c>
      <c r="L19" s="100">
        <v>18.559999999999999</v>
      </c>
      <c r="M19" s="100">
        <v>65.64</v>
      </c>
      <c r="N19" s="100">
        <v>9.9</v>
      </c>
      <c r="O19" s="100">
        <v>0</v>
      </c>
      <c r="P19" s="100">
        <v>0.65</v>
      </c>
      <c r="Q19" s="100">
        <v>9.32</v>
      </c>
      <c r="R19" s="6"/>
      <c r="S19" s="6"/>
      <c r="T19" s="156"/>
      <c r="U19" s="6"/>
    </row>
    <row r="20" spans="1:21" customFormat="1">
      <c r="A20" s="163" t="s">
        <v>642</v>
      </c>
      <c r="B20" s="100">
        <v>18.03</v>
      </c>
      <c r="C20" s="100">
        <v>18.04</v>
      </c>
      <c r="D20" s="100">
        <v>23.89</v>
      </c>
      <c r="E20" s="100">
        <v>5.91</v>
      </c>
      <c r="F20" s="100">
        <v>0.18</v>
      </c>
      <c r="G20" s="100">
        <v>81.650000000000006</v>
      </c>
      <c r="H20" s="100">
        <v>34.99</v>
      </c>
      <c r="I20" s="100">
        <v>11.56</v>
      </c>
      <c r="J20" s="100">
        <v>0.16</v>
      </c>
      <c r="K20" s="100">
        <v>181.83</v>
      </c>
      <c r="L20" s="100">
        <v>18.010000000000002</v>
      </c>
      <c r="M20" s="100">
        <v>73.8</v>
      </c>
      <c r="N20" s="100">
        <v>10.3</v>
      </c>
      <c r="O20" s="100">
        <v>0</v>
      </c>
      <c r="P20" s="100">
        <v>0.64</v>
      </c>
      <c r="Q20" s="100">
        <v>9.32</v>
      </c>
      <c r="R20" s="6"/>
      <c r="S20" s="6"/>
      <c r="T20" s="156"/>
      <c r="U20" s="6"/>
    </row>
    <row r="21" spans="1:21" customFormat="1">
      <c r="A21" s="163" t="s">
        <v>643</v>
      </c>
      <c r="B21" s="100">
        <v>17.61</v>
      </c>
      <c r="C21" s="100">
        <v>17.809999999999999</v>
      </c>
      <c r="D21" s="100">
        <v>23.43</v>
      </c>
      <c r="E21" s="100">
        <v>5.68</v>
      </c>
      <c r="F21" s="100">
        <v>7.0000000000000007E-2</v>
      </c>
      <c r="G21" s="100">
        <v>81.650000000000006</v>
      </c>
      <c r="H21" s="100">
        <v>34.99</v>
      </c>
      <c r="I21" s="100">
        <v>11.56</v>
      </c>
      <c r="J21" s="100">
        <v>0.21</v>
      </c>
      <c r="K21" s="100">
        <v>169.93</v>
      </c>
      <c r="L21" s="100">
        <v>17.73</v>
      </c>
      <c r="M21" s="100">
        <v>80.12</v>
      </c>
      <c r="N21" s="100">
        <v>10.4</v>
      </c>
      <c r="O21" s="100">
        <v>0</v>
      </c>
      <c r="P21" s="100">
        <v>0.64</v>
      </c>
      <c r="Q21" s="100">
        <v>9.32</v>
      </c>
      <c r="R21" s="6"/>
      <c r="S21" s="6"/>
      <c r="T21" s="156"/>
      <c r="U21" s="6"/>
    </row>
    <row r="22" spans="1:21" customFormat="1">
      <c r="A22" s="163" t="s">
        <v>644</v>
      </c>
      <c r="B22" s="100">
        <v>17.239999999999998</v>
      </c>
      <c r="C22" s="100">
        <v>17.37</v>
      </c>
      <c r="D22" s="100">
        <v>22.9</v>
      </c>
      <c r="E22" s="100">
        <v>5.45</v>
      </c>
      <c r="F22" s="100">
        <v>0.04</v>
      </c>
      <c r="G22" s="100">
        <v>81.650000000000006</v>
      </c>
      <c r="H22" s="100">
        <v>34.99</v>
      </c>
      <c r="I22" s="100">
        <v>11.58</v>
      </c>
      <c r="J22" s="100">
        <v>0.2</v>
      </c>
      <c r="K22" s="100">
        <v>233.43</v>
      </c>
      <c r="L22" s="100">
        <v>17.510000000000002</v>
      </c>
      <c r="M22" s="100">
        <v>80.84</v>
      </c>
      <c r="N22" s="100">
        <v>10.1</v>
      </c>
      <c r="O22" s="100">
        <v>0</v>
      </c>
      <c r="P22" s="100">
        <v>0.64</v>
      </c>
      <c r="Q22" s="100">
        <v>9.32</v>
      </c>
      <c r="R22" s="6"/>
      <c r="S22" s="6"/>
      <c r="T22" s="156"/>
      <c r="U22" s="6"/>
    </row>
    <row r="23" spans="1:21" customFormat="1">
      <c r="A23" s="163" t="s">
        <v>645</v>
      </c>
      <c r="B23" s="100">
        <v>16.989999999999998</v>
      </c>
      <c r="C23" s="100">
        <v>17.12</v>
      </c>
      <c r="D23" s="100">
        <v>22.57</v>
      </c>
      <c r="E23" s="100">
        <v>5.59</v>
      </c>
      <c r="F23" s="100">
        <v>0.04</v>
      </c>
      <c r="G23" s="100">
        <v>77.209999999999994</v>
      </c>
      <c r="H23" s="100">
        <v>34.04</v>
      </c>
      <c r="I23" s="100">
        <v>11.59</v>
      </c>
      <c r="J23" s="100">
        <v>0.2</v>
      </c>
      <c r="K23" s="100">
        <v>216.93</v>
      </c>
      <c r="L23" s="100">
        <v>17.170000000000002</v>
      </c>
      <c r="M23" s="100">
        <v>81.81</v>
      </c>
      <c r="N23" s="100">
        <v>10.3</v>
      </c>
      <c r="O23" s="100">
        <v>0</v>
      </c>
      <c r="P23" s="100">
        <v>0.63</v>
      </c>
      <c r="Q23" s="100">
        <v>9.32</v>
      </c>
      <c r="R23" s="6"/>
      <c r="S23" s="6"/>
      <c r="T23" s="156"/>
      <c r="U23" s="6"/>
    </row>
    <row r="24" spans="1:21" customFormat="1">
      <c r="A24" s="163" t="s">
        <v>646</v>
      </c>
      <c r="B24" s="100">
        <v>16.78</v>
      </c>
      <c r="C24" s="100">
        <v>16.850000000000001</v>
      </c>
      <c r="D24" s="100">
        <v>22.26</v>
      </c>
      <c r="E24" s="100">
        <v>5.28</v>
      </c>
      <c r="F24" s="100">
        <v>0.01</v>
      </c>
      <c r="G24" s="100">
        <v>77.11</v>
      </c>
      <c r="H24" s="100">
        <v>34.04</v>
      </c>
      <c r="I24" s="100">
        <v>11.58</v>
      </c>
      <c r="J24" s="100">
        <v>0.08</v>
      </c>
      <c r="K24" s="100">
        <v>30.48</v>
      </c>
      <c r="L24" s="100">
        <v>17.18</v>
      </c>
      <c r="M24" s="100">
        <v>81.22</v>
      </c>
      <c r="N24" s="100">
        <v>10</v>
      </c>
      <c r="O24" s="100">
        <v>0</v>
      </c>
      <c r="P24" s="100">
        <v>0.63</v>
      </c>
      <c r="Q24" s="100">
        <v>9.32</v>
      </c>
      <c r="R24" s="6"/>
      <c r="S24" s="6"/>
      <c r="T24" s="156"/>
      <c r="U24" s="6"/>
    </row>
    <row r="25" spans="1:21" customFormat="1">
      <c r="A25" s="163" t="s">
        <v>647</v>
      </c>
      <c r="B25" s="100">
        <v>16.82</v>
      </c>
      <c r="C25" s="100">
        <v>16.64</v>
      </c>
      <c r="D25" s="100">
        <v>22.18</v>
      </c>
      <c r="E25" s="100">
        <v>5.65</v>
      </c>
      <c r="F25" s="100">
        <v>0.01</v>
      </c>
      <c r="G25" s="100">
        <v>77.11</v>
      </c>
      <c r="H25" s="100">
        <v>34.04</v>
      </c>
      <c r="I25" s="100">
        <v>11.6</v>
      </c>
      <c r="J25" s="100">
        <v>0.23</v>
      </c>
      <c r="K25" s="100">
        <v>166.9</v>
      </c>
      <c r="L25" s="100">
        <v>17.3</v>
      </c>
      <c r="M25" s="100">
        <v>83.16</v>
      </c>
      <c r="N25" s="100">
        <v>10.1</v>
      </c>
      <c r="O25" s="100">
        <v>0</v>
      </c>
      <c r="P25" s="100">
        <v>0.63</v>
      </c>
      <c r="Q25" s="100">
        <v>9.32</v>
      </c>
      <c r="R25" s="6"/>
      <c r="S25" s="6"/>
      <c r="T25" s="156"/>
      <c r="U25" s="6"/>
    </row>
    <row r="26" spans="1:21" customFormat="1">
      <c r="A26" s="163" t="s">
        <v>648</v>
      </c>
      <c r="B26" s="100">
        <v>16.670000000000002</v>
      </c>
      <c r="C26" s="100">
        <v>16.28</v>
      </c>
      <c r="D26" s="100">
        <v>21.87</v>
      </c>
      <c r="E26" s="100">
        <v>5.31</v>
      </c>
      <c r="F26" s="100">
        <v>0.03</v>
      </c>
      <c r="G26" s="100">
        <v>77.11</v>
      </c>
      <c r="H26" s="100">
        <v>34.04</v>
      </c>
      <c r="I26" s="100">
        <v>11.66</v>
      </c>
      <c r="J26" s="100">
        <v>0.13</v>
      </c>
      <c r="K26" s="100">
        <v>160.4</v>
      </c>
      <c r="L26" s="100">
        <v>16.93</v>
      </c>
      <c r="M26" s="100">
        <v>85.2</v>
      </c>
      <c r="N26" s="100">
        <v>10.199999999999999</v>
      </c>
      <c r="O26" s="100">
        <v>0</v>
      </c>
      <c r="P26" s="100">
        <v>0.63</v>
      </c>
      <c r="Q26" s="100">
        <v>9.32</v>
      </c>
      <c r="R26" s="6"/>
      <c r="S26" s="6"/>
      <c r="T26" s="156"/>
      <c r="U26" s="6"/>
    </row>
    <row r="27" spans="1:21" customFormat="1">
      <c r="A27" s="163" t="s">
        <v>649</v>
      </c>
      <c r="B27" s="100">
        <v>16.559999999999999</v>
      </c>
      <c r="C27" s="100">
        <v>15.96</v>
      </c>
      <c r="D27" s="100">
        <v>21.62</v>
      </c>
      <c r="E27" s="100">
        <v>5.31</v>
      </c>
      <c r="F27" s="100">
        <v>0.1</v>
      </c>
      <c r="G27" s="100">
        <v>76.28</v>
      </c>
      <c r="H27" s="100">
        <v>32.9</v>
      </c>
      <c r="I27" s="100">
        <v>11.7</v>
      </c>
      <c r="J27" s="100">
        <v>0.1</v>
      </c>
      <c r="K27" s="100">
        <v>168.86</v>
      </c>
      <c r="L27" s="100">
        <v>16.940000000000001</v>
      </c>
      <c r="M27" s="100">
        <v>82.04</v>
      </c>
      <c r="N27" s="100">
        <v>10</v>
      </c>
      <c r="O27" s="100">
        <v>0</v>
      </c>
      <c r="P27" s="100">
        <v>0.63</v>
      </c>
      <c r="Q27" s="100">
        <v>9.32</v>
      </c>
      <c r="R27" s="6"/>
      <c r="S27" s="6"/>
      <c r="T27" s="156"/>
      <c r="U27" s="6"/>
    </row>
    <row r="28" spans="1:21" customFormat="1">
      <c r="A28" s="163" t="s">
        <v>650</v>
      </c>
      <c r="B28" s="100">
        <v>16.48</v>
      </c>
      <c r="C28" s="100">
        <v>15.86</v>
      </c>
      <c r="D28" s="100">
        <v>21.5</v>
      </c>
      <c r="E28" s="100">
        <v>5.33</v>
      </c>
      <c r="F28" s="100">
        <v>0.06</v>
      </c>
      <c r="G28" s="100">
        <v>76.260000000000005</v>
      </c>
      <c r="H28" s="100">
        <v>32.9</v>
      </c>
      <c r="I28" s="100">
        <v>11.7</v>
      </c>
      <c r="J28" s="100">
        <v>0.16</v>
      </c>
      <c r="K28" s="100">
        <v>194.77</v>
      </c>
      <c r="L28" s="100">
        <v>16.600000000000001</v>
      </c>
      <c r="M28" s="100">
        <v>86.11</v>
      </c>
      <c r="N28" s="100">
        <v>10.3</v>
      </c>
      <c r="O28" s="100">
        <v>0</v>
      </c>
      <c r="P28" s="100">
        <v>0.63</v>
      </c>
      <c r="Q28" s="100">
        <v>9.32</v>
      </c>
      <c r="R28" s="6"/>
      <c r="S28" s="6"/>
      <c r="T28" s="156"/>
      <c r="U28" s="6"/>
    </row>
    <row r="29" spans="1:21" customFormat="1">
      <c r="A29" s="163" t="s">
        <v>651</v>
      </c>
      <c r="B29" s="100">
        <v>16.41</v>
      </c>
      <c r="C29" s="100">
        <v>15.75</v>
      </c>
      <c r="D29" s="100">
        <v>21.39</v>
      </c>
      <c r="E29" s="100">
        <v>5.0599999999999996</v>
      </c>
      <c r="F29" s="100">
        <v>0.03</v>
      </c>
      <c r="G29" s="100">
        <v>76.260000000000005</v>
      </c>
      <c r="H29" s="100">
        <v>32.9</v>
      </c>
      <c r="I29" s="100">
        <v>11.7</v>
      </c>
      <c r="J29" s="100">
        <v>0.13</v>
      </c>
      <c r="K29" s="100">
        <v>176.77</v>
      </c>
      <c r="L29" s="100">
        <v>16.3</v>
      </c>
      <c r="M29" s="100">
        <v>86.91</v>
      </c>
      <c r="N29" s="100">
        <v>10.1</v>
      </c>
      <c r="O29" s="100">
        <v>0</v>
      </c>
      <c r="P29" s="100">
        <v>0.63</v>
      </c>
      <c r="Q29" s="100">
        <v>9.32</v>
      </c>
      <c r="R29" s="6"/>
      <c r="S29" s="6"/>
      <c r="T29" s="156"/>
      <c r="U29" s="6"/>
    </row>
    <row r="30" spans="1:21" customFormat="1">
      <c r="A30" s="163" t="s">
        <v>652</v>
      </c>
      <c r="B30" s="100">
        <v>16.79</v>
      </c>
      <c r="C30" s="100">
        <v>15.76</v>
      </c>
      <c r="D30" s="100">
        <v>21.7</v>
      </c>
      <c r="E30" s="100">
        <v>4.9800000000000004</v>
      </c>
      <c r="F30" s="100">
        <v>0.03</v>
      </c>
      <c r="G30" s="100">
        <v>76.260000000000005</v>
      </c>
      <c r="H30" s="100">
        <v>32.9</v>
      </c>
      <c r="I30" s="100">
        <v>11.67</v>
      </c>
      <c r="J30" s="100">
        <v>0.15</v>
      </c>
      <c r="K30" s="100">
        <v>179.39</v>
      </c>
      <c r="L30" s="100">
        <v>16.309999999999999</v>
      </c>
      <c r="M30" s="100">
        <v>86.8</v>
      </c>
      <c r="N30" s="100">
        <v>10.1</v>
      </c>
      <c r="O30" s="100">
        <v>0</v>
      </c>
      <c r="P30" s="100">
        <v>0.63</v>
      </c>
      <c r="Q30" s="100">
        <v>9.32</v>
      </c>
      <c r="R30" s="6"/>
      <c r="S30" s="6"/>
      <c r="T30" s="156"/>
      <c r="U30" s="6"/>
    </row>
    <row r="31" spans="1:21" customFormat="1">
      <c r="A31" s="163" t="s">
        <v>653</v>
      </c>
      <c r="B31" s="100">
        <v>17.38</v>
      </c>
      <c r="C31" s="100">
        <v>15.72</v>
      </c>
      <c r="D31" s="100">
        <v>22.15</v>
      </c>
      <c r="E31" s="100">
        <v>5.42</v>
      </c>
      <c r="F31" s="100">
        <v>0.06</v>
      </c>
      <c r="G31" s="100">
        <v>68.06</v>
      </c>
      <c r="H31" s="100">
        <v>32.6</v>
      </c>
      <c r="I31" s="100">
        <v>11.58</v>
      </c>
      <c r="J31" s="100">
        <v>0.06</v>
      </c>
      <c r="K31" s="100">
        <v>23.95</v>
      </c>
      <c r="L31" s="100">
        <v>16.36</v>
      </c>
      <c r="M31" s="100">
        <v>86.37</v>
      </c>
      <c r="N31" s="100">
        <v>9.8000000000000007</v>
      </c>
      <c r="O31" s="100">
        <v>0</v>
      </c>
      <c r="P31" s="100">
        <v>0.62</v>
      </c>
      <c r="Q31" s="100">
        <v>9.32</v>
      </c>
      <c r="R31" s="6"/>
      <c r="S31" s="6"/>
      <c r="T31" s="156"/>
      <c r="U31" s="6"/>
    </row>
    <row r="32" spans="1:21" customFormat="1">
      <c r="A32" s="163" t="s">
        <v>654</v>
      </c>
      <c r="B32" s="100">
        <v>18.149999999999999</v>
      </c>
      <c r="C32" s="100">
        <v>15.87</v>
      </c>
      <c r="D32" s="100">
        <v>22.84</v>
      </c>
      <c r="E32" s="100">
        <v>5.27</v>
      </c>
      <c r="F32" s="100">
        <v>0.06</v>
      </c>
      <c r="G32" s="100">
        <v>67.88</v>
      </c>
      <c r="H32" s="100">
        <v>32.6</v>
      </c>
      <c r="I32" s="100">
        <v>11.49</v>
      </c>
      <c r="J32" s="100">
        <v>0.24</v>
      </c>
      <c r="K32" s="100">
        <v>28.33</v>
      </c>
      <c r="L32" s="100">
        <v>16.79</v>
      </c>
      <c r="M32" s="100">
        <v>81.709999999999994</v>
      </c>
      <c r="N32" s="100">
        <v>9.6</v>
      </c>
      <c r="O32" s="100">
        <v>0</v>
      </c>
      <c r="P32" s="100">
        <v>0.62</v>
      </c>
      <c r="Q32" s="100">
        <v>9.32</v>
      </c>
      <c r="R32" s="6"/>
      <c r="S32" s="6"/>
      <c r="T32" s="156"/>
      <c r="U32" s="6"/>
    </row>
    <row r="33" spans="1:21" customFormat="1">
      <c r="A33" s="163" t="s">
        <v>655</v>
      </c>
      <c r="B33" s="100">
        <v>18.760000000000002</v>
      </c>
      <c r="C33" s="100">
        <v>16.149999999999999</v>
      </c>
      <c r="D33" s="100">
        <v>23.48</v>
      </c>
      <c r="E33" s="100">
        <v>5.24</v>
      </c>
      <c r="F33" s="100">
        <v>0.01</v>
      </c>
      <c r="G33" s="100">
        <v>67.88</v>
      </c>
      <c r="H33" s="100">
        <v>32.6</v>
      </c>
      <c r="I33" s="100">
        <v>11.43</v>
      </c>
      <c r="J33" s="100">
        <v>0.15</v>
      </c>
      <c r="K33" s="100">
        <v>50.08</v>
      </c>
      <c r="L33" s="100">
        <v>16.95</v>
      </c>
      <c r="M33" s="100">
        <v>81.06</v>
      </c>
      <c r="N33" s="100">
        <v>10.5</v>
      </c>
      <c r="O33" s="100">
        <v>0</v>
      </c>
      <c r="P33" s="100">
        <v>0.61</v>
      </c>
      <c r="Q33" s="100">
        <v>9.32</v>
      </c>
      <c r="R33" s="6"/>
      <c r="S33" s="6"/>
      <c r="T33" s="156"/>
      <c r="U33" s="6"/>
    </row>
    <row r="34" spans="1:21" customFormat="1">
      <c r="A34" s="163" t="s">
        <v>656</v>
      </c>
      <c r="B34" s="100">
        <v>19.18</v>
      </c>
      <c r="C34" s="100">
        <v>16.34</v>
      </c>
      <c r="D34" s="100">
        <v>23.92</v>
      </c>
      <c r="E34" s="100">
        <v>5.18</v>
      </c>
      <c r="F34" s="100">
        <v>0.01</v>
      </c>
      <c r="G34" s="100">
        <v>67.88</v>
      </c>
      <c r="H34" s="100">
        <v>32.6</v>
      </c>
      <c r="I34" s="100">
        <v>11.41</v>
      </c>
      <c r="J34" s="100">
        <v>0.18</v>
      </c>
      <c r="K34" s="100">
        <v>185.64</v>
      </c>
      <c r="L34" s="100">
        <v>16.690000000000001</v>
      </c>
      <c r="M34" s="100">
        <v>84.95</v>
      </c>
      <c r="N34" s="100">
        <v>13.1</v>
      </c>
      <c r="O34" s="100">
        <v>0</v>
      </c>
      <c r="P34" s="100">
        <v>0.61</v>
      </c>
      <c r="Q34" s="100">
        <v>9.32</v>
      </c>
      <c r="R34" s="6"/>
      <c r="S34" s="6"/>
      <c r="T34" s="156"/>
      <c r="U34" s="6"/>
    </row>
    <row r="35" spans="1:21" customFormat="1">
      <c r="A35" s="163" t="s">
        <v>657</v>
      </c>
      <c r="B35" s="100">
        <v>19.09</v>
      </c>
      <c r="C35" s="100">
        <v>16.27</v>
      </c>
      <c r="D35" s="100">
        <v>23.81</v>
      </c>
      <c r="E35" s="100">
        <v>5.28</v>
      </c>
      <c r="F35" s="100">
        <v>7.0000000000000007E-2</v>
      </c>
      <c r="G35" s="100">
        <v>75.989999999999995</v>
      </c>
      <c r="H35" s="100">
        <v>32.9</v>
      </c>
      <c r="I35" s="100">
        <v>11.41</v>
      </c>
      <c r="J35" s="100">
        <v>0.14000000000000001</v>
      </c>
      <c r="K35" s="100">
        <v>175.9</v>
      </c>
      <c r="L35" s="100">
        <v>16.36</v>
      </c>
      <c r="M35" s="100">
        <v>88.94</v>
      </c>
      <c r="N35" s="100">
        <v>19.2</v>
      </c>
      <c r="O35" s="100">
        <v>0</v>
      </c>
      <c r="P35" s="100">
        <v>0.61</v>
      </c>
      <c r="Q35" s="100">
        <v>9.32</v>
      </c>
      <c r="R35" s="6"/>
      <c r="S35" s="6"/>
      <c r="T35" s="156"/>
      <c r="U35" s="6"/>
    </row>
    <row r="36" spans="1:21" customFormat="1">
      <c r="A36" s="163" t="s">
        <v>658</v>
      </c>
      <c r="B36" s="100">
        <v>18.79</v>
      </c>
      <c r="C36" s="100">
        <v>16</v>
      </c>
      <c r="D36" s="100">
        <v>23.43</v>
      </c>
      <c r="E36" s="100">
        <v>5.48</v>
      </c>
      <c r="F36" s="100">
        <v>7.0000000000000007E-2</v>
      </c>
      <c r="G36" s="100">
        <v>76.17</v>
      </c>
      <c r="H36" s="100">
        <v>32.9</v>
      </c>
      <c r="I36" s="100">
        <v>11.38</v>
      </c>
      <c r="J36" s="100">
        <v>0.22</v>
      </c>
      <c r="K36" s="100">
        <v>158.51</v>
      </c>
      <c r="L36" s="100">
        <v>16.559999999999999</v>
      </c>
      <c r="M36" s="100">
        <v>89.71</v>
      </c>
      <c r="N36" s="100">
        <v>30.1</v>
      </c>
      <c r="O36" s="100">
        <v>0</v>
      </c>
      <c r="P36" s="100">
        <v>0.6</v>
      </c>
      <c r="Q36" s="100">
        <v>9.32</v>
      </c>
      <c r="R36" s="6"/>
      <c r="S36" s="6"/>
      <c r="T36" s="156"/>
      <c r="U36" s="6"/>
    </row>
    <row r="37" spans="1:21" customFormat="1">
      <c r="A37" s="163" t="s">
        <v>659</v>
      </c>
      <c r="B37" s="100">
        <v>18.649999999999999</v>
      </c>
      <c r="C37" s="100">
        <v>15.89</v>
      </c>
      <c r="D37" s="100">
        <v>23.26</v>
      </c>
      <c r="E37" s="100">
        <v>5.32</v>
      </c>
      <c r="F37" s="100">
        <v>7.0000000000000007E-2</v>
      </c>
      <c r="G37" s="100">
        <v>76.17</v>
      </c>
      <c r="H37" s="100">
        <v>32.9</v>
      </c>
      <c r="I37" s="100">
        <v>11.35</v>
      </c>
      <c r="J37" s="100">
        <v>0.12</v>
      </c>
      <c r="K37" s="100">
        <v>203.84</v>
      </c>
      <c r="L37" s="100">
        <v>16.850000000000001</v>
      </c>
      <c r="M37" s="100">
        <v>88.88</v>
      </c>
      <c r="N37" s="100">
        <v>40.1</v>
      </c>
      <c r="O37" s="100">
        <v>0</v>
      </c>
      <c r="P37" s="100">
        <v>0.61</v>
      </c>
      <c r="Q37" s="100">
        <v>9.32</v>
      </c>
      <c r="R37" s="6"/>
      <c r="S37" s="6"/>
      <c r="T37" s="156"/>
      <c r="U37" s="6"/>
    </row>
    <row r="38" spans="1:21" customFormat="1">
      <c r="A38" s="163" t="s">
        <v>660</v>
      </c>
      <c r="B38" s="100">
        <v>18.61</v>
      </c>
      <c r="C38" s="100">
        <v>15.92</v>
      </c>
      <c r="D38" s="100">
        <v>23.24</v>
      </c>
      <c r="E38" s="100">
        <v>4.95</v>
      </c>
      <c r="F38" s="100">
        <v>0.02</v>
      </c>
      <c r="G38" s="100">
        <v>76.17</v>
      </c>
      <c r="H38" s="100">
        <v>32.9</v>
      </c>
      <c r="I38" s="100">
        <v>11.38</v>
      </c>
      <c r="J38" s="100">
        <v>0.18</v>
      </c>
      <c r="K38" s="100">
        <v>56.08</v>
      </c>
      <c r="L38" s="100">
        <v>17.309999999999999</v>
      </c>
      <c r="M38" s="100">
        <v>85.33</v>
      </c>
      <c r="N38" s="100">
        <v>54.2</v>
      </c>
      <c r="O38" s="100">
        <v>0</v>
      </c>
      <c r="P38" s="100">
        <v>0.61</v>
      </c>
      <c r="Q38" s="100">
        <v>9.32</v>
      </c>
      <c r="R38" s="6"/>
      <c r="S38" s="6"/>
      <c r="T38" s="156"/>
      <c r="U38" s="6"/>
    </row>
    <row r="39" spans="1:21" customFormat="1">
      <c r="A39" s="163" t="s">
        <v>661</v>
      </c>
      <c r="B39" s="100">
        <v>18.98</v>
      </c>
      <c r="C39" s="100">
        <v>16.010000000000002</v>
      </c>
      <c r="D39" s="100">
        <v>23.59</v>
      </c>
      <c r="E39" s="100">
        <v>5.17</v>
      </c>
      <c r="F39" s="100">
        <v>0.01</v>
      </c>
      <c r="G39" s="100">
        <v>71.92</v>
      </c>
      <c r="H39" s="100">
        <v>34.549999999999997</v>
      </c>
      <c r="I39" s="100">
        <v>11.45</v>
      </c>
      <c r="J39" s="100">
        <v>0.48</v>
      </c>
      <c r="K39" s="100">
        <v>34.590000000000003</v>
      </c>
      <c r="L39" s="100">
        <v>18.149999999999999</v>
      </c>
      <c r="M39" s="100">
        <v>76.989999999999995</v>
      </c>
      <c r="N39" s="100">
        <v>67.099999999999994</v>
      </c>
      <c r="O39" s="100">
        <v>0</v>
      </c>
      <c r="P39" s="100">
        <v>0.61</v>
      </c>
      <c r="Q39" s="100">
        <v>9.32</v>
      </c>
      <c r="R39" s="6"/>
      <c r="S39" s="6"/>
      <c r="T39" s="156"/>
      <c r="U39" s="6"/>
    </row>
    <row r="40" spans="1:21" customFormat="1">
      <c r="A40" s="163" t="s">
        <v>662</v>
      </c>
      <c r="B40" s="100">
        <v>19.55</v>
      </c>
      <c r="C40" s="100">
        <v>16.45</v>
      </c>
      <c r="D40" s="100">
        <v>24.28</v>
      </c>
      <c r="E40" s="100">
        <v>5.13</v>
      </c>
      <c r="F40" s="100">
        <v>0.01</v>
      </c>
      <c r="G40" s="100">
        <v>71.819999999999993</v>
      </c>
      <c r="H40" s="100">
        <v>34.549999999999997</v>
      </c>
      <c r="I40" s="100">
        <v>11.57</v>
      </c>
      <c r="J40" s="100">
        <v>0.68</v>
      </c>
      <c r="K40" s="100">
        <v>45.41</v>
      </c>
      <c r="L40" s="100">
        <v>18.64</v>
      </c>
      <c r="M40" s="100">
        <v>74.62</v>
      </c>
      <c r="N40" s="100">
        <v>93.9</v>
      </c>
      <c r="O40" s="100">
        <v>0</v>
      </c>
      <c r="P40" s="100">
        <v>0.63</v>
      </c>
      <c r="Q40" s="100">
        <v>9.32</v>
      </c>
      <c r="R40" s="6"/>
      <c r="S40" s="6"/>
      <c r="T40" s="156"/>
      <c r="U40" s="6"/>
    </row>
    <row r="41" spans="1:21" customFormat="1">
      <c r="A41" s="163" t="s">
        <v>663</v>
      </c>
      <c r="B41" s="100">
        <v>19.96</v>
      </c>
      <c r="C41" s="100">
        <v>17.11</v>
      </c>
      <c r="D41" s="100">
        <v>24.95</v>
      </c>
      <c r="E41" s="100">
        <v>5.12</v>
      </c>
      <c r="F41" s="100">
        <v>0.01</v>
      </c>
      <c r="G41" s="100">
        <v>71.819999999999993</v>
      </c>
      <c r="H41" s="100">
        <v>34.549999999999997</v>
      </c>
      <c r="I41" s="100">
        <v>11.68</v>
      </c>
      <c r="J41" s="100">
        <v>0.6</v>
      </c>
      <c r="K41" s="100">
        <v>48.24</v>
      </c>
      <c r="L41" s="100">
        <v>19.29</v>
      </c>
      <c r="M41" s="100">
        <v>72.63</v>
      </c>
      <c r="N41" s="100">
        <v>176.3</v>
      </c>
      <c r="O41" s="100">
        <v>0</v>
      </c>
      <c r="P41" s="100">
        <v>0.63</v>
      </c>
      <c r="Q41" s="100">
        <v>9.32</v>
      </c>
      <c r="R41" s="6"/>
      <c r="S41" s="6"/>
      <c r="T41" s="156"/>
      <c r="U41" s="6"/>
    </row>
    <row r="42" spans="1:21" customFormat="1">
      <c r="A42" s="163" t="s">
        <v>664</v>
      </c>
      <c r="B42" s="100">
        <v>19.93</v>
      </c>
      <c r="C42" s="100">
        <v>17.600000000000001</v>
      </c>
      <c r="D42" s="100">
        <v>25.18</v>
      </c>
      <c r="E42" s="100">
        <v>5.49</v>
      </c>
      <c r="F42" s="100">
        <v>0.01</v>
      </c>
      <c r="G42" s="100">
        <v>71.819999999999993</v>
      </c>
      <c r="H42" s="100">
        <v>34.549999999999997</v>
      </c>
      <c r="I42" s="100">
        <v>11.78</v>
      </c>
      <c r="J42" s="100">
        <v>1</v>
      </c>
      <c r="K42" s="100">
        <v>45.79</v>
      </c>
      <c r="L42" s="100">
        <v>20.16</v>
      </c>
      <c r="M42" s="100">
        <v>67.819999999999993</v>
      </c>
      <c r="N42" s="100">
        <v>211.9</v>
      </c>
      <c r="O42" s="100">
        <v>0</v>
      </c>
      <c r="P42" s="100">
        <v>0.64</v>
      </c>
      <c r="Q42" s="100">
        <v>9.32</v>
      </c>
      <c r="R42" s="6"/>
      <c r="S42" s="6"/>
      <c r="T42" s="156"/>
      <c r="U42" s="6"/>
    </row>
    <row r="43" spans="1:21" customFormat="1">
      <c r="A43" s="163" t="s">
        <v>665</v>
      </c>
      <c r="B43" s="100">
        <v>19.8</v>
      </c>
      <c r="C43" s="100">
        <v>17.79</v>
      </c>
      <c r="D43" s="100">
        <v>25.17</v>
      </c>
      <c r="E43" s="100">
        <v>4.24</v>
      </c>
      <c r="F43" s="100">
        <v>0.02</v>
      </c>
      <c r="G43" s="100">
        <v>76.73</v>
      </c>
      <c r="H43" s="100">
        <v>40.090000000000003</v>
      </c>
      <c r="I43" s="100">
        <v>11.91</v>
      </c>
      <c r="J43" s="100">
        <v>1.22</v>
      </c>
      <c r="K43" s="100">
        <v>46.29</v>
      </c>
      <c r="L43" s="100">
        <v>20.83</v>
      </c>
      <c r="M43" s="100">
        <v>63.64</v>
      </c>
      <c r="N43" s="100">
        <v>249.2</v>
      </c>
      <c r="O43" s="100">
        <v>0</v>
      </c>
      <c r="P43" s="100">
        <v>0.64</v>
      </c>
      <c r="Q43" s="100">
        <v>9.32</v>
      </c>
      <c r="R43" s="6"/>
      <c r="S43" s="6"/>
      <c r="T43" s="156"/>
      <c r="U43" s="6"/>
    </row>
    <row r="44" spans="1:21" customFormat="1">
      <c r="A44" s="163" t="s">
        <v>666</v>
      </c>
      <c r="B44" s="100">
        <v>19.559999999999999</v>
      </c>
      <c r="C44" s="100">
        <v>18</v>
      </c>
      <c r="D44" s="100">
        <v>25.09</v>
      </c>
      <c r="E44" s="100">
        <v>5.23</v>
      </c>
      <c r="F44" s="100">
        <v>0.01</v>
      </c>
      <c r="G44" s="100">
        <v>76.84</v>
      </c>
      <c r="H44" s="100">
        <v>40.090000000000003</v>
      </c>
      <c r="I44" s="100">
        <v>12.01</v>
      </c>
      <c r="J44" s="100">
        <v>0.8</v>
      </c>
      <c r="K44" s="100">
        <v>37.75</v>
      </c>
      <c r="L44" s="100">
        <v>21.7</v>
      </c>
      <c r="M44" s="100">
        <v>60.94</v>
      </c>
      <c r="N44" s="100">
        <v>277.7</v>
      </c>
      <c r="O44" s="100">
        <v>0</v>
      </c>
      <c r="P44" s="100">
        <v>0.63</v>
      </c>
      <c r="Q44" s="100">
        <v>9.32</v>
      </c>
      <c r="R44" s="6"/>
      <c r="S44" s="6"/>
      <c r="T44" s="156"/>
      <c r="U44" s="6"/>
    </row>
    <row r="45" spans="1:21" customFormat="1">
      <c r="A45" s="163" t="s">
        <v>667</v>
      </c>
      <c r="B45" s="100">
        <v>19.350000000000001</v>
      </c>
      <c r="C45" s="100">
        <v>18.260000000000002</v>
      </c>
      <c r="D45" s="100">
        <v>25.06</v>
      </c>
      <c r="E45" s="100">
        <v>5.17</v>
      </c>
      <c r="F45" s="100">
        <v>0.01</v>
      </c>
      <c r="G45" s="100">
        <v>76.84</v>
      </c>
      <c r="H45" s="100">
        <v>40.090000000000003</v>
      </c>
      <c r="I45" s="100">
        <v>12.01</v>
      </c>
      <c r="J45" s="100">
        <v>1.34</v>
      </c>
      <c r="K45" s="100">
        <v>44.75</v>
      </c>
      <c r="L45" s="100">
        <v>22.29</v>
      </c>
      <c r="M45" s="100">
        <v>57.78</v>
      </c>
      <c r="N45" s="100">
        <v>161.19999999999999</v>
      </c>
      <c r="O45" s="100">
        <v>0</v>
      </c>
      <c r="P45" s="100">
        <v>0.63</v>
      </c>
      <c r="Q45" s="100">
        <v>9.32</v>
      </c>
      <c r="R45" s="6"/>
      <c r="S45" s="6"/>
      <c r="T45" s="156"/>
      <c r="U45" s="6"/>
    </row>
    <row r="46" spans="1:21" customFormat="1">
      <c r="A46" s="163" t="s">
        <v>668</v>
      </c>
      <c r="B46" s="100">
        <v>19.03</v>
      </c>
      <c r="C46" s="100">
        <v>18.600000000000001</v>
      </c>
      <c r="D46" s="100">
        <v>24.98</v>
      </c>
      <c r="E46" s="100">
        <v>5.56</v>
      </c>
      <c r="F46" s="100">
        <v>0.01</v>
      </c>
      <c r="G46" s="100">
        <v>76.84</v>
      </c>
      <c r="H46" s="100">
        <v>40.090000000000003</v>
      </c>
      <c r="I46" s="100">
        <v>11.98</v>
      </c>
      <c r="J46" s="100">
        <v>1.28</v>
      </c>
      <c r="K46" s="100">
        <v>41.4</v>
      </c>
      <c r="L46" s="100">
        <v>22.98</v>
      </c>
      <c r="M46" s="100">
        <v>54.84</v>
      </c>
      <c r="N46" s="100">
        <v>157.80000000000001</v>
      </c>
      <c r="O46" s="100">
        <v>0</v>
      </c>
      <c r="P46" s="100">
        <v>0.62</v>
      </c>
      <c r="Q46" s="100">
        <v>9.32</v>
      </c>
      <c r="R46" s="6"/>
      <c r="S46" s="6"/>
      <c r="T46" s="156"/>
      <c r="U46" s="6"/>
    </row>
    <row r="47" spans="1:21" customFormat="1">
      <c r="A47" s="163" t="s">
        <v>669</v>
      </c>
      <c r="B47" s="100">
        <v>18.78</v>
      </c>
      <c r="C47" s="100">
        <v>19.170000000000002</v>
      </c>
      <c r="D47" s="100">
        <v>25.07</v>
      </c>
      <c r="E47" s="100">
        <v>5.51</v>
      </c>
      <c r="F47" s="100">
        <v>0.13</v>
      </c>
      <c r="G47" s="100">
        <v>80.45</v>
      </c>
      <c r="H47" s="100">
        <v>37.07</v>
      </c>
      <c r="I47" s="100">
        <v>11.93</v>
      </c>
      <c r="J47" s="100">
        <v>1.43</v>
      </c>
      <c r="K47" s="100">
        <v>45.18</v>
      </c>
      <c r="L47" s="100">
        <v>23.6</v>
      </c>
      <c r="M47" s="100">
        <v>52.83</v>
      </c>
      <c r="N47" s="100">
        <v>168.7</v>
      </c>
      <c r="O47" s="100">
        <v>0</v>
      </c>
      <c r="P47" s="100">
        <v>0.61</v>
      </c>
      <c r="Q47" s="100">
        <v>9.32</v>
      </c>
      <c r="R47" s="6"/>
      <c r="S47" s="6"/>
      <c r="T47" s="156"/>
      <c r="U47" s="6"/>
    </row>
    <row r="48" spans="1:21" customFormat="1">
      <c r="A48" s="163" t="s">
        <v>670</v>
      </c>
      <c r="B48" s="100">
        <v>18.329999999999998</v>
      </c>
      <c r="C48" s="100">
        <v>19.68</v>
      </c>
      <c r="D48" s="100">
        <v>24.98</v>
      </c>
      <c r="E48" s="100">
        <v>5.77</v>
      </c>
      <c r="F48" s="100">
        <v>0.23</v>
      </c>
      <c r="G48" s="100">
        <v>80.53</v>
      </c>
      <c r="H48" s="100">
        <v>37.07</v>
      </c>
      <c r="I48" s="100">
        <v>11.85</v>
      </c>
      <c r="J48" s="100">
        <v>1.1499999999999999</v>
      </c>
      <c r="K48" s="100">
        <v>34.770000000000003</v>
      </c>
      <c r="L48" s="100">
        <v>24.31</v>
      </c>
      <c r="M48" s="100">
        <v>50.97</v>
      </c>
      <c r="N48" s="100">
        <v>322.7</v>
      </c>
      <c r="O48" s="100">
        <v>0</v>
      </c>
      <c r="P48" s="100">
        <v>0.62</v>
      </c>
      <c r="Q48" s="100">
        <v>9.32</v>
      </c>
      <c r="R48" s="6"/>
      <c r="S48" s="6"/>
      <c r="T48" s="156"/>
      <c r="U48" s="6"/>
    </row>
    <row r="49" spans="1:21" customFormat="1">
      <c r="A49" s="163" t="s">
        <v>671</v>
      </c>
      <c r="B49" s="100">
        <v>17.71</v>
      </c>
      <c r="C49" s="100">
        <v>20.18</v>
      </c>
      <c r="D49" s="100">
        <v>24.75</v>
      </c>
      <c r="E49" s="100">
        <v>5.07</v>
      </c>
      <c r="F49" s="100">
        <v>0.22</v>
      </c>
      <c r="G49" s="100">
        <v>80.53</v>
      </c>
      <c r="H49" s="100">
        <v>37.07</v>
      </c>
      <c r="I49" s="100">
        <v>11.74</v>
      </c>
      <c r="J49" s="100">
        <v>0.56999999999999995</v>
      </c>
      <c r="K49" s="100">
        <v>59.09</v>
      </c>
      <c r="L49" s="100">
        <v>25.65</v>
      </c>
      <c r="M49" s="100">
        <v>46.17</v>
      </c>
      <c r="N49" s="100">
        <v>461.5</v>
      </c>
      <c r="O49" s="100">
        <v>0</v>
      </c>
      <c r="P49" s="100">
        <v>0.61</v>
      </c>
      <c r="Q49" s="100">
        <v>9.32</v>
      </c>
      <c r="R49" s="6"/>
      <c r="S49" s="6"/>
      <c r="T49" s="156"/>
      <c r="U49" s="6"/>
    </row>
    <row r="50" spans="1:21" customFormat="1">
      <c r="A50" s="163" t="s">
        <v>672</v>
      </c>
      <c r="B50" s="100">
        <v>16.649999999999999</v>
      </c>
      <c r="C50" s="100">
        <v>20.420000000000002</v>
      </c>
      <c r="D50" s="100">
        <v>24.02</v>
      </c>
      <c r="E50" s="100">
        <v>6.14</v>
      </c>
      <c r="F50" s="100">
        <v>0.39</v>
      </c>
      <c r="G50" s="100">
        <v>80.53</v>
      </c>
      <c r="H50" s="100">
        <v>37.07</v>
      </c>
      <c r="I50" s="100">
        <v>11.64</v>
      </c>
      <c r="J50" s="100">
        <v>0.52</v>
      </c>
      <c r="K50" s="100">
        <v>63.96</v>
      </c>
      <c r="L50" s="100">
        <v>26.37</v>
      </c>
      <c r="M50" s="100">
        <v>43.35</v>
      </c>
      <c r="N50" s="100">
        <v>480.5</v>
      </c>
      <c r="O50" s="100">
        <v>0</v>
      </c>
      <c r="P50" s="100">
        <v>0.6</v>
      </c>
      <c r="Q50" s="100">
        <v>9.32</v>
      </c>
      <c r="R50" s="6"/>
      <c r="S50" s="6"/>
      <c r="T50" s="156"/>
      <c r="U50" s="6"/>
    </row>
    <row r="51" spans="1:21" customFormat="1">
      <c r="A51" s="163" t="s">
        <v>673</v>
      </c>
      <c r="B51" s="100">
        <v>15.42</v>
      </c>
      <c r="C51" s="100">
        <v>20.53</v>
      </c>
      <c r="D51" s="100">
        <v>23.09</v>
      </c>
      <c r="E51" s="100">
        <v>6.24</v>
      </c>
      <c r="F51" s="100">
        <v>0.47</v>
      </c>
      <c r="G51" s="100">
        <v>80.48</v>
      </c>
      <c r="H51" s="100">
        <v>39.36</v>
      </c>
      <c r="I51" s="100">
        <v>11.53</v>
      </c>
      <c r="J51" s="100">
        <v>0.86</v>
      </c>
      <c r="K51" s="100">
        <v>53.02</v>
      </c>
      <c r="L51" s="100">
        <v>26.61</v>
      </c>
      <c r="M51" s="100">
        <v>41.87</v>
      </c>
      <c r="N51" s="100">
        <v>508.8</v>
      </c>
      <c r="O51" s="100">
        <v>0</v>
      </c>
      <c r="P51" s="100">
        <v>0.6</v>
      </c>
      <c r="Q51" s="100">
        <v>9.32</v>
      </c>
      <c r="R51" s="6"/>
      <c r="S51" s="6"/>
      <c r="T51" s="156"/>
      <c r="U51" s="6"/>
    </row>
    <row r="52" spans="1:21" customFormat="1">
      <c r="A52" s="163" t="s">
        <v>674</v>
      </c>
      <c r="B52" s="100">
        <v>14.14</v>
      </c>
      <c r="C52" s="100">
        <v>20.69</v>
      </c>
      <c r="D52" s="100">
        <v>22.15</v>
      </c>
      <c r="E52" s="100">
        <v>6.55</v>
      </c>
      <c r="F52" s="100">
        <v>0.6</v>
      </c>
      <c r="G52" s="100">
        <v>80.48</v>
      </c>
      <c r="H52" s="100">
        <v>39.36</v>
      </c>
      <c r="I52" s="100">
        <v>11.36</v>
      </c>
      <c r="J52" s="100">
        <v>1.31</v>
      </c>
      <c r="K52" s="100">
        <v>44.76</v>
      </c>
      <c r="L52" s="100">
        <v>26.8</v>
      </c>
      <c r="M52" s="100">
        <v>39.42</v>
      </c>
      <c r="N52" s="100">
        <v>519.4</v>
      </c>
      <c r="O52" s="100">
        <v>0</v>
      </c>
      <c r="P52" s="100">
        <v>0.6</v>
      </c>
      <c r="Q52" s="100">
        <v>9.32</v>
      </c>
      <c r="R52" s="6"/>
      <c r="S52" s="6"/>
      <c r="T52" s="156"/>
      <c r="U52" s="6"/>
    </row>
    <row r="53" spans="1:21" customFormat="1">
      <c r="A53" s="163" t="s">
        <v>675</v>
      </c>
      <c r="B53" s="100">
        <v>12.81</v>
      </c>
      <c r="C53" s="100">
        <v>20.96</v>
      </c>
      <c r="D53" s="100">
        <v>21.22</v>
      </c>
      <c r="E53" s="100">
        <v>6.69</v>
      </c>
      <c r="F53" s="100">
        <v>1.05</v>
      </c>
      <c r="G53" s="100">
        <v>80.48</v>
      </c>
      <c r="H53" s="100">
        <v>39.36</v>
      </c>
      <c r="I53" s="100">
        <v>11.15</v>
      </c>
      <c r="J53" s="100">
        <v>1.2</v>
      </c>
      <c r="K53" s="100">
        <v>39.549999999999997</v>
      </c>
      <c r="L53" s="100">
        <v>27.19</v>
      </c>
      <c r="M53" s="100">
        <v>38.14</v>
      </c>
      <c r="N53" s="100">
        <v>496.1</v>
      </c>
      <c r="O53" s="100">
        <v>0</v>
      </c>
      <c r="P53" s="100">
        <v>0.59</v>
      </c>
      <c r="Q53" s="100">
        <v>9.32</v>
      </c>
      <c r="R53" s="6"/>
      <c r="S53" s="6"/>
      <c r="T53" s="156"/>
      <c r="U53" s="6"/>
    </row>
    <row r="54" spans="1:21" customFormat="1">
      <c r="A54" s="163" t="s">
        <v>676</v>
      </c>
      <c r="B54" s="100">
        <v>11.56</v>
      </c>
      <c r="C54" s="100">
        <v>21.3</v>
      </c>
      <c r="D54" s="100">
        <v>20.399999999999999</v>
      </c>
      <c r="E54" s="100">
        <v>6.62</v>
      </c>
      <c r="F54" s="100">
        <v>0.88</v>
      </c>
      <c r="G54" s="100">
        <v>80.48</v>
      </c>
      <c r="H54" s="100">
        <v>39.36</v>
      </c>
      <c r="I54" s="100">
        <v>10.96</v>
      </c>
      <c r="J54" s="100">
        <v>0.92</v>
      </c>
      <c r="K54" s="100">
        <v>37.020000000000003</v>
      </c>
      <c r="L54" s="100">
        <v>27.69</v>
      </c>
      <c r="M54" s="100">
        <v>36.58</v>
      </c>
      <c r="N54" s="100">
        <v>544</v>
      </c>
      <c r="O54" s="100">
        <v>0</v>
      </c>
      <c r="P54" s="100">
        <v>0.57999999999999996</v>
      </c>
      <c r="Q54" s="100">
        <v>9.32</v>
      </c>
      <c r="R54" s="6"/>
      <c r="S54" s="6"/>
      <c r="T54" s="156"/>
      <c r="U54" s="6"/>
    </row>
    <row r="55" spans="1:21" customFormat="1">
      <c r="A55" s="163" t="s">
        <v>677</v>
      </c>
      <c r="B55" s="100">
        <v>10.36</v>
      </c>
      <c r="C55" s="100">
        <v>21.41</v>
      </c>
      <c r="D55" s="100">
        <v>19.489999999999998</v>
      </c>
      <c r="E55" s="100">
        <v>6.83</v>
      </c>
      <c r="F55" s="100">
        <v>1.43</v>
      </c>
      <c r="G55" s="100">
        <v>76.7</v>
      </c>
      <c r="H55" s="100">
        <v>35.79</v>
      </c>
      <c r="I55" s="100">
        <v>10.79</v>
      </c>
      <c r="J55" s="100">
        <v>1.07</v>
      </c>
      <c r="K55" s="100">
        <v>39.93</v>
      </c>
      <c r="L55" s="100">
        <v>27.97</v>
      </c>
      <c r="M55" s="100">
        <v>35.590000000000003</v>
      </c>
      <c r="N55" s="100">
        <v>529.9</v>
      </c>
      <c r="O55" s="100">
        <v>0</v>
      </c>
      <c r="P55" s="100">
        <v>0.57999999999999996</v>
      </c>
      <c r="Q55" s="100">
        <v>9.32</v>
      </c>
      <c r="R55" s="6"/>
      <c r="S55" s="6"/>
      <c r="T55" s="156"/>
      <c r="U55" s="6"/>
    </row>
    <row r="56" spans="1:21" customFormat="1">
      <c r="A56" s="163" t="s">
        <v>678</v>
      </c>
      <c r="B56" s="100">
        <v>9.2799999999999994</v>
      </c>
      <c r="C56" s="100">
        <v>21.43</v>
      </c>
      <c r="D56" s="100">
        <v>18.64</v>
      </c>
      <c r="E56" s="100">
        <v>6.61</v>
      </c>
      <c r="F56" s="100">
        <v>1.49</v>
      </c>
      <c r="G56" s="100">
        <v>76.62</v>
      </c>
      <c r="H56" s="100">
        <v>35.79</v>
      </c>
      <c r="I56" s="100">
        <v>10.75</v>
      </c>
      <c r="J56" s="100">
        <v>0.73</v>
      </c>
      <c r="K56" s="100">
        <v>46.95</v>
      </c>
      <c r="L56" s="100">
        <v>28.35</v>
      </c>
      <c r="M56" s="100">
        <v>34.270000000000003</v>
      </c>
      <c r="N56" s="100">
        <v>552.9</v>
      </c>
      <c r="O56" s="100">
        <v>0</v>
      </c>
      <c r="P56" s="100">
        <v>0.57999999999999996</v>
      </c>
      <c r="Q56" s="100">
        <v>9.32</v>
      </c>
      <c r="R56" s="6"/>
      <c r="S56" s="6"/>
      <c r="T56" s="156"/>
      <c r="U56" s="6"/>
    </row>
    <row r="57" spans="1:21" customFormat="1">
      <c r="A57" s="163" t="s">
        <v>679</v>
      </c>
      <c r="B57" s="100">
        <v>8.17</v>
      </c>
      <c r="C57" s="100">
        <v>21.38</v>
      </c>
      <c r="D57" s="100">
        <v>17.72</v>
      </c>
      <c r="E57" s="100">
        <v>6.52</v>
      </c>
      <c r="F57" s="100">
        <v>1.06</v>
      </c>
      <c r="G57" s="100">
        <v>76.62</v>
      </c>
      <c r="H57" s="100">
        <v>35.79</v>
      </c>
      <c r="I57" s="100">
        <v>10.63</v>
      </c>
      <c r="J57" s="100">
        <v>0.52</v>
      </c>
      <c r="K57" s="100">
        <v>52.79</v>
      </c>
      <c r="L57" s="100">
        <v>28.85</v>
      </c>
      <c r="M57" s="100">
        <v>32.86</v>
      </c>
      <c r="N57" s="100">
        <v>536.5</v>
      </c>
      <c r="O57" s="100">
        <v>0</v>
      </c>
      <c r="P57" s="100">
        <v>0.56999999999999995</v>
      </c>
      <c r="Q57" s="100">
        <v>9.32</v>
      </c>
      <c r="R57" s="6"/>
      <c r="S57" s="6"/>
      <c r="T57" s="156"/>
      <c r="U57" s="6"/>
    </row>
    <row r="58" spans="1:21" customFormat="1">
      <c r="A58" s="163" t="s">
        <v>680</v>
      </c>
      <c r="B58" s="100">
        <v>6.98</v>
      </c>
      <c r="C58" s="100">
        <v>21.22</v>
      </c>
      <c r="D58" s="100">
        <v>16.68</v>
      </c>
      <c r="E58" s="100">
        <v>6.51</v>
      </c>
      <c r="F58" s="100">
        <v>1.33</v>
      </c>
      <c r="G58" s="100">
        <v>76.62</v>
      </c>
      <c r="H58" s="100">
        <v>35.79</v>
      </c>
      <c r="I58" s="100">
        <v>10.49</v>
      </c>
      <c r="J58" s="100">
        <v>0.6</v>
      </c>
      <c r="K58" s="100">
        <v>81.05</v>
      </c>
      <c r="L58" s="100">
        <v>28.84</v>
      </c>
      <c r="M58" s="100">
        <v>32.24</v>
      </c>
      <c r="N58" s="100">
        <v>548.4</v>
      </c>
      <c r="O58" s="100">
        <v>0</v>
      </c>
      <c r="P58" s="100">
        <v>0.56000000000000005</v>
      </c>
      <c r="Q58" s="100">
        <v>9.32</v>
      </c>
      <c r="R58" s="6"/>
      <c r="S58" s="6"/>
      <c r="T58" s="156"/>
      <c r="U58" s="6"/>
    </row>
    <row r="59" spans="1:21" customFormat="1">
      <c r="A59" s="163" t="s">
        <v>681</v>
      </c>
      <c r="B59" s="100">
        <v>5.94</v>
      </c>
      <c r="C59" s="100">
        <v>20.87</v>
      </c>
      <c r="D59" s="100">
        <v>15.67</v>
      </c>
      <c r="E59" s="100">
        <v>6.31</v>
      </c>
      <c r="F59" s="100">
        <v>1.92</v>
      </c>
      <c r="G59" s="100">
        <v>74.84</v>
      </c>
      <c r="H59" s="100">
        <v>34.46</v>
      </c>
      <c r="I59" s="100">
        <v>10.46</v>
      </c>
      <c r="J59" s="100">
        <v>0.93</v>
      </c>
      <c r="K59" s="100">
        <v>37.81</v>
      </c>
      <c r="L59" s="100">
        <v>28.81</v>
      </c>
      <c r="M59" s="100">
        <v>32.43</v>
      </c>
      <c r="N59" s="100">
        <v>499.7</v>
      </c>
      <c r="O59" s="100">
        <v>0</v>
      </c>
      <c r="P59" s="100">
        <v>0.55000000000000004</v>
      </c>
      <c r="Q59" s="100">
        <v>9.32</v>
      </c>
      <c r="R59" s="6"/>
      <c r="S59" s="6"/>
      <c r="T59" s="156"/>
      <c r="U59" s="6"/>
    </row>
    <row r="60" spans="1:21" customFormat="1">
      <c r="A60" s="163" t="s">
        <v>682</v>
      </c>
      <c r="B60" s="100">
        <v>5.0999999999999996</v>
      </c>
      <c r="C60" s="100">
        <v>20.63</v>
      </c>
      <c r="D60" s="100">
        <v>14.87</v>
      </c>
      <c r="E60" s="100">
        <v>6.53</v>
      </c>
      <c r="F60" s="100">
        <v>1.66</v>
      </c>
      <c r="G60" s="100">
        <v>74.8</v>
      </c>
      <c r="H60" s="100">
        <v>34.46</v>
      </c>
      <c r="I60" s="100">
        <v>10.28</v>
      </c>
      <c r="J60" s="100">
        <v>0.3</v>
      </c>
      <c r="K60" s="100">
        <v>65.45</v>
      </c>
      <c r="L60" s="100">
        <v>29.15</v>
      </c>
      <c r="M60" s="100">
        <v>31.9</v>
      </c>
      <c r="N60" s="100">
        <v>494.8</v>
      </c>
      <c r="O60" s="100">
        <v>0</v>
      </c>
      <c r="P60" s="100">
        <v>0.55000000000000004</v>
      </c>
      <c r="Q60" s="100">
        <v>9.32</v>
      </c>
      <c r="R60" s="6"/>
      <c r="S60" s="6"/>
      <c r="T60" s="156"/>
      <c r="U60" s="6"/>
    </row>
    <row r="61" spans="1:21" customFormat="1">
      <c r="A61" s="163" t="s">
        <v>683</v>
      </c>
      <c r="B61" s="100">
        <v>4.45</v>
      </c>
      <c r="C61" s="100">
        <v>20.29</v>
      </c>
      <c r="D61" s="100">
        <v>14.17</v>
      </c>
      <c r="E61" s="100">
        <v>6.31</v>
      </c>
      <c r="F61" s="100">
        <v>2.04</v>
      </c>
      <c r="G61" s="100">
        <v>74.8</v>
      </c>
      <c r="H61" s="100">
        <v>34.46</v>
      </c>
      <c r="I61" s="100">
        <v>10.1</v>
      </c>
      <c r="J61" s="100">
        <v>0.47</v>
      </c>
      <c r="K61" s="100">
        <v>83.41</v>
      </c>
      <c r="L61" s="100">
        <v>29.31</v>
      </c>
      <c r="M61" s="100">
        <v>31.06</v>
      </c>
      <c r="N61" s="100">
        <v>459.5</v>
      </c>
      <c r="O61" s="100">
        <v>0</v>
      </c>
      <c r="P61" s="100">
        <v>0.54</v>
      </c>
      <c r="Q61" s="100">
        <v>9.32</v>
      </c>
      <c r="R61" s="6"/>
      <c r="S61" s="6"/>
      <c r="T61" s="156"/>
      <c r="U61" s="6"/>
    </row>
    <row r="62" spans="1:21" customFormat="1">
      <c r="A62" s="163" t="s">
        <v>684</v>
      </c>
      <c r="B62" s="100">
        <v>4.0599999999999996</v>
      </c>
      <c r="C62" s="100">
        <v>19.84</v>
      </c>
      <c r="D62" s="100">
        <v>13.62</v>
      </c>
      <c r="E62" s="100">
        <v>6.69</v>
      </c>
      <c r="F62" s="100">
        <v>2.36</v>
      </c>
      <c r="G62" s="100">
        <v>74.8</v>
      </c>
      <c r="H62" s="100">
        <v>34.46</v>
      </c>
      <c r="I62" s="100">
        <v>9.94</v>
      </c>
      <c r="J62" s="100">
        <v>0.77</v>
      </c>
      <c r="K62" s="100">
        <v>34.46</v>
      </c>
      <c r="L62" s="100">
        <v>29.01</v>
      </c>
      <c r="M62" s="100">
        <v>32.159999999999997</v>
      </c>
      <c r="N62" s="100">
        <v>211.3</v>
      </c>
      <c r="O62" s="100">
        <v>0</v>
      </c>
      <c r="P62" s="100">
        <v>0.53</v>
      </c>
      <c r="Q62" s="100">
        <v>9.32</v>
      </c>
      <c r="R62" s="6"/>
      <c r="S62" s="6"/>
      <c r="T62" s="156"/>
      <c r="U62" s="6"/>
    </row>
    <row r="63" spans="1:21" customFormat="1">
      <c r="A63" s="163" t="s">
        <v>685</v>
      </c>
      <c r="B63" s="100">
        <v>3.94</v>
      </c>
      <c r="C63" s="100">
        <v>19.57</v>
      </c>
      <c r="D63" s="100">
        <v>13.39</v>
      </c>
      <c r="E63" s="100">
        <v>6.55</v>
      </c>
      <c r="F63" s="100">
        <v>1.89</v>
      </c>
      <c r="G63" s="100">
        <v>70.040000000000006</v>
      </c>
      <c r="H63" s="100">
        <v>31.52</v>
      </c>
      <c r="I63" s="100">
        <v>9.7799999999999994</v>
      </c>
      <c r="J63" s="100">
        <v>0.65</v>
      </c>
      <c r="K63" s="100">
        <v>52.25</v>
      </c>
      <c r="L63" s="100">
        <v>28.88</v>
      </c>
      <c r="M63" s="100">
        <v>32.479999999999997</v>
      </c>
      <c r="N63" s="100">
        <v>158.4</v>
      </c>
      <c r="O63" s="100">
        <v>0</v>
      </c>
      <c r="P63" s="100">
        <v>0.53</v>
      </c>
      <c r="Q63" s="100">
        <v>9.32</v>
      </c>
      <c r="R63" s="6"/>
      <c r="S63" s="6"/>
      <c r="T63" s="156"/>
      <c r="U63" s="6"/>
    </row>
    <row r="64" spans="1:21" customFormat="1">
      <c r="A64" s="163" t="s">
        <v>686</v>
      </c>
      <c r="B64" s="100">
        <v>3.92</v>
      </c>
      <c r="C64" s="100">
        <v>19.45</v>
      </c>
      <c r="D64" s="100">
        <v>13.3</v>
      </c>
      <c r="E64" s="100">
        <v>6.6</v>
      </c>
      <c r="F64" s="100">
        <v>1.83</v>
      </c>
      <c r="G64" s="100">
        <v>69.930000000000007</v>
      </c>
      <c r="H64" s="100">
        <v>31.52</v>
      </c>
      <c r="I64" s="100">
        <v>9.65</v>
      </c>
      <c r="J64" s="100">
        <v>0.75</v>
      </c>
      <c r="K64" s="100">
        <v>58.66</v>
      </c>
      <c r="L64" s="100">
        <v>28.87</v>
      </c>
      <c r="M64" s="100">
        <v>31.5</v>
      </c>
      <c r="N64" s="100">
        <v>131.69999999999999</v>
      </c>
      <c r="O64" s="100">
        <v>0</v>
      </c>
      <c r="P64" s="100">
        <v>0.52</v>
      </c>
      <c r="Q64" s="100">
        <v>9.32</v>
      </c>
      <c r="R64" s="6"/>
      <c r="S64" s="6"/>
      <c r="T64" s="156"/>
      <c r="U64" s="6"/>
    </row>
    <row r="65" spans="1:21" customFormat="1">
      <c r="A65" s="163" t="s">
        <v>687</v>
      </c>
      <c r="B65" s="100">
        <v>3.88</v>
      </c>
      <c r="C65" s="100">
        <v>19.399999999999999</v>
      </c>
      <c r="D65" s="100">
        <v>13.25</v>
      </c>
      <c r="E65" s="100">
        <v>7.39</v>
      </c>
      <c r="F65" s="100">
        <v>3.68</v>
      </c>
      <c r="G65" s="100">
        <v>69.930000000000007</v>
      </c>
      <c r="H65" s="100">
        <v>31.52</v>
      </c>
      <c r="I65" s="100">
        <v>9.52</v>
      </c>
      <c r="J65" s="100">
        <v>0.87</v>
      </c>
      <c r="K65" s="100">
        <v>40.020000000000003</v>
      </c>
      <c r="L65" s="100">
        <v>28.87</v>
      </c>
      <c r="M65" s="100">
        <v>31.2</v>
      </c>
      <c r="N65" s="100">
        <v>122.7</v>
      </c>
      <c r="O65" s="100">
        <v>0</v>
      </c>
      <c r="P65" s="100">
        <v>0.51</v>
      </c>
      <c r="Q65" s="100">
        <v>9.32</v>
      </c>
      <c r="R65" s="6"/>
      <c r="S65" s="6"/>
      <c r="T65" s="156"/>
      <c r="U65" s="6"/>
    </row>
    <row r="66" spans="1:21" customFormat="1">
      <c r="A66" s="163" t="s">
        <v>688</v>
      </c>
      <c r="B66" s="100">
        <v>3.96</v>
      </c>
      <c r="C66" s="100">
        <v>19.239999999999998</v>
      </c>
      <c r="D66" s="100">
        <v>13.23</v>
      </c>
      <c r="E66" s="100">
        <v>7.73</v>
      </c>
      <c r="F66" s="100">
        <v>4.28</v>
      </c>
      <c r="G66" s="100">
        <v>69.930000000000007</v>
      </c>
      <c r="H66" s="100">
        <v>31.52</v>
      </c>
      <c r="I66" s="100">
        <v>9.3699999999999992</v>
      </c>
      <c r="J66" s="100">
        <v>0.74</v>
      </c>
      <c r="K66" s="100">
        <v>49.14</v>
      </c>
      <c r="L66" s="100">
        <v>28.95</v>
      </c>
      <c r="M66" s="100">
        <v>30.26</v>
      </c>
      <c r="N66" s="100">
        <v>113.1</v>
      </c>
      <c r="O66" s="100">
        <v>0</v>
      </c>
      <c r="P66" s="100">
        <v>0.53</v>
      </c>
      <c r="Q66" s="100">
        <v>9.32</v>
      </c>
      <c r="R66" s="6"/>
      <c r="S66" s="6"/>
      <c r="T66" s="156"/>
      <c r="U66" s="6"/>
    </row>
    <row r="67" spans="1:21" customFormat="1">
      <c r="A67" s="163" t="s">
        <v>689</v>
      </c>
      <c r="B67" s="100">
        <v>4</v>
      </c>
      <c r="C67" s="100">
        <v>18.77</v>
      </c>
      <c r="D67" s="100">
        <v>13.01</v>
      </c>
      <c r="E67" s="100">
        <v>7.73</v>
      </c>
      <c r="F67" s="100">
        <v>3.32</v>
      </c>
      <c r="G67" s="100">
        <v>65.52</v>
      </c>
      <c r="H67" s="100">
        <v>30.68</v>
      </c>
      <c r="I67" s="100">
        <v>9.19</v>
      </c>
      <c r="J67" s="100">
        <v>0.81</v>
      </c>
      <c r="K67" s="100">
        <v>40.81</v>
      </c>
      <c r="L67" s="100">
        <v>28.88</v>
      </c>
      <c r="M67" s="100">
        <v>30.13</v>
      </c>
      <c r="N67" s="100">
        <v>126.1</v>
      </c>
      <c r="O67" s="100">
        <v>0</v>
      </c>
      <c r="P67" s="100">
        <v>0.51</v>
      </c>
      <c r="Q67" s="100">
        <v>9.32</v>
      </c>
      <c r="R67" s="6"/>
      <c r="S67" s="6"/>
      <c r="T67" s="156"/>
      <c r="U67" s="6"/>
    </row>
    <row r="68" spans="1:21" customFormat="1">
      <c r="A68" s="163" t="s">
        <v>690</v>
      </c>
      <c r="B68" s="100">
        <v>4.08</v>
      </c>
      <c r="C68" s="100">
        <v>18.53</v>
      </c>
      <c r="D68" s="100">
        <v>12.95</v>
      </c>
      <c r="E68" s="100">
        <v>8.81</v>
      </c>
      <c r="F68" s="100">
        <v>4.5199999999999996</v>
      </c>
      <c r="G68" s="100">
        <v>65.42</v>
      </c>
      <c r="H68" s="100">
        <v>30.68</v>
      </c>
      <c r="I68" s="100">
        <v>9.01</v>
      </c>
      <c r="J68" s="100">
        <v>0.93</v>
      </c>
      <c r="K68" s="100">
        <v>38.14</v>
      </c>
      <c r="L68" s="100">
        <v>28.88</v>
      </c>
      <c r="M68" s="100">
        <v>30.42</v>
      </c>
      <c r="N68" s="100">
        <v>94.4</v>
      </c>
      <c r="O68" s="100">
        <v>0</v>
      </c>
      <c r="P68" s="100">
        <v>0.5</v>
      </c>
      <c r="Q68" s="100">
        <v>9.32</v>
      </c>
      <c r="R68" s="6"/>
      <c r="S68" s="6"/>
      <c r="T68" s="156"/>
      <c r="U68" s="6"/>
    </row>
    <row r="69" spans="1:21" customFormat="1">
      <c r="A69" s="163" t="s">
        <v>691</v>
      </c>
      <c r="B69" s="100">
        <v>4.12</v>
      </c>
      <c r="C69" s="100">
        <v>18.07</v>
      </c>
      <c r="D69" s="100">
        <v>12.74</v>
      </c>
      <c r="E69" s="100">
        <v>8.19</v>
      </c>
      <c r="F69" s="100">
        <v>5.12</v>
      </c>
      <c r="G69" s="100">
        <v>65.42</v>
      </c>
      <c r="H69" s="100">
        <v>30.68</v>
      </c>
      <c r="I69" s="100">
        <v>8.93</v>
      </c>
      <c r="J69" s="100">
        <v>0.7</v>
      </c>
      <c r="K69" s="100">
        <v>40.64</v>
      </c>
      <c r="L69" s="100">
        <v>28.89</v>
      </c>
      <c r="M69" s="100">
        <v>29.54</v>
      </c>
      <c r="N69" s="100">
        <v>83.8</v>
      </c>
      <c r="O69" s="100">
        <v>0</v>
      </c>
      <c r="P69" s="100">
        <v>0.5</v>
      </c>
      <c r="Q69" s="100">
        <v>9.32</v>
      </c>
      <c r="R69" s="6"/>
      <c r="S69" s="6"/>
      <c r="T69" s="156"/>
      <c r="U69" s="6"/>
    </row>
    <row r="70" spans="1:21" customFormat="1">
      <c r="A70" s="163" t="s">
        <v>692</v>
      </c>
      <c r="B70" s="100">
        <v>4.16</v>
      </c>
      <c r="C70" s="100">
        <v>17.809999999999999</v>
      </c>
      <c r="D70" s="100">
        <v>12.64</v>
      </c>
      <c r="E70" s="100">
        <v>7.94</v>
      </c>
      <c r="F70" s="100">
        <v>3.97</v>
      </c>
      <c r="G70" s="100">
        <v>65.42</v>
      </c>
      <c r="H70" s="100">
        <v>30.68</v>
      </c>
      <c r="I70" s="100">
        <v>8.8699999999999992</v>
      </c>
      <c r="J70" s="100">
        <v>0.8</v>
      </c>
      <c r="K70" s="100">
        <v>28.27</v>
      </c>
      <c r="L70" s="100">
        <v>28.76</v>
      </c>
      <c r="M70" s="100">
        <v>30.37</v>
      </c>
      <c r="N70" s="100">
        <v>81.599999999999994</v>
      </c>
      <c r="O70" s="100">
        <v>0</v>
      </c>
      <c r="P70" s="100">
        <v>0.5</v>
      </c>
      <c r="Q70" s="100">
        <v>9.32</v>
      </c>
      <c r="R70" s="6"/>
      <c r="S70" s="6"/>
      <c r="T70" s="156"/>
      <c r="U70" s="6"/>
    </row>
    <row r="71" spans="1:21" customFormat="1">
      <c r="A71" s="163" t="s">
        <v>693</v>
      </c>
      <c r="B71" s="100">
        <v>4.28</v>
      </c>
      <c r="C71" s="100">
        <v>18.62</v>
      </c>
      <c r="D71" s="100">
        <v>13.16</v>
      </c>
      <c r="E71" s="100">
        <v>7.42</v>
      </c>
      <c r="F71" s="100">
        <v>4.1399999999999997</v>
      </c>
      <c r="G71" s="100">
        <v>63.12</v>
      </c>
      <c r="H71" s="100">
        <v>29.06</v>
      </c>
      <c r="I71" s="100">
        <v>8.8000000000000007</v>
      </c>
      <c r="J71" s="100">
        <v>1.04</v>
      </c>
      <c r="K71" s="100">
        <v>25.6</v>
      </c>
      <c r="L71" s="100">
        <v>28.62</v>
      </c>
      <c r="M71" s="100">
        <v>30.17</v>
      </c>
      <c r="N71" s="100">
        <v>69.3</v>
      </c>
      <c r="O71" s="100">
        <v>0</v>
      </c>
      <c r="P71" s="100">
        <v>0.5</v>
      </c>
      <c r="Q71" s="100">
        <v>9.32</v>
      </c>
      <c r="R71" s="6"/>
      <c r="S71" s="6"/>
      <c r="T71" s="156"/>
      <c r="U71" s="6"/>
    </row>
    <row r="72" spans="1:21" customFormat="1">
      <c r="A72" s="163" t="s">
        <v>694</v>
      </c>
      <c r="B72" s="100">
        <v>4.1900000000000004</v>
      </c>
      <c r="C72" s="100">
        <v>17.28</v>
      </c>
      <c r="D72" s="100">
        <v>12.38</v>
      </c>
      <c r="E72" s="100">
        <v>6.95</v>
      </c>
      <c r="F72" s="100">
        <v>3.73</v>
      </c>
      <c r="G72" s="100">
        <v>63.07</v>
      </c>
      <c r="H72" s="100">
        <v>29.06</v>
      </c>
      <c r="I72" s="100">
        <v>8.75</v>
      </c>
      <c r="J72" s="100">
        <v>0.96</v>
      </c>
      <c r="K72" s="100">
        <v>25.96</v>
      </c>
      <c r="L72" s="100">
        <v>28.41</v>
      </c>
      <c r="M72" s="100">
        <v>29.78</v>
      </c>
      <c r="N72" s="100">
        <v>59.1</v>
      </c>
      <c r="O72" s="100">
        <v>0</v>
      </c>
      <c r="P72" s="100">
        <v>0.5</v>
      </c>
      <c r="Q72" s="100">
        <v>9.32</v>
      </c>
      <c r="R72" s="6"/>
      <c r="S72" s="6"/>
      <c r="T72" s="156"/>
      <c r="U72" s="6"/>
    </row>
    <row r="73" spans="1:21" customFormat="1">
      <c r="A73" s="163" t="s">
        <v>695</v>
      </c>
      <c r="B73" s="100">
        <v>4.17</v>
      </c>
      <c r="C73" s="100">
        <v>16.850000000000001</v>
      </c>
      <c r="D73" s="100">
        <v>12.14</v>
      </c>
      <c r="E73" s="100">
        <v>7.12</v>
      </c>
      <c r="F73" s="100">
        <v>4.1100000000000003</v>
      </c>
      <c r="G73" s="100">
        <v>63.07</v>
      </c>
      <c r="H73" s="100">
        <v>29.06</v>
      </c>
      <c r="I73" s="100">
        <v>8.73</v>
      </c>
      <c r="J73" s="100">
        <v>0.85</v>
      </c>
      <c r="K73" s="100">
        <v>39.28</v>
      </c>
      <c r="L73" s="100">
        <v>28.24</v>
      </c>
      <c r="M73" s="100">
        <v>30.57</v>
      </c>
      <c r="N73" s="100">
        <v>51.7</v>
      </c>
      <c r="O73" s="100">
        <v>0</v>
      </c>
      <c r="P73" s="100">
        <v>0.49</v>
      </c>
      <c r="Q73" s="100">
        <v>9.32</v>
      </c>
      <c r="R73" s="6"/>
      <c r="S73" s="6"/>
      <c r="T73" s="156"/>
      <c r="U73" s="6"/>
    </row>
    <row r="74" spans="1:21" customFormat="1">
      <c r="A74" s="163" t="s">
        <v>696</v>
      </c>
      <c r="B74" s="100">
        <v>4.22</v>
      </c>
      <c r="C74" s="100">
        <v>16.899999999999999</v>
      </c>
      <c r="D74" s="100">
        <v>12.22</v>
      </c>
      <c r="E74" s="100">
        <v>6.72</v>
      </c>
      <c r="F74" s="100">
        <v>3.37</v>
      </c>
      <c r="G74" s="100">
        <v>63.07</v>
      </c>
      <c r="H74" s="100">
        <v>29.06</v>
      </c>
      <c r="I74" s="100">
        <v>8.67</v>
      </c>
      <c r="J74" s="100">
        <v>0.65</v>
      </c>
      <c r="K74" s="100">
        <v>38.380000000000003</v>
      </c>
      <c r="L74" s="100">
        <v>28</v>
      </c>
      <c r="M74" s="100">
        <v>32.18</v>
      </c>
      <c r="N74" s="100">
        <v>42</v>
      </c>
      <c r="O74" s="100">
        <v>0</v>
      </c>
      <c r="P74" s="100">
        <v>0.49</v>
      </c>
      <c r="Q74" s="100">
        <v>9.32</v>
      </c>
      <c r="R74" s="6"/>
      <c r="S74" s="6"/>
      <c r="T74" s="156"/>
      <c r="U74" s="6"/>
    </row>
    <row r="75" spans="1:21" customFormat="1">
      <c r="A75" s="163" t="s">
        <v>697</v>
      </c>
      <c r="B75" s="100">
        <v>4.2699999999999996</v>
      </c>
      <c r="C75" s="100">
        <v>16.68</v>
      </c>
      <c r="D75" s="100">
        <v>12.14</v>
      </c>
      <c r="E75" s="100">
        <v>6.98</v>
      </c>
      <c r="F75" s="100">
        <v>3.04</v>
      </c>
      <c r="G75" s="100">
        <v>62.76</v>
      </c>
      <c r="H75" s="100">
        <v>28.44</v>
      </c>
      <c r="I75" s="100">
        <v>8.6300000000000008</v>
      </c>
      <c r="J75" s="100">
        <v>0.42</v>
      </c>
      <c r="K75" s="100">
        <v>42.18</v>
      </c>
      <c r="L75" s="100">
        <v>27.56</v>
      </c>
      <c r="M75" s="100">
        <v>34.28</v>
      </c>
      <c r="N75" s="100">
        <v>32.6</v>
      </c>
      <c r="O75" s="100">
        <v>0</v>
      </c>
      <c r="P75" s="100">
        <v>0.5</v>
      </c>
      <c r="Q75" s="100">
        <v>9.32</v>
      </c>
      <c r="R75" s="6"/>
      <c r="S75" s="6"/>
      <c r="T75" s="156"/>
      <c r="U75" s="6"/>
    </row>
    <row r="76" spans="1:21" customFormat="1">
      <c r="A76" s="163" t="s">
        <v>698</v>
      </c>
      <c r="B76" s="100">
        <v>4.46</v>
      </c>
      <c r="C76" s="100">
        <v>16.63</v>
      </c>
      <c r="D76" s="100">
        <v>12.26</v>
      </c>
      <c r="E76" s="100">
        <v>6.74</v>
      </c>
      <c r="F76" s="100">
        <v>2.02</v>
      </c>
      <c r="G76" s="100">
        <v>62.76</v>
      </c>
      <c r="H76" s="100">
        <v>28.44</v>
      </c>
      <c r="I76" s="100">
        <v>8.6199999999999992</v>
      </c>
      <c r="J76" s="100">
        <v>0.2</v>
      </c>
      <c r="K76" s="100">
        <v>62.1</v>
      </c>
      <c r="L76" s="100">
        <v>26.9</v>
      </c>
      <c r="M76" s="100">
        <v>38.08</v>
      </c>
      <c r="N76" s="100">
        <v>22.3</v>
      </c>
      <c r="O76" s="100">
        <v>0</v>
      </c>
      <c r="P76" s="100">
        <v>0.51</v>
      </c>
      <c r="Q76" s="100">
        <v>9.32</v>
      </c>
      <c r="R76" s="6"/>
      <c r="S76" s="6"/>
      <c r="T76" s="156"/>
      <c r="U76" s="6"/>
    </row>
    <row r="77" spans="1:21" customFormat="1">
      <c r="A77" s="163" t="s">
        <v>699</v>
      </c>
      <c r="B77" s="100">
        <v>4.67</v>
      </c>
      <c r="C77" s="100">
        <v>16.41</v>
      </c>
      <c r="D77" s="100">
        <v>12.32</v>
      </c>
      <c r="E77" s="100">
        <v>6.57</v>
      </c>
      <c r="F77" s="100">
        <v>0.92</v>
      </c>
      <c r="G77" s="100">
        <v>62.76</v>
      </c>
      <c r="H77" s="100">
        <v>28.44</v>
      </c>
      <c r="I77" s="100">
        <v>8.64</v>
      </c>
      <c r="J77" s="100">
        <v>0.24</v>
      </c>
      <c r="K77" s="100">
        <v>158.41</v>
      </c>
      <c r="L77" s="100">
        <v>25.54</v>
      </c>
      <c r="M77" s="100">
        <v>45.36</v>
      </c>
      <c r="N77" s="100">
        <v>16</v>
      </c>
      <c r="O77" s="100">
        <v>0</v>
      </c>
      <c r="P77" s="100">
        <v>0.51</v>
      </c>
      <c r="Q77" s="100">
        <v>9.32</v>
      </c>
      <c r="R77" s="6"/>
      <c r="S77" s="6"/>
      <c r="T77" s="156"/>
      <c r="U77" s="6"/>
    </row>
    <row r="78" spans="1:21" customFormat="1">
      <c r="A78" s="163" t="s">
        <v>700</v>
      </c>
      <c r="B78" s="100">
        <v>4.76</v>
      </c>
      <c r="C78" s="100">
        <v>16.34</v>
      </c>
      <c r="D78" s="100">
        <v>12.35</v>
      </c>
      <c r="E78" s="100">
        <v>6.71</v>
      </c>
      <c r="F78" s="100">
        <v>0.63</v>
      </c>
      <c r="G78" s="100">
        <v>62.76</v>
      </c>
      <c r="H78" s="100">
        <v>28.44</v>
      </c>
      <c r="I78" s="100">
        <v>8.67</v>
      </c>
      <c r="J78" s="100">
        <v>0.3</v>
      </c>
      <c r="K78" s="100">
        <v>168.62</v>
      </c>
      <c r="L78" s="100">
        <v>24.54</v>
      </c>
      <c r="M78" s="100">
        <v>49.46</v>
      </c>
      <c r="N78" s="100">
        <v>11.3</v>
      </c>
      <c r="O78" s="100">
        <v>0</v>
      </c>
      <c r="P78" s="100">
        <v>0.51</v>
      </c>
      <c r="Q78" s="100">
        <v>9.32</v>
      </c>
      <c r="R78" s="6"/>
      <c r="S78" s="6"/>
      <c r="T78" s="156"/>
      <c r="U78" s="6"/>
    </row>
    <row r="79" spans="1:21" customFormat="1">
      <c r="A79" s="163" t="s">
        <v>701</v>
      </c>
      <c r="B79" s="100">
        <v>4.93</v>
      </c>
      <c r="C79" s="100">
        <v>16.34</v>
      </c>
      <c r="D79" s="100">
        <v>12.49</v>
      </c>
      <c r="E79" s="100">
        <v>6.65</v>
      </c>
      <c r="F79" s="100">
        <v>0.23</v>
      </c>
      <c r="G79" s="100">
        <v>66.89</v>
      </c>
      <c r="H79" s="100">
        <v>32.090000000000003</v>
      </c>
      <c r="I79" s="100">
        <v>8.6999999999999993</v>
      </c>
      <c r="J79" s="100">
        <v>0.22</v>
      </c>
      <c r="K79" s="100">
        <v>167.18</v>
      </c>
      <c r="L79" s="100">
        <v>24.02</v>
      </c>
      <c r="M79" s="100">
        <v>50.46</v>
      </c>
      <c r="N79" s="100">
        <v>10</v>
      </c>
      <c r="O79" s="100">
        <v>0</v>
      </c>
      <c r="P79" s="100">
        <v>0.52</v>
      </c>
      <c r="Q79" s="100">
        <v>9.32</v>
      </c>
      <c r="R79" s="6"/>
      <c r="S79" s="6"/>
      <c r="T79" s="156"/>
      <c r="U79" s="6"/>
    </row>
    <row r="80" spans="1:21" customFormat="1">
      <c r="A80" s="163" t="s">
        <v>702</v>
      </c>
      <c r="B80" s="100">
        <v>5.28</v>
      </c>
      <c r="C80" s="100">
        <v>16.68</v>
      </c>
      <c r="D80" s="100">
        <v>12.95</v>
      </c>
      <c r="E80" s="100">
        <v>6.56</v>
      </c>
      <c r="F80" s="100">
        <v>0.22</v>
      </c>
      <c r="G80" s="100">
        <v>66.989999999999995</v>
      </c>
      <c r="H80" s="100">
        <v>32.090000000000003</v>
      </c>
      <c r="I80" s="100">
        <v>8.7200000000000006</v>
      </c>
      <c r="J80" s="100">
        <v>0.25</v>
      </c>
      <c r="K80" s="100">
        <v>168.01</v>
      </c>
      <c r="L80" s="100">
        <v>23.53</v>
      </c>
      <c r="M80" s="100">
        <v>52.73</v>
      </c>
      <c r="N80" s="100">
        <v>9.8000000000000007</v>
      </c>
      <c r="O80" s="100">
        <v>0</v>
      </c>
      <c r="P80" s="100">
        <v>0.54</v>
      </c>
      <c r="Q80" s="100">
        <v>9.32</v>
      </c>
      <c r="R80" s="6"/>
      <c r="S80" s="6"/>
      <c r="T80" s="156"/>
      <c r="U80" s="6"/>
    </row>
    <row r="81" spans="1:21" customFormat="1">
      <c r="A81" s="163" t="s">
        <v>703</v>
      </c>
      <c r="B81" s="100">
        <v>5.87</v>
      </c>
      <c r="C81" s="100">
        <v>17.260000000000002</v>
      </c>
      <c r="D81" s="100">
        <v>13.73</v>
      </c>
      <c r="E81" s="100">
        <v>5.23</v>
      </c>
      <c r="F81" s="100">
        <v>0.05</v>
      </c>
      <c r="G81" s="100">
        <v>66.989999999999995</v>
      </c>
      <c r="H81" s="100">
        <v>32.090000000000003</v>
      </c>
      <c r="I81" s="100">
        <v>8.83</v>
      </c>
      <c r="J81" s="100">
        <v>7.0000000000000007E-2</v>
      </c>
      <c r="K81" s="100">
        <v>167.6</v>
      </c>
      <c r="L81" s="100">
        <v>23.21</v>
      </c>
      <c r="M81" s="100">
        <v>53.6</v>
      </c>
      <c r="N81" s="100">
        <v>9.5</v>
      </c>
      <c r="O81" s="100">
        <v>0</v>
      </c>
      <c r="P81" s="100">
        <v>0.56000000000000005</v>
      </c>
      <c r="Q81" s="100">
        <v>9.32</v>
      </c>
      <c r="R81" s="6"/>
      <c r="S81" s="6"/>
      <c r="T81" s="156"/>
      <c r="U81" s="6"/>
    </row>
    <row r="82" spans="1:21" customFormat="1">
      <c r="A82" s="163" t="s">
        <v>704</v>
      </c>
      <c r="B82" s="100">
        <v>6.98</v>
      </c>
      <c r="C82" s="100">
        <v>17.95</v>
      </c>
      <c r="D82" s="100">
        <v>14.97</v>
      </c>
      <c r="E82" s="100">
        <v>6.41</v>
      </c>
      <c r="F82" s="100">
        <v>0.1</v>
      </c>
      <c r="G82" s="100">
        <v>66.989999999999995</v>
      </c>
      <c r="H82" s="100">
        <v>32.090000000000003</v>
      </c>
      <c r="I82" s="100">
        <v>8.99</v>
      </c>
      <c r="J82" s="100">
        <v>0.22</v>
      </c>
      <c r="K82" s="100">
        <v>59.82</v>
      </c>
      <c r="L82" s="100">
        <v>23.4</v>
      </c>
      <c r="M82" s="100">
        <v>51.74</v>
      </c>
      <c r="N82" s="100">
        <v>9</v>
      </c>
      <c r="O82" s="100">
        <v>0</v>
      </c>
      <c r="P82" s="100">
        <v>0.59</v>
      </c>
      <c r="Q82" s="100">
        <v>9.32</v>
      </c>
      <c r="R82" s="6"/>
      <c r="S82" s="6"/>
      <c r="T82" s="156"/>
      <c r="U82" s="6"/>
    </row>
    <row r="83" spans="1:21" customFormat="1">
      <c r="A83" s="163" t="s">
        <v>705</v>
      </c>
      <c r="B83" s="100">
        <v>7.86</v>
      </c>
      <c r="C83" s="100">
        <v>18.37</v>
      </c>
      <c r="D83" s="100">
        <v>15.9</v>
      </c>
      <c r="E83" s="100">
        <v>6.56</v>
      </c>
      <c r="F83" s="100">
        <v>0.12</v>
      </c>
      <c r="G83" s="100">
        <v>141.83000000000001</v>
      </c>
      <c r="H83" s="100">
        <v>39.520000000000003</v>
      </c>
      <c r="I83" s="100">
        <v>9.2100000000000009</v>
      </c>
      <c r="J83" s="100">
        <v>0.1</v>
      </c>
      <c r="K83" s="100">
        <v>116.27</v>
      </c>
      <c r="L83" s="100">
        <v>22.94</v>
      </c>
      <c r="M83" s="100">
        <v>55.46</v>
      </c>
      <c r="N83" s="100">
        <v>9.6999999999999993</v>
      </c>
      <c r="O83" s="100">
        <v>0</v>
      </c>
      <c r="P83" s="100">
        <v>0.6</v>
      </c>
      <c r="Q83" s="100">
        <v>9.32</v>
      </c>
      <c r="R83" s="6"/>
      <c r="S83" s="6"/>
      <c r="T83" s="156"/>
      <c r="U83" s="6"/>
    </row>
    <row r="84" spans="1:21" customFormat="1">
      <c r="A84" s="163" t="s">
        <v>706</v>
      </c>
      <c r="B84" s="100">
        <v>8.3699999999999992</v>
      </c>
      <c r="C84" s="100">
        <v>18.61</v>
      </c>
      <c r="D84" s="100">
        <v>16.440000000000001</v>
      </c>
      <c r="E84" s="100">
        <v>6.28</v>
      </c>
      <c r="F84" s="100">
        <v>0.04</v>
      </c>
      <c r="G84" s="100">
        <v>143.53</v>
      </c>
      <c r="H84" s="100">
        <v>39.520000000000003</v>
      </c>
      <c r="I84" s="100">
        <v>9.56</v>
      </c>
      <c r="J84" s="100">
        <v>0.14000000000000001</v>
      </c>
      <c r="K84" s="100">
        <v>80.069999999999993</v>
      </c>
      <c r="L84" s="100">
        <v>22.72</v>
      </c>
      <c r="M84" s="100">
        <v>55.92</v>
      </c>
      <c r="N84" s="100">
        <v>9.4</v>
      </c>
      <c r="O84" s="100">
        <v>0</v>
      </c>
      <c r="P84" s="100">
        <v>0.61</v>
      </c>
      <c r="Q84" s="100">
        <v>9.32</v>
      </c>
      <c r="R84" s="6"/>
      <c r="S84" s="6"/>
      <c r="T84" s="156"/>
      <c r="U84" s="6"/>
    </row>
    <row r="85" spans="1:21" customFormat="1">
      <c r="A85" s="163" t="s">
        <v>707</v>
      </c>
      <c r="B85" s="100">
        <v>8.67</v>
      </c>
      <c r="C85" s="100">
        <v>18.71</v>
      </c>
      <c r="D85" s="100">
        <v>16.72</v>
      </c>
      <c r="E85" s="100">
        <v>6.63</v>
      </c>
      <c r="F85" s="100">
        <v>0.01</v>
      </c>
      <c r="G85" s="100">
        <v>143.53</v>
      </c>
      <c r="H85" s="100">
        <v>39.520000000000003</v>
      </c>
      <c r="I85" s="100">
        <v>9.8800000000000008</v>
      </c>
      <c r="J85" s="100">
        <v>0.13</v>
      </c>
      <c r="K85" s="100">
        <v>100.8</v>
      </c>
      <c r="L85" s="100">
        <v>22.49</v>
      </c>
      <c r="M85" s="100">
        <v>55.96</v>
      </c>
      <c r="N85" s="100">
        <v>9.4</v>
      </c>
      <c r="O85" s="100">
        <v>0</v>
      </c>
      <c r="P85" s="100">
        <v>0.63</v>
      </c>
      <c r="Q85" s="100">
        <v>9.32</v>
      </c>
      <c r="R85" s="6"/>
      <c r="S85" s="6"/>
      <c r="T85" s="156"/>
      <c r="U85" s="6"/>
    </row>
    <row r="86" spans="1:21" customFormat="1">
      <c r="A86" s="163" t="s">
        <v>708</v>
      </c>
      <c r="B86" s="100">
        <v>8.89</v>
      </c>
      <c r="C86" s="100">
        <v>18.97</v>
      </c>
      <c r="D86" s="100">
        <v>17.04</v>
      </c>
      <c r="E86" s="100">
        <v>6.38</v>
      </c>
      <c r="F86" s="100">
        <v>0.01</v>
      </c>
      <c r="G86" s="100">
        <v>143.53</v>
      </c>
      <c r="H86" s="100">
        <v>39.520000000000003</v>
      </c>
      <c r="I86" s="100">
        <v>10.220000000000001</v>
      </c>
      <c r="J86" s="100">
        <v>0.28999999999999998</v>
      </c>
      <c r="K86" s="100">
        <v>57.45</v>
      </c>
      <c r="L86" s="100">
        <v>22.68</v>
      </c>
      <c r="M86" s="100">
        <v>51.95</v>
      </c>
      <c r="N86" s="100">
        <v>8.9</v>
      </c>
      <c r="O86" s="100">
        <v>0</v>
      </c>
      <c r="P86" s="100">
        <v>0.65</v>
      </c>
      <c r="Q86" s="100">
        <v>9.32</v>
      </c>
      <c r="R86" s="6"/>
      <c r="S86" s="6"/>
      <c r="T86" s="156"/>
      <c r="U86" s="6"/>
    </row>
    <row r="87" spans="1:21" customFormat="1">
      <c r="A87" s="163" t="s">
        <v>709</v>
      </c>
      <c r="B87" s="100">
        <v>9.2799999999999994</v>
      </c>
      <c r="C87" s="100">
        <v>19.23</v>
      </c>
      <c r="D87" s="100">
        <v>17.489999999999998</v>
      </c>
      <c r="E87" s="100">
        <v>6.19</v>
      </c>
      <c r="F87" s="100">
        <v>0.01</v>
      </c>
      <c r="G87" s="100">
        <v>124.78</v>
      </c>
      <c r="H87" s="100">
        <v>41.22</v>
      </c>
      <c r="I87" s="100">
        <v>10.41</v>
      </c>
      <c r="J87" s="100">
        <v>0.25</v>
      </c>
      <c r="K87" s="100">
        <v>52.05</v>
      </c>
      <c r="L87" s="100">
        <v>22.83</v>
      </c>
      <c r="M87" s="100">
        <v>49.92</v>
      </c>
      <c r="N87" s="100">
        <v>9</v>
      </c>
      <c r="O87" s="100">
        <v>0</v>
      </c>
      <c r="P87" s="100">
        <v>0.67</v>
      </c>
      <c r="Q87" s="100">
        <v>9.32</v>
      </c>
      <c r="R87" s="6"/>
      <c r="S87" s="6"/>
      <c r="T87" s="156"/>
      <c r="U87" s="6"/>
    </row>
    <row r="88" spans="1:21" customFormat="1">
      <c r="A88" s="163" t="s">
        <v>710</v>
      </c>
      <c r="B88" s="100">
        <v>9.73</v>
      </c>
      <c r="C88" s="100">
        <v>19.489999999999998</v>
      </c>
      <c r="D88" s="100">
        <v>17.989999999999998</v>
      </c>
      <c r="E88" s="100">
        <v>6.26</v>
      </c>
      <c r="F88" s="100">
        <v>0.03</v>
      </c>
      <c r="G88" s="100">
        <v>124.35</v>
      </c>
      <c r="H88" s="100">
        <v>41.22</v>
      </c>
      <c r="I88" s="100">
        <v>10.56</v>
      </c>
      <c r="J88" s="100">
        <v>0.32</v>
      </c>
      <c r="K88" s="100">
        <v>58.22</v>
      </c>
      <c r="L88" s="100">
        <v>22.86</v>
      </c>
      <c r="M88" s="100">
        <v>48.19</v>
      </c>
      <c r="N88" s="100">
        <v>8.9</v>
      </c>
      <c r="O88" s="100">
        <v>0</v>
      </c>
      <c r="P88" s="100">
        <v>0.68</v>
      </c>
      <c r="Q88" s="100">
        <v>9.32</v>
      </c>
      <c r="R88" s="6"/>
      <c r="S88" s="6"/>
      <c r="T88" s="156"/>
      <c r="U88" s="6"/>
    </row>
    <row r="89" spans="1:21" customFormat="1">
      <c r="A89" s="163" t="s">
        <v>711</v>
      </c>
      <c r="B89" s="100">
        <v>10.07</v>
      </c>
      <c r="C89" s="100">
        <v>19.559999999999999</v>
      </c>
      <c r="D89" s="100">
        <v>18.3</v>
      </c>
      <c r="E89" s="100">
        <v>6.01</v>
      </c>
      <c r="F89" s="100">
        <v>0.05</v>
      </c>
      <c r="G89" s="100">
        <v>124.35</v>
      </c>
      <c r="H89" s="100">
        <v>41.22</v>
      </c>
      <c r="I89" s="100">
        <v>10.83</v>
      </c>
      <c r="J89" s="100">
        <v>0.21</v>
      </c>
      <c r="K89" s="100">
        <v>119.22</v>
      </c>
      <c r="L89" s="100">
        <v>22.3</v>
      </c>
      <c r="M89" s="100">
        <v>53.53</v>
      </c>
      <c r="N89" s="100">
        <v>9.6999999999999993</v>
      </c>
      <c r="O89" s="100">
        <v>0</v>
      </c>
      <c r="P89" s="100">
        <v>0.7</v>
      </c>
      <c r="Q89" s="100">
        <v>9.32</v>
      </c>
      <c r="R89" s="6"/>
      <c r="S89" s="6"/>
      <c r="T89" s="156"/>
      <c r="U89" s="6"/>
    </row>
    <row r="90" spans="1:21" customFormat="1">
      <c r="A90" s="163" t="s">
        <v>712</v>
      </c>
      <c r="B90" s="100">
        <v>10.050000000000001</v>
      </c>
      <c r="C90" s="100">
        <v>19.489999999999998</v>
      </c>
      <c r="D90" s="100">
        <v>18.239999999999998</v>
      </c>
      <c r="E90" s="100">
        <v>5.8</v>
      </c>
      <c r="F90" s="100">
        <v>0.11</v>
      </c>
      <c r="G90" s="100">
        <v>124.35</v>
      </c>
      <c r="H90" s="100">
        <v>41.22</v>
      </c>
      <c r="I90" s="100">
        <v>11.06</v>
      </c>
      <c r="J90" s="100">
        <v>0.16</v>
      </c>
      <c r="K90" s="100">
        <v>125.63</v>
      </c>
      <c r="L90" s="100">
        <v>21.91</v>
      </c>
      <c r="M90" s="100">
        <v>53.65</v>
      </c>
      <c r="N90" s="100">
        <v>9.6</v>
      </c>
      <c r="O90" s="100">
        <v>0</v>
      </c>
      <c r="P90" s="100">
        <v>0.71</v>
      </c>
      <c r="Q90" s="100">
        <v>9.32</v>
      </c>
      <c r="R90" s="6"/>
      <c r="S90" s="6"/>
      <c r="T90" s="156"/>
      <c r="U90" s="6"/>
    </row>
    <row r="91" spans="1:21" customFormat="1">
      <c r="A91" s="163" t="s">
        <v>713</v>
      </c>
      <c r="B91" s="100">
        <v>9.99</v>
      </c>
      <c r="C91" s="100">
        <v>19.22</v>
      </c>
      <c r="D91" s="100">
        <v>18.05</v>
      </c>
      <c r="E91" s="100">
        <v>5.88</v>
      </c>
      <c r="F91" s="100">
        <v>0.05</v>
      </c>
      <c r="G91" s="100">
        <v>108.31</v>
      </c>
      <c r="H91" s="100">
        <v>42.46</v>
      </c>
      <c r="I91" s="100">
        <v>11.23</v>
      </c>
      <c r="J91" s="100">
        <v>0.12</v>
      </c>
      <c r="K91" s="100">
        <v>89.22</v>
      </c>
      <c r="L91" s="100">
        <v>22.04</v>
      </c>
      <c r="M91" s="100">
        <v>50.16</v>
      </c>
      <c r="N91" s="100">
        <v>9.1999999999999993</v>
      </c>
      <c r="O91" s="100">
        <v>0</v>
      </c>
      <c r="P91" s="100">
        <v>0.71</v>
      </c>
      <c r="Q91" s="100">
        <v>9.32</v>
      </c>
      <c r="R91" s="6"/>
      <c r="S91" s="6"/>
      <c r="T91" s="156"/>
      <c r="U91" s="6"/>
    </row>
    <row r="92" spans="1:21" customFormat="1">
      <c r="A92" s="163" t="s">
        <v>714</v>
      </c>
      <c r="B92" s="100">
        <v>9.99</v>
      </c>
      <c r="C92" s="100">
        <v>19.079999999999998</v>
      </c>
      <c r="D92" s="100">
        <v>17.98</v>
      </c>
      <c r="E92" s="100">
        <v>6.1</v>
      </c>
      <c r="F92" s="100">
        <v>0.04</v>
      </c>
      <c r="G92" s="100">
        <v>107.95</v>
      </c>
      <c r="H92" s="100">
        <v>42.46</v>
      </c>
      <c r="I92" s="100">
        <v>11.35</v>
      </c>
      <c r="J92" s="100">
        <v>0.21</v>
      </c>
      <c r="K92" s="100">
        <v>160.4</v>
      </c>
      <c r="L92" s="100">
        <v>21.56</v>
      </c>
      <c r="M92" s="100">
        <v>56.87</v>
      </c>
      <c r="N92" s="100">
        <v>9.6999999999999993</v>
      </c>
      <c r="O92" s="100">
        <v>0</v>
      </c>
      <c r="P92" s="100">
        <v>0.72</v>
      </c>
      <c r="Q92" s="100">
        <v>9.32</v>
      </c>
      <c r="R92" s="6"/>
      <c r="S92" s="6"/>
      <c r="T92" s="156"/>
      <c r="U92" s="6"/>
    </row>
    <row r="93" spans="1:21" customFormat="1">
      <c r="A93" s="163" t="s">
        <v>715</v>
      </c>
      <c r="B93" s="100">
        <v>9.8800000000000008</v>
      </c>
      <c r="C93" s="100">
        <v>18.96</v>
      </c>
      <c r="D93" s="100">
        <v>17.829999999999998</v>
      </c>
      <c r="E93" s="100">
        <v>6.31</v>
      </c>
      <c r="F93" s="100">
        <v>0.06</v>
      </c>
      <c r="G93" s="100">
        <v>107.95</v>
      </c>
      <c r="H93" s="100">
        <v>42.46</v>
      </c>
      <c r="I93" s="100">
        <v>11.44</v>
      </c>
      <c r="J93" s="100">
        <v>0.2</v>
      </c>
      <c r="K93" s="100">
        <v>177.45</v>
      </c>
      <c r="L93" s="100">
        <v>20.75</v>
      </c>
      <c r="M93" s="100">
        <v>64.17</v>
      </c>
      <c r="N93" s="100">
        <v>9.6999999999999993</v>
      </c>
      <c r="O93" s="100">
        <v>0</v>
      </c>
      <c r="P93" s="100">
        <v>0.72</v>
      </c>
      <c r="Q93" s="100">
        <v>9.32</v>
      </c>
      <c r="R93" s="6"/>
      <c r="S93" s="6"/>
      <c r="T93" s="156"/>
      <c r="U93" s="6"/>
    </row>
    <row r="94" spans="1:21" customFormat="1">
      <c r="A94" s="163" t="s">
        <v>716</v>
      </c>
      <c r="B94" s="100">
        <v>9.81</v>
      </c>
      <c r="C94" s="100">
        <v>18.690000000000001</v>
      </c>
      <c r="D94" s="100">
        <v>17.63</v>
      </c>
      <c r="E94" s="100">
        <v>5.96</v>
      </c>
      <c r="F94" s="100">
        <v>0.03</v>
      </c>
      <c r="G94" s="100">
        <v>107.95</v>
      </c>
      <c r="H94" s="100">
        <v>42.46</v>
      </c>
      <c r="I94" s="100">
        <v>11.5</v>
      </c>
      <c r="J94" s="100">
        <v>0.24</v>
      </c>
      <c r="K94" s="100">
        <v>165.63</v>
      </c>
      <c r="L94" s="100">
        <v>20.45</v>
      </c>
      <c r="M94" s="100">
        <v>67.97</v>
      </c>
      <c r="N94" s="100">
        <v>9.3000000000000007</v>
      </c>
      <c r="O94" s="100">
        <v>0</v>
      </c>
      <c r="P94" s="100">
        <v>0.73</v>
      </c>
      <c r="Q94" s="100">
        <v>9.32</v>
      </c>
      <c r="R94" s="6"/>
      <c r="S94" s="6"/>
      <c r="T94" s="156"/>
      <c r="U94" s="6"/>
    </row>
    <row r="95" spans="1:21" customFormat="1">
      <c r="A95" s="163" t="s">
        <v>717</v>
      </c>
      <c r="B95" s="100">
        <v>9.85</v>
      </c>
      <c r="C95" s="100">
        <v>18.53</v>
      </c>
      <c r="D95" s="100">
        <v>17.579999999999998</v>
      </c>
      <c r="E95" s="100">
        <v>6.13</v>
      </c>
      <c r="F95" s="100">
        <v>0.1</v>
      </c>
      <c r="G95" s="100">
        <v>95.96</v>
      </c>
      <c r="H95" s="100">
        <v>42.32</v>
      </c>
      <c r="I95" s="100">
        <v>11.56</v>
      </c>
      <c r="J95" s="100">
        <v>0.18</v>
      </c>
      <c r="K95" s="100">
        <v>180.36</v>
      </c>
      <c r="L95" s="100">
        <v>20.09</v>
      </c>
      <c r="M95" s="100">
        <v>66.77</v>
      </c>
      <c r="N95" s="100">
        <v>9.4</v>
      </c>
      <c r="O95" s="100">
        <v>0</v>
      </c>
      <c r="P95" s="100">
        <v>0.74</v>
      </c>
      <c r="Q95" s="100">
        <v>9.32</v>
      </c>
      <c r="R95" s="6"/>
      <c r="S95" s="6"/>
      <c r="T95" s="156"/>
      <c r="U95" s="6"/>
    </row>
    <row r="96" spans="1:21" customFormat="1">
      <c r="A96" s="163" t="s">
        <v>718</v>
      </c>
      <c r="B96" s="100">
        <v>10.3</v>
      </c>
      <c r="C96" s="100">
        <v>18.489999999999998</v>
      </c>
      <c r="D96" s="100">
        <v>17.920000000000002</v>
      </c>
      <c r="E96" s="100">
        <v>6.2</v>
      </c>
      <c r="F96" s="100">
        <v>0.17</v>
      </c>
      <c r="G96" s="100">
        <v>95.69</v>
      </c>
      <c r="H96" s="100">
        <v>42.32</v>
      </c>
      <c r="I96" s="100">
        <v>11.61</v>
      </c>
      <c r="J96" s="100">
        <v>0.23</v>
      </c>
      <c r="K96" s="100">
        <v>177.7</v>
      </c>
      <c r="L96" s="100">
        <v>20.23</v>
      </c>
      <c r="M96" s="100">
        <v>69.84</v>
      </c>
      <c r="N96" s="100">
        <v>9.1999999999999993</v>
      </c>
      <c r="O96" s="100">
        <v>0</v>
      </c>
      <c r="P96" s="100">
        <v>0.75</v>
      </c>
      <c r="Q96" s="100">
        <v>9.32</v>
      </c>
      <c r="R96" s="6"/>
      <c r="S96" s="6"/>
      <c r="T96" s="156"/>
      <c r="U96" s="6"/>
    </row>
    <row r="97" spans="1:28" customFormat="1">
      <c r="A97" s="163" t="s">
        <v>719</v>
      </c>
      <c r="B97" s="100">
        <v>10.51</v>
      </c>
      <c r="C97" s="100">
        <v>18.46</v>
      </c>
      <c r="D97" s="100">
        <v>18.07</v>
      </c>
      <c r="E97" s="100">
        <v>6</v>
      </c>
      <c r="F97" s="100">
        <v>0.1</v>
      </c>
      <c r="G97" s="100">
        <v>95.69</v>
      </c>
      <c r="H97" s="100">
        <v>42.32</v>
      </c>
      <c r="I97" s="100">
        <v>11.66</v>
      </c>
      <c r="J97" s="100">
        <v>0.18</v>
      </c>
      <c r="K97" s="100">
        <v>221.73</v>
      </c>
      <c r="L97" s="100">
        <v>19.63</v>
      </c>
      <c r="M97" s="100">
        <v>69.16</v>
      </c>
      <c r="N97" s="100">
        <v>9.3000000000000007</v>
      </c>
      <c r="O97" s="100">
        <v>0</v>
      </c>
      <c r="P97" s="100">
        <v>0.75</v>
      </c>
      <c r="Q97" s="100">
        <v>9.32</v>
      </c>
      <c r="R97" s="6"/>
      <c r="S97" s="6"/>
      <c r="T97" s="156"/>
      <c r="U97" s="6"/>
    </row>
    <row r="98" spans="1:28" customFormat="1">
      <c r="A98" s="163" t="s">
        <v>720</v>
      </c>
      <c r="B98" s="100">
        <v>11.29</v>
      </c>
      <c r="C98" s="100">
        <v>18.600000000000001</v>
      </c>
      <c r="D98" s="100">
        <v>18.77</v>
      </c>
      <c r="E98" s="100">
        <v>6.34</v>
      </c>
      <c r="F98" s="100">
        <v>0.03</v>
      </c>
      <c r="G98" s="100">
        <v>95.69</v>
      </c>
      <c r="H98" s="100">
        <v>42.32</v>
      </c>
      <c r="I98" s="100">
        <v>11.71</v>
      </c>
      <c r="J98" s="100">
        <v>0.13</v>
      </c>
      <c r="K98" s="100">
        <v>176.52</v>
      </c>
      <c r="L98" s="100">
        <v>19.77</v>
      </c>
      <c r="M98" s="100">
        <v>64.94</v>
      </c>
      <c r="N98" s="100">
        <v>9.1999999999999993</v>
      </c>
      <c r="O98" s="100">
        <v>0</v>
      </c>
      <c r="P98" s="100">
        <v>0.76</v>
      </c>
      <c r="Q98" s="100">
        <v>9.32</v>
      </c>
      <c r="R98" s="6"/>
      <c r="S98" s="6"/>
      <c r="T98" s="156"/>
      <c r="U98" s="6"/>
    </row>
    <row r="99" spans="1:28" customFormat="1">
      <c r="A99" s="163" t="s">
        <v>721</v>
      </c>
      <c r="B99" s="100">
        <v>12.03</v>
      </c>
      <c r="C99" s="100">
        <v>18.649999999999999</v>
      </c>
      <c r="D99" s="100">
        <v>19.39</v>
      </c>
      <c r="E99" s="100">
        <v>6.24</v>
      </c>
      <c r="F99" s="100">
        <v>0.06</v>
      </c>
      <c r="G99" s="100">
        <v>95.47</v>
      </c>
      <c r="H99" s="100">
        <v>41.89</v>
      </c>
      <c r="I99" s="100">
        <v>11.8</v>
      </c>
      <c r="J99" s="100">
        <v>0.25</v>
      </c>
      <c r="K99" s="100">
        <v>201.86</v>
      </c>
      <c r="L99" s="100">
        <v>19.440000000000001</v>
      </c>
      <c r="M99" s="100">
        <v>68.290000000000006</v>
      </c>
      <c r="N99" s="100">
        <v>9.1999999999999993</v>
      </c>
      <c r="O99" s="100">
        <v>0</v>
      </c>
      <c r="P99" s="100">
        <v>0.77</v>
      </c>
      <c r="Q99" s="100">
        <v>9.32</v>
      </c>
      <c r="R99" s="6"/>
      <c r="S99" s="6"/>
      <c r="T99" s="156"/>
      <c r="U99" s="6"/>
    </row>
    <row r="100" spans="1:28" customFormat="1">
      <c r="A100" s="163" t="s">
        <v>722</v>
      </c>
      <c r="B100" s="100">
        <v>12.22</v>
      </c>
      <c r="C100" s="100">
        <v>18.61</v>
      </c>
      <c r="D100" s="100">
        <v>19.52</v>
      </c>
      <c r="E100" s="100">
        <v>6.33</v>
      </c>
      <c r="F100" s="100">
        <v>0.02</v>
      </c>
      <c r="G100" s="100">
        <v>95.46</v>
      </c>
      <c r="H100" s="100">
        <v>41.89</v>
      </c>
      <c r="I100" s="100">
        <v>12.11</v>
      </c>
      <c r="J100" s="100">
        <v>0.21</v>
      </c>
      <c r="K100" s="100">
        <v>198.47</v>
      </c>
      <c r="L100" s="100">
        <v>18.82</v>
      </c>
      <c r="M100" s="100">
        <v>77.260000000000005</v>
      </c>
      <c r="N100" s="100">
        <v>9.5</v>
      </c>
      <c r="O100" s="100">
        <v>0</v>
      </c>
      <c r="P100" s="100">
        <v>0.77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723</v>
      </c>
      <c r="B101" s="100">
        <v>12.03</v>
      </c>
      <c r="C101" s="100">
        <v>18.13</v>
      </c>
      <c r="D101" s="100">
        <v>19.12</v>
      </c>
      <c r="E101" s="100">
        <v>6.03</v>
      </c>
      <c r="F101" s="100">
        <v>7.0000000000000007E-2</v>
      </c>
      <c r="G101" s="100">
        <v>95.46</v>
      </c>
      <c r="H101" s="100">
        <v>41.89</v>
      </c>
      <c r="I101" s="100">
        <v>12.41</v>
      </c>
      <c r="J101" s="100">
        <v>0.13</v>
      </c>
      <c r="K101" s="100">
        <v>192.61</v>
      </c>
      <c r="L101" s="100">
        <v>18.600000000000001</v>
      </c>
      <c r="M101" s="100">
        <v>76.680000000000007</v>
      </c>
      <c r="N101" s="100">
        <v>9.1999999999999993</v>
      </c>
      <c r="O101" s="100">
        <v>0</v>
      </c>
      <c r="P101" s="100">
        <v>0.78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724</v>
      </c>
      <c r="B102" s="100">
        <v>12.27</v>
      </c>
      <c r="C102" s="100">
        <v>17.989999999999998</v>
      </c>
      <c r="D102" s="100">
        <v>19.239999999999998</v>
      </c>
      <c r="E102" s="100">
        <v>6.2</v>
      </c>
      <c r="F102" s="100">
        <v>0.08</v>
      </c>
      <c r="G102" s="100">
        <v>95.46</v>
      </c>
      <c r="H102" s="100">
        <v>41.89</v>
      </c>
      <c r="I102" s="100">
        <v>12.49</v>
      </c>
      <c r="J102" s="100">
        <v>0.16</v>
      </c>
      <c r="K102" s="100">
        <v>200.97</v>
      </c>
      <c r="L102" s="100">
        <v>18.63</v>
      </c>
      <c r="M102" s="100">
        <v>72.349999999999994</v>
      </c>
      <c r="N102" s="100">
        <v>9</v>
      </c>
      <c r="O102" s="100">
        <v>0</v>
      </c>
      <c r="P102" s="100">
        <v>0.77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725</v>
      </c>
      <c r="B103" s="100">
        <v>12.92</v>
      </c>
      <c r="C103" s="100">
        <v>18.23</v>
      </c>
      <c r="D103" s="100">
        <v>19.88</v>
      </c>
      <c r="E103" s="100">
        <v>6.02</v>
      </c>
      <c r="F103" s="100">
        <v>0.04</v>
      </c>
      <c r="G103" s="100">
        <v>83.35</v>
      </c>
      <c r="H103" s="100">
        <v>40.82</v>
      </c>
      <c r="I103" s="100">
        <v>12.54</v>
      </c>
      <c r="J103" s="100">
        <v>0.2</v>
      </c>
      <c r="K103" s="100">
        <v>207.63</v>
      </c>
      <c r="L103" s="100">
        <v>18.48</v>
      </c>
      <c r="M103" s="100">
        <v>77.400000000000006</v>
      </c>
      <c r="N103" s="100">
        <v>9.1</v>
      </c>
      <c r="O103" s="100">
        <v>0</v>
      </c>
      <c r="P103" s="100">
        <v>0.78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726</v>
      </c>
      <c r="B104" s="100">
        <v>12.96</v>
      </c>
      <c r="C104" s="100">
        <v>17.899999999999999</v>
      </c>
      <c r="D104" s="100">
        <v>19.739999999999998</v>
      </c>
      <c r="E104" s="100">
        <v>6.14</v>
      </c>
      <c r="F104" s="100">
        <v>0.05</v>
      </c>
      <c r="G104" s="100">
        <v>83.08</v>
      </c>
      <c r="H104" s="100">
        <v>40.82</v>
      </c>
      <c r="I104" s="100">
        <v>12.57</v>
      </c>
      <c r="J104" s="100">
        <v>0.13</v>
      </c>
      <c r="K104" s="100">
        <v>207.02</v>
      </c>
      <c r="L104" s="100">
        <v>18.04</v>
      </c>
      <c r="M104" s="100">
        <v>80.63</v>
      </c>
      <c r="N104" s="100">
        <v>9.4</v>
      </c>
      <c r="O104" s="100">
        <v>0</v>
      </c>
      <c r="P104" s="100">
        <v>0.77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3.88</v>
      </c>
      <c r="C106" s="158">
        <f>MIN(C9:C104)</f>
        <v>15.72</v>
      </c>
      <c r="D106" s="158">
        <f t="shared" ref="D106:Q106" si="0">MIN(D9:D104)</f>
        <v>12.14</v>
      </c>
      <c r="E106" s="158">
        <f t="shared" si="0"/>
        <v>4.24</v>
      </c>
      <c r="F106" s="158">
        <f t="shared" si="0"/>
        <v>0.01</v>
      </c>
      <c r="G106" s="158">
        <f t="shared" si="0"/>
        <v>62.76</v>
      </c>
      <c r="H106" s="158">
        <f t="shared" si="0"/>
        <v>28.44</v>
      </c>
      <c r="I106" s="158">
        <f t="shared" si="0"/>
        <v>8.6199999999999992</v>
      </c>
      <c r="J106" s="158">
        <f t="shared" si="0"/>
        <v>0.04</v>
      </c>
      <c r="K106" s="158">
        <f t="shared" si="0"/>
        <v>23.95</v>
      </c>
      <c r="L106" s="158">
        <f t="shared" si="0"/>
        <v>16.3</v>
      </c>
      <c r="M106" s="158">
        <f t="shared" si="0"/>
        <v>29.54</v>
      </c>
      <c r="N106" s="158">
        <f t="shared" si="0"/>
        <v>8.9</v>
      </c>
      <c r="O106" s="158">
        <f t="shared" si="0"/>
        <v>0</v>
      </c>
      <c r="P106" s="158">
        <f t="shared" si="0"/>
        <v>0.49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19.96</v>
      </c>
      <c r="C107" s="157">
        <f t="shared" ref="C107:Q107" si="1">MAX(C9:C104)</f>
        <v>21.43</v>
      </c>
      <c r="D107" s="157">
        <f t="shared" si="1"/>
        <v>25.82</v>
      </c>
      <c r="E107" s="157">
        <f t="shared" si="1"/>
        <v>8.81</v>
      </c>
      <c r="F107" s="157">
        <f t="shared" si="1"/>
        <v>5.12</v>
      </c>
      <c r="G107" s="157">
        <f t="shared" si="1"/>
        <v>143.53</v>
      </c>
      <c r="H107" s="157">
        <f t="shared" si="1"/>
        <v>42.46</v>
      </c>
      <c r="I107" s="157">
        <f t="shared" si="1"/>
        <v>12.57</v>
      </c>
      <c r="J107" s="157">
        <f t="shared" si="1"/>
        <v>1.43</v>
      </c>
      <c r="K107" s="157">
        <f t="shared" si="1"/>
        <v>233.43</v>
      </c>
      <c r="L107" s="157">
        <f t="shared" si="1"/>
        <v>29.31</v>
      </c>
      <c r="M107" s="157">
        <f t="shared" si="1"/>
        <v>89.71</v>
      </c>
      <c r="N107" s="157">
        <f t="shared" si="1"/>
        <v>552.9</v>
      </c>
      <c r="O107" s="157">
        <f t="shared" si="1"/>
        <v>0</v>
      </c>
      <c r="P107" s="157">
        <f t="shared" si="1"/>
        <v>0.78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12.421145833333329</v>
      </c>
      <c r="C108" s="158">
        <f t="shared" ref="C108:Q108" si="2">AVERAGE(C9:C104)</f>
        <v>18.331666666666663</v>
      </c>
      <c r="D108" s="158">
        <f t="shared" si="2"/>
        <v>19.537916666666675</v>
      </c>
      <c r="E108" s="158">
        <f t="shared" si="2"/>
        <v>6.0625000000000027</v>
      </c>
      <c r="F108" s="158">
        <f t="shared" si="2"/>
        <v>0.74624999999999997</v>
      </c>
      <c r="G108" s="158">
        <f t="shared" si="2"/>
        <v>82.66552083333336</v>
      </c>
      <c r="H108" s="158">
        <f t="shared" si="2"/>
        <v>35.806041666666651</v>
      </c>
      <c r="I108" s="158">
        <f t="shared" si="2"/>
        <v>10.904999999999999</v>
      </c>
      <c r="J108" s="158">
        <f t="shared" si="2"/>
        <v>0.43156250000000007</v>
      </c>
      <c r="K108" s="158">
        <f t="shared" si="2"/>
        <v>103.48843750000005</v>
      </c>
      <c r="L108" s="158">
        <f t="shared" si="2"/>
        <v>22.181770833333342</v>
      </c>
      <c r="M108" s="158">
        <f t="shared" si="2"/>
        <v>58.414479166666666</v>
      </c>
      <c r="N108" s="158">
        <f t="shared" si="2"/>
        <v>110.39375000000001</v>
      </c>
      <c r="O108" s="158">
        <f t="shared" si="2"/>
        <v>0</v>
      </c>
      <c r="P108" s="158">
        <f t="shared" si="2"/>
        <v>0.62093750000000025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5.7652249455893436</v>
      </c>
      <c r="C109" s="158">
        <f t="shared" ref="C109:Q109" si="3">STDEV(C9:C104)</f>
        <v>1.5700691682159917</v>
      </c>
      <c r="D109" s="158">
        <f t="shared" si="3"/>
        <v>4.5230955670615227</v>
      </c>
      <c r="E109" s="158">
        <f t="shared" si="3"/>
        <v>0.78743688134684486</v>
      </c>
      <c r="F109" s="158">
        <f t="shared" si="3"/>
        <v>1.2940757726127003</v>
      </c>
      <c r="G109" s="158">
        <f t="shared" si="3"/>
        <v>18.907801835543555</v>
      </c>
      <c r="H109" s="158">
        <f t="shared" si="3"/>
        <v>4.1324751036706218</v>
      </c>
      <c r="I109" s="158">
        <f t="shared" si="3"/>
        <v>1.1823847445778941</v>
      </c>
      <c r="J109" s="158">
        <f t="shared" si="3"/>
        <v>0.36867423396472071</v>
      </c>
      <c r="K109" s="158">
        <f t="shared" si="3"/>
        <v>67.648606401456647</v>
      </c>
      <c r="L109" s="158">
        <f t="shared" si="3"/>
        <v>4.4512578931286413</v>
      </c>
      <c r="M109" s="158">
        <f t="shared" si="3"/>
        <v>19.232755166767568</v>
      </c>
      <c r="N109" s="158">
        <f t="shared" si="3"/>
        <v>172.17749398283888</v>
      </c>
      <c r="O109" s="158">
        <f t="shared" si="3"/>
        <v>0</v>
      </c>
      <c r="P109" s="158">
        <f t="shared" si="3"/>
        <v>7.7487902281579271E-2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I100" sqref="I10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727</v>
      </c>
      <c r="B9" s="100">
        <v>12.64</v>
      </c>
      <c r="C9" s="100">
        <v>16.73</v>
      </c>
      <c r="D9" s="100">
        <v>18.88</v>
      </c>
      <c r="E9" s="100">
        <v>5.95</v>
      </c>
      <c r="F9" s="100">
        <v>0.12</v>
      </c>
      <c r="G9" s="100">
        <v>83.08</v>
      </c>
      <c r="H9" s="100">
        <v>40.82</v>
      </c>
      <c r="I9" s="100">
        <v>12.55</v>
      </c>
      <c r="J9" s="100">
        <v>0.13</v>
      </c>
      <c r="K9" s="100">
        <v>168.63</v>
      </c>
      <c r="L9" s="100">
        <v>17.899999999999999</v>
      </c>
      <c r="M9" s="100">
        <v>78.819999999999993</v>
      </c>
      <c r="N9" s="100">
        <v>9.3000000000000007</v>
      </c>
      <c r="O9" s="100">
        <v>0</v>
      </c>
      <c r="P9" s="100">
        <v>0.77</v>
      </c>
      <c r="Q9" s="100">
        <v>9.32</v>
      </c>
      <c r="R9" s="6"/>
      <c r="S9" s="6"/>
      <c r="T9" s="156"/>
      <c r="U9" s="6"/>
    </row>
    <row r="10" spans="1:21" customFormat="1">
      <c r="A10" s="163" t="s">
        <v>728</v>
      </c>
      <c r="B10" s="100">
        <v>13.1</v>
      </c>
      <c r="C10" s="100">
        <v>17.149999999999999</v>
      </c>
      <c r="D10" s="100">
        <v>19.46</v>
      </c>
      <c r="E10" s="100">
        <v>5.9</v>
      </c>
      <c r="F10" s="100">
        <v>0.08</v>
      </c>
      <c r="G10" s="100">
        <v>83.08</v>
      </c>
      <c r="H10" s="100">
        <v>40.82</v>
      </c>
      <c r="I10" s="100">
        <v>12.5</v>
      </c>
      <c r="J10" s="100">
        <v>0.38</v>
      </c>
      <c r="K10" s="100">
        <v>32.729999999999997</v>
      </c>
      <c r="L10" s="100">
        <v>18.05</v>
      </c>
      <c r="M10" s="100">
        <v>75.569999999999993</v>
      </c>
      <c r="N10" s="100">
        <v>8.6</v>
      </c>
      <c r="O10" s="100">
        <v>0</v>
      </c>
      <c r="P10" s="100">
        <v>0.77</v>
      </c>
      <c r="Q10" s="100">
        <v>9.32</v>
      </c>
      <c r="R10" s="6"/>
      <c r="S10" s="6"/>
      <c r="T10" s="156"/>
      <c r="U10" s="6"/>
    </row>
    <row r="11" spans="1:21" customFormat="1">
      <c r="A11" s="163" t="s">
        <v>729</v>
      </c>
      <c r="B11" s="100">
        <v>14.61</v>
      </c>
      <c r="C11" s="100">
        <v>17.59</v>
      </c>
      <c r="D11" s="100">
        <v>20.9</v>
      </c>
      <c r="E11" s="100">
        <v>5.76</v>
      </c>
      <c r="F11" s="100">
        <v>0.11</v>
      </c>
      <c r="G11" s="100">
        <v>77.540000000000006</v>
      </c>
      <c r="H11" s="100">
        <v>41.06</v>
      </c>
      <c r="I11" s="100">
        <v>12.42</v>
      </c>
      <c r="J11" s="100">
        <v>0.33</v>
      </c>
      <c r="K11" s="100">
        <v>43.56</v>
      </c>
      <c r="L11" s="100">
        <v>18.61</v>
      </c>
      <c r="M11" s="100">
        <v>65.180000000000007</v>
      </c>
      <c r="N11" s="100">
        <v>8.8000000000000007</v>
      </c>
      <c r="O11" s="100">
        <v>0</v>
      </c>
      <c r="P11" s="100">
        <v>0.76</v>
      </c>
      <c r="Q11" s="100">
        <v>9.32</v>
      </c>
      <c r="R11" s="6"/>
      <c r="S11" s="6"/>
      <c r="T11" s="156"/>
      <c r="U11" s="6"/>
    </row>
    <row r="12" spans="1:21" customFormat="1">
      <c r="A12" s="163" t="s">
        <v>730</v>
      </c>
      <c r="B12" s="100">
        <v>15.46</v>
      </c>
      <c r="C12" s="100">
        <v>17.940000000000001</v>
      </c>
      <c r="D12" s="100">
        <v>21.77</v>
      </c>
      <c r="E12" s="100">
        <v>6.34</v>
      </c>
      <c r="F12" s="100">
        <v>7.0000000000000007E-2</v>
      </c>
      <c r="G12" s="100">
        <v>77.41</v>
      </c>
      <c r="H12" s="100">
        <v>41.06</v>
      </c>
      <c r="I12" s="100">
        <v>12.36</v>
      </c>
      <c r="J12" s="100">
        <v>0.15</v>
      </c>
      <c r="K12" s="100">
        <v>177.7</v>
      </c>
      <c r="L12" s="100">
        <v>18.23</v>
      </c>
      <c r="M12" s="100">
        <v>70.27</v>
      </c>
      <c r="N12" s="100">
        <v>9.3000000000000007</v>
      </c>
      <c r="O12" s="100">
        <v>0</v>
      </c>
      <c r="P12" s="100">
        <v>0.77</v>
      </c>
      <c r="Q12" s="100">
        <v>9.32</v>
      </c>
      <c r="R12" s="6"/>
      <c r="S12" s="6"/>
      <c r="T12" s="156"/>
      <c r="U12" s="6"/>
    </row>
    <row r="13" spans="1:21" customFormat="1">
      <c r="A13" s="163" t="s">
        <v>731</v>
      </c>
      <c r="B13" s="100">
        <v>15.66</v>
      </c>
      <c r="C13" s="100">
        <v>18.11</v>
      </c>
      <c r="D13" s="100">
        <v>22.02</v>
      </c>
      <c r="E13" s="100">
        <v>6.03</v>
      </c>
      <c r="F13" s="100">
        <v>0.02</v>
      </c>
      <c r="G13" s="100">
        <v>77.41</v>
      </c>
      <c r="H13" s="100">
        <v>41.06</v>
      </c>
      <c r="I13" s="100">
        <v>12.33</v>
      </c>
      <c r="J13" s="100">
        <v>0.2</v>
      </c>
      <c r="K13" s="100">
        <v>230.05</v>
      </c>
      <c r="L13" s="100">
        <v>17.73</v>
      </c>
      <c r="M13" s="100">
        <v>78.59</v>
      </c>
      <c r="N13" s="100">
        <v>9.3000000000000007</v>
      </c>
      <c r="O13" s="100">
        <v>0</v>
      </c>
      <c r="P13" s="100">
        <v>0.76</v>
      </c>
      <c r="Q13" s="100">
        <v>9.32</v>
      </c>
      <c r="R13" s="6"/>
      <c r="S13" s="6"/>
      <c r="T13" s="156"/>
      <c r="U13" s="6"/>
    </row>
    <row r="14" spans="1:21" customFormat="1">
      <c r="A14" s="163" t="s">
        <v>732</v>
      </c>
      <c r="B14" s="100">
        <v>15.5</v>
      </c>
      <c r="C14" s="100">
        <v>17.95</v>
      </c>
      <c r="D14" s="100">
        <v>21.81</v>
      </c>
      <c r="E14" s="100">
        <v>5.74</v>
      </c>
      <c r="F14" s="100">
        <v>7.0000000000000007E-2</v>
      </c>
      <c r="G14" s="100">
        <v>77.41</v>
      </c>
      <c r="H14" s="100">
        <v>41.06</v>
      </c>
      <c r="I14" s="100">
        <v>12.35</v>
      </c>
      <c r="J14" s="100">
        <v>0.16</v>
      </c>
      <c r="K14" s="100">
        <v>208.06</v>
      </c>
      <c r="L14" s="100">
        <v>17.239999999999998</v>
      </c>
      <c r="M14" s="100">
        <v>83.79</v>
      </c>
      <c r="N14" s="100">
        <v>9.3000000000000007</v>
      </c>
      <c r="O14" s="100">
        <v>0</v>
      </c>
      <c r="P14" s="100">
        <v>0.76</v>
      </c>
      <c r="Q14" s="100">
        <v>9.32</v>
      </c>
      <c r="R14" s="6"/>
      <c r="S14" s="6"/>
      <c r="T14" s="156"/>
      <c r="U14" s="6"/>
    </row>
    <row r="15" spans="1:21" customFormat="1">
      <c r="A15" s="163" t="s">
        <v>733</v>
      </c>
      <c r="B15" s="100">
        <v>15.22</v>
      </c>
      <c r="C15" s="100">
        <v>17.649999999999999</v>
      </c>
      <c r="D15" s="100">
        <v>21.43</v>
      </c>
      <c r="E15" s="100">
        <v>6.07</v>
      </c>
      <c r="F15" s="100">
        <v>0.01</v>
      </c>
      <c r="G15" s="100">
        <v>78.17</v>
      </c>
      <c r="H15" s="100">
        <v>40.450000000000003</v>
      </c>
      <c r="I15" s="100">
        <v>12.29</v>
      </c>
      <c r="J15" s="100">
        <v>0.14000000000000001</v>
      </c>
      <c r="K15" s="100">
        <v>211.99</v>
      </c>
      <c r="L15" s="100">
        <v>17.100000000000001</v>
      </c>
      <c r="M15" s="100">
        <v>82.84</v>
      </c>
      <c r="N15" s="100">
        <v>9</v>
      </c>
      <c r="O15" s="100">
        <v>0</v>
      </c>
      <c r="P15" s="100">
        <v>0.74</v>
      </c>
      <c r="Q15" s="100">
        <v>9.32</v>
      </c>
      <c r="R15" s="6"/>
      <c r="S15" s="6"/>
      <c r="T15" s="156"/>
      <c r="U15" s="6"/>
    </row>
    <row r="16" spans="1:21" customFormat="1">
      <c r="A16" s="163" t="s">
        <v>734</v>
      </c>
      <c r="B16" s="100">
        <v>15.02</v>
      </c>
      <c r="C16" s="100">
        <v>17.39</v>
      </c>
      <c r="D16" s="100">
        <v>21.12</v>
      </c>
      <c r="E16" s="100">
        <v>5.72</v>
      </c>
      <c r="F16" s="100">
        <v>0.03</v>
      </c>
      <c r="G16" s="100">
        <v>78.19</v>
      </c>
      <c r="H16" s="100">
        <v>40.450000000000003</v>
      </c>
      <c r="I16" s="100">
        <v>12.22</v>
      </c>
      <c r="J16" s="100">
        <v>0.08</v>
      </c>
      <c r="K16" s="100">
        <v>186.19</v>
      </c>
      <c r="L16" s="100">
        <v>16.899999999999999</v>
      </c>
      <c r="M16" s="100">
        <v>83.14</v>
      </c>
      <c r="N16" s="100">
        <v>9.1</v>
      </c>
      <c r="O16" s="100">
        <v>0</v>
      </c>
      <c r="P16" s="100">
        <v>0.74</v>
      </c>
      <c r="Q16" s="100">
        <v>9.32</v>
      </c>
      <c r="R16" s="6"/>
      <c r="S16" s="6"/>
      <c r="T16" s="156"/>
      <c r="U16" s="6"/>
    </row>
    <row r="17" spans="1:21" customFormat="1">
      <c r="A17" s="163" t="s">
        <v>735</v>
      </c>
      <c r="B17" s="100">
        <v>15.77</v>
      </c>
      <c r="C17" s="100">
        <v>17.510000000000002</v>
      </c>
      <c r="D17" s="100">
        <v>21.8</v>
      </c>
      <c r="E17" s="100">
        <v>5.24</v>
      </c>
      <c r="F17" s="100">
        <v>0.01</v>
      </c>
      <c r="G17" s="100">
        <v>78.19</v>
      </c>
      <c r="H17" s="100">
        <v>40.450000000000003</v>
      </c>
      <c r="I17" s="100">
        <v>12.21</v>
      </c>
      <c r="J17" s="100">
        <v>0.15</v>
      </c>
      <c r="K17" s="100">
        <v>137.11000000000001</v>
      </c>
      <c r="L17" s="100">
        <v>17.02</v>
      </c>
      <c r="M17" s="100">
        <v>79.44</v>
      </c>
      <c r="N17" s="100">
        <v>9</v>
      </c>
      <c r="O17" s="100">
        <v>0</v>
      </c>
      <c r="P17" s="100">
        <v>0.74</v>
      </c>
      <c r="Q17" s="100">
        <v>9.32</v>
      </c>
      <c r="R17" s="6"/>
      <c r="S17" s="6"/>
      <c r="T17" s="156"/>
      <c r="U17" s="6"/>
    </row>
    <row r="18" spans="1:21" customFormat="1">
      <c r="A18" s="163" t="s">
        <v>736</v>
      </c>
      <c r="B18" s="100">
        <v>17.09</v>
      </c>
      <c r="C18" s="100">
        <v>17.82</v>
      </c>
      <c r="D18" s="100">
        <v>23.01</v>
      </c>
      <c r="E18" s="100">
        <v>6.15</v>
      </c>
      <c r="F18" s="100">
        <v>0.01</v>
      </c>
      <c r="G18" s="100">
        <v>78.19</v>
      </c>
      <c r="H18" s="100">
        <v>40.450000000000003</v>
      </c>
      <c r="I18" s="100">
        <v>12.16</v>
      </c>
      <c r="J18" s="100">
        <v>0.28999999999999998</v>
      </c>
      <c r="K18" s="100">
        <v>73.88</v>
      </c>
      <c r="L18" s="100">
        <v>17.260000000000002</v>
      </c>
      <c r="M18" s="100">
        <v>71.31</v>
      </c>
      <c r="N18" s="100">
        <v>8.6999999999999993</v>
      </c>
      <c r="O18" s="100">
        <v>0</v>
      </c>
      <c r="P18" s="100">
        <v>0.74</v>
      </c>
      <c r="Q18" s="100">
        <v>9.32</v>
      </c>
      <c r="R18" s="6"/>
      <c r="S18" s="6"/>
      <c r="T18" s="156"/>
      <c r="U18" s="6"/>
    </row>
    <row r="19" spans="1:21" customFormat="1">
      <c r="A19" s="163" t="s">
        <v>737</v>
      </c>
      <c r="B19" s="100">
        <v>17.809999999999999</v>
      </c>
      <c r="C19" s="100">
        <v>17.989999999999998</v>
      </c>
      <c r="D19" s="100">
        <v>23.68</v>
      </c>
      <c r="E19" s="100">
        <v>5.57</v>
      </c>
      <c r="F19" s="100">
        <v>0.03</v>
      </c>
      <c r="G19" s="100">
        <v>62.39</v>
      </c>
      <c r="H19" s="100">
        <v>38.950000000000003</v>
      </c>
      <c r="I19" s="100">
        <v>12.13</v>
      </c>
      <c r="J19" s="100">
        <v>0.67</v>
      </c>
      <c r="K19" s="100">
        <v>40.54</v>
      </c>
      <c r="L19" s="100">
        <v>18.149999999999999</v>
      </c>
      <c r="M19" s="100">
        <v>58.88</v>
      </c>
      <c r="N19" s="100">
        <v>7.9</v>
      </c>
      <c r="O19" s="100">
        <v>0</v>
      </c>
      <c r="P19" s="100">
        <v>0.72</v>
      </c>
      <c r="Q19" s="100">
        <v>9.32</v>
      </c>
      <c r="R19" s="6"/>
      <c r="S19" s="6"/>
      <c r="T19" s="156"/>
      <c r="U19" s="6"/>
    </row>
    <row r="20" spans="1:21" customFormat="1">
      <c r="A20" s="163" t="s">
        <v>738</v>
      </c>
      <c r="B20" s="100">
        <v>17.88</v>
      </c>
      <c r="C20" s="100">
        <v>18.16</v>
      </c>
      <c r="D20" s="100">
        <v>23.83</v>
      </c>
      <c r="E20" s="100">
        <v>5.88</v>
      </c>
      <c r="F20" s="100">
        <v>0.03</v>
      </c>
      <c r="G20" s="100">
        <v>62.04</v>
      </c>
      <c r="H20" s="100">
        <v>38.950000000000003</v>
      </c>
      <c r="I20" s="100">
        <v>12.06</v>
      </c>
      <c r="J20" s="100">
        <v>0.56000000000000005</v>
      </c>
      <c r="K20" s="100">
        <v>35.82</v>
      </c>
      <c r="L20" s="100">
        <v>18.2</v>
      </c>
      <c r="M20" s="100">
        <v>57.73</v>
      </c>
      <c r="N20" s="100">
        <v>8.8000000000000007</v>
      </c>
      <c r="O20" s="100">
        <v>0</v>
      </c>
      <c r="P20" s="100">
        <v>0.71</v>
      </c>
      <c r="Q20" s="100">
        <v>9.32</v>
      </c>
      <c r="R20" s="6"/>
      <c r="S20" s="6"/>
      <c r="T20" s="156"/>
      <c r="U20" s="6"/>
    </row>
    <row r="21" spans="1:21" customFormat="1">
      <c r="A21" s="163" t="s">
        <v>739</v>
      </c>
      <c r="B21" s="100">
        <v>17.690000000000001</v>
      </c>
      <c r="C21" s="100">
        <v>18.16</v>
      </c>
      <c r="D21" s="100">
        <v>23.67</v>
      </c>
      <c r="E21" s="100">
        <v>5.65</v>
      </c>
      <c r="F21" s="100">
        <v>0.14000000000000001</v>
      </c>
      <c r="G21" s="100">
        <v>62.04</v>
      </c>
      <c r="H21" s="100">
        <v>38.950000000000003</v>
      </c>
      <c r="I21" s="100">
        <v>11.92</v>
      </c>
      <c r="J21" s="100">
        <v>0.36</v>
      </c>
      <c r="K21" s="100">
        <v>32.450000000000003</v>
      </c>
      <c r="L21" s="100">
        <v>18.22</v>
      </c>
      <c r="M21" s="100">
        <v>56.85</v>
      </c>
      <c r="N21" s="100">
        <v>9</v>
      </c>
      <c r="O21" s="100">
        <v>0</v>
      </c>
      <c r="P21" s="100">
        <v>0.69</v>
      </c>
      <c r="Q21" s="100">
        <v>9.32</v>
      </c>
      <c r="R21" s="6"/>
      <c r="S21" s="6"/>
      <c r="T21" s="156"/>
      <c r="U21" s="6"/>
    </row>
    <row r="22" spans="1:21" customFormat="1">
      <c r="A22" s="163" t="s">
        <v>740</v>
      </c>
      <c r="B22" s="100">
        <v>17.36</v>
      </c>
      <c r="C22" s="100">
        <v>18.22</v>
      </c>
      <c r="D22" s="100">
        <v>23.44</v>
      </c>
      <c r="E22" s="100">
        <v>5.38</v>
      </c>
      <c r="F22" s="100">
        <v>0.05</v>
      </c>
      <c r="G22" s="100">
        <v>62.04</v>
      </c>
      <c r="H22" s="100">
        <v>38.950000000000003</v>
      </c>
      <c r="I22" s="100">
        <v>11.78</v>
      </c>
      <c r="J22" s="100">
        <v>0.02</v>
      </c>
      <c r="K22" s="100">
        <v>115.73</v>
      </c>
      <c r="L22" s="100">
        <v>17.850000000000001</v>
      </c>
      <c r="M22" s="100">
        <v>61.06</v>
      </c>
      <c r="N22" s="100">
        <v>9.6</v>
      </c>
      <c r="O22" s="100">
        <v>0</v>
      </c>
      <c r="P22" s="100">
        <v>0.68</v>
      </c>
      <c r="Q22" s="100">
        <v>9.32</v>
      </c>
      <c r="R22" s="6"/>
      <c r="S22" s="6"/>
      <c r="T22" s="156"/>
      <c r="U22" s="6"/>
    </row>
    <row r="23" spans="1:21" customFormat="1">
      <c r="A23" s="163" t="s">
        <v>741</v>
      </c>
      <c r="B23" s="100">
        <v>16.98</v>
      </c>
      <c r="C23" s="100">
        <v>18.16</v>
      </c>
      <c r="D23" s="100">
        <v>23.11</v>
      </c>
      <c r="E23" s="100">
        <v>3.91</v>
      </c>
      <c r="F23" s="100">
        <v>0.05</v>
      </c>
      <c r="G23" s="100">
        <v>55.09</v>
      </c>
      <c r="H23" s="100">
        <v>33.54</v>
      </c>
      <c r="I23" s="100">
        <v>11.61</v>
      </c>
      <c r="J23" s="100">
        <v>0.15</v>
      </c>
      <c r="K23" s="100">
        <v>170.43</v>
      </c>
      <c r="L23" s="100">
        <v>17.21</v>
      </c>
      <c r="M23" s="100">
        <v>68.180000000000007</v>
      </c>
      <c r="N23" s="100">
        <v>9.6</v>
      </c>
      <c r="O23" s="100">
        <v>0</v>
      </c>
      <c r="P23" s="100">
        <v>0.66</v>
      </c>
      <c r="Q23" s="100">
        <v>9.32</v>
      </c>
      <c r="R23" s="6"/>
      <c r="S23" s="6"/>
      <c r="T23" s="156"/>
      <c r="U23" s="6"/>
    </row>
    <row r="24" spans="1:21" customFormat="1">
      <c r="A24" s="163" t="s">
        <v>742</v>
      </c>
      <c r="B24" s="100">
        <v>16.510000000000002</v>
      </c>
      <c r="C24" s="100">
        <v>17.739999999999998</v>
      </c>
      <c r="D24" s="100">
        <v>22.51</v>
      </c>
      <c r="E24" s="100">
        <v>5.37</v>
      </c>
      <c r="F24" s="100">
        <v>0.05</v>
      </c>
      <c r="G24" s="100">
        <v>54.94</v>
      </c>
      <c r="H24" s="100">
        <v>33.54</v>
      </c>
      <c r="I24" s="100">
        <v>11.4</v>
      </c>
      <c r="J24" s="100">
        <v>0.16</v>
      </c>
      <c r="K24" s="100">
        <v>163.27000000000001</v>
      </c>
      <c r="L24" s="100">
        <v>16.79</v>
      </c>
      <c r="M24" s="100">
        <v>76.28</v>
      </c>
      <c r="N24" s="100">
        <v>9.4</v>
      </c>
      <c r="O24" s="100">
        <v>0</v>
      </c>
      <c r="P24" s="100">
        <v>0.65</v>
      </c>
      <c r="Q24" s="100">
        <v>9.32</v>
      </c>
      <c r="R24" s="6"/>
      <c r="S24" s="6"/>
      <c r="T24" s="156"/>
      <c r="U24" s="6"/>
    </row>
    <row r="25" spans="1:21" customFormat="1">
      <c r="A25" s="163" t="s">
        <v>743</v>
      </c>
      <c r="B25" s="100">
        <v>16.12</v>
      </c>
      <c r="C25" s="100">
        <v>17.489999999999998</v>
      </c>
      <c r="D25" s="100">
        <v>22.06</v>
      </c>
      <c r="E25" s="100">
        <v>5.53</v>
      </c>
      <c r="F25" s="100">
        <v>0.06</v>
      </c>
      <c r="G25" s="100">
        <v>54.94</v>
      </c>
      <c r="H25" s="100">
        <v>33.54</v>
      </c>
      <c r="I25" s="100">
        <v>11.22</v>
      </c>
      <c r="J25" s="100">
        <v>0.11</v>
      </c>
      <c r="K25" s="100">
        <v>32.119999999999997</v>
      </c>
      <c r="L25" s="100">
        <v>16.73</v>
      </c>
      <c r="M25" s="100">
        <v>69.77</v>
      </c>
      <c r="N25" s="100">
        <v>8.9</v>
      </c>
      <c r="O25" s="100">
        <v>0</v>
      </c>
      <c r="P25" s="100">
        <v>0.63</v>
      </c>
      <c r="Q25" s="100">
        <v>9.32</v>
      </c>
      <c r="R25" s="6"/>
      <c r="S25" s="6"/>
      <c r="T25" s="156"/>
      <c r="U25" s="6"/>
    </row>
    <row r="26" spans="1:21" customFormat="1">
      <c r="A26" s="163" t="s">
        <v>744</v>
      </c>
      <c r="B26" s="100">
        <v>16.11</v>
      </c>
      <c r="C26" s="100">
        <v>17.38</v>
      </c>
      <c r="D26" s="100">
        <v>22</v>
      </c>
      <c r="E26" s="100">
        <v>5.32</v>
      </c>
      <c r="F26" s="100">
        <v>0.08</v>
      </c>
      <c r="G26" s="100">
        <v>54.94</v>
      </c>
      <c r="H26" s="100">
        <v>33.54</v>
      </c>
      <c r="I26" s="100">
        <v>11.07</v>
      </c>
      <c r="J26" s="100">
        <v>0.33</v>
      </c>
      <c r="K26" s="100">
        <v>42.6</v>
      </c>
      <c r="L26" s="100">
        <v>17.18</v>
      </c>
      <c r="M26" s="100">
        <v>61.54</v>
      </c>
      <c r="N26" s="100">
        <v>8.6999999999999993</v>
      </c>
      <c r="O26" s="100">
        <v>0</v>
      </c>
      <c r="P26" s="100">
        <v>0.62</v>
      </c>
      <c r="Q26" s="100">
        <v>9.32</v>
      </c>
      <c r="R26" s="6"/>
      <c r="S26" s="6"/>
      <c r="T26" s="156"/>
      <c r="U26" s="6"/>
    </row>
    <row r="27" spans="1:21" customFormat="1">
      <c r="A27" s="163" t="s">
        <v>745</v>
      </c>
      <c r="B27" s="100">
        <v>16.05</v>
      </c>
      <c r="C27" s="100">
        <v>17.22</v>
      </c>
      <c r="D27" s="100">
        <v>21.86</v>
      </c>
      <c r="E27" s="100">
        <v>5.36</v>
      </c>
      <c r="F27" s="100">
        <v>0.04</v>
      </c>
      <c r="G27" s="100">
        <v>48.18</v>
      </c>
      <c r="H27" s="100">
        <v>26.99</v>
      </c>
      <c r="I27" s="100">
        <v>10.91</v>
      </c>
      <c r="J27" s="100">
        <v>0.54</v>
      </c>
      <c r="K27" s="100">
        <v>38.119999999999997</v>
      </c>
      <c r="L27" s="100">
        <v>17.440000000000001</v>
      </c>
      <c r="M27" s="100">
        <v>59.1</v>
      </c>
      <c r="N27" s="100">
        <v>8.6999999999999993</v>
      </c>
      <c r="O27" s="100">
        <v>0</v>
      </c>
      <c r="P27" s="100">
        <v>0.61</v>
      </c>
      <c r="Q27" s="100">
        <v>9.32</v>
      </c>
      <c r="R27" s="6"/>
      <c r="S27" s="6"/>
      <c r="T27" s="156"/>
      <c r="U27" s="6"/>
    </row>
    <row r="28" spans="1:21" customFormat="1">
      <c r="A28" s="163" t="s">
        <v>746</v>
      </c>
      <c r="B28" s="100">
        <v>15.67</v>
      </c>
      <c r="C28" s="100">
        <v>17.2</v>
      </c>
      <c r="D28" s="100">
        <v>21.55</v>
      </c>
      <c r="E28" s="100">
        <v>5.62</v>
      </c>
      <c r="F28" s="100">
        <v>0.08</v>
      </c>
      <c r="G28" s="100">
        <v>47.66</v>
      </c>
      <c r="H28" s="100">
        <v>26.99</v>
      </c>
      <c r="I28" s="100">
        <v>10.8</v>
      </c>
      <c r="J28" s="100">
        <v>0.48</v>
      </c>
      <c r="K28" s="100">
        <v>28.95</v>
      </c>
      <c r="L28" s="100">
        <v>17.34</v>
      </c>
      <c r="M28" s="100">
        <v>59.67</v>
      </c>
      <c r="N28" s="100">
        <v>9.1</v>
      </c>
      <c r="O28" s="100">
        <v>0</v>
      </c>
      <c r="P28" s="100">
        <v>0.59</v>
      </c>
      <c r="Q28" s="100">
        <v>9.32</v>
      </c>
      <c r="R28" s="6"/>
      <c r="S28" s="6"/>
      <c r="T28" s="156"/>
      <c r="U28" s="6"/>
    </row>
    <row r="29" spans="1:21" customFormat="1">
      <c r="A29" s="163" t="s">
        <v>747</v>
      </c>
      <c r="B29" s="100">
        <v>15.22</v>
      </c>
      <c r="C29" s="100">
        <v>17.190000000000001</v>
      </c>
      <c r="D29" s="100">
        <v>21.19</v>
      </c>
      <c r="E29" s="100">
        <v>5.39</v>
      </c>
      <c r="F29" s="100">
        <v>0.01</v>
      </c>
      <c r="G29" s="100">
        <v>47.66</v>
      </c>
      <c r="H29" s="100">
        <v>26.99</v>
      </c>
      <c r="I29" s="100">
        <v>10.5</v>
      </c>
      <c r="J29" s="100">
        <v>0.04</v>
      </c>
      <c r="K29" s="100">
        <v>138.27000000000001</v>
      </c>
      <c r="L29" s="100">
        <v>17.05</v>
      </c>
      <c r="M29" s="100">
        <v>62.81</v>
      </c>
      <c r="N29" s="100">
        <v>9.4</v>
      </c>
      <c r="O29" s="100">
        <v>0</v>
      </c>
      <c r="P29" s="100">
        <v>0.57999999999999996</v>
      </c>
      <c r="Q29" s="100">
        <v>9.32</v>
      </c>
      <c r="R29" s="6"/>
      <c r="S29" s="6"/>
      <c r="T29" s="156"/>
      <c r="U29" s="6"/>
    </row>
    <row r="30" spans="1:21" customFormat="1">
      <c r="A30" s="163" t="s">
        <v>748</v>
      </c>
      <c r="B30" s="100">
        <v>14.84</v>
      </c>
      <c r="C30" s="100">
        <v>17.14</v>
      </c>
      <c r="D30" s="100">
        <v>20.85</v>
      </c>
      <c r="E30" s="100">
        <v>5.27</v>
      </c>
      <c r="F30" s="100">
        <v>0.05</v>
      </c>
      <c r="G30" s="100">
        <v>47.66</v>
      </c>
      <c r="H30" s="100">
        <v>26.99</v>
      </c>
      <c r="I30" s="100">
        <v>10.210000000000001</v>
      </c>
      <c r="J30" s="100">
        <v>0.18</v>
      </c>
      <c r="K30" s="100">
        <v>184.47</v>
      </c>
      <c r="L30" s="100">
        <v>16.53</v>
      </c>
      <c r="M30" s="100">
        <v>72.66</v>
      </c>
      <c r="N30" s="100">
        <v>9.5</v>
      </c>
      <c r="O30" s="100">
        <v>0</v>
      </c>
      <c r="P30" s="100">
        <v>0.56999999999999995</v>
      </c>
      <c r="Q30" s="100">
        <v>9.32</v>
      </c>
      <c r="R30" s="6"/>
      <c r="S30" s="6"/>
      <c r="T30" s="156"/>
      <c r="U30" s="6"/>
    </row>
    <row r="31" spans="1:21" customFormat="1">
      <c r="A31" s="163" t="s">
        <v>749</v>
      </c>
      <c r="B31" s="100">
        <v>14.38</v>
      </c>
      <c r="C31" s="100">
        <v>16.71</v>
      </c>
      <c r="D31" s="100">
        <v>20.260000000000002</v>
      </c>
      <c r="E31" s="100">
        <v>5.43</v>
      </c>
      <c r="F31" s="100">
        <v>0.22</v>
      </c>
      <c r="G31" s="100">
        <v>52.39</v>
      </c>
      <c r="H31" s="100">
        <v>29.39</v>
      </c>
      <c r="I31" s="100">
        <v>10.17</v>
      </c>
      <c r="J31" s="100">
        <v>0.14000000000000001</v>
      </c>
      <c r="K31" s="100">
        <v>187.25</v>
      </c>
      <c r="L31" s="100">
        <v>15.91</v>
      </c>
      <c r="M31" s="100">
        <v>80.34</v>
      </c>
      <c r="N31" s="100">
        <v>9.5</v>
      </c>
      <c r="O31" s="100">
        <v>0</v>
      </c>
      <c r="P31" s="100">
        <v>0.56000000000000005</v>
      </c>
      <c r="Q31" s="100">
        <v>9.32</v>
      </c>
      <c r="R31" s="6"/>
      <c r="S31" s="6"/>
      <c r="T31" s="156"/>
      <c r="U31" s="6"/>
    </row>
    <row r="32" spans="1:21" customFormat="1">
      <c r="A32" s="163" t="s">
        <v>750</v>
      </c>
      <c r="B32" s="100">
        <v>13.99</v>
      </c>
      <c r="C32" s="100">
        <v>16.34</v>
      </c>
      <c r="D32" s="100">
        <v>19.75</v>
      </c>
      <c r="E32" s="100">
        <v>5.17</v>
      </c>
      <c r="F32" s="100">
        <v>0.05</v>
      </c>
      <c r="G32" s="100">
        <v>52.5</v>
      </c>
      <c r="H32" s="100">
        <v>29.39</v>
      </c>
      <c r="I32" s="100">
        <v>10.1</v>
      </c>
      <c r="J32" s="100">
        <v>0.2</v>
      </c>
      <c r="K32" s="100">
        <v>161.57</v>
      </c>
      <c r="L32" s="100">
        <v>15.67</v>
      </c>
      <c r="M32" s="100">
        <v>80.72</v>
      </c>
      <c r="N32" s="100">
        <v>9.1999999999999993</v>
      </c>
      <c r="O32" s="100">
        <v>0</v>
      </c>
      <c r="P32" s="100">
        <v>0.55000000000000004</v>
      </c>
      <c r="Q32" s="100">
        <v>9.32</v>
      </c>
      <c r="R32" s="6"/>
      <c r="S32" s="6"/>
      <c r="T32" s="156"/>
      <c r="U32" s="6"/>
    </row>
    <row r="33" spans="1:21" customFormat="1">
      <c r="A33" s="163" t="s">
        <v>751</v>
      </c>
      <c r="B33" s="100">
        <v>14.34</v>
      </c>
      <c r="C33" s="100">
        <v>16.309999999999999</v>
      </c>
      <c r="D33" s="100">
        <v>20.03</v>
      </c>
      <c r="E33" s="100">
        <v>5.39</v>
      </c>
      <c r="F33" s="100">
        <v>0.03</v>
      </c>
      <c r="G33" s="100">
        <v>52.5</v>
      </c>
      <c r="H33" s="100">
        <v>29.39</v>
      </c>
      <c r="I33" s="100">
        <v>10.02</v>
      </c>
      <c r="J33" s="100">
        <v>0.14000000000000001</v>
      </c>
      <c r="K33" s="100">
        <v>167.92</v>
      </c>
      <c r="L33" s="100">
        <v>15.65</v>
      </c>
      <c r="M33" s="100">
        <v>78.48</v>
      </c>
      <c r="N33" s="100">
        <v>9.5</v>
      </c>
      <c r="O33" s="100">
        <v>0</v>
      </c>
      <c r="P33" s="100">
        <v>0.55000000000000004</v>
      </c>
      <c r="Q33" s="100">
        <v>9.32</v>
      </c>
      <c r="R33" s="6"/>
      <c r="S33" s="6"/>
      <c r="T33" s="156"/>
      <c r="U33" s="6"/>
    </row>
    <row r="34" spans="1:21" customFormat="1">
      <c r="A34" s="163" t="s">
        <v>752</v>
      </c>
      <c r="B34" s="100">
        <v>15.07</v>
      </c>
      <c r="C34" s="100">
        <v>16.55</v>
      </c>
      <c r="D34" s="100">
        <v>20.73</v>
      </c>
      <c r="E34" s="100">
        <v>5.58</v>
      </c>
      <c r="F34" s="100">
        <v>0.04</v>
      </c>
      <c r="G34" s="100">
        <v>52.5</v>
      </c>
      <c r="H34" s="100">
        <v>29.39</v>
      </c>
      <c r="I34" s="100">
        <v>9.9700000000000006</v>
      </c>
      <c r="J34" s="100">
        <v>0.19</v>
      </c>
      <c r="K34" s="100">
        <v>202.92</v>
      </c>
      <c r="L34" s="100">
        <v>15.49</v>
      </c>
      <c r="M34" s="100">
        <v>78.12</v>
      </c>
      <c r="N34" s="100">
        <v>10.8</v>
      </c>
      <c r="O34" s="100">
        <v>0</v>
      </c>
      <c r="P34" s="100">
        <v>0.55000000000000004</v>
      </c>
      <c r="Q34" s="100">
        <v>9.32</v>
      </c>
      <c r="R34" s="6"/>
      <c r="S34" s="6"/>
      <c r="T34" s="156"/>
      <c r="U34" s="6"/>
    </row>
    <row r="35" spans="1:21" customFormat="1">
      <c r="A35" s="163" t="s">
        <v>753</v>
      </c>
      <c r="B35" s="100">
        <v>15.46</v>
      </c>
      <c r="C35" s="100">
        <v>16.64</v>
      </c>
      <c r="D35" s="100">
        <v>21.09</v>
      </c>
      <c r="E35" s="100">
        <v>5.03</v>
      </c>
      <c r="F35" s="100">
        <v>0.04</v>
      </c>
      <c r="G35" s="100">
        <v>47.93</v>
      </c>
      <c r="H35" s="100">
        <v>25.57</v>
      </c>
      <c r="I35" s="100">
        <v>10</v>
      </c>
      <c r="J35" s="100">
        <v>0.19</v>
      </c>
      <c r="K35" s="100">
        <v>217.96</v>
      </c>
      <c r="L35" s="100">
        <v>15.3</v>
      </c>
      <c r="M35" s="100">
        <v>84.74</v>
      </c>
      <c r="N35" s="100">
        <v>15.7</v>
      </c>
      <c r="O35" s="100">
        <v>0</v>
      </c>
      <c r="P35" s="100">
        <v>0.55000000000000004</v>
      </c>
      <c r="Q35" s="100">
        <v>9.32</v>
      </c>
      <c r="R35" s="6"/>
      <c r="S35" s="6"/>
      <c r="T35" s="156"/>
      <c r="U35" s="6"/>
    </row>
    <row r="36" spans="1:21" customFormat="1">
      <c r="A36" s="163" t="s">
        <v>754</v>
      </c>
      <c r="B36" s="100">
        <v>15.37</v>
      </c>
      <c r="C36" s="100">
        <v>16.239999999999998</v>
      </c>
      <c r="D36" s="100">
        <v>20.81</v>
      </c>
      <c r="E36" s="100">
        <v>5.0999999999999996</v>
      </c>
      <c r="F36" s="100">
        <v>0.05</v>
      </c>
      <c r="G36" s="100">
        <v>47.83</v>
      </c>
      <c r="H36" s="100">
        <v>25.57</v>
      </c>
      <c r="I36" s="100">
        <v>10.050000000000001</v>
      </c>
      <c r="J36" s="100">
        <v>0.15</v>
      </c>
      <c r="K36" s="100">
        <v>207.79</v>
      </c>
      <c r="L36" s="100">
        <v>15.02</v>
      </c>
      <c r="M36" s="100">
        <v>84.99</v>
      </c>
      <c r="N36" s="100">
        <v>26.4</v>
      </c>
      <c r="O36" s="100">
        <v>0</v>
      </c>
      <c r="P36" s="100">
        <v>0.55000000000000004</v>
      </c>
      <c r="Q36" s="100">
        <v>9.32</v>
      </c>
      <c r="R36" s="6"/>
      <c r="S36" s="6"/>
      <c r="T36" s="156"/>
      <c r="U36" s="6"/>
    </row>
    <row r="37" spans="1:21" customFormat="1">
      <c r="A37" s="163" t="s">
        <v>755</v>
      </c>
      <c r="B37" s="100">
        <v>15.45</v>
      </c>
      <c r="C37" s="100">
        <v>16.16</v>
      </c>
      <c r="D37" s="100">
        <v>20.83</v>
      </c>
      <c r="E37" s="100">
        <v>5.35</v>
      </c>
      <c r="F37" s="100">
        <v>0.04</v>
      </c>
      <c r="G37" s="100">
        <v>47.83</v>
      </c>
      <c r="H37" s="100">
        <v>25.57</v>
      </c>
      <c r="I37" s="100">
        <v>10.06</v>
      </c>
      <c r="J37" s="100">
        <v>0.19</v>
      </c>
      <c r="K37" s="100">
        <v>170.9</v>
      </c>
      <c r="L37" s="100">
        <v>15.67</v>
      </c>
      <c r="M37" s="100">
        <v>82.63</v>
      </c>
      <c r="N37" s="100">
        <v>36.200000000000003</v>
      </c>
      <c r="O37" s="100">
        <v>0</v>
      </c>
      <c r="P37" s="100">
        <v>0.54</v>
      </c>
      <c r="Q37" s="100">
        <v>9.32</v>
      </c>
      <c r="R37" s="6"/>
      <c r="S37" s="6"/>
      <c r="T37" s="156"/>
      <c r="U37" s="6"/>
    </row>
    <row r="38" spans="1:21" customFormat="1">
      <c r="A38" s="163" t="s">
        <v>756</v>
      </c>
      <c r="B38" s="100">
        <v>15.74</v>
      </c>
      <c r="C38" s="100">
        <v>16.010000000000002</v>
      </c>
      <c r="D38" s="100">
        <v>20.99</v>
      </c>
      <c r="E38" s="100">
        <v>5.36</v>
      </c>
      <c r="F38" s="100">
        <v>0.04</v>
      </c>
      <c r="G38" s="100">
        <v>47.83</v>
      </c>
      <c r="H38" s="100">
        <v>25.57</v>
      </c>
      <c r="I38" s="100">
        <v>10.06</v>
      </c>
      <c r="J38" s="100">
        <v>0.05</v>
      </c>
      <c r="K38" s="100">
        <v>138.13</v>
      </c>
      <c r="L38" s="100">
        <v>16.37</v>
      </c>
      <c r="M38" s="100">
        <v>80.61</v>
      </c>
      <c r="N38" s="100">
        <v>48.3</v>
      </c>
      <c r="O38" s="100">
        <v>0</v>
      </c>
      <c r="P38" s="100">
        <v>0.54</v>
      </c>
      <c r="Q38" s="100">
        <v>9.32</v>
      </c>
      <c r="R38" s="6"/>
      <c r="S38" s="6"/>
      <c r="T38" s="156"/>
      <c r="U38" s="6"/>
    </row>
    <row r="39" spans="1:21" customFormat="1">
      <c r="A39" s="163" t="s">
        <v>757</v>
      </c>
      <c r="B39" s="100">
        <v>15.98</v>
      </c>
      <c r="C39" s="100">
        <v>15.86</v>
      </c>
      <c r="D39" s="100">
        <v>21.1</v>
      </c>
      <c r="E39" s="100">
        <v>5.09</v>
      </c>
      <c r="F39" s="100">
        <v>0.01</v>
      </c>
      <c r="G39" s="100">
        <v>55.63</v>
      </c>
      <c r="H39" s="100">
        <v>27.25</v>
      </c>
      <c r="I39" s="100">
        <v>10.130000000000001</v>
      </c>
      <c r="J39" s="100">
        <v>0.4</v>
      </c>
      <c r="K39" s="100">
        <v>29.88</v>
      </c>
      <c r="L39" s="100">
        <v>17.260000000000002</v>
      </c>
      <c r="M39" s="100">
        <v>63.68</v>
      </c>
      <c r="N39" s="100">
        <v>58.3</v>
      </c>
      <c r="O39" s="100">
        <v>0</v>
      </c>
      <c r="P39" s="100">
        <v>0.55000000000000004</v>
      </c>
      <c r="Q39" s="100">
        <v>9.32</v>
      </c>
      <c r="R39" s="6"/>
      <c r="S39" s="6"/>
      <c r="T39" s="156"/>
      <c r="U39" s="6"/>
    </row>
    <row r="40" spans="1:21" customFormat="1">
      <c r="A40" s="163" t="s">
        <v>758</v>
      </c>
      <c r="B40" s="100">
        <v>16.07</v>
      </c>
      <c r="C40" s="100">
        <v>16.11</v>
      </c>
      <c r="D40" s="100">
        <v>21.3</v>
      </c>
      <c r="E40" s="100">
        <v>5.29</v>
      </c>
      <c r="F40" s="100">
        <v>0.05</v>
      </c>
      <c r="G40" s="100">
        <v>55.81</v>
      </c>
      <c r="H40" s="100">
        <v>27.25</v>
      </c>
      <c r="I40" s="100">
        <v>10.25</v>
      </c>
      <c r="J40" s="100">
        <v>0.48</v>
      </c>
      <c r="K40" s="100">
        <v>22.1</v>
      </c>
      <c r="L40" s="100">
        <v>17.98</v>
      </c>
      <c r="M40" s="100">
        <v>57.13</v>
      </c>
      <c r="N40" s="100">
        <v>89</v>
      </c>
      <c r="O40" s="100">
        <v>0</v>
      </c>
      <c r="P40" s="100">
        <v>0.56000000000000005</v>
      </c>
      <c r="Q40" s="100">
        <v>9.32</v>
      </c>
      <c r="R40" s="6"/>
      <c r="S40" s="6"/>
      <c r="T40" s="156"/>
      <c r="U40" s="6"/>
    </row>
    <row r="41" spans="1:21" customFormat="1">
      <c r="A41" s="163" t="s">
        <v>759</v>
      </c>
      <c r="B41" s="100">
        <v>16.11</v>
      </c>
      <c r="C41" s="100">
        <v>16.579999999999998</v>
      </c>
      <c r="D41" s="100">
        <v>21.58</v>
      </c>
      <c r="E41" s="100">
        <v>5.31</v>
      </c>
      <c r="F41" s="100">
        <v>0.1</v>
      </c>
      <c r="G41" s="100">
        <v>55.81</v>
      </c>
      <c r="H41" s="100">
        <v>27.25</v>
      </c>
      <c r="I41" s="100">
        <v>10.42</v>
      </c>
      <c r="J41" s="100">
        <v>0.56000000000000005</v>
      </c>
      <c r="K41" s="100">
        <v>29.77</v>
      </c>
      <c r="L41" s="100">
        <v>18.63</v>
      </c>
      <c r="M41" s="100">
        <v>55.07</v>
      </c>
      <c r="N41" s="100">
        <v>206.7</v>
      </c>
      <c r="O41" s="100">
        <v>0</v>
      </c>
      <c r="P41" s="100">
        <v>0.56000000000000005</v>
      </c>
      <c r="Q41" s="100">
        <v>9.32</v>
      </c>
      <c r="R41" s="6"/>
      <c r="S41" s="6"/>
      <c r="T41" s="156"/>
      <c r="U41" s="6"/>
    </row>
    <row r="42" spans="1:21" customFormat="1">
      <c r="A42" s="163" t="s">
        <v>760</v>
      </c>
      <c r="B42" s="100">
        <v>15.89</v>
      </c>
      <c r="C42" s="100">
        <v>17.28</v>
      </c>
      <c r="D42" s="100">
        <v>21.77</v>
      </c>
      <c r="E42" s="100">
        <v>5.48</v>
      </c>
      <c r="F42" s="100">
        <v>0.03</v>
      </c>
      <c r="G42" s="100">
        <v>55.81</v>
      </c>
      <c r="H42" s="100">
        <v>27.25</v>
      </c>
      <c r="I42" s="100">
        <v>10.6</v>
      </c>
      <c r="J42" s="100">
        <v>0.64</v>
      </c>
      <c r="K42" s="100">
        <v>17.87</v>
      </c>
      <c r="L42" s="100">
        <v>19.47</v>
      </c>
      <c r="M42" s="100">
        <v>53.17</v>
      </c>
      <c r="N42" s="100">
        <v>249.6</v>
      </c>
      <c r="O42" s="100">
        <v>0</v>
      </c>
      <c r="P42" s="100">
        <v>0.56999999999999995</v>
      </c>
      <c r="Q42" s="100">
        <v>9.32</v>
      </c>
      <c r="R42" s="6"/>
      <c r="S42" s="6"/>
      <c r="T42" s="156"/>
      <c r="U42" s="6"/>
    </row>
    <row r="43" spans="1:21" customFormat="1">
      <c r="A43" s="163" t="s">
        <v>761</v>
      </c>
      <c r="B43" s="100">
        <v>15.7</v>
      </c>
      <c r="C43" s="100">
        <v>18.04</v>
      </c>
      <c r="D43" s="100">
        <v>22.01</v>
      </c>
      <c r="E43" s="100">
        <v>5.68</v>
      </c>
      <c r="F43" s="100">
        <v>0.05</v>
      </c>
      <c r="G43" s="100">
        <v>69.02</v>
      </c>
      <c r="H43" s="100">
        <v>29.35</v>
      </c>
      <c r="I43" s="100">
        <v>10.75</v>
      </c>
      <c r="J43" s="100">
        <v>0.89</v>
      </c>
      <c r="K43" s="100">
        <v>46.71</v>
      </c>
      <c r="L43" s="100">
        <v>20.34</v>
      </c>
      <c r="M43" s="100">
        <v>48.03</v>
      </c>
      <c r="N43" s="100">
        <v>289.60000000000002</v>
      </c>
      <c r="O43" s="100">
        <v>0</v>
      </c>
      <c r="P43" s="100">
        <v>0.56999999999999995</v>
      </c>
      <c r="Q43" s="100">
        <v>9.32</v>
      </c>
      <c r="R43" s="6"/>
      <c r="S43" s="6"/>
      <c r="T43" s="156"/>
      <c r="U43" s="6"/>
    </row>
    <row r="44" spans="1:21" customFormat="1">
      <c r="A44" s="163" t="s">
        <v>762</v>
      </c>
      <c r="B44" s="100">
        <v>15.39</v>
      </c>
      <c r="C44" s="100">
        <v>18.12</v>
      </c>
      <c r="D44" s="100">
        <v>21.81</v>
      </c>
      <c r="E44" s="100">
        <v>5.3</v>
      </c>
      <c r="F44" s="100">
        <v>0.03</v>
      </c>
      <c r="G44" s="100">
        <v>69.319999999999993</v>
      </c>
      <c r="H44" s="100">
        <v>29.35</v>
      </c>
      <c r="I44" s="100">
        <v>10.83</v>
      </c>
      <c r="J44" s="100">
        <v>0.8</v>
      </c>
      <c r="K44" s="100">
        <v>48.47</v>
      </c>
      <c r="L44" s="100">
        <v>21.26</v>
      </c>
      <c r="M44" s="100">
        <v>44.13</v>
      </c>
      <c r="N44" s="100">
        <v>313.7</v>
      </c>
      <c r="O44" s="100">
        <v>0</v>
      </c>
      <c r="P44" s="100">
        <v>0.56999999999999995</v>
      </c>
      <c r="Q44" s="100">
        <v>9.32</v>
      </c>
      <c r="R44" s="6"/>
      <c r="S44" s="6"/>
      <c r="T44" s="156"/>
      <c r="U44" s="6"/>
    </row>
    <row r="45" spans="1:21" customFormat="1">
      <c r="A45" s="163" t="s">
        <v>763</v>
      </c>
      <c r="B45" s="100">
        <v>14.89</v>
      </c>
      <c r="C45" s="100">
        <v>18.489999999999998</v>
      </c>
      <c r="D45" s="100">
        <v>21.6</v>
      </c>
      <c r="E45" s="100">
        <v>5.68</v>
      </c>
      <c r="F45" s="100">
        <v>0.03</v>
      </c>
      <c r="G45" s="100">
        <v>69.319999999999993</v>
      </c>
      <c r="H45" s="100">
        <v>29.35</v>
      </c>
      <c r="I45" s="100">
        <v>10.86</v>
      </c>
      <c r="J45" s="100">
        <v>0.96</v>
      </c>
      <c r="K45" s="100">
        <v>35.54</v>
      </c>
      <c r="L45" s="100">
        <v>21.89</v>
      </c>
      <c r="M45" s="100">
        <v>39.42</v>
      </c>
      <c r="N45" s="100">
        <v>146.9</v>
      </c>
      <c r="O45" s="100">
        <v>0</v>
      </c>
      <c r="P45" s="100">
        <v>0.56999999999999995</v>
      </c>
      <c r="Q45" s="100">
        <v>9.32</v>
      </c>
      <c r="R45" s="6"/>
      <c r="S45" s="6"/>
      <c r="T45" s="156"/>
      <c r="U45" s="6"/>
    </row>
    <row r="46" spans="1:21" customFormat="1">
      <c r="A46" s="163" t="s">
        <v>764</v>
      </c>
      <c r="B46" s="100">
        <v>14.29</v>
      </c>
      <c r="C46" s="100">
        <v>18.87</v>
      </c>
      <c r="D46" s="100">
        <v>21.32</v>
      </c>
      <c r="E46" s="100">
        <v>5.57</v>
      </c>
      <c r="F46" s="100">
        <v>0.14000000000000001</v>
      </c>
      <c r="G46" s="100">
        <v>69.319999999999993</v>
      </c>
      <c r="H46" s="100">
        <v>29.35</v>
      </c>
      <c r="I46" s="100">
        <v>10.85</v>
      </c>
      <c r="J46" s="100">
        <v>0.98</v>
      </c>
      <c r="K46" s="100">
        <v>44.36</v>
      </c>
      <c r="L46" s="100">
        <v>22.48</v>
      </c>
      <c r="M46" s="100">
        <v>37.700000000000003</v>
      </c>
      <c r="N46" s="100">
        <v>125.4</v>
      </c>
      <c r="O46" s="100">
        <v>0</v>
      </c>
      <c r="P46" s="100">
        <v>0.56000000000000005</v>
      </c>
      <c r="Q46" s="100">
        <v>9.32</v>
      </c>
      <c r="R46" s="6"/>
      <c r="S46" s="6"/>
      <c r="T46" s="156"/>
      <c r="U46" s="6"/>
    </row>
    <row r="47" spans="1:21" customFormat="1">
      <c r="A47" s="163" t="s">
        <v>765</v>
      </c>
      <c r="B47" s="100">
        <v>13.81</v>
      </c>
      <c r="C47" s="100">
        <v>19.13</v>
      </c>
      <c r="D47" s="100">
        <v>21.07</v>
      </c>
      <c r="E47" s="100">
        <v>5.8</v>
      </c>
      <c r="F47" s="100">
        <v>0.12</v>
      </c>
      <c r="G47" s="100">
        <v>59.02</v>
      </c>
      <c r="H47" s="100">
        <v>28.74</v>
      </c>
      <c r="I47" s="100">
        <v>10.75</v>
      </c>
      <c r="J47" s="100">
        <v>1.04</v>
      </c>
      <c r="K47" s="100">
        <v>40.29</v>
      </c>
      <c r="L47" s="100">
        <v>23.16</v>
      </c>
      <c r="M47" s="100">
        <v>36.380000000000003</v>
      </c>
      <c r="N47" s="100">
        <v>131.1</v>
      </c>
      <c r="O47" s="100">
        <v>0</v>
      </c>
      <c r="P47" s="100">
        <v>0.56000000000000005</v>
      </c>
      <c r="Q47" s="100">
        <v>9.32</v>
      </c>
      <c r="R47" s="6"/>
      <c r="S47" s="6"/>
      <c r="T47" s="156"/>
      <c r="U47" s="6"/>
    </row>
    <row r="48" spans="1:21" customFormat="1">
      <c r="A48" s="163" t="s">
        <v>766</v>
      </c>
      <c r="B48" s="100">
        <v>13.48</v>
      </c>
      <c r="C48" s="100">
        <v>19.55</v>
      </c>
      <c r="D48" s="100">
        <v>21.02</v>
      </c>
      <c r="E48" s="100">
        <v>5.76</v>
      </c>
      <c r="F48" s="100">
        <v>0.13</v>
      </c>
      <c r="G48" s="100">
        <v>58.79</v>
      </c>
      <c r="H48" s="100">
        <v>28.74</v>
      </c>
      <c r="I48" s="100">
        <v>10.62</v>
      </c>
      <c r="J48" s="100">
        <v>1.1499999999999999</v>
      </c>
      <c r="K48" s="100">
        <v>40.65</v>
      </c>
      <c r="L48" s="100">
        <v>23.59</v>
      </c>
      <c r="M48" s="100">
        <v>35.6</v>
      </c>
      <c r="N48" s="100">
        <v>322.8</v>
      </c>
      <c r="O48" s="100">
        <v>0</v>
      </c>
      <c r="P48" s="100">
        <v>0.56000000000000005</v>
      </c>
      <c r="Q48" s="100">
        <v>9.32</v>
      </c>
      <c r="R48" s="6"/>
      <c r="S48" s="6"/>
      <c r="T48" s="156"/>
      <c r="U48" s="6"/>
    </row>
    <row r="49" spans="1:21" customFormat="1">
      <c r="A49" s="163" t="s">
        <v>767</v>
      </c>
      <c r="B49" s="100">
        <v>13.3</v>
      </c>
      <c r="C49" s="100">
        <v>19.7</v>
      </c>
      <c r="D49" s="100">
        <v>20.96</v>
      </c>
      <c r="E49" s="100">
        <v>4.13</v>
      </c>
      <c r="F49" s="100">
        <v>0.14000000000000001</v>
      </c>
      <c r="G49" s="100">
        <v>58.79</v>
      </c>
      <c r="H49" s="100">
        <v>28.74</v>
      </c>
      <c r="I49" s="100">
        <v>10.51</v>
      </c>
      <c r="J49" s="100">
        <v>1.01</v>
      </c>
      <c r="K49" s="100">
        <v>38.520000000000003</v>
      </c>
      <c r="L49" s="100">
        <v>24.66</v>
      </c>
      <c r="M49" s="100">
        <v>32.92</v>
      </c>
      <c r="N49" s="100">
        <v>507.3</v>
      </c>
      <c r="O49" s="100">
        <v>0</v>
      </c>
      <c r="P49" s="100">
        <v>0.56000000000000005</v>
      </c>
      <c r="Q49" s="100">
        <v>9.32</v>
      </c>
      <c r="R49" s="6"/>
      <c r="S49" s="6"/>
      <c r="T49" s="156"/>
      <c r="U49" s="6"/>
    </row>
    <row r="50" spans="1:21" customFormat="1">
      <c r="A50" s="163" t="s">
        <v>768</v>
      </c>
      <c r="B50" s="100">
        <v>13.28</v>
      </c>
      <c r="C50" s="100">
        <v>19.649999999999999</v>
      </c>
      <c r="D50" s="100">
        <v>20.92</v>
      </c>
      <c r="E50" s="100">
        <v>5.38</v>
      </c>
      <c r="F50" s="100">
        <v>0.52</v>
      </c>
      <c r="G50" s="100">
        <v>58.79</v>
      </c>
      <c r="H50" s="100">
        <v>28.74</v>
      </c>
      <c r="I50" s="100">
        <v>10.39</v>
      </c>
      <c r="J50" s="100">
        <v>0.56000000000000005</v>
      </c>
      <c r="K50" s="100">
        <v>48.35</v>
      </c>
      <c r="L50" s="100">
        <v>25.64</v>
      </c>
      <c r="M50" s="100">
        <v>29.36</v>
      </c>
      <c r="N50" s="100">
        <v>544.5</v>
      </c>
      <c r="O50" s="100">
        <v>0</v>
      </c>
      <c r="P50" s="100">
        <v>0.55000000000000004</v>
      </c>
      <c r="Q50" s="100">
        <v>9.32</v>
      </c>
      <c r="R50" s="6"/>
      <c r="S50" s="6"/>
      <c r="T50" s="156"/>
      <c r="U50" s="6"/>
    </row>
    <row r="51" spans="1:21" customFormat="1">
      <c r="A51" s="163" t="s">
        <v>769</v>
      </c>
      <c r="B51" s="100">
        <v>11.98</v>
      </c>
      <c r="C51" s="100">
        <v>21.22</v>
      </c>
      <c r="D51" s="100">
        <v>20.7</v>
      </c>
      <c r="E51" s="100">
        <v>6</v>
      </c>
      <c r="F51" s="100">
        <v>1.42</v>
      </c>
      <c r="G51" s="100">
        <v>66.44</v>
      </c>
      <c r="H51" s="100">
        <v>27.59</v>
      </c>
      <c r="I51" s="100">
        <v>10.38</v>
      </c>
      <c r="J51" s="100">
        <v>0.45</v>
      </c>
      <c r="K51" s="100">
        <v>70.349999999999994</v>
      </c>
      <c r="L51" s="100">
        <v>26.32</v>
      </c>
      <c r="M51" s="100">
        <v>27.93</v>
      </c>
      <c r="N51" s="100">
        <v>577.29999999999995</v>
      </c>
      <c r="O51" s="100">
        <v>0</v>
      </c>
      <c r="P51" s="100">
        <v>0.51</v>
      </c>
      <c r="Q51" s="100">
        <v>9.32</v>
      </c>
      <c r="R51" s="6"/>
      <c r="S51" s="6"/>
      <c r="T51" s="156"/>
      <c r="U51" s="6"/>
    </row>
    <row r="52" spans="1:21" customFormat="1">
      <c r="A52" s="163" t="s">
        <v>770</v>
      </c>
      <c r="B52" s="100">
        <v>8.91</v>
      </c>
      <c r="C52" s="100">
        <v>25.01</v>
      </c>
      <c r="D52" s="100">
        <v>20.21</v>
      </c>
      <c r="E52" s="100">
        <v>5.96</v>
      </c>
      <c r="F52" s="100">
        <v>2.27</v>
      </c>
      <c r="G52" s="100">
        <v>66.61</v>
      </c>
      <c r="H52" s="100">
        <v>27.59</v>
      </c>
      <c r="I52" s="100">
        <v>10.33</v>
      </c>
      <c r="J52" s="100">
        <v>0.6</v>
      </c>
      <c r="K52" s="100">
        <v>44.27</v>
      </c>
      <c r="L52" s="100">
        <v>26.55</v>
      </c>
      <c r="M52" s="100">
        <v>26.98</v>
      </c>
      <c r="N52" s="100">
        <v>610.6</v>
      </c>
      <c r="O52" s="100">
        <v>0</v>
      </c>
      <c r="P52" s="100">
        <v>0.48</v>
      </c>
      <c r="Q52" s="100">
        <v>9.32</v>
      </c>
      <c r="R52" s="6"/>
      <c r="S52" s="6"/>
      <c r="T52" s="156"/>
      <c r="U52" s="6"/>
    </row>
    <row r="53" spans="1:21" customFormat="1">
      <c r="A53" s="163" t="s">
        <v>771</v>
      </c>
      <c r="B53" s="100">
        <v>6.74</v>
      </c>
      <c r="C53" s="100">
        <v>27.6</v>
      </c>
      <c r="D53" s="100">
        <v>19.82</v>
      </c>
      <c r="E53" s="100">
        <v>5.66</v>
      </c>
      <c r="F53" s="100">
        <v>3.18</v>
      </c>
      <c r="G53" s="100">
        <v>66.61</v>
      </c>
      <c r="H53" s="100">
        <v>27.59</v>
      </c>
      <c r="I53" s="100">
        <v>9.6999999999999993</v>
      </c>
      <c r="J53" s="100">
        <v>0.66</v>
      </c>
      <c r="K53" s="100">
        <v>42.75</v>
      </c>
      <c r="L53" s="100">
        <v>26.93</v>
      </c>
      <c r="M53" s="100">
        <v>25.37</v>
      </c>
      <c r="N53" s="100">
        <v>592.4</v>
      </c>
      <c r="O53" s="100">
        <v>0</v>
      </c>
      <c r="P53" s="100">
        <v>0.46</v>
      </c>
      <c r="Q53" s="100">
        <v>9.32</v>
      </c>
      <c r="R53" s="6"/>
      <c r="S53" s="6"/>
      <c r="T53" s="156"/>
      <c r="U53" s="6"/>
    </row>
    <row r="54" spans="1:21" customFormat="1">
      <c r="A54" s="163" t="s">
        <v>772</v>
      </c>
      <c r="B54" s="100">
        <v>5.44</v>
      </c>
      <c r="C54" s="100">
        <v>28.36</v>
      </c>
      <c r="D54" s="100">
        <v>19.170000000000002</v>
      </c>
      <c r="E54" s="100">
        <v>5.82</v>
      </c>
      <c r="F54" s="100">
        <v>4.37</v>
      </c>
      <c r="G54" s="100">
        <v>66.61</v>
      </c>
      <c r="H54" s="100">
        <v>27.59</v>
      </c>
      <c r="I54" s="100">
        <v>8.89</v>
      </c>
      <c r="J54" s="100">
        <v>0.53</v>
      </c>
      <c r="K54" s="100">
        <v>61.44</v>
      </c>
      <c r="L54" s="100">
        <v>27.71</v>
      </c>
      <c r="M54" s="100">
        <v>24.33</v>
      </c>
      <c r="N54" s="100">
        <v>639.6</v>
      </c>
      <c r="O54" s="100">
        <v>0</v>
      </c>
      <c r="P54" s="100">
        <v>0.43</v>
      </c>
      <c r="Q54" s="100">
        <v>9.32</v>
      </c>
      <c r="R54" s="6"/>
      <c r="S54" s="6"/>
      <c r="T54" s="156"/>
      <c r="U54" s="6"/>
    </row>
    <row r="55" spans="1:21" customFormat="1">
      <c r="A55" s="163" t="s">
        <v>773</v>
      </c>
      <c r="B55" s="100">
        <v>4.84</v>
      </c>
      <c r="C55" s="100">
        <v>29.34</v>
      </c>
      <c r="D55" s="100">
        <v>19.21</v>
      </c>
      <c r="E55" s="100">
        <v>6.38</v>
      </c>
      <c r="F55" s="100">
        <v>8.7200000000000006</v>
      </c>
      <c r="G55" s="100">
        <v>70.510000000000005</v>
      </c>
      <c r="H55" s="100">
        <v>28.13</v>
      </c>
      <c r="I55" s="100">
        <v>8.33</v>
      </c>
      <c r="J55" s="100">
        <v>0.64</v>
      </c>
      <c r="K55" s="100">
        <v>6.4</v>
      </c>
      <c r="L55" s="100">
        <v>27.76</v>
      </c>
      <c r="M55" s="100">
        <v>24.66</v>
      </c>
      <c r="N55" s="100">
        <v>633.1</v>
      </c>
      <c r="O55" s="100">
        <v>0</v>
      </c>
      <c r="P55" s="100">
        <v>0.43</v>
      </c>
      <c r="Q55" s="100">
        <v>9.32</v>
      </c>
      <c r="R55" s="6"/>
      <c r="S55" s="6"/>
      <c r="T55" s="156"/>
      <c r="U55" s="6"/>
    </row>
    <row r="56" spans="1:21" customFormat="1">
      <c r="A56" s="163" t="s">
        <v>774</v>
      </c>
      <c r="B56" s="100">
        <v>3.91</v>
      </c>
      <c r="C56" s="100">
        <v>28.1</v>
      </c>
      <c r="D56" s="100">
        <v>17.82</v>
      </c>
      <c r="E56" s="100">
        <v>7.01</v>
      </c>
      <c r="F56" s="100">
        <v>13.32</v>
      </c>
      <c r="G56" s="100">
        <v>70.599999999999994</v>
      </c>
      <c r="H56" s="100">
        <v>28.13</v>
      </c>
      <c r="I56" s="100">
        <v>7.18</v>
      </c>
      <c r="J56" s="100">
        <v>0.41</v>
      </c>
      <c r="K56" s="100">
        <v>21.9</v>
      </c>
      <c r="L56" s="100">
        <v>27.91</v>
      </c>
      <c r="M56" s="100">
        <v>24.32</v>
      </c>
      <c r="N56" s="100">
        <v>646.29999999999995</v>
      </c>
      <c r="O56" s="100">
        <v>0</v>
      </c>
      <c r="P56" s="100">
        <v>0.4</v>
      </c>
      <c r="Q56" s="100">
        <v>9.32</v>
      </c>
      <c r="R56" s="6"/>
      <c r="S56" s="6"/>
      <c r="T56" s="156"/>
      <c r="U56" s="6"/>
    </row>
    <row r="57" spans="1:21" customFormat="1">
      <c r="A57" s="163" t="s">
        <v>775</v>
      </c>
      <c r="B57" s="100">
        <v>3.37</v>
      </c>
      <c r="C57" s="100">
        <v>26.33</v>
      </c>
      <c r="D57" s="100">
        <v>16.46</v>
      </c>
      <c r="E57" s="100">
        <v>5.01</v>
      </c>
      <c r="F57" s="100">
        <v>10.87</v>
      </c>
      <c r="G57" s="100">
        <v>70.599999999999994</v>
      </c>
      <c r="H57" s="100">
        <v>28.13</v>
      </c>
      <c r="I57" s="100">
        <v>6.11</v>
      </c>
      <c r="J57" s="100">
        <v>0.3</v>
      </c>
      <c r="K57" s="100">
        <v>6.01</v>
      </c>
      <c r="L57" s="100">
        <v>28.2</v>
      </c>
      <c r="M57" s="100">
        <v>24.12</v>
      </c>
      <c r="N57" s="100">
        <v>640.1</v>
      </c>
      <c r="O57" s="100">
        <v>0</v>
      </c>
      <c r="P57" s="100">
        <v>0.4</v>
      </c>
      <c r="Q57" s="100">
        <v>9.32</v>
      </c>
      <c r="R57" s="6"/>
      <c r="S57" s="6"/>
      <c r="T57" s="156"/>
      <c r="U57" s="6"/>
    </row>
    <row r="58" spans="1:21" customFormat="1">
      <c r="A58" s="163" t="s">
        <v>776</v>
      </c>
      <c r="B58" s="100">
        <v>3.28</v>
      </c>
      <c r="C58" s="100">
        <v>24.59</v>
      </c>
      <c r="D58" s="100">
        <v>15.48</v>
      </c>
      <c r="E58" s="100">
        <v>4.82</v>
      </c>
      <c r="F58" s="100">
        <v>10.130000000000001</v>
      </c>
      <c r="G58" s="100">
        <v>70.599999999999994</v>
      </c>
      <c r="H58" s="100">
        <v>28.13</v>
      </c>
      <c r="I58" s="100">
        <v>5.83</v>
      </c>
      <c r="J58" s="100">
        <v>0.5</v>
      </c>
      <c r="K58" s="100">
        <v>57.75</v>
      </c>
      <c r="L58" s="100">
        <v>28.4</v>
      </c>
      <c r="M58" s="100">
        <v>23.65</v>
      </c>
      <c r="N58" s="100">
        <v>574.6</v>
      </c>
      <c r="O58" s="100">
        <v>0</v>
      </c>
      <c r="P58" s="100">
        <v>0.4</v>
      </c>
      <c r="Q58" s="100">
        <v>9.32</v>
      </c>
      <c r="R58" s="6"/>
      <c r="S58" s="6"/>
      <c r="T58" s="156"/>
      <c r="U58" s="6"/>
    </row>
    <row r="59" spans="1:21" customFormat="1">
      <c r="A59" s="163" t="s">
        <v>777</v>
      </c>
      <c r="B59" s="100">
        <v>3.21</v>
      </c>
      <c r="C59" s="100">
        <v>24.08</v>
      </c>
      <c r="D59" s="100">
        <v>15.16</v>
      </c>
      <c r="E59" s="100">
        <v>4.2699999999999996</v>
      </c>
      <c r="F59" s="100">
        <v>10.06</v>
      </c>
      <c r="G59" s="100">
        <v>64.87</v>
      </c>
      <c r="H59" s="100">
        <v>27.25</v>
      </c>
      <c r="I59" s="100">
        <v>5.59</v>
      </c>
      <c r="J59" s="100">
        <v>0.45</v>
      </c>
      <c r="K59" s="100">
        <v>354.37</v>
      </c>
      <c r="L59" s="100">
        <v>28.6</v>
      </c>
      <c r="M59" s="100">
        <v>23.57</v>
      </c>
      <c r="N59" s="100">
        <v>625.4</v>
      </c>
      <c r="O59" s="100">
        <v>0</v>
      </c>
      <c r="P59" s="100">
        <v>0.41</v>
      </c>
      <c r="Q59" s="100">
        <v>9.32</v>
      </c>
      <c r="R59" s="6"/>
      <c r="S59" s="6"/>
      <c r="T59" s="156"/>
      <c r="U59" s="6"/>
    </row>
    <row r="60" spans="1:21" customFormat="1">
      <c r="A60" s="163" t="s">
        <v>778</v>
      </c>
      <c r="B60" s="100">
        <v>3.21</v>
      </c>
      <c r="C60" s="100">
        <v>23.02</v>
      </c>
      <c r="D60" s="100">
        <v>14.6</v>
      </c>
      <c r="E60" s="100">
        <v>3.25</v>
      </c>
      <c r="F60" s="100">
        <v>5.62</v>
      </c>
      <c r="G60" s="100">
        <v>64.739999999999995</v>
      </c>
      <c r="H60" s="100">
        <v>27.25</v>
      </c>
      <c r="I60" s="100">
        <v>6.41</v>
      </c>
      <c r="J60" s="100">
        <v>0.28999999999999998</v>
      </c>
      <c r="K60" s="100">
        <v>18.38</v>
      </c>
      <c r="L60" s="100">
        <v>28.71</v>
      </c>
      <c r="M60" s="100">
        <v>23.93</v>
      </c>
      <c r="N60" s="100">
        <v>573.5</v>
      </c>
      <c r="O60" s="100">
        <v>0</v>
      </c>
      <c r="P60" s="100">
        <v>0.41</v>
      </c>
      <c r="Q60" s="100">
        <v>9.32</v>
      </c>
      <c r="R60" s="6"/>
      <c r="S60" s="6"/>
      <c r="T60" s="156"/>
      <c r="U60" s="6"/>
    </row>
    <row r="61" spans="1:21" customFormat="1">
      <c r="A61" s="163" t="s">
        <v>779</v>
      </c>
      <c r="B61" s="100">
        <v>3.41</v>
      </c>
      <c r="C61" s="100">
        <v>22.6</v>
      </c>
      <c r="D61" s="100">
        <v>14.54</v>
      </c>
      <c r="E61" s="100">
        <v>4.75</v>
      </c>
      <c r="F61" s="100">
        <v>8.4</v>
      </c>
      <c r="G61" s="100">
        <v>64.739999999999995</v>
      </c>
      <c r="H61" s="100">
        <v>27.25</v>
      </c>
      <c r="I61" s="100">
        <v>6.52</v>
      </c>
      <c r="J61" s="100">
        <v>0.53</v>
      </c>
      <c r="K61" s="100">
        <v>6.36</v>
      </c>
      <c r="L61" s="100">
        <v>28.68</v>
      </c>
      <c r="M61" s="100">
        <v>21.25</v>
      </c>
      <c r="N61" s="100">
        <v>525</v>
      </c>
      <c r="O61" s="100">
        <v>0</v>
      </c>
      <c r="P61" s="100">
        <v>0.41</v>
      </c>
      <c r="Q61" s="100">
        <v>9.32</v>
      </c>
      <c r="R61" s="6"/>
      <c r="S61" s="6"/>
      <c r="T61" s="156"/>
      <c r="U61" s="6"/>
    </row>
    <row r="62" spans="1:21" customFormat="1">
      <c r="A62" s="163" t="s">
        <v>780</v>
      </c>
      <c r="B62" s="100">
        <v>3.37</v>
      </c>
      <c r="C62" s="100">
        <v>23.13</v>
      </c>
      <c r="D62" s="100">
        <v>14.79</v>
      </c>
      <c r="E62" s="100">
        <v>5.37</v>
      </c>
      <c r="F62" s="100">
        <v>10.41</v>
      </c>
      <c r="G62" s="100">
        <v>64.739999999999995</v>
      </c>
      <c r="H62" s="100">
        <v>27.25</v>
      </c>
      <c r="I62" s="100">
        <v>5.58</v>
      </c>
      <c r="J62" s="100">
        <v>0.43</v>
      </c>
      <c r="K62" s="100">
        <v>51.99</v>
      </c>
      <c r="L62" s="100">
        <v>28.65</v>
      </c>
      <c r="M62" s="100">
        <v>21.32</v>
      </c>
      <c r="N62" s="100">
        <v>241.1</v>
      </c>
      <c r="O62" s="100">
        <v>0</v>
      </c>
      <c r="P62" s="100">
        <v>0.41</v>
      </c>
      <c r="Q62" s="100">
        <v>9.32</v>
      </c>
      <c r="R62" s="6"/>
      <c r="S62" s="6"/>
      <c r="T62" s="156"/>
      <c r="U62" s="6"/>
    </row>
    <row r="63" spans="1:21" customFormat="1">
      <c r="A63" s="163" t="s">
        <v>781</v>
      </c>
      <c r="B63" s="100">
        <v>3.5</v>
      </c>
      <c r="C63" s="100">
        <v>23.96</v>
      </c>
      <c r="D63" s="100">
        <v>15.33</v>
      </c>
      <c r="E63" s="100">
        <v>6.12</v>
      </c>
      <c r="F63" s="100">
        <v>10.19</v>
      </c>
      <c r="G63" s="100">
        <v>50.81</v>
      </c>
      <c r="H63" s="100">
        <v>27.78</v>
      </c>
      <c r="I63" s="100">
        <v>6.4</v>
      </c>
      <c r="J63" s="100">
        <v>0.65</v>
      </c>
      <c r="K63" s="100">
        <v>27.78</v>
      </c>
      <c r="L63" s="100">
        <v>28.65</v>
      </c>
      <c r="M63" s="100">
        <v>21.59</v>
      </c>
      <c r="N63" s="100">
        <v>164</v>
      </c>
      <c r="O63" s="100">
        <v>0</v>
      </c>
      <c r="P63" s="100">
        <v>0.41</v>
      </c>
      <c r="Q63" s="100">
        <v>9.32</v>
      </c>
      <c r="R63" s="6"/>
      <c r="S63" s="6"/>
      <c r="T63" s="156"/>
      <c r="U63" s="6"/>
    </row>
    <row r="64" spans="1:21" customFormat="1">
      <c r="A64" s="163" t="s">
        <v>782</v>
      </c>
      <c r="B64" s="100">
        <v>3.69</v>
      </c>
      <c r="C64" s="100">
        <v>26.46</v>
      </c>
      <c r="D64" s="100">
        <v>16.78</v>
      </c>
      <c r="E64" s="100">
        <v>8.6999999999999993</v>
      </c>
      <c r="F64" s="100">
        <v>14.33</v>
      </c>
      <c r="G64" s="100">
        <v>50.5</v>
      </c>
      <c r="H64" s="100">
        <v>27.78</v>
      </c>
      <c r="I64" s="100">
        <v>7.24</v>
      </c>
      <c r="J64" s="100">
        <v>0.45</v>
      </c>
      <c r="K64" s="100">
        <v>26.8</v>
      </c>
      <c r="L64" s="100">
        <v>28.66</v>
      </c>
      <c r="M64" s="100">
        <v>21.16</v>
      </c>
      <c r="N64" s="100">
        <v>127.7</v>
      </c>
      <c r="O64" s="100">
        <v>0</v>
      </c>
      <c r="P64" s="100">
        <v>0.41</v>
      </c>
      <c r="Q64" s="100">
        <v>9.32</v>
      </c>
      <c r="R64" s="6"/>
      <c r="S64" s="6"/>
      <c r="T64" s="156"/>
      <c r="U64" s="6"/>
    </row>
    <row r="65" spans="1:21" customFormat="1">
      <c r="A65" s="163" t="s">
        <v>783</v>
      </c>
      <c r="B65" s="100">
        <v>3.52</v>
      </c>
      <c r="C65" s="100">
        <v>26.8</v>
      </c>
      <c r="D65" s="100">
        <v>16.82</v>
      </c>
      <c r="E65" s="100">
        <v>10.220000000000001</v>
      </c>
      <c r="F65" s="100">
        <v>13.99</v>
      </c>
      <c r="G65" s="100">
        <v>50.5</v>
      </c>
      <c r="H65" s="100">
        <v>27.78</v>
      </c>
      <c r="I65" s="100">
        <v>7.13</v>
      </c>
      <c r="J65" s="100">
        <v>0.17</v>
      </c>
      <c r="K65" s="100">
        <v>324.82</v>
      </c>
      <c r="L65" s="100">
        <v>28.65</v>
      </c>
      <c r="M65" s="100">
        <v>21.27</v>
      </c>
      <c r="N65" s="100">
        <v>129.5</v>
      </c>
      <c r="O65" s="100">
        <v>0</v>
      </c>
      <c r="P65" s="100">
        <v>0.35</v>
      </c>
      <c r="Q65" s="100">
        <v>9.32</v>
      </c>
      <c r="R65" s="6"/>
      <c r="S65" s="6"/>
      <c r="T65" s="156"/>
      <c r="U65" s="6"/>
    </row>
    <row r="66" spans="1:21" customFormat="1">
      <c r="A66" s="163" t="s">
        <v>784</v>
      </c>
      <c r="B66" s="100">
        <v>3.2</v>
      </c>
      <c r="C66" s="100">
        <v>24.95</v>
      </c>
      <c r="D66" s="100">
        <v>15.6</v>
      </c>
      <c r="E66" s="100">
        <v>12.84</v>
      </c>
      <c r="F66" s="100">
        <v>20.440000000000001</v>
      </c>
      <c r="G66" s="100">
        <v>50.5</v>
      </c>
      <c r="H66" s="100">
        <v>27.78</v>
      </c>
      <c r="I66" s="100">
        <v>7.03</v>
      </c>
      <c r="J66" s="100">
        <v>0.59</v>
      </c>
      <c r="K66" s="100">
        <v>33.89</v>
      </c>
      <c r="L66" s="100">
        <v>28.67</v>
      </c>
      <c r="M66" s="100">
        <v>21.41</v>
      </c>
      <c r="N66" s="100">
        <v>123.3</v>
      </c>
      <c r="O66" s="100">
        <v>0</v>
      </c>
      <c r="P66" s="100">
        <v>0.38</v>
      </c>
      <c r="Q66" s="100">
        <v>9.32</v>
      </c>
      <c r="R66" s="6"/>
      <c r="S66" s="6"/>
      <c r="T66" s="156"/>
      <c r="U66" s="6"/>
    </row>
    <row r="67" spans="1:21" customFormat="1">
      <c r="A67" s="163" t="s">
        <v>785</v>
      </c>
      <c r="B67" s="100">
        <v>3.06</v>
      </c>
      <c r="C67" s="100">
        <v>25.11</v>
      </c>
      <c r="D67" s="100">
        <v>15.57</v>
      </c>
      <c r="E67" s="100">
        <v>13.73</v>
      </c>
      <c r="F67" s="100">
        <v>21.84</v>
      </c>
      <c r="G67" s="100">
        <v>55.34</v>
      </c>
      <c r="H67" s="100">
        <v>26.39</v>
      </c>
      <c r="I67" s="100">
        <v>6.93</v>
      </c>
      <c r="J67" s="100">
        <v>0.49</v>
      </c>
      <c r="K67" s="100">
        <v>54.39</v>
      </c>
      <c r="L67" s="100">
        <v>28.9</v>
      </c>
      <c r="M67" s="100">
        <v>20.51</v>
      </c>
      <c r="N67" s="100">
        <v>131.9</v>
      </c>
      <c r="O67" s="100">
        <v>0</v>
      </c>
      <c r="P67" s="100">
        <v>0.4</v>
      </c>
      <c r="Q67" s="100">
        <v>9.32</v>
      </c>
      <c r="R67" s="6"/>
      <c r="S67" s="6"/>
      <c r="T67" s="156"/>
      <c r="U67" s="6"/>
    </row>
    <row r="68" spans="1:21" customFormat="1">
      <c r="A68" s="163" t="s">
        <v>786</v>
      </c>
      <c r="B68" s="100">
        <v>3</v>
      </c>
      <c r="C68" s="100">
        <v>24.32</v>
      </c>
      <c r="D68" s="100">
        <v>15.11</v>
      </c>
      <c r="E68" s="100">
        <v>7.59</v>
      </c>
      <c r="F68" s="100">
        <v>13.38</v>
      </c>
      <c r="G68" s="100">
        <v>55.45</v>
      </c>
      <c r="H68" s="100">
        <v>26.39</v>
      </c>
      <c r="I68" s="100">
        <v>7</v>
      </c>
      <c r="J68" s="100">
        <v>0.49</v>
      </c>
      <c r="K68" s="100">
        <v>24.13</v>
      </c>
      <c r="L68" s="100">
        <v>29.02</v>
      </c>
      <c r="M68" s="100">
        <v>19.88</v>
      </c>
      <c r="N68" s="100">
        <v>100</v>
      </c>
      <c r="O68" s="100">
        <v>0</v>
      </c>
      <c r="P68" s="100">
        <v>0.41</v>
      </c>
      <c r="Q68" s="100">
        <v>9.32</v>
      </c>
      <c r="R68" s="6"/>
      <c r="S68" s="6"/>
      <c r="T68" s="156"/>
      <c r="U68" s="6"/>
    </row>
    <row r="69" spans="1:21" customFormat="1">
      <c r="A69" s="163" t="s">
        <v>787</v>
      </c>
      <c r="B69" s="100">
        <v>3.03</v>
      </c>
      <c r="C69" s="100">
        <v>24.15</v>
      </c>
      <c r="D69" s="100">
        <v>15.05</v>
      </c>
      <c r="E69" s="100">
        <v>6.72</v>
      </c>
      <c r="F69" s="100">
        <v>11.97</v>
      </c>
      <c r="G69" s="100">
        <v>55.45</v>
      </c>
      <c r="H69" s="100">
        <v>26.39</v>
      </c>
      <c r="I69" s="100">
        <v>7.13</v>
      </c>
      <c r="J69" s="100">
        <v>0.35</v>
      </c>
      <c r="K69" s="100">
        <v>357.11</v>
      </c>
      <c r="L69" s="100">
        <v>28.93</v>
      </c>
      <c r="M69" s="100">
        <v>21.04</v>
      </c>
      <c r="N69" s="100">
        <v>85.2</v>
      </c>
      <c r="O69" s="100">
        <v>0</v>
      </c>
      <c r="P69" s="100">
        <v>0.41</v>
      </c>
      <c r="Q69" s="100">
        <v>9.32</v>
      </c>
      <c r="R69" s="6"/>
      <c r="S69" s="6"/>
      <c r="T69" s="156"/>
      <c r="U69" s="6"/>
    </row>
    <row r="70" spans="1:21" customFormat="1">
      <c r="A70" s="163" t="s">
        <v>788</v>
      </c>
      <c r="B70" s="100">
        <v>3.21</v>
      </c>
      <c r="C70" s="100">
        <v>25.99</v>
      </c>
      <c r="D70" s="100">
        <v>16.149999999999999</v>
      </c>
      <c r="E70" s="100">
        <v>6.95</v>
      </c>
      <c r="F70" s="100">
        <v>11.05</v>
      </c>
      <c r="G70" s="100">
        <v>55.45</v>
      </c>
      <c r="H70" s="100">
        <v>26.39</v>
      </c>
      <c r="I70" s="100">
        <v>7.23</v>
      </c>
      <c r="J70" s="100">
        <v>0.49</v>
      </c>
      <c r="K70" s="100">
        <v>27</v>
      </c>
      <c r="L70" s="100">
        <v>28.91</v>
      </c>
      <c r="M70" s="100">
        <v>19.989999999999998</v>
      </c>
      <c r="N70" s="100">
        <v>82.6</v>
      </c>
      <c r="O70" s="100">
        <v>0</v>
      </c>
      <c r="P70" s="100">
        <v>0.43</v>
      </c>
      <c r="Q70" s="100">
        <v>9.32</v>
      </c>
      <c r="R70" s="6"/>
      <c r="S70" s="6"/>
      <c r="T70" s="156"/>
      <c r="U70" s="6"/>
    </row>
    <row r="71" spans="1:21" customFormat="1">
      <c r="A71" s="163" t="s">
        <v>789</v>
      </c>
      <c r="B71" s="100">
        <v>3.18</v>
      </c>
      <c r="C71" s="100">
        <v>25.14</v>
      </c>
      <c r="D71" s="100">
        <v>15.68</v>
      </c>
      <c r="E71" s="100">
        <v>6.72</v>
      </c>
      <c r="F71" s="100">
        <v>11.24</v>
      </c>
      <c r="G71" s="100">
        <v>65.81</v>
      </c>
      <c r="H71" s="100">
        <v>25.22</v>
      </c>
      <c r="I71" s="100">
        <v>7.38</v>
      </c>
      <c r="J71" s="100">
        <v>0.48</v>
      </c>
      <c r="K71" s="100">
        <v>16.62</v>
      </c>
      <c r="L71" s="100">
        <v>28.77</v>
      </c>
      <c r="M71" s="100">
        <v>21.99</v>
      </c>
      <c r="N71" s="100">
        <v>74.900000000000006</v>
      </c>
      <c r="O71" s="100">
        <v>0</v>
      </c>
      <c r="P71" s="100">
        <v>0.45</v>
      </c>
      <c r="Q71" s="100">
        <v>9.32</v>
      </c>
      <c r="R71" s="6"/>
      <c r="S71" s="6"/>
      <c r="T71" s="156"/>
      <c r="U71" s="6"/>
    </row>
    <row r="72" spans="1:21" customFormat="1">
      <c r="A72" s="163" t="s">
        <v>790</v>
      </c>
      <c r="B72" s="100">
        <v>3.07</v>
      </c>
      <c r="C72" s="100">
        <v>25.01</v>
      </c>
      <c r="D72" s="100">
        <v>15.52</v>
      </c>
      <c r="E72" s="100">
        <v>4.37</v>
      </c>
      <c r="F72" s="100">
        <v>6.87</v>
      </c>
      <c r="G72" s="100">
        <v>66.05</v>
      </c>
      <c r="H72" s="100">
        <v>25.22</v>
      </c>
      <c r="I72" s="100">
        <v>7.57</v>
      </c>
      <c r="J72" s="100">
        <v>0.25</v>
      </c>
      <c r="K72" s="100">
        <v>338.81</v>
      </c>
      <c r="L72" s="100">
        <v>28.32</v>
      </c>
      <c r="M72" s="100">
        <v>24.21</v>
      </c>
      <c r="N72" s="100">
        <v>75.599999999999994</v>
      </c>
      <c r="O72" s="100">
        <v>0</v>
      </c>
      <c r="P72" s="100">
        <v>0.47</v>
      </c>
      <c r="Q72" s="100">
        <v>9.32</v>
      </c>
      <c r="R72" s="6"/>
      <c r="S72" s="6"/>
      <c r="T72" s="156"/>
      <c r="U72" s="6"/>
    </row>
    <row r="73" spans="1:21" customFormat="1">
      <c r="A73" s="163" t="s">
        <v>791</v>
      </c>
      <c r="B73" s="100">
        <v>3.05</v>
      </c>
      <c r="C73" s="100">
        <v>24.09</v>
      </c>
      <c r="D73" s="100">
        <v>15.03</v>
      </c>
      <c r="E73" s="100">
        <v>4.25</v>
      </c>
      <c r="F73" s="100">
        <v>5.0599999999999996</v>
      </c>
      <c r="G73" s="100">
        <v>66.05</v>
      </c>
      <c r="H73" s="100">
        <v>25.22</v>
      </c>
      <c r="I73" s="100">
        <v>7.81</v>
      </c>
      <c r="J73" s="100">
        <v>0.51</v>
      </c>
      <c r="K73" s="100">
        <v>31.84</v>
      </c>
      <c r="L73" s="100">
        <v>28.13</v>
      </c>
      <c r="M73" s="100">
        <v>23.06</v>
      </c>
      <c r="N73" s="100">
        <v>65.2</v>
      </c>
      <c r="O73" s="100">
        <v>0</v>
      </c>
      <c r="P73" s="100">
        <v>0.48</v>
      </c>
      <c r="Q73" s="100">
        <v>9.32</v>
      </c>
      <c r="R73" s="6"/>
      <c r="S73" s="6"/>
      <c r="T73" s="156"/>
      <c r="U73" s="6"/>
    </row>
    <row r="74" spans="1:21" customFormat="1">
      <c r="A74" s="163" t="s">
        <v>792</v>
      </c>
      <c r="B74" s="100">
        <v>3.12</v>
      </c>
      <c r="C74" s="100">
        <v>23.17</v>
      </c>
      <c r="D74" s="100">
        <v>14.6</v>
      </c>
      <c r="E74" s="100">
        <v>3.99</v>
      </c>
      <c r="F74" s="100">
        <v>3.96</v>
      </c>
      <c r="G74" s="100">
        <v>66.05</v>
      </c>
      <c r="H74" s="100">
        <v>25.22</v>
      </c>
      <c r="I74" s="100">
        <v>7.06</v>
      </c>
      <c r="J74" s="100">
        <v>0.26</v>
      </c>
      <c r="K74" s="100">
        <v>16.54</v>
      </c>
      <c r="L74" s="100">
        <v>27.79</v>
      </c>
      <c r="M74" s="100">
        <v>25.03</v>
      </c>
      <c r="N74" s="100">
        <v>54</v>
      </c>
      <c r="O74" s="100">
        <v>0</v>
      </c>
      <c r="P74" s="100">
        <v>0.48</v>
      </c>
      <c r="Q74" s="100">
        <v>9.32</v>
      </c>
      <c r="R74" s="6"/>
      <c r="S74" s="6"/>
      <c r="T74" s="156"/>
      <c r="U74" s="6"/>
    </row>
    <row r="75" spans="1:21" customFormat="1">
      <c r="A75" s="163" t="s">
        <v>793</v>
      </c>
      <c r="B75" s="100">
        <v>3.26</v>
      </c>
      <c r="C75" s="100">
        <v>22.47</v>
      </c>
      <c r="D75" s="100">
        <v>14.35</v>
      </c>
      <c r="E75" s="100">
        <v>3.96</v>
      </c>
      <c r="F75" s="100">
        <v>3.07</v>
      </c>
      <c r="G75" s="100">
        <v>84.73</v>
      </c>
      <c r="H75" s="100">
        <v>34.659999999999997</v>
      </c>
      <c r="I75" s="100">
        <v>6.11</v>
      </c>
      <c r="J75" s="100">
        <v>0.17</v>
      </c>
      <c r="K75" s="100">
        <v>29.81</v>
      </c>
      <c r="L75" s="100">
        <v>27.17</v>
      </c>
      <c r="M75" s="100">
        <v>26.53</v>
      </c>
      <c r="N75" s="100">
        <v>37.200000000000003</v>
      </c>
      <c r="O75" s="100">
        <v>0</v>
      </c>
      <c r="P75" s="100">
        <v>0.48</v>
      </c>
      <c r="Q75" s="100">
        <v>9.32</v>
      </c>
      <c r="R75" s="6"/>
      <c r="S75" s="6"/>
      <c r="T75" s="156"/>
      <c r="U75" s="6"/>
    </row>
    <row r="76" spans="1:21" customFormat="1">
      <c r="A76" s="163" t="s">
        <v>794</v>
      </c>
      <c r="B76" s="100">
        <v>3.41</v>
      </c>
      <c r="C76" s="100">
        <v>22.3</v>
      </c>
      <c r="D76" s="100">
        <v>14.39</v>
      </c>
      <c r="E76" s="100">
        <v>3.62</v>
      </c>
      <c r="F76" s="100">
        <v>1.89</v>
      </c>
      <c r="G76" s="100">
        <v>85.15</v>
      </c>
      <c r="H76" s="100">
        <v>34.659999999999997</v>
      </c>
      <c r="I76" s="100">
        <v>6.17</v>
      </c>
      <c r="J76" s="100">
        <v>0.13</v>
      </c>
      <c r="K76" s="100">
        <v>88.14</v>
      </c>
      <c r="L76" s="100">
        <v>26.48</v>
      </c>
      <c r="M76" s="100">
        <v>28.06</v>
      </c>
      <c r="N76" s="100">
        <v>33.6</v>
      </c>
      <c r="O76" s="100">
        <v>0</v>
      </c>
      <c r="P76" s="100">
        <v>0.49</v>
      </c>
      <c r="Q76" s="100">
        <v>9.32</v>
      </c>
      <c r="R76" s="6"/>
      <c r="S76" s="6"/>
      <c r="T76" s="156"/>
      <c r="U76" s="6"/>
    </row>
    <row r="77" spans="1:21" customFormat="1">
      <c r="A77" s="163" t="s">
        <v>795</v>
      </c>
      <c r="B77" s="100">
        <v>3.53</v>
      </c>
      <c r="C77" s="100">
        <v>22.29</v>
      </c>
      <c r="D77" s="100">
        <v>14.48</v>
      </c>
      <c r="E77" s="100">
        <v>3.93</v>
      </c>
      <c r="F77" s="100">
        <v>1.56</v>
      </c>
      <c r="G77" s="100">
        <v>85.15</v>
      </c>
      <c r="H77" s="100">
        <v>34.659999999999997</v>
      </c>
      <c r="I77" s="100">
        <v>6.24</v>
      </c>
      <c r="J77" s="100">
        <v>0.06</v>
      </c>
      <c r="K77" s="100">
        <v>64</v>
      </c>
      <c r="L77" s="100">
        <v>25.81</v>
      </c>
      <c r="M77" s="100">
        <v>29.45</v>
      </c>
      <c r="N77" s="100">
        <v>25.1</v>
      </c>
      <c r="O77" s="100">
        <v>0</v>
      </c>
      <c r="P77" s="100">
        <v>0.51</v>
      </c>
      <c r="Q77" s="100">
        <v>9.32</v>
      </c>
      <c r="R77" s="6"/>
      <c r="S77" s="6"/>
      <c r="T77" s="156"/>
      <c r="U77" s="6"/>
    </row>
    <row r="78" spans="1:21" customFormat="1">
      <c r="A78" s="163" t="s">
        <v>796</v>
      </c>
      <c r="B78" s="100">
        <v>3.58</v>
      </c>
      <c r="C78" s="100">
        <v>22.36</v>
      </c>
      <c r="D78" s="100">
        <v>14.55</v>
      </c>
      <c r="E78" s="100">
        <v>3.92</v>
      </c>
      <c r="F78" s="100">
        <v>1.5</v>
      </c>
      <c r="G78" s="100">
        <v>85.15</v>
      </c>
      <c r="H78" s="100">
        <v>34.659999999999997</v>
      </c>
      <c r="I78" s="100">
        <v>7.11</v>
      </c>
      <c r="J78" s="100">
        <v>0.03</v>
      </c>
      <c r="K78" s="100">
        <v>151.08000000000001</v>
      </c>
      <c r="L78" s="100">
        <v>25.24</v>
      </c>
      <c r="M78" s="100">
        <v>31.44</v>
      </c>
      <c r="N78" s="100">
        <v>18.7</v>
      </c>
      <c r="O78" s="100">
        <v>0</v>
      </c>
      <c r="P78" s="100">
        <v>0.52</v>
      </c>
      <c r="Q78" s="100">
        <v>9.32</v>
      </c>
      <c r="R78" s="6"/>
      <c r="S78" s="6"/>
      <c r="T78" s="156"/>
      <c r="U78" s="6"/>
    </row>
    <row r="79" spans="1:21" customFormat="1">
      <c r="A79" s="163" t="s">
        <v>797</v>
      </c>
      <c r="B79" s="100">
        <v>3.7</v>
      </c>
      <c r="C79" s="100">
        <v>22.51</v>
      </c>
      <c r="D79" s="100">
        <v>14.73</v>
      </c>
      <c r="E79" s="100">
        <v>3.9</v>
      </c>
      <c r="F79" s="100">
        <v>0.96</v>
      </c>
      <c r="G79" s="100">
        <v>92.95</v>
      </c>
      <c r="H79" s="100">
        <v>39.979999999999997</v>
      </c>
      <c r="I79" s="100">
        <v>8.09</v>
      </c>
      <c r="J79" s="100">
        <v>0.15</v>
      </c>
      <c r="K79" s="100">
        <v>143.41999999999999</v>
      </c>
      <c r="L79" s="100">
        <v>24.51</v>
      </c>
      <c r="M79" s="100">
        <v>33.909999999999997</v>
      </c>
      <c r="N79" s="100">
        <v>17.3</v>
      </c>
      <c r="O79" s="100">
        <v>0</v>
      </c>
      <c r="P79" s="100">
        <v>0.54</v>
      </c>
      <c r="Q79" s="100">
        <v>9.32</v>
      </c>
      <c r="R79" s="6"/>
      <c r="S79" s="6"/>
      <c r="T79" s="156"/>
      <c r="U79" s="6"/>
    </row>
    <row r="80" spans="1:21" customFormat="1">
      <c r="A80" s="163" t="s">
        <v>798</v>
      </c>
      <c r="B80" s="100">
        <v>3.85</v>
      </c>
      <c r="C80" s="100">
        <v>22.73</v>
      </c>
      <c r="D80" s="100">
        <v>14.96</v>
      </c>
      <c r="E80" s="100">
        <v>3.83</v>
      </c>
      <c r="F80" s="100">
        <v>0.77</v>
      </c>
      <c r="G80" s="100">
        <v>93.2</v>
      </c>
      <c r="H80" s="100">
        <v>39.979999999999997</v>
      </c>
      <c r="I80" s="100">
        <v>8.27</v>
      </c>
      <c r="J80" s="100">
        <v>0.24</v>
      </c>
      <c r="K80" s="100">
        <v>145.88</v>
      </c>
      <c r="L80" s="100">
        <v>23.74</v>
      </c>
      <c r="M80" s="100">
        <v>38.090000000000003</v>
      </c>
      <c r="N80" s="100">
        <v>17.3</v>
      </c>
      <c r="O80" s="100">
        <v>0</v>
      </c>
      <c r="P80" s="100">
        <v>0.56000000000000005</v>
      </c>
      <c r="Q80" s="100">
        <v>9.32</v>
      </c>
      <c r="R80" s="6"/>
      <c r="S80" s="6"/>
      <c r="T80" s="156"/>
      <c r="U80" s="6"/>
    </row>
    <row r="81" spans="1:21" customFormat="1">
      <c r="A81" s="163" t="s">
        <v>799</v>
      </c>
      <c r="B81" s="100">
        <v>3.95</v>
      </c>
      <c r="C81" s="100">
        <v>22.83</v>
      </c>
      <c r="D81" s="100">
        <v>15.1</v>
      </c>
      <c r="E81" s="100">
        <v>3.61</v>
      </c>
      <c r="F81" s="100">
        <v>0.65</v>
      </c>
      <c r="G81" s="100">
        <v>93.2</v>
      </c>
      <c r="H81" s="100">
        <v>39.979999999999997</v>
      </c>
      <c r="I81" s="100">
        <v>8.51</v>
      </c>
      <c r="J81" s="100">
        <v>0.3</v>
      </c>
      <c r="K81" s="100">
        <v>165.85</v>
      </c>
      <c r="L81" s="100">
        <v>22.98</v>
      </c>
      <c r="M81" s="100">
        <v>42.36</v>
      </c>
      <c r="N81" s="100">
        <v>17.3</v>
      </c>
      <c r="O81" s="100">
        <v>0</v>
      </c>
      <c r="P81" s="100">
        <v>0.59</v>
      </c>
      <c r="Q81" s="100">
        <v>9.32</v>
      </c>
      <c r="R81" s="6"/>
      <c r="S81" s="6"/>
      <c r="T81" s="156"/>
      <c r="U81" s="6"/>
    </row>
    <row r="82" spans="1:21" customFormat="1">
      <c r="A82" s="163" t="s">
        <v>800</v>
      </c>
      <c r="B82" s="100">
        <v>4.1399999999999997</v>
      </c>
      <c r="C82" s="100">
        <v>22.89</v>
      </c>
      <c r="D82" s="100">
        <v>15.28</v>
      </c>
      <c r="E82" s="100">
        <v>4.33</v>
      </c>
      <c r="F82" s="100">
        <v>0.49</v>
      </c>
      <c r="G82" s="100">
        <v>93.2</v>
      </c>
      <c r="H82" s="100">
        <v>39.979999999999997</v>
      </c>
      <c r="I82" s="100">
        <v>8.76</v>
      </c>
      <c r="J82" s="100">
        <v>0.32</v>
      </c>
      <c r="K82" s="100">
        <v>162.69999999999999</v>
      </c>
      <c r="L82" s="100">
        <v>22.47</v>
      </c>
      <c r="M82" s="100">
        <v>43.86</v>
      </c>
      <c r="N82" s="100">
        <v>17</v>
      </c>
      <c r="O82" s="100">
        <v>0</v>
      </c>
      <c r="P82" s="100">
        <v>0.61</v>
      </c>
      <c r="Q82" s="100">
        <v>9.32</v>
      </c>
      <c r="R82" s="6"/>
      <c r="S82" s="6"/>
      <c r="T82" s="156"/>
      <c r="U82" s="6"/>
    </row>
    <row r="83" spans="1:21" customFormat="1">
      <c r="A83" s="163" t="s">
        <v>801</v>
      </c>
      <c r="B83" s="100">
        <v>4.3899999999999997</v>
      </c>
      <c r="C83" s="100">
        <v>23.03</v>
      </c>
      <c r="D83" s="100">
        <v>15.55</v>
      </c>
      <c r="E83" s="100">
        <v>4.72</v>
      </c>
      <c r="F83" s="100">
        <v>0.31</v>
      </c>
      <c r="G83" s="100">
        <v>108.2</v>
      </c>
      <c r="H83" s="100">
        <v>50.96</v>
      </c>
      <c r="I83" s="100">
        <v>9.1199999999999992</v>
      </c>
      <c r="J83" s="100">
        <v>0.34</v>
      </c>
      <c r="K83" s="100">
        <v>162.87</v>
      </c>
      <c r="L83" s="100">
        <v>22.1</v>
      </c>
      <c r="M83" s="100">
        <v>44.46</v>
      </c>
      <c r="N83" s="100">
        <v>16.8</v>
      </c>
      <c r="O83" s="100">
        <v>0</v>
      </c>
      <c r="P83" s="100">
        <v>0.64</v>
      </c>
      <c r="Q83" s="100">
        <v>9.32</v>
      </c>
      <c r="R83" s="6"/>
      <c r="S83" s="6"/>
      <c r="T83" s="156"/>
      <c r="U83" s="6"/>
    </row>
    <row r="84" spans="1:21" customFormat="1">
      <c r="A84" s="163" t="s">
        <v>802</v>
      </c>
      <c r="B84" s="100">
        <v>4.6900000000000004</v>
      </c>
      <c r="C84" s="100">
        <v>23.24</v>
      </c>
      <c r="D84" s="100">
        <v>15.9</v>
      </c>
      <c r="E84" s="100">
        <v>4.6900000000000004</v>
      </c>
      <c r="F84" s="100">
        <v>0.16</v>
      </c>
      <c r="G84" s="100">
        <v>111.2</v>
      </c>
      <c r="H84" s="100">
        <v>50.96</v>
      </c>
      <c r="I84" s="100">
        <v>9.61</v>
      </c>
      <c r="J84" s="100">
        <v>0.34</v>
      </c>
      <c r="K84" s="100">
        <v>163.89</v>
      </c>
      <c r="L84" s="100">
        <v>21.56</v>
      </c>
      <c r="M84" s="100">
        <v>47.87</v>
      </c>
      <c r="N84" s="100">
        <v>17</v>
      </c>
      <c r="O84" s="100">
        <v>0</v>
      </c>
      <c r="P84" s="100">
        <v>0.67</v>
      </c>
      <c r="Q84" s="100">
        <v>9.32</v>
      </c>
      <c r="R84" s="6"/>
      <c r="S84" s="6"/>
      <c r="T84" s="156"/>
      <c r="U84" s="6"/>
    </row>
    <row r="85" spans="1:21" customFormat="1">
      <c r="A85" s="163" t="s">
        <v>803</v>
      </c>
      <c r="B85" s="100">
        <v>4.87</v>
      </c>
      <c r="C85" s="100">
        <v>23.44</v>
      </c>
      <c r="D85" s="100">
        <v>16.149999999999999</v>
      </c>
      <c r="E85" s="100">
        <v>4.79</v>
      </c>
      <c r="F85" s="100">
        <v>0.23</v>
      </c>
      <c r="G85" s="100">
        <v>111.2</v>
      </c>
      <c r="H85" s="100">
        <v>50.96</v>
      </c>
      <c r="I85" s="100">
        <v>10.23</v>
      </c>
      <c r="J85" s="100">
        <v>0.22</v>
      </c>
      <c r="K85" s="100">
        <v>195.95</v>
      </c>
      <c r="L85" s="100">
        <v>20.85</v>
      </c>
      <c r="M85" s="100">
        <v>59.9</v>
      </c>
      <c r="N85" s="100">
        <v>17</v>
      </c>
      <c r="O85" s="100">
        <v>0</v>
      </c>
      <c r="P85" s="100">
        <v>0.71</v>
      </c>
      <c r="Q85" s="100">
        <v>9.32</v>
      </c>
      <c r="R85" s="6"/>
      <c r="S85" s="6"/>
      <c r="T85" s="156"/>
      <c r="U85" s="6"/>
    </row>
    <row r="86" spans="1:21" customFormat="1">
      <c r="A86" s="163" t="s">
        <v>804</v>
      </c>
      <c r="B86" s="100">
        <v>4.9400000000000004</v>
      </c>
      <c r="C86" s="100">
        <v>23.27</v>
      </c>
      <c r="D86" s="100">
        <v>16.12</v>
      </c>
      <c r="E86" s="100">
        <v>4.6100000000000003</v>
      </c>
      <c r="F86" s="100">
        <v>7.0000000000000007E-2</v>
      </c>
      <c r="G86" s="100">
        <v>111.2</v>
      </c>
      <c r="H86" s="100">
        <v>50.96</v>
      </c>
      <c r="I86" s="100">
        <v>10.98</v>
      </c>
      <c r="J86" s="100">
        <v>0.2</v>
      </c>
      <c r="K86" s="100">
        <v>194.74</v>
      </c>
      <c r="L86" s="100">
        <v>20.21</v>
      </c>
      <c r="M86" s="100">
        <v>63.74</v>
      </c>
      <c r="N86" s="100">
        <v>16.899999999999999</v>
      </c>
      <c r="O86" s="100">
        <v>0</v>
      </c>
      <c r="P86" s="100">
        <v>0.75</v>
      </c>
      <c r="Q86" s="100">
        <v>9.32</v>
      </c>
      <c r="R86" s="6"/>
      <c r="S86" s="6"/>
      <c r="T86" s="156"/>
      <c r="U86" s="6"/>
    </row>
    <row r="87" spans="1:21" customFormat="1">
      <c r="A87" s="163" t="s">
        <v>805</v>
      </c>
      <c r="B87" s="100">
        <v>4.96</v>
      </c>
      <c r="C87" s="100">
        <v>22.86</v>
      </c>
      <c r="D87" s="100">
        <v>15.93</v>
      </c>
      <c r="E87" s="100">
        <v>4.45</v>
      </c>
      <c r="F87" s="100">
        <v>0.23</v>
      </c>
      <c r="G87" s="100">
        <v>135.94</v>
      </c>
      <c r="H87" s="100">
        <v>66.69</v>
      </c>
      <c r="I87" s="100">
        <v>11.78</v>
      </c>
      <c r="J87" s="100">
        <v>0.19</v>
      </c>
      <c r="K87" s="100">
        <v>222.11</v>
      </c>
      <c r="L87" s="100">
        <v>19.75</v>
      </c>
      <c r="M87" s="100">
        <v>63.64</v>
      </c>
      <c r="N87" s="100">
        <v>16.7</v>
      </c>
      <c r="O87" s="100">
        <v>0</v>
      </c>
      <c r="P87" s="100">
        <v>0.77</v>
      </c>
      <c r="Q87" s="100">
        <v>9.32</v>
      </c>
      <c r="R87" s="6"/>
      <c r="S87" s="6"/>
      <c r="T87" s="156"/>
      <c r="U87" s="6"/>
    </row>
    <row r="88" spans="1:21" customFormat="1">
      <c r="A88" s="163" t="s">
        <v>806</v>
      </c>
      <c r="B88" s="100">
        <v>5.08</v>
      </c>
      <c r="C88" s="100">
        <v>22.4</v>
      </c>
      <c r="D88" s="100">
        <v>15.78</v>
      </c>
      <c r="E88" s="100">
        <v>4.6500000000000004</v>
      </c>
      <c r="F88" s="100">
        <v>0.27</v>
      </c>
      <c r="G88" s="100">
        <v>136.5</v>
      </c>
      <c r="H88" s="100">
        <v>66.69</v>
      </c>
      <c r="I88" s="100">
        <v>12.44</v>
      </c>
      <c r="J88" s="100">
        <v>0.19</v>
      </c>
      <c r="K88" s="100">
        <v>223.57</v>
      </c>
      <c r="L88" s="100">
        <v>19.48</v>
      </c>
      <c r="M88" s="100">
        <v>61.62</v>
      </c>
      <c r="N88" s="100">
        <v>16.7</v>
      </c>
      <c r="O88" s="100">
        <v>0</v>
      </c>
      <c r="P88" s="100">
        <v>0.79</v>
      </c>
      <c r="Q88" s="100">
        <v>9.32</v>
      </c>
      <c r="R88" s="6"/>
      <c r="S88" s="6"/>
      <c r="T88" s="156"/>
      <c r="U88" s="6"/>
    </row>
    <row r="89" spans="1:21" customFormat="1">
      <c r="A89" s="163" t="s">
        <v>807</v>
      </c>
      <c r="B89" s="100">
        <v>5.26</v>
      </c>
      <c r="C89" s="100">
        <v>21.65</v>
      </c>
      <c r="D89" s="100">
        <v>15.53</v>
      </c>
      <c r="E89" s="100">
        <v>4.74</v>
      </c>
      <c r="F89" s="100">
        <v>0.25</v>
      </c>
      <c r="G89" s="100">
        <v>136.5</v>
      </c>
      <c r="H89" s="100">
        <v>66.69</v>
      </c>
      <c r="I89" s="100">
        <v>12.78</v>
      </c>
      <c r="J89" s="100">
        <v>0.2</v>
      </c>
      <c r="K89" s="100">
        <v>156.13</v>
      </c>
      <c r="L89" s="100">
        <v>19.260000000000002</v>
      </c>
      <c r="M89" s="100">
        <v>68.209999999999994</v>
      </c>
      <c r="N89" s="100">
        <v>16.7</v>
      </c>
      <c r="O89" s="100">
        <v>0</v>
      </c>
      <c r="P89" s="100">
        <v>0.8</v>
      </c>
      <c r="Q89" s="100">
        <v>9.32</v>
      </c>
      <c r="R89" s="6"/>
      <c r="S89" s="6"/>
      <c r="T89" s="156"/>
      <c r="U89" s="6"/>
    </row>
    <row r="90" spans="1:21" customFormat="1">
      <c r="A90" s="163" t="s">
        <v>808</v>
      </c>
      <c r="B90" s="100">
        <v>5.4</v>
      </c>
      <c r="C90" s="100">
        <v>20.81</v>
      </c>
      <c r="D90" s="100">
        <v>15.2</v>
      </c>
      <c r="E90" s="100">
        <v>4.6900000000000004</v>
      </c>
      <c r="F90" s="100">
        <v>0.21</v>
      </c>
      <c r="G90" s="100">
        <v>136.5</v>
      </c>
      <c r="H90" s="100">
        <v>66.69</v>
      </c>
      <c r="I90" s="100">
        <v>12.92</v>
      </c>
      <c r="J90" s="100">
        <v>0.18</v>
      </c>
      <c r="K90" s="100">
        <v>172.28</v>
      </c>
      <c r="L90" s="100">
        <v>19.03</v>
      </c>
      <c r="M90" s="100">
        <v>69.790000000000006</v>
      </c>
      <c r="N90" s="100">
        <v>16.600000000000001</v>
      </c>
      <c r="O90" s="100">
        <v>0</v>
      </c>
      <c r="P90" s="100">
        <v>0.79</v>
      </c>
      <c r="Q90" s="100">
        <v>9.32</v>
      </c>
      <c r="R90" s="6"/>
      <c r="S90" s="6"/>
      <c r="T90" s="156"/>
      <c r="U90" s="6"/>
    </row>
    <row r="91" spans="1:21" customFormat="1">
      <c r="A91" s="163" t="s">
        <v>809</v>
      </c>
      <c r="B91" s="100">
        <v>5.57</v>
      </c>
      <c r="C91" s="100">
        <v>20.2</v>
      </c>
      <c r="D91" s="100">
        <v>15.02</v>
      </c>
      <c r="E91" s="100">
        <v>4.6100000000000003</v>
      </c>
      <c r="F91" s="100">
        <v>0.16</v>
      </c>
      <c r="G91" s="100">
        <v>133.69999999999999</v>
      </c>
      <c r="H91" s="100">
        <v>59.24</v>
      </c>
      <c r="I91" s="100">
        <v>13</v>
      </c>
      <c r="J91" s="100">
        <v>0.21</v>
      </c>
      <c r="K91" s="100">
        <v>215.33</v>
      </c>
      <c r="L91" s="100">
        <v>19.02</v>
      </c>
      <c r="M91" s="100">
        <v>70.040000000000006</v>
      </c>
      <c r="N91" s="100">
        <v>16.600000000000001</v>
      </c>
      <c r="O91" s="100">
        <v>0</v>
      </c>
      <c r="P91" s="100">
        <v>0.8</v>
      </c>
      <c r="Q91" s="100">
        <v>9.32</v>
      </c>
      <c r="R91" s="6"/>
      <c r="S91" s="6"/>
      <c r="T91" s="156"/>
      <c r="U91" s="6"/>
    </row>
    <row r="92" spans="1:21" customFormat="1">
      <c r="A92" s="163" t="s">
        <v>810</v>
      </c>
      <c r="B92" s="100">
        <v>5.73</v>
      </c>
      <c r="C92" s="100">
        <v>19.649999999999999</v>
      </c>
      <c r="D92" s="100">
        <v>14.86</v>
      </c>
      <c r="E92" s="100">
        <v>4.79</v>
      </c>
      <c r="F92" s="100">
        <v>0.04</v>
      </c>
      <c r="G92" s="100">
        <v>133.63</v>
      </c>
      <c r="H92" s="100">
        <v>59.24</v>
      </c>
      <c r="I92" s="100">
        <v>13.07</v>
      </c>
      <c r="J92" s="100">
        <v>0.19</v>
      </c>
      <c r="K92" s="100">
        <v>229.21</v>
      </c>
      <c r="L92" s="100">
        <v>18.55</v>
      </c>
      <c r="M92" s="100">
        <v>72.900000000000006</v>
      </c>
      <c r="N92" s="100">
        <v>16.8</v>
      </c>
      <c r="O92" s="100">
        <v>0</v>
      </c>
      <c r="P92" s="100">
        <v>0.81</v>
      </c>
      <c r="Q92" s="100">
        <v>9.32</v>
      </c>
      <c r="R92" s="6"/>
      <c r="S92" s="6"/>
      <c r="T92" s="156"/>
      <c r="U92" s="6"/>
    </row>
    <row r="93" spans="1:21" customFormat="1">
      <c r="A93" s="163" t="s">
        <v>811</v>
      </c>
      <c r="B93" s="100">
        <v>5.8</v>
      </c>
      <c r="C93" s="100">
        <v>19.239999999999998</v>
      </c>
      <c r="D93" s="100">
        <v>14.7</v>
      </c>
      <c r="E93" s="100">
        <v>4.72</v>
      </c>
      <c r="F93" s="100">
        <v>0.09</v>
      </c>
      <c r="G93" s="100">
        <v>133.63</v>
      </c>
      <c r="H93" s="100">
        <v>59.24</v>
      </c>
      <c r="I93" s="100">
        <v>13.16</v>
      </c>
      <c r="J93" s="100">
        <v>0.12</v>
      </c>
      <c r="K93" s="100">
        <v>182.73</v>
      </c>
      <c r="L93" s="100">
        <v>18.22</v>
      </c>
      <c r="M93" s="100">
        <v>75.14</v>
      </c>
      <c r="N93" s="100">
        <v>16.7</v>
      </c>
      <c r="O93" s="100">
        <v>0</v>
      </c>
      <c r="P93" s="100">
        <v>0.83</v>
      </c>
      <c r="Q93" s="100">
        <v>9.32</v>
      </c>
      <c r="R93" s="6"/>
      <c r="S93" s="6"/>
      <c r="T93" s="156"/>
      <c r="U93" s="6"/>
    </row>
    <row r="94" spans="1:21" customFormat="1">
      <c r="A94" s="163" t="s">
        <v>812</v>
      </c>
      <c r="B94" s="100">
        <v>5.9</v>
      </c>
      <c r="C94" s="100">
        <v>18.760000000000002</v>
      </c>
      <c r="D94" s="100">
        <v>14.53</v>
      </c>
      <c r="E94" s="100">
        <v>4.71</v>
      </c>
      <c r="F94" s="100">
        <v>0.27</v>
      </c>
      <c r="G94" s="100">
        <v>133.63</v>
      </c>
      <c r="H94" s="100">
        <v>59.24</v>
      </c>
      <c r="I94" s="100">
        <v>13.3</v>
      </c>
      <c r="J94" s="100">
        <v>0.14000000000000001</v>
      </c>
      <c r="K94" s="100">
        <v>163.02000000000001</v>
      </c>
      <c r="L94" s="100">
        <v>18.03</v>
      </c>
      <c r="M94" s="100">
        <v>76.25</v>
      </c>
      <c r="N94" s="100">
        <v>16.600000000000001</v>
      </c>
      <c r="O94" s="100">
        <v>0</v>
      </c>
      <c r="P94" s="100">
        <v>0.84</v>
      </c>
      <c r="Q94" s="100">
        <v>9.32</v>
      </c>
      <c r="R94" s="6"/>
      <c r="S94" s="6"/>
      <c r="T94" s="156"/>
      <c r="U94" s="6"/>
    </row>
    <row r="95" spans="1:21" customFormat="1">
      <c r="A95" s="163" t="s">
        <v>813</v>
      </c>
      <c r="B95" s="100">
        <v>5.99</v>
      </c>
      <c r="C95" s="100">
        <v>18.28</v>
      </c>
      <c r="D95" s="100">
        <v>14.35</v>
      </c>
      <c r="E95" s="100">
        <v>4.67</v>
      </c>
      <c r="F95" s="100">
        <v>0.15</v>
      </c>
      <c r="G95" s="100">
        <v>126.39</v>
      </c>
      <c r="H95" s="100">
        <v>57.77</v>
      </c>
      <c r="I95" s="100">
        <v>13.46</v>
      </c>
      <c r="J95" s="100">
        <v>0.14000000000000001</v>
      </c>
      <c r="K95" s="100">
        <v>181.25</v>
      </c>
      <c r="L95" s="100">
        <v>18.11</v>
      </c>
      <c r="M95" s="100">
        <v>75.650000000000006</v>
      </c>
      <c r="N95" s="100">
        <v>16.399999999999999</v>
      </c>
      <c r="O95" s="100">
        <v>0</v>
      </c>
      <c r="P95" s="100">
        <v>0.85</v>
      </c>
      <c r="Q95" s="100">
        <v>9.32</v>
      </c>
      <c r="R95" s="6"/>
      <c r="S95" s="6"/>
      <c r="T95" s="156"/>
      <c r="U95" s="6"/>
    </row>
    <row r="96" spans="1:21" customFormat="1">
      <c r="A96" s="163" t="s">
        <v>814</v>
      </c>
      <c r="B96" s="100">
        <v>6.07</v>
      </c>
      <c r="C96" s="100">
        <v>17.89</v>
      </c>
      <c r="D96" s="100">
        <v>14.21</v>
      </c>
      <c r="E96" s="100">
        <v>4.8099999999999996</v>
      </c>
      <c r="F96" s="100">
        <v>0.14000000000000001</v>
      </c>
      <c r="G96" s="100">
        <v>126.23</v>
      </c>
      <c r="H96" s="100">
        <v>57.77</v>
      </c>
      <c r="I96" s="100">
        <v>13.63</v>
      </c>
      <c r="J96" s="100">
        <v>0.14000000000000001</v>
      </c>
      <c r="K96" s="100">
        <v>192.85</v>
      </c>
      <c r="L96" s="100">
        <v>18.02</v>
      </c>
      <c r="M96" s="100">
        <v>79</v>
      </c>
      <c r="N96" s="100">
        <v>16.399999999999999</v>
      </c>
      <c r="O96" s="100">
        <v>0</v>
      </c>
      <c r="P96" s="100">
        <v>0.86</v>
      </c>
      <c r="Q96" s="100">
        <v>9.32</v>
      </c>
      <c r="R96" s="6"/>
      <c r="S96" s="6"/>
      <c r="T96" s="156"/>
      <c r="U96" s="6"/>
    </row>
    <row r="97" spans="1:28" customFormat="1">
      <c r="A97" s="163" t="s">
        <v>815</v>
      </c>
      <c r="B97" s="100">
        <v>6.13</v>
      </c>
      <c r="C97" s="100">
        <v>17.670000000000002</v>
      </c>
      <c r="D97" s="100">
        <v>14.15</v>
      </c>
      <c r="E97" s="100">
        <v>5.09</v>
      </c>
      <c r="F97" s="100">
        <v>0.22</v>
      </c>
      <c r="G97" s="100">
        <v>126.23</v>
      </c>
      <c r="H97" s="100">
        <v>57.77</v>
      </c>
      <c r="I97" s="100">
        <v>13.97</v>
      </c>
      <c r="J97" s="100">
        <v>0.16</v>
      </c>
      <c r="K97" s="100">
        <v>183.09</v>
      </c>
      <c r="L97" s="100">
        <v>18.02</v>
      </c>
      <c r="M97" s="100">
        <v>76.209999999999994</v>
      </c>
      <c r="N97" s="100">
        <v>16.3</v>
      </c>
      <c r="O97" s="100">
        <v>0</v>
      </c>
      <c r="P97" s="100">
        <v>0.87</v>
      </c>
      <c r="Q97" s="100">
        <v>9.32</v>
      </c>
      <c r="R97" s="6"/>
      <c r="S97" s="6"/>
      <c r="T97" s="156"/>
      <c r="U97" s="6"/>
    </row>
    <row r="98" spans="1:28" customFormat="1">
      <c r="A98" s="163" t="s">
        <v>816</v>
      </c>
      <c r="B98" s="100">
        <v>6.25</v>
      </c>
      <c r="C98" s="100">
        <v>17.47</v>
      </c>
      <c r="D98" s="100">
        <v>14.14</v>
      </c>
      <c r="E98" s="100">
        <v>5.07</v>
      </c>
      <c r="F98" s="100">
        <v>0.04</v>
      </c>
      <c r="G98" s="100">
        <v>126.23</v>
      </c>
      <c r="H98" s="100">
        <v>57.77</v>
      </c>
      <c r="I98" s="100">
        <v>14.44</v>
      </c>
      <c r="J98" s="100">
        <v>0.17</v>
      </c>
      <c r="K98" s="100">
        <v>172.27</v>
      </c>
      <c r="L98" s="100">
        <v>17.82</v>
      </c>
      <c r="M98" s="100">
        <v>81.900000000000006</v>
      </c>
      <c r="N98" s="100">
        <v>16.600000000000001</v>
      </c>
      <c r="O98" s="100">
        <v>0</v>
      </c>
      <c r="P98" s="100">
        <v>0.88</v>
      </c>
      <c r="Q98" s="100">
        <v>9.32</v>
      </c>
      <c r="R98" s="6"/>
      <c r="S98" s="6"/>
      <c r="T98" s="156"/>
      <c r="U98" s="6"/>
    </row>
    <row r="99" spans="1:28" customFormat="1">
      <c r="A99" s="163" t="s">
        <v>817</v>
      </c>
      <c r="B99" s="100">
        <v>6.71</v>
      </c>
      <c r="C99" s="100">
        <v>17.47</v>
      </c>
      <c r="D99" s="100">
        <v>14.51</v>
      </c>
      <c r="E99" s="100">
        <v>5.24</v>
      </c>
      <c r="F99" s="100">
        <v>0.01</v>
      </c>
      <c r="G99" s="100">
        <v>119.94</v>
      </c>
      <c r="H99" s="100">
        <v>62.7</v>
      </c>
      <c r="I99" s="100">
        <v>13.67</v>
      </c>
      <c r="J99" s="100">
        <v>0.16</v>
      </c>
      <c r="K99" s="100">
        <v>164.09</v>
      </c>
      <c r="L99" s="100">
        <v>17.8</v>
      </c>
      <c r="M99" s="100">
        <v>78.92</v>
      </c>
      <c r="N99" s="100">
        <v>16.399999999999999</v>
      </c>
      <c r="O99" s="100">
        <v>0</v>
      </c>
      <c r="P99" s="100">
        <v>0.9</v>
      </c>
      <c r="Q99" s="100">
        <v>9.32</v>
      </c>
      <c r="R99" s="6"/>
      <c r="S99" s="6"/>
      <c r="T99" s="156"/>
      <c r="U99" s="6"/>
    </row>
    <row r="100" spans="1:28" customFormat="1">
      <c r="A100" s="163" t="s">
        <v>818</v>
      </c>
      <c r="B100" s="100">
        <v>8.3000000000000007</v>
      </c>
      <c r="C100" s="100">
        <v>17.829999999999998</v>
      </c>
      <c r="D100" s="100">
        <v>15.97</v>
      </c>
      <c r="E100" s="100">
        <v>4.99</v>
      </c>
      <c r="F100" s="100">
        <v>0.05</v>
      </c>
      <c r="G100" s="100">
        <v>119.8</v>
      </c>
      <c r="H100" s="100">
        <v>62.7</v>
      </c>
      <c r="I100" s="100">
        <v>12.76</v>
      </c>
      <c r="J100" s="100">
        <v>0.12</v>
      </c>
      <c r="K100" s="100">
        <v>156.79</v>
      </c>
      <c r="L100" s="100">
        <v>17.739999999999998</v>
      </c>
      <c r="M100" s="100">
        <v>77.349999999999994</v>
      </c>
      <c r="N100" s="100">
        <v>16.600000000000001</v>
      </c>
      <c r="O100" s="100">
        <v>0</v>
      </c>
      <c r="P100" s="100">
        <v>0.93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819</v>
      </c>
      <c r="B101" s="100">
        <v>11.75</v>
      </c>
      <c r="C101" s="100">
        <v>18.75</v>
      </c>
      <c r="D101" s="100">
        <v>19.22</v>
      </c>
      <c r="E101" s="100">
        <v>4.8600000000000003</v>
      </c>
      <c r="F101" s="100">
        <v>0.05</v>
      </c>
      <c r="G101" s="100">
        <v>119.8</v>
      </c>
      <c r="H101" s="100">
        <v>62.7</v>
      </c>
      <c r="I101" s="100">
        <v>13.15</v>
      </c>
      <c r="J101" s="100">
        <v>0.17</v>
      </c>
      <c r="K101" s="100">
        <v>192.95</v>
      </c>
      <c r="L101" s="100">
        <v>17.899999999999999</v>
      </c>
      <c r="M101" s="100">
        <v>77.510000000000005</v>
      </c>
      <c r="N101" s="100">
        <v>16.3</v>
      </c>
      <c r="O101" s="100">
        <v>0</v>
      </c>
      <c r="P101" s="100">
        <v>0.96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820</v>
      </c>
      <c r="B102" s="100">
        <v>14.52</v>
      </c>
      <c r="C102" s="100">
        <v>19.46</v>
      </c>
      <c r="D102" s="100">
        <v>21.81</v>
      </c>
      <c r="E102" s="100">
        <v>5.2</v>
      </c>
      <c r="F102" s="100">
        <v>0.05</v>
      </c>
      <c r="G102" s="100">
        <v>119.8</v>
      </c>
      <c r="H102" s="100">
        <v>62.7</v>
      </c>
      <c r="I102" s="100">
        <v>13.68</v>
      </c>
      <c r="J102" s="100">
        <v>0.24</v>
      </c>
      <c r="K102" s="100">
        <v>210.92</v>
      </c>
      <c r="L102" s="100">
        <v>17.37</v>
      </c>
      <c r="M102" s="100">
        <v>85.43</v>
      </c>
      <c r="N102" s="100">
        <v>16.8</v>
      </c>
      <c r="O102" s="100">
        <v>0</v>
      </c>
      <c r="P102" s="100">
        <v>0.99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821</v>
      </c>
      <c r="B103" s="100">
        <v>15.1</v>
      </c>
      <c r="C103" s="100">
        <v>19.59</v>
      </c>
      <c r="D103" s="100">
        <v>22.34</v>
      </c>
      <c r="E103" s="100">
        <v>4.99</v>
      </c>
      <c r="F103" s="100">
        <v>0.03</v>
      </c>
      <c r="G103" s="100">
        <v>126.44</v>
      </c>
      <c r="H103" s="100">
        <v>70.09</v>
      </c>
      <c r="I103" s="100">
        <v>14.31</v>
      </c>
      <c r="J103" s="100">
        <v>0.18</v>
      </c>
      <c r="K103" s="100">
        <v>218.66</v>
      </c>
      <c r="L103" s="100">
        <v>16.78</v>
      </c>
      <c r="M103" s="100">
        <v>85.12</v>
      </c>
      <c r="N103" s="100">
        <v>16.7</v>
      </c>
      <c r="O103" s="100">
        <v>0</v>
      </c>
      <c r="P103" s="100">
        <v>1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822</v>
      </c>
      <c r="B104" s="100">
        <v>14.88</v>
      </c>
      <c r="C104" s="100">
        <v>19.34</v>
      </c>
      <c r="D104" s="100">
        <v>22.03</v>
      </c>
      <c r="E104" s="100">
        <v>5.13</v>
      </c>
      <c r="F104" s="100">
        <v>0.1</v>
      </c>
      <c r="G104" s="100">
        <v>126.59</v>
      </c>
      <c r="H104" s="100">
        <v>70.09</v>
      </c>
      <c r="I104" s="100">
        <v>14.86</v>
      </c>
      <c r="J104" s="100">
        <v>0.15</v>
      </c>
      <c r="K104" s="100">
        <v>101.03</v>
      </c>
      <c r="L104" s="100">
        <v>16.559999999999999</v>
      </c>
      <c r="M104" s="100">
        <v>83.69</v>
      </c>
      <c r="N104" s="100">
        <v>16.5</v>
      </c>
      <c r="O104" s="100">
        <v>0</v>
      </c>
      <c r="P104" s="100">
        <v>1.02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</v>
      </c>
      <c r="C106" s="158">
        <f>MIN(C9:C104)</f>
        <v>15.86</v>
      </c>
      <c r="D106" s="158">
        <f t="shared" ref="D106:Q106" si="0">MIN(D9:D104)</f>
        <v>14.14</v>
      </c>
      <c r="E106" s="158">
        <f t="shared" si="0"/>
        <v>3.25</v>
      </c>
      <c r="F106" s="158">
        <f t="shared" si="0"/>
        <v>0.01</v>
      </c>
      <c r="G106" s="158">
        <f t="shared" si="0"/>
        <v>47.66</v>
      </c>
      <c r="H106" s="158">
        <f t="shared" si="0"/>
        <v>25.22</v>
      </c>
      <c r="I106" s="158">
        <f t="shared" si="0"/>
        <v>5.58</v>
      </c>
      <c r="J106" s="158">
        <f t="shared" si="0"/>
        <v>0.02</v>
      </c>
      <c r="K106" s="158">
        <f t="shared" si="0"/>
        <v>6.01</v>
      </c>
      <c r="L106" s="158">
        <f t="shared" si="0"/>
        <v>15.02</v>
      </c>
      <c r="M106" s="158">
        <f t="shared" si="0"/>
        <v>19.88</v>
      </c>
      <c r="N106" s="158">
        <f t="shared" si="0"/>
        <v>7.9</v>
      </c>
      <c r="O106" s="158">
        <f t="shared" si="0"/>
        <v>0</v>
      </c>
      <c r="P106" s="158">
        <f t="shared" si="0"/>
        <v>0.35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17.88</v>
      </c>
      <c r="C107" s="157">
        <f t="shared" ref="C107:Q107" si="1">MAX(C9:C104)</f>
        <v>29.34</v>
      </c>
      <c r="D107" s="157">
        <f t="shared" si="1"/>
        <v>23.83</v>
      </c>
      <c r="E107" s="157">
        <f t="shared" si="1"/>
        <v>13.73</v>
      </c>
      <c r="F107" s="157">
        <f t="shared" si="1"/>
        <v>21.84</v>
      </c>
      <c r="G107" s="157">
        <f t="shared" si="1"/>
        <v>136.5</v>
      </c>
      <c r="H107" s="157">
        <f t="shared" si="1"/>
        <v>70.09</v>
      </c>
      <c r="I107" s="157">
        <f t="shared" si="1"/>
        <v>14.86</v>
      </c>
      <c r="J107" s="157">
        <f t="shared" si="1"/>
        <v>1.1499999999999999</v>
      </c>
      <c r="K107" s="157">
        <f t="shared" si="1"/>
        <v>357.11</v>
      </c>
      <c r="L107" s="157">
        <f t="shared" si="1"/>
        <v>29.02</v>
      </c>
      <c r="M107" s="157">
        <f t="shared" si="1"/>
        <v>85.43</v>
      </c>
      <c r="N107" s="157">
        <f t="shared" si="1"/>
        <v>646.29999999999995</v>
      </c>
      <c r="O107" s="157">
        <f t="shared" si="1"/>
        <v>0</v>
      </c>
      <c r="P107" s="157">
        <f t="shared" si="1"/>
        <v>1.02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9.7323958333333351</v>
      </c>
      <c r="C108" s="158">
        <f t="shared" ref="C108:Q108" si="2">AVERAGE(C9:C104)</f>
        <v>20.431666666666672</v>
      </c>
      <c r="D108" s="158">
        <f t="shared" si="2"/>
        <v>18.478541666666661</v>
      </c>
      <c r="E108" s="158">
        <f t="shared" si="2"/>
        <v>5.4567708333333336</v>
      </c>
      <c r="F108" s="158">
        <f t="shared" si="2"/>
        <v>2.6059375000000005</v>
      </c>
      <c r="G108" s="158">
        <f t="shared" si="2"/>
        <v>78.67322916666663</v>
      </c>
      <c r="H108" s="158">
        <f t="shared" si="2"/>
        <v>37.962708333333318</v>
      </c>
      <c r="I108" s="158">
        <f t="shared" si="2"/>
        <v>10.236770833333333</v>
      </c>
      <c r="J108" s="158">
        <f t="shared" si="2"/>
        <v>0.34218750000000009</v>
      </c>
      <c r="K108" s="158">
        <f t="shared" si="2"/>
        <v>118.93677083333336</v>
      </c>
      <c r="L108" s="158">
        <f t="shared" si="2"/>
        <v>21.401770833333334</v>
      </c>
      <c r="M108" s="158">
        <f t="shared" si="2"/>
        <v>53.305312500000007</v>
      </c>
      <c r="N108" s="158">
        <f t="shared" si="2"/>
        <v>124.9166666666667</v>
      </c>
      <c r="O108" s="158">
        <f t="shared" si="2"/>
        <v>0</v>
      </c>
      <c r="P108" s="158">
        <f t="shared" si="2"/>
        <v>0.61854166666666666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5.5676372660112428</v>
      </c>
      <c r="C109" s="158">
        <f t="shared" ref="C109:Q109" si="3">STDEV(C9:C104)</f>
        <v>3.464748693451206</v>
      </c>
      <c r="D109" s="158">
        <f t="shared" si="3"/>
        <v>3.2060557762382977</v>
      </c>
      <c r="E109" s="158">
        <f t="shared" si="3"/>
        <v>1.5238852662928932</v>
      </c>
      <c r="F109" s="158">
        <f t="shared" si="3"/>
        <v>4.8669836283018153</v>
      </c>
      <c r="G109" s="158">
        <f t="shared" si="3"/>
        <v>28.325366184088882</v>
      </c>
      <c r="H109" s="158">
        <f t="shared" si="3"/>
        <v>13.55398931207827</v>
      </c>
      <c r="I109" s="158">
        <f t="shared" si="3"/>
        <v>2.4332518829494849</v>
      </c>
      <c r="J109" s="158">
        <f t="shared" si="3"/>
        <v>0.24786330326464856</v>
      </c>
      <c r="K109" s="158">
        <f t="shared" si="3"/>
        <v>87.21237640917947</v>
      </c>
      <c r="L109" s="158">
        <f t="shared" si="3"/>
        <v>4.7450037978558486</v>
      </c>
      <c r="M109" s="158">
        <f t="shared" si="3"/>
        <v>23.277579633319416</v>
      </c>
      <c r="N109" s="158">
        <f t="shared" si="3"/>
        <v>198.52524202050029</v>
      </c>
      <c r="O109" s="158">
        <f t="shared" si="3"/>
        <v>0</v>
      </c>
      <c r="P109" s="158">
        <f t="shared" si="3"/>
        <v>0.16468776944117208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J99" sqref="J9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823</v>
      </c>
      <c r="B9" s="100">
        <v>16.32</v>
      </c>
      <c r="C9" s="100">
        <v>19.02</v>
      </c>
      <c r="D9" s="100">
        <v>23.03</v>
      </c>
      <c r="E9" s="100">
        <v>5.12</v>
      </c>
      <c r="F9" s="100">
        <v>0.02</v>
      </c>
      <c r="G9" s="100">
        <v>126.59</v>
      </c>
      <c r="H9" s="100">
        <v>70.09</v>
      </c>
      <c r="I9" s="100">
        <v>15.16</v>
      </c>
      <c r="J9" s="100">
        <v>0.13</v>
      </c>
      <c r="K9" s="100">
        <v>201.61</v>
      </c>
      <c r="L9" s="100">
        <v>17</v>
      </c>
      <c r="M9" s="100">
        <v>78.45</v>
      </c>
      <c r="N9" s="100">
        <v>16.3</v>
      </c>
      <c r="O9" s="100">
        <v>0</v>
      </c>
      <c r="P9" s="100">
        <v>1.04</v>
      </c>
      <c r="Q9" s="100">
        <v>9.32</v>
      </c>
      <c r="R9" s="6"/>
      <c r="S9" s="6"/>
      <c r="T9" s="156"/>
      <c r="U9" s="6"/>
    </row>
    <row r="10" spans="1:21" customFormat="1">
      <c r="A10" s="163" t="s">
        <v>824</v>
      </c>
      <c r="B10" s="100">
        <v>18.52</v>
      </c>
      <c r="C10" s="100">
        <v>19.78</v>
      </c>
      <c r="D10" s="100">
        <v>25.19</v>
      </c>
      <c r="E10" s="100">
        <v>5.0999999999999996</v>
      </c>
      <c r="F10" s="100">
        <v>0.02</v>
      </c>
      <c r="G10" s="100">
        <v>126.59</v>
      </c>
      <c r="H10" s="100">
        <v>70.09</v>
      </c>
      <c r="I10" s="100">
        <v>15.32</v>
      </c>
      <c r="J10" s="100">
        <v>0.17</v>
      </c>
      <c r="K10" s="100">
        <v>226.92</v>
      </c>
      <c r="L10" s="100">
        <v>16.95</v>
      </c>
      <c r="M10" s="100">
        <v>80.11</v>
      </c>
      <c r="N10" s="100">
        <v>16.399999999999999</v>
      </c>
      <c r="O10" s="100">
        <v>0</v>
      </c>
      <c r="P10" s="100">
        <v>1.08</v>
      </c>
      <c r="Q10" s="100">
        <v>9.32</v>
      </c>
      <c r="R10" s="6"/>
      <c r="S10" s="6"/>
      <c r="T10" s="156"/>
      <c r="U10" s="6"/>
    </row>
    <row r="11" spans="1:21" customFormat="1">
      <c r="A11" s="163" t="s">
        <v>825</v>
      </c>
      <c r="B11" s="100">
        <v>21.08</v>
      </c>
      <c r="C11" s="100">
        <v>20.3</v>
      </c>
      <c r="D11" s="100">
        <v>27.51</v>
      </c>
      <c r="E11" s="100">
        <v>5.26</v>
      </c>
      <c r="F11" s="100">
        <v>0.02</v>
      </c>
      <c r="G11" s="100">
        <v>129.11000000000001</v>
      </c>
      <c r="H11" s="100">
        <v>71.27</v>
      </c>
      <c r="I11" s="100">
        <v>15.56</v>
      </c>
      <c r="J11" s="100">
        <v>0.2</v>
      </c>
      <c r="K11" s="100">
        <v>170.74</v>
      </c>
      <c r="L11" s="100">
        <v>17.03</v>
      </c>
      <c r="M11" s="100">
        <v>80.459999999999994</v>
      </c>
      <c r="N11" s="100">
        <v>16.3</v>
      </c>
      <c r="O11" s="100">
        <v>0</v>
      </c>
      <c r="P11" s="100">
        <v>1.1100000000000001</v>
      </c>
      <c r="Q11" s="100">
        <v>9.32</v>
      </c>
      <c r="R11" s="6"/>
      <c r="S11" s="6"/>
      <c r="T11" s="156"/>
      <c r="U11" s="6"/>
    </row>
    <row r="12" spans="1:21" customFormat="1">
      <c r="A12" s="163" t="s">
        <v>826</v>
      </c>
      <c r="B12" s="100">
        <v>23.63</v>
      </c>
      <c r="C12" s="100">
        <v>20.91</v>
      </c>
      <c r="D12" s="100">
        <v>29.88</v>
      </c>
      <c r="E12" s="100">
        <v>5.12</v>
      </c>
      <c r="F12" s="100">
        <v>0.02</v>
      </c>
      <c r="G12" s="100">
        <v>129.16999999999999</v>
      </c>
      <c r="H12" s="100">
        <v>71.27</v>
      </c>
      <c r="I12" s="100">
        <v>15.98</v>
      </c>
      <c r="J12" s="100">
        <v>0.15</v>
      </c>
      <c r="K12" s="100">
        <v>188</v>
      </c>
      <c r="L12" s="100">
        <v>17</v>
      </c>
      <c r="M12" s="100">
        <v>81.91</v>
      </c>
      <c r="N12" s="100">
        <v>16.3</v>
      </c>
      <c r="O12" s="100">
        <v>0</v>
      </c>
      <c r="P12" s="100">
        <v>1.1399999999999999</v>
      </c>
      <c r="Q12" s="100">
        <v>9.32</v>
      </c>
      <c r="R12" s="6"/>
      <c r="S12" s="6"/>
      <c r="T12" s="156"/>
      <c r="U12" s="6"/>
    </row>
    <row r="13" spans="1:21" customFormat="1">
      <c r="A13" s="163" t="s">
        <v>827</v>
      </c>
      <c r="B13" s="100">
        <v>25.16</v>
      </c>
      <c r="C13" s="100">
        <v>21.07</v>
      </c>
      <c r="D13" s="100">
        <v>31.19</v>
      </c>
      <c r="E13" s="100">
        <v>5.44</v>
      </c>
      <c r="F13" s="100">
        <v>0.02</v>
      </c>
      <c r="G13" s="100">
        <v>129.16999999999999</v>
      </c>
      <c r="H13" s="100">
        <v>71.27</v>
      </c>
      <c r="I13" s="100">
        <v>18.77</v>
      </c>
      <c r="J13" s="100">
        <v>0.15</v>
      </c>
      <c r="K13" s="100">
        <v>198.16</v>
      </c>
      <c r="L13" s="100">
        <v>16.91</v>
      </c>
      <c r="M13" s="100">
        <v>84.67</v>
      </c>
      <c r="N13" s="100">
        <v>16.100000000000001</v>
      </c>
      <c r="O13" s="100">
        <v>0</v>
      </c>
      <c r="P13" s="100">
        <v>1.18</v>
      </c>
      <c r="Q13" s="100">
        <v>9.32</v>
      </c>
      <c r="R13" s="6"/>
      <c r="S13" s="6"/>
      <c r="T13" s="156"/>
      <c r="U13" s="6"/>
    </row>
    <row r="14" spans="1:21" customFormat="1">
      <c r="A14" s="163" t="s">
        <v>828</v>
      </c>
      <c r="B14" s="100">
        <v>25.6</v>
      </c>
      <c r="C14" s="100">
        <v>20.84</v>
      </c>
      <c r="D14" s="100">
        <v>31.41</v>
      </c>
      <c r="E14" s="100">
        <v>5.5</v>
      </c>
      <c r="F14" s="100">
        <v>0.02</v>
      </c>
      <c r="G14" s="100">
        <v>129.16999999999999</v>
      </c>
      <c r="H14" s="100">
        <v>71.27</v>
      </c>
      <c r="I14" s="100">
        <v>21.88</v>
      </c>
      <c r="J14" s="100">
        <v>0.15</v>
      </c>
      <c r="K14" s="100">
        <v>166.75</v>
      </c>
      <c r="L14" s="100">
        <v>16.47</v>
      </c>
      <c r="M14" s="100">
        <v>87.35</v>
      </c>
      <c r="N14" s="100">
        <v>16.3</v>
      </c>
      <c r="O14" s="100">
        <v>0</v>
      </c>
      <c r="P14" s="100">
        <v>1.19</v>
      </c>
      <c r="Q14" s="100">
        <v>9.32</v>
      </c>
      <c r="R14" s="6"/>
      <c r="S14" s="6"/>
      <c r="T14" s="156"/>
      <c r="U14" s="6"/>
    </row>
    <row r="15" spans="1:21" customFormat="1">
      <c r="A15" s="163" t="s">
        <v>829</v>
      </c>
      <c r="B15" s="100">
        <v>25.72</v>
      </c>
      <c r="C15" s="100">
        <v>20.59</v>
      </c>
      <c r="D15" s="100">
        <v>31.38</v>
      </c>
      <c r="E15" s="100">
        <v>5.49</v>
      </c>
      <c r="F15" s="100">
        <v>0.03</v>
      </c>
      <c r="G15" s="100">
        <v>130.13999999999999</v>
      </c>
      <c r="H15" s="100">
        <v>72.06</v>
      </c>
      <c r="I15" s="100">
        <v>22.4</v>
      </c>
      <c r="J15" s="100">
        <v>0.16</v>
      </c>
      <c r="K15" s="100">
        <v>165.47</v>
      </c>
      <c r="L15" s="100">
        <v>16.350000000000001</v>
      </c>
      <c r="M15" s="100">
        <v>86.69</v>
      </c>
      <c r="N15" s="100">
        <v>16.100000000000001</v>
      </c>
      <c r="O15" s="100">
        <v>0</v>
      </c>
      <c r="P15" s="100">
        <v>1.21</v>
      </c>
      <c r="Q15" s="100">
        <v>9.32</v>
      </c>
      <c r="R15" s="6"/>
      <c r="S15" s="6"/>
      <c r="T15" s="156"/>
      <c r="U15" s="6"/>
    </row>
    <row r="16" spans="1:21" customFormat="1">
      <c r="A16" s="163" t="s">
        <v>830</v>
      </c>
      <c r="B16" s="100">
        <v>26.29</v>
      </c>
      <c r="C16" s="100">
        <v>20.36</v>
      </c>
      <c r="D16" s="100">
        <v>31.72</v>
      </c>
      <c r="E16" s="100">
        <v>5.16</v>
      </c>
      <c r="F16" s="100">
        <v>0.04</v>
      </c>
      <c r="G16" s="100">
        <v>130.16999999999999</v>
      </c>
      <c r="H16" s="100">
        <v>72.06</v>
      </c>
      <c r="I16" s="100">
        <v>22.65</v>
      </c>
      <c r="J16" s="100">
        <v>0.19</v>
      </c>
      <c r="K16" s="100">
        <v>156.97</v>
      </c>
      <c r="L16" s="100">
        <v>16.45</v>
      </c>
      <c r="M16" s="100">
        <v>84.92</v>
      </c>
      <c r="N16" s="100">
        <v>16</v>
      </c>
      <c r="O16" s="100">
        <v>0</v>
      </c>
      <c r="P16" s="100">
        <v>1.24</v>
      </c>
      <c r="Q16" s="100">
        <v>9.32</v>
      </c>
      <c r="R16" s="6"/>
      <c r="S16" s="6"/>
      <c r="T16" s="156"/>
      <c r="U16" s="6"/>
    </row>
    <row r="17" spans="1:21" customFormat="1">
      <c r="A17" s="163" t="s">
        <v>831</v>
      </c>
      <c r="B17" s="100">
        <v>27.34</v>
      </c>
      <c r="C17" s="100">
        <v>20.440000000000001</v>
      </c>
      <c r="D17" s="100">
        <v>32.61</v>
      </c>
      <c r="E17" s="100">
        <v>4.1900000000000004</v>
      </c>
      <c r="F17" s="100">
        <v>0.08</v>
      </c>
      <c r="G17" s="100">
        <v>130.16999999999999</v>
      </c>
      <c r="H17" s="100">
        <v>72.06</v>
      </c>
      <c r="I17" s="100">
        <v>22.9</v>
      </c>
      <c r="J17" s="100">
        <v>0.19</v>
      </c>
      <c r="K17" s="100">
        <v>178.24</v>
      </c>
      <c r="L17" s="100">
        <v>16.41</v>
      </c>
      <c r="M17" s="100">
        <v>83.99</v>
      </c>
      <c r="N17" s="100">
        <v>15.8</v>
      </c>
      <c r="O17" s="100">
        <v>0</v>
      </c>
      <c r="P17" s="100">
        <v>1.27</v>
      </c>
      <c r="Q17" s="100">
        <v>9.32</v>
      </c>
      <c r="R17" s="6"/>
      <c r="S17" s="6"/>
      <c r="T17" s="156"/>
      <c r="U17" s="6"/>
    </row>
    <row r="18" spans="1:21" customFormat="1">
      <c r="A18" s="163" t="s">
        <v>832</v>
      </c>
      <c r="B18" s="100">
        <v>28.2</v>
      </c>
      <c r="C18" s="100">
        <v>20.399999999999999</v>
      </c>
      <c r="D18" s="100">
        <v>33.270000000000003</v>
      </c>
      <c r="E18" s="100">
        <v>4.87</v>
      </c>
      <c r="F18" s="100">
        <v>0.08</v>
      </c>
      <c r="G18" s="100">
        <v>130.16999999999999</v>
      </c>
      <c r="H18" s="100">
        <v>72.06</v>
      </c>
      <c r="I18" s="100">
        <v>23.31</v>
      </c>
      <c r="J18" s="100">
        <v>0.21</v>
      </c>
      <c r="K18" s="100">
        <v>215.37</v>
      </c>
      <c r="L18" s="100">
        <v>16.12</v>
      </c>
      <c r="M18" s="100">
        <v>87.86</v>
      </c>
      <c r="N18" s="100">
        <v>16.2</v>
      </c>
      <c r="O18" s="100">
        <v>0</v>
      </c>
      <c r="P18" s="100">
        <v>1.28</v>
      </c>
      <c r="Q18" s="100">
        <v>9.32</v>
      </c>
      <c r="R18" s="6"/>
      <c r="S18" s="6"/>
      <c r="T18" s="156"/>
      <c r="U18" s="6"/>
    </row>
    <row r="19" spans="1:21" customFormat="1">
      <c r="A19" s="163" t="s">
        <v>833</v>
      </c>
      <c r="B19" s="100">
        <v>28.25</v>
      </c>
      <c r="C19" s="100">
        <v>20.18</v>
      </c>
      <c r="D19" s="100">
        <v>33.200000000000003</v>
      </c>
      <c r="E19" s="100">
        <v>4.68</v>
      </c>
      <c r="F19" s="100">
        <v>0.08</v>
      </c>
      <c r="G19" s="100">
        <v>134.1</v>
      </c>
      <c r="H19" s="100">
        <v>79.760000000000005</v>
      </c>
      <c r="I19" s="100">
        <v>23.8</v>
      </c>
      <c r="J19" s="100">
        <v>0.16</v>
      </c>
      <c r="K19" s="100">
        <v>224.82</v>
      </c>
      <c r="L19" s="100">
        <v>15.72</v>
      </c>
      <c r="M19" s="100">
        <v>88.08</v>
      </c>
      <c r="N19" s="100">
        <v>16</v>
      </c>
      <c r="O19" s="100">
        <v>0</v>
      </c>
      <c r="P19" s="100">
        <v>1.29</v>
      </c>
      <c r="Q19" s="100">
        <v>9.32</v>
      </c>
      <c r="R19" s="6"/>
      <c r="S19" s="6"/>
      <c r="T19" s="156"/>
      <c r="U19" s="6"/>
    </row>
    <row r="20" spans="1:21" customFormat="1">
      <c r="A20" s="163" t="s">
        <v>834</v>
      </c>
      <c r="B20" s="100">
        <v>27.91</v>
      </c>
      <c r="C20" s="100">
        <v>19.850000000000001</v>
      </c>
      <c r="D20" s="100">
        <v>32.75</v>
      </c>
      <c r="E20" s="100">
        <v>4.8099999999999996</v>
      </c>
      <c r="F20" s="100">
        <v>0.08</v>
      </c>
      <c r="G20" s="100">
        <v>134.19</v>
      </c>
      <c r="H20" s="100">
        <v>79.760000000000005</v>
      </c>
      <c r="I20" s="100">
        <v>24.11</v>
      </c>
      <c r="J20" s="100">
        <v>0.18</v>
      </c>
      <c r="K20" s="100">
        <v>234.74</v>
      </c>
      <c r="L20" s="100">
        <v>15.65</v>
      </c>
      <c r="M20" s="100">
        <v>89.01</v>
      </c>
      <c r="N20" s="100">
        <v>16</v>
      </c>
      <c r="O20" s="100">
        <v>0</v>
      </c>
      <c r="P20" s="100">
        <v>1.3</v>
      </c>
      <c r="Q20" s="100">
        <v>9.32</v>
      </c>
      <c r="R20" s="6"/>
      <c r="S20" s="6"/>
      <c r="T20" s="156"/>
      <c r="U20" s="6"/>
    </row>
    <row r="21" spans="1:21" customFormat="1">
      <c r="A21" s="163" t="s">
        <v>835</v>
      </c>
      <c r="B21" s="100">
        <v>27.41</v>
      </c>
      <c r="C21" s="100">
        <v>19.25</v>
      </c>
      <c r="D21" s="100">
        <v>32.04</v>
      </c>
      <c r="E21" s="100">
        <v>4.5</v>
      </c>
      <c r="F21" s="100">
        <v>0.03</v>
      </c>
      <c r="G21" s="100">
        <v>134.19</v>
      </c>
      <c r="H21" s="100">
        <v>79.760000000000005</v>
      </c>
      <c r="I21" s="100">
        <v>24.26</v>
      </c>
      <c r="J21" s="100">
        <v>0.13</v>
      </c>
      <c r="K21" s="100">
        <v>209.17</v>
      </c>
      <c r="L21" s="100">
        <v>15.4</v>
      </c>
      <c r="M21" s="100">
        <v>89.93</v>
      </c>
      <c r="N21" s="100">
        <v>16.100000000000001</v>
      </c>
      <c r="O21" s="100">
        <v>0</v>
      </c>
      <c r="P21" s="100">
        <v>1.3</v>
      </c>
      <c r="Q21" s="100">
        <v>9.32</v>
      </c>
      <c r="R21" s="6"/>
      <c r="S21" s="6"/>
      <c r="T21" s="156"/>
      <c r="U21" s="6"/>
    </row>
    <row r="22" spans="1:21" customFormat="1">
      <c r="A22" s="163" t="s">
        <v>836</v>
      </c>
      <c r="B22" s="100">
        <v>26.77</v>
      </c>
      <c r="C22" s="100">
        <v>18.940000000000001</v>
      </c>
      <c r="D22" s="100">
        <v>31.36</v>
      </c>
      <c r="E22" s="100">
        <v>4.57</v>
      </c>
      <c r="F22" s="100">
        <v>0.14000000000000001</v>
      </c>
      <c r="G22" s="100">
        <v>134.19</v>
      </c>
      <c r="H22" s="100">
        <v>79.760000000000005</v>
      </c>
      <c r="I22" s="100">
        <v>24.37</v>
      </c>
      <c r="J22" s="100">
        <v>0.2</v>
      </c>
      <c r="K22" s="100">
        <v>231.85</v>
      </c>
      <c r="L22" s="100">
        <v>15.3</v>
      </c>
      <c r="M22" s="100">
        <v>89.65</v>
      </c>
      <c r="N22" s="100">
        <v>16</v>
      </c>
      <c r="O22" s="100">
        <v>0</v>
      </c>
      <c r="P22" s="100">
        <v>1.3</v>
      </c>
      <c r="Q22" s="100">
        <v>9.32</v>
      </c>
      <c r="R22" s="6"/>
      <c r="S22" s="6"/>
      <c r="T22" s="156"/>
      <c r="U22" s="6"/>
    </row>
    <row r="23" spans="1:21" customFormat="1">
      <c r="A23" s="163" t="s">
        <v>837</v>
      </c>
      <c r="B23" s="100">
        <v>26.17</v>
      </c>
      <c r="C23" s="100">
        <v>18.61</v>
      </c>
      <c r="D23" s="100">
        <v>30.71</v>
      </c>
      <c r="E23" s="100">
        <v>4.7300000000000004</v>
      </c>
      <c r="F23" s="100">
        <v>7.0000000000000007E-2</v>
      </c>
      <c r="G23" s="100">
        <v>126.52</v>
      </c>
      <c r="H23" s="100">
        <v>71.87</v>
      </c>
      <c r="I23" s="100">
        <v>24.41</v>
      </c>
      <c r="J23" s="100">
        <v>0.16</v>
      </c>
      <c r="K23" s="100">
        <v>229.12</v>
      </c>
      <c r="L23" s="100">
        <v>15.14</v>
      </c>
      <c r="M23" s="100">
        <v>88.77</v>
      </c>
      <c r="N23" s="100">
        <v>16</v>
      </c>
      <c r="O23" s="100">
        <v>0</v>
      </c>
      <c r="P23" s="100">
        <v>1.31</v>
      </c>
      <c r="Q23" s="100">
        <v>9.32</v>
      </c>
      <c r="R23" s="6"/>
      <c r="S23" s="6"/>
      <c r="T23" s="156"/>
      <c r="U23" s="6"/>
    </row>
    <row r="24" spans="1:21" customFormat="1">
      <c r="A24" s="163" t="s">
        <v>838</v>
      </c>
      <c r="B24" s="100">
        <v>25.51</v>
      </c>
      <c r="C24" s="100">
        <v>18.2</v>
      </c>
      <c r="D24" s="100">
        <v>29.97</v>
      </c>
      <c r="E24" s="100">
        <v>4.54</v>
      </c>
      <c r="F24" s="100">
        <v>7.0000000000000007E-2</v>
      </c>
      <c r="G24" s="100">
        <v>126.34</v>
      </c>
      <c r="H24" s="100">
        <v>71.87</v>
      </c>
      <c r="I24" s="100">
        <v>24.39</v>
      </c>
      <c r="J24" s="100">
        <v>0.23</v>
      </c>
      <c r="K24" s="100">
        <v>243.15</v>
      </c>
      <c r="L24" s="100">
        <v>15.17</v>
      </c>
      <c r="M24" s="100">
        <v>88.15</v>
      </c>
      <c r="N24" s="100">
        <v>15.9</v>
      </c>
      <c r="O24" s="100">
        <v>0</v>
      </c>
      <c r="P24" s="100">
        <v>1.3</v>
      </c>
      <c r="Q24" s="100">
        <v>9.32</v>
      </c>
      <c r="R24" s="6"/>
      <c r="S24" s="6"/>
      <c r="T24" s="156"/>
      <c r="U24" s="6"/>
    </row>
    <row r="25" spans="1:21" customFormat="1">
      <c r="A25" s="163" t="s">
        <v>839</v>
      </c>
      <c r="B25" s="100">
        <v>24.73</v>
      </c>
      <c r="C25" s="100">
        <v>18.05</v>
      </c>
      <c r="D25" s="100">
        <v>29.26</v>
      </c>
      <c r="E25" s="100">
        <v>4.83</v>
      </c>
      <c r="F25" s="100">
        <v>7.0000000000000007E-2</v>
      </c>
      <c r="G25" s="100">
        <v>126.34</v>
      </c>
      <c r="H25" s="100">
        <v>71.87</v>
      </c>
      <c r="I25" s="100">
        <v>24.32</v>
      </c>
      <c r="J25" s="100">
        <v>0.17</v>
      </c>
      <c r="K25" s="100">
        <v>196.41</v>
      </c>
      <c r="L25" s="100">
        <v>14.93</v>
      </c>
      <c r="M25" s="100">
        <v>86.52</v>
      </c>
      <c r="N25" s="100">
        <v>16</v>
      </c>
      <c r="O25" s="100">
        <v>0</v>
      </c>
      <c r="P25" s="100">
        <v>1.31</v>
      </c>
      <c r="Q25" s="100">
        <v>9.32</v>
      </c>
      <c r="R25" s="6"/>
      <c r="S25" s="6"/>
      <c r="T25" s="156"/>
      <c r="U25" s="6"/>
    </row>
    <row r="26" spans="1:21" customFormat="1">
      <c r="A26" s="163" t="s">
        <v>840</v>
      </c>
      <c r="B26" s="100">
        <v>23.92</v>
      </c>
      <c r="C26" s="100">
        <v>17.739999999999998</v>
      </c>
      <c r="D26" s="100">
        <v>28.45</v>
      </c>
      <c r="E26" s="100">
        <v>4.72</v>
      </c>
      <c r="F26" s="100">
        <v>0.02</v>
      </c>
      <c r="G26" s="100">
        <v>126.34</v>
      </c>
      <c r="H26" s="100">
        <v>71.87</v>
      </c>
      <c r="I26" s="100">
        <v>24.26</v>
      </c>
      <c r="J26" s="100">
        <v>0.16</v>
      </c>
      <c r="K26" s="100">
        <v>215.84</v>
      </c>
      <c r="L26" s="100">
        <v>14.98</v>
      </c>
      <c r="M26" s="100">
        <v>88.39</v>
      </c>
      <c r="N26" s="100">
        <v>16</v>
      </c>
      <c r="O26" s="100">
        <v>0</v>
      </c>
      <c r="P26" s="100">
        <v>1.31</v>
      </c>
      <c r="Q26" s="100">
        <v>9.32</v>
      </c>
      <c r="R26" s="6"/>
      <c r="S26" s="6"/>
      <c r="T26" s="156"/>
      <c r="U26" s="6"/>
    </row>
    <row r="27" spans="1:21" customFormat="1">
      <c r="A27" s="163" t="s">
        <v>841</v>
      </c>
      <c r="B27" s="100">
        <v>23.04</v>
      </c>
      <c r="C27" s="100">
        <v>17.54</v>
      </c>
      <c r="D27" s="100">
        <v>27.64</v>
      </c>
      <c r="E27" s="100">
        <v>4.68</v>
      </c>
      <c r="F27" s="100">
        <v>0.08</v>
      </c>
      <c r="G27" s="100">
        <v>121.83</v>
      </c>
      <c r="H27" s="100">
        <v>70.31</v>
      </c>
      <c r="I27" s="100">
        <v>24.25</v>
      </c>
      <c r="J27" s="100">
        <v>0.08</v>
      </c>
      <c r="K27" s="100">
        <v>187.06</v>
      </c>
      <c r="L27" s="100">
        <v>14.67</v>
      </c>
      <c r="M27" s="100">
        <v>87.73</v>
      </c>
      <c r="N27" s="100">
        <v>16</v>
      </c>
      <c r="O27" s="100">
        <v>0</v>
      </c>
      <c r="P27" s="100">
        <v>1.31</v>
      </c>
      <c r="Q27" s="100">
        <v>9.32</v>
      </c>
      <c r="R27" s="6"/>
      <c r="S27" s="6"/>
      <c r="T27" s="156"/>
      <c r="U27" s="6"/>
    </row>
    <row r="28" spans="1:21" customFormat="1">
      <c r="A28" s="163" t="s">
        <v>842</v>
      </c>
      <c r="B28" s="100">
        <v>22.55</v>
      </c>
      <c r="C28" s="100">
        <v>17.46</v>
      </c>
      <c r="D28" s="100">
        <v>27.21</v>
      </c>
      <c r="E28" s="100">
        <v>4.4000000000000004</v>
      </c>
      <c r="F28" s="100">
        <v>0.02</v>
      </c>
      <c r="G28" s="100">
        <v>121.73</v>
      </c>
      <c r="H28" s="100">
        <v>70.31</v>
      </c>
      <c r="I28" s="100">
        <v>24.22</v>
      </c>
      <c r="J28" s="100">
        <v>0.12</v>
      </c>
      <c r="K28" s="100">
        <v>169.19</v>
      </c>
      <c r="L28" s="100">
        <v>14.72</v>
      </c>
      <c r="M28" s="100">
        <v>87.49</v>
      </c>
      <c r="N28" s="100">
        <v>15.9</v>
      </c>
      <c r="O28" s="100">
        <v>0</v>
      </c>
      <c r="P28" s="100">
        <v>1.3</v>
      </c>
      <c r="Q28" s="100">
        <v>9.32</v>
      </c>
      <c r="R28" s="6"/>
      <c r="S28" s="6"/>
      <c r="T28" s="156"/>
      <c r="U28" s="6"/>
    </row>
    <row r="29" spans="1:21" customFormat="1">
      <c r="A29" s="163" t="s">
        <v>843</v>
      </c>
      <c r="B29" s="100">
        <v>23.1</v>
      </c>
      <c r="C29" s="100">
        <v>17.64</v>
      </c>
      <c r="D29" s="100">
        <v>27.74</v>
      </c>
      <c r="E29" s="100">
        <v>4.57</v>
      </c>
      <c r="F29" s="100">
        <v>0.01</v>
      </c>
      <c r="G29" s="100">
        <v>121.73</v>
      </c>
      <c r="H29" s="100">
        <v>70.31</v>
      </c>
      <c r="I29" s="100">
        <v>24.14</v>
      </c>
      <c r="J29" s="100">
        <v>0.18</v>
      </c>
      <c r="K29" s="100">
        <v>205.81</v>
      </c>
      <c r="L29" s="100">
        <v>14.9</v>
      </c>
      <c r="M29" s="100">
        <v>85.39</v>
      </c>
      <c r="N29" s="100">
        <v>15.7</v>
      </c>
      <c r="O29" s="100">
        <v>0</v>
      </c>
      <c r="P29" s="100">
        <v>1.29</v>
      </c>
      <c r="Q29" s="100">
        <v>9.32</v>
      </c>
      <c r="R29" s="6"/>
      <c r="S29" s="6"/>
      <c r="T29" s="156"/>
      <c r="U29" s="6"/>
    </row>
    <row r="30" spans="1:21" customFormat="1">
      <c r="A30" s="163" t="s">
        <v>844</v>
      </c>
      <c r="B30" s="100">
        <v>23.8</v>
      </c>
      <c r="C30" s="100">
        <v>18.04</v>
      </c>
      <c r="D30" s="100">
        <v>28.51</v>
      </c>
      <c r="E30" s="100">
        <v>4.54</v>
      </c>
      <c r="F30" s="100">
        <v>0.2</v>
      </c>
      <c r="G30" s="100">
        <v>121.73</v>
      </c>
      <c r="H30" s="100">
        <v>70.31</v>
      </c>
      <c r="I30" s="100">
        <v>24.04</v>
      </c>
      <c r="J30" s="100">
        <v>0.18</v>
      </c>
      <c r="K30" s="100">
        <v>244.3</v>
      </c>
      <c r="L30" s="100">
        <v>14.9</v>
      </c>
      <c r="M30" s="100">
        <v>86.16</v>
      </c>
      <c r="N30" s="100">
        <v>15.8</v>
      </c>
      <c r="O30" s="100">
        <v>0</v>
      </c>
      <c r="P30" s="100">
        <v>1.29</v>
      </c>
      <c r="Q30" s="100">
        <v>9.32</v>
      </c>
      <c r="R30" s="6"/>
      <c r="S30" s="6"/>
      <c r="T30" s="156"/>
      <c r="U30" s="6"/>
    </row>
    <row r="31" spans="1:21" customFormat="1">
      <c r="A31" s="163" t="s">
        <v>845</v>
      </c>
      <c r="B31" s="100">
        <v>23.8</v>
      </c>
      <c r="C31" s="100">
        <v>18.05</v>
      </c>
      <c r="D31" s="100">
        <v>28.51</v>
      </c>
      <c r="E31" s="100">
        <v>4.84</v>
      </c>
      <c r="F31" s="100">
        <v>0.1</v>
      </c>
      <c r="G31" s="100">
        <v>118.55</v>
      </c>
      <c r="H31" s="100">
        <v>68.209999999999994</v>
      </c>
      <c r="I31" s="100">
        <v>23.88</v>
      </c>
      <c r="J31" s="100">
        <v>0.15</v>
      </c>
      <c r="K31" s="100">
        <v>221.22</v>
      </c>
      <c r="L31" s="100">
        <v>14.71</v>
      </c>
      <c r="M31" s="100">
        <v>88</v>
      </c>
      <c r="N31" s="100">
        <v>16</v>
      </c>
      <c r="O31" s="100">
        <v>0</v>
      </c>
      <c r="P31" s="100">
        <v>1.28</v>
      </c>
      <c r="Q31" s="100">
        <v>9.32</v>
      </c>
      <c r="R31" s="6"/>
      <c r="S31" s="6"/>
      <c r="T31" s="156"/>
      <c r="U31" s="6"/>
    </row>
    <row r="32" spans="1:21" customFormat="1">
      <c r="A32" s="163" t="s">
        <v>846</v>
      </c>
      <c r="B32" s="100">
        <v>23.2</v>
      </c>
      <c r="C32" s="100">
        <v>17.82</v>
      </c>
      <c r="D32" s="100">
        <v>27.92</v>
      </c>
      <c r="E32" s="100">
        <v>4.5599999999999996</v>
      </c>
      <c r="F32" s="100">
        <v>0.05</v>
      </c>
      <c r="G32" s="100">
        <v>118.48</v>
      </c>
      <c r="H32" s="100">
        <v>68.209999999999994</v>
      </c>
      <c r="I32" s="100">
        <v>23.71</v>
      </c>
      <c r="J32" s="100">
        <v>0.1</v>
      </c>
      <c r="K32" s="100">
        <v>205.53</v>
      </c>
      <c r="L32" s="100">
        <v>14.42</v>
      </c>
      <c r="M32" s="100">
        <v>89.17</v>
      </c>
      <c r="N32" s="100">
        <v>16.3</v>
      </c>
      <c r="O32" s="100">
        <v>0</v>
      </c>
      <c r="P32" s="100">
        <v>1.27</v>
      </c>
      <c r="Q32" s="100">
        <v>9.32</v>
      </c>
      <c r="R32" s="6"/>
      <c r="S32" s="6"/>
      <c r="T32" s="156"/>
      <c r="U32" s="6"/>
    </row>
    <row r="33" spans="1:21" customFormat="1">
      <c r="A33" s="163" t="s">
        <v>847</v>
      </c>
      <c r="B33" s="100">
        <v>22.5</v>
      </c>
      <c r="C33" s="100">
        <v>17.39</v>
      </c>
      <c r="D33" s="100">
        <v>27.13</v>
      </c>
      <c r="E33" s="100">
        <v>4.6399999999999997</v>
      </c>
      <c r="F33" s="100">
        <v>0.12</v>
      </c>
      <c r="G33" s="100">
        <v>118.48</v>
      </c>
      <c r="H33" s="100">
        <v>68.209999999999994</v>
      </c>
      <c r="I33" s="100">
        <v>23.54</v>
      </c>
      <c r="J33" s="100">
        <v>0.17</v>
      </c>
      <c r="K33" s="100">
        <v>157.78</v>
      </c>
      <c r="L33" s="100">
        <v>14.35</v>
      </c>
      <c r="M33" s="100">
        <v>89.31</v>
      </c>
      <c r="N33" s="100">
        <v>16.399999999999999</v>
      </c>
      <c r="O33" s="100">
        <v>0</v>
      </c>
      <c r="P33" s="100">
        <v>1.26</v>
      </c>
      <c r="Q33" s="100">
        <v>9.32</v>
      </c>
      <c r="R33" s="6"/>
      <c r="S33" s="6"/>
      <c r="T33" s="156"/>
      <c r="U33" s="6"/>
    </row>
    <row r="34" spans="1:21" customFormat="1">
      <c r="A34" s="163" t="s">
        <v>848</v>
      </c>
      <c r="B34" s="100">
        <v>22.04</v>
      </c>
      <c r="C34" s="100">
        <v>17.260000000000002</v>
      </c>
      <c r="D34" s="100">
        <v>26.69</v>
      </c>
      <c r="E34" s="100">
        <v>4.5</v>
      </c>
      <c r="F34" s="100">
        <v>0.05</v>
      </c>
      <c r="G34" s="100">
        <v>118.48</v>
      </c>
      <c r="H34" s="100">
        <v>68.209999999999994</v>
      </c>
      <c r="I34" s="100">
        <v>23.45</v>
      </c>
      <c r="J34" s="100">
        <v>0.18</v>
      </c>
      <c r="K34" s="100">
        <v>164.49</v>
      </c>
      <c r="L34" s="100">
        <v>14.48</v>
      </c>
      <c r="M34" s="100">
        <v>87.71</v>
      </c>
      <c r="N34" s="100">
        <v>18.8</v>
      </c>
      <c r="O34" s="100">
        <v>0</v>
      </c>
      <c r="P34" s="100">
        <v>1.26</v>
      </c>
      <c r="Q34" s="100">
        <v>9.32</v>
      </c>
      <c r="R34" s="6"/>
      <c r="S34" s="6"/>
      <c r="T34" s="156"/>
      <c r="U34" s="6"/>
    </row>
    <row r="35" spans="1:21" customFormat="1">
      <c r="A35" s="163" t="s">
        <v>849</v>
      </c>
      <c r="B35" s="100">
        <v>21.6</v>
      </c>
      <c r="C35" s="100">
        <v>17.14</v>
      </c>
      <c r="D35" s="100">
        <v>26.27</v>
      </c>
      <c r="E35" s="100">
        <v>4.58</v>
      </c>
      <c r="F35" s="100">
        <v>0.03</v>
      </c>
      <c r="G35" s="100">
        <v>117.46</v>
      </c>
      <c r="H35" s="100">
        <v>70.48</v>
      </c>
      <c r="I35" s="100">
        <v>23.43</v>
      </c>
      <c r="J35" s="100">
        <v>0.16</v>
      </c>
      <c r="K35" s="100">
        <v>196.16</v>
      </c>
      <c r="L35" s="100">
        <v>14.73</v>
      </c>
      <c r="M35" s="100">
        <v>90.24</v>
      </c>
      <c r="N35" s="100">
        <v>25.7</v>
      </c>
      <c r="O35" s="100">
        <v>0</v>
      </c>
      <c r="P35" s="100">
        <v>1.25</v>
      </c>
      <c r="Q35" s="100">
        <v>9.32</v>
      </c>
      <c r="R35" s="6"/>
      <c r="S35" s="6"/>
      <c r="T35" s="156"/>
      <c r="U35" s="6"/>
    </row>
    <row r="36" spans="1:21" customFormat="1">
      <c r="A36" s="163" t="s">
        <v>850</v>
      </c>
      <c r="B36" s="100">
        <v>20.92</v>
      </c>
      <c r="C36" s="100">
        <v>16.89</v>
      </c>
      <c r="D36" s="100">
        <v>25.6</v>
      </c>
      <c r="E36" s="100">
        <v>4.53</v>
      </c>
      <c r="F36" s="100">
        <v>0.01</v>
      </c>
      <c r="G36" s="100">
        <v>117.43</v>
      </c>
      <c r="H36" s="100">
        <v>70.48</v>
      </c>
      <c r="I36" s="100">
        <v>23.46</v>
      </c>
      <c r="J36" s="100">
        <v>0.13</v>
      </c>
      <c r="K36" s="100">
        <v>223.64</v>
      </c>
      <c r="L36" s="100">
        <v>14.6</v>
      </c>
      <c r="M36" s="100">
        <v>90.84</v>
      </c>
      <c r="N36" s="100">
        <v>38.299999999999997</v>
      </c>
      <c r="O36" s="100">
        <v>0</v>
      </c>
      <c r="P36" s="100">
        <v>1.25</v>
      </c>
      <c r="Q36" s="100">
        <v>9.32</v>
      </c>
      <c r="R36" s="6"/>
      <c r="S36" s="6"/>
      <c r="T36" s="156"/>
      <c r="U36" s="6"/>
    </row>
    <row r="37" spans="1:21" customFormat="1">
      <c r="A37" s="163" t="s">
        <v>851</v>
      </c>
      <c r="B37" s="100">
        <v>20.34</v>
      </c>
      <c r="C37" s="100">
        <v>16.510000000000002</v>
      </c>
      <c r="D37" s="100">
        <v>24.94</v>
      </c>
      <c r="E37" s="100">
        <v>4.41</v>
      </c>
      <c r="F37" s="100">
        <v>0.02</v>
      </c>
      <c r="G37" s="100">
        <v>117.43</v>
      </c>
      <c r="H37" s="100">
        <v>70.48</v>
      </c>
      <c r="I37" s="100">
        <v>23.56</v>
      </c>
      <c r="J37" s="100">
        <v>0.12</v>
      </c>
      <c r="K37" s="100">
        <v>187.33</v>
      </c>
      <c r="L37" s="100">
        <v>14.91</v>
      </c>
      <c r="M37" s="100">
        <v>90.6</v>
      </c>
      <c r="N37" s="100">
        <v>50</v>
      </c>
      <c r="O37" s="100">
        <v>0</v>
      </c>
      <c r="P37" s="100">
        <v>1.26</v>
      </c>
      <c r="Q37" s="100">
        <v>9.32</v>
      </c>
      <c r="R37" s="6"/>
      <c r="S37" s="6"/>
      <c r="T37" s="156"/>
      <c r="U37" s="6"/>
    </row>
    <row r="38" spans="1:21" customFormat="1">
      <c r="A38" s="163" t="s">
        <v>852</v>
      </c>
      <c r="B38" s="100">
        <v>19.79</v>
      </c>
      <c r="C38" s="100">
        <v>16.36</v>
      </c>
      <c r="D38" s="100">
        <v>24.42</v>
      </c>
      <c r="E38" s="100">
        <v>4.26</v>
      </c>
      <c r="F38" s="100">
        <v>0.08</v>
      </c>
      <c r="G38" s="100">
        <v>117.43</v>
      </c>
      <c r="H38" s="100">
        <v>70.48</v>
      </c>
      <c r="I38" s="100">
        <v>23.61</v>
      </c>
      <c r="J38" s="100">
        <v>0.12</v>
      </c>
      <c r="K38" s="100">
        <v>216.33</v>
      </c>
      <c r="L38" s="100">
        <v>15.44</v>
      </c>
      <c r="M38" s="100">
        <v>89.71</v>
      </c>
      <c r="N38" s="100">
        <v>65.5</v>
      </c>
      <c r="O38" s="100">
        <v>0</v>
      </c>
      <c r="P38" s="100">
        <v>1.26</v>
      </c>
      <c r="Q38" s="100">
        <v>9.32</v>
      </c>
      <c r="R38" s="6"/>
      <c r="S38" s="6"/>
      <c r="T38" s="156"/>
      <c r="U38" s="6"/>
    </row>
    <row r="39" spans="1:21" customFormat="1">
      <c r="A39" s="163" t="s">
        <v>853</v>
      </c>
      <c r="B39" s="100">
        <v>19.29</v>
      </c>
      <c r="C39" s="100">
        <v>16.239999999999998</v>
      </c>
      <c r="D39" s="100">
        <v>23.95</v>
      </c>
      <c r="E39" s="100">
        <v>4.57</v>
      </c>
      <c r="F39" s="100">
        <v>0.01</v>
      </c>
      <c r="G39" s="100">
        <v>117.5</v>
      </c>
      <c r="H39" s="100">
        <v>72.3</v>
      </c>
      <c r="I39" s="100">
        <v>23.55</v>
      </c>
      <c r="J39" s="100">
        <v>0.12</v>
      </c>
      <c r="K39" s="100">
        <v>215.89</v>
      </c>
      <c r="L39" s="100">
        <v>16.13</v>
      </c>
      <c r="M39" s="100">
        <v>84.98</v>
      </c>
      <c r="N39" s="100">
        <v>66.8</v>
      </c>
      <c r="O39" s="100">
        <v>0</v>
      </c>
      <c r="P39" s="100">
        <v>1.26</v>
      </c>
      <c r="Q39" s="100">
        <v>9.32</v>
      </c>
      <c r="R39" s="6"/>
      <c r="S39" s="6"/>
      <c r="T39" s="156"/>
      <c r="U39" s="6"/>
    </row>
    <row r="40" spans="1:21" customFormat="1">
      <c r="A40" s="163" t="s">
        <v>854</v>
      </c>
      <c r="B40" s="100">
        <v>18.8</v>
      </c>
      <c r="C40" s="100">
        <v>16.25</v>
      </c>
      <c r="D40" s="100">
        <v>23.57</v>
      </c>
      <c r="E40" s="100">
        <v>4.51</v>
      </c>
      <c r="F40" s="100">
        <v>0.03</v>
      </c>
      <c r="G40" s="100">
        <v>117.5</v>
      </c>
      <c r="H40" s="100">
        <v>72.3</v>
      </c>
      <c r="I40" s="100">
        <v>23.46</v>
      </c>
      <c r="J40" s="100">
        <v>0.04</v>
      </c>
      <c r="K40" s="100">
        <v>260.8</v>
      </c>
      <c r="L40" s="100">
        <v>17.13</v>
      </c>
      <c r="M40" s="100">
        <v>78.47</v>
      </c>
      <c r="N40" s="100">
        <v>90.3</v>
      </c>
      <c r="O40" s="100">
        <v>0</v>
      </c>
      <c r="P40" s="100">
        <v>1.24</v>
      </c>
      <c r="Q40" s="100">
        <v>9.32</v>
      </c>
      <c r="R40" s="6"/>
      <c r="S40" s="6"/>
      <c r="T40" s="156"/>
      <c r="U40" s="6"/>
    </row>
    <row r="41" spans="1:21" customFormat="1">
      <c r="A41" s="163" t="s">
        <v>855</v>
      </c>
      <c r="B41" s="100">
        <v>18.440000000000001</v>
      </c>
      <c r="C41" s="100">
        <v>16.66</v>
      </c>
      <c r="D41" s="100">
        <v>23.49</v>
      </c>
      <c r="E41" s="100">
        <v>4.6500000000000004</v>
      </c>
      <c r="F41" s="100">
        <v>0.04</v>
      </c>
      <c r="G41" s="100">
        <v>117.5</v>
      </c>
      <c r="H41" s="100">
        <v>72.3</v>
      </c>
      <c r="I41" s="100">
        <v>23.37</v>
      </c>
      <c r="J41" s="100">
        <v>0.21</v>
      </c>
      <c r="K41" s="100">
        <v>17.47</v>
      </c>
      <c r="L41" s="100">
        <v>18.670000000000002</v>
      </c>
      <c r="M41" s="100">
        <v>64.62</v>
      </c>
      <c r="N41" s="100">
        <v>214.7</v>
      </c>
      <c r="O41" s="100">
        <v>0</v>
      </c>
      <c r="P41" s="100">
        <v>1.24</v>
      </c>
      <c r="Q41" s="100">
        <v>9.32</v>
      </c>
      <c r="R41" s="6"/>
      <c r="S41" s="6"/>
      <c r="T41" s="156"/>
      <c r="U41" s="6"/>
    </row>
    <row r="42" spans="1:21" customFormat="1">
      <c r="A42" s="163" t="s">
        <v>856</v>
      </c>
      <c r="B42" s="100">
        <v>18.36</v>
      </c>
      <c r="C42" s="100">
        <v>17.440000000000001</v>
      </c>
      <c r="D42" s="100">
        <v>23.83</v>
      </c>
      <c r="E42" s="100">
        <v>4.5599999999999996</v>
      </c>
      <c r="F42" s="100">
        <v>0.04</v>
      </c>
      <c r="G42" s="100">
        <v>117.5</v>
      </c>
      <c r="H42" s="100">
        <v>72.3</v>
      </c>
      <c r="I42" s="100">
        <v>23.24</v>
      </c>
      <c r="J42" s="100">
        <v>0.62</v>
      </c>
      <c r="K42" s="100">
        <v>13.89</v>
      </c>
      <c r="L42" s="100">
        <v>19.98</v>
      </c>
      <c r="M42" s="100">
        <v>53.1</v>
      </c>
      <c r="N42" s="100">
        <v>258.5</v>
      </c>
      <c r="O42" s="100">
        <v>0</v>
      </c>
      <c r="P42" s="100">
        <v>1.23</v>
      </c>
      <c r="Q42" s="100">
        <v>9.32</v>
      </c>
      <c r="R42" s="6"/>
      <c r="S42" s="6"/>
      <c r="T42" s="156"/>
      <c r="U42" s="6"/>
    </row>
    <row r="43" spans="1:21" customFormat="1">
      <c r="A43" s="163" t="s">
        <v>857</v>
      </c>
      <c r="B43" s="100">
        <v>18.059999999999999</v>
      </c>
      <c r="C43" s="100">
        <v>17.989999999999998</v>
      </c>
      <c r="D43" s="100">
        <v>23.88</v>
      </c>
      <c r="E43" s="100">
        <v>4.53</v>
      </c>
      <c r="F43" s="100">
        <v>0.11</v>
      </c>
      <c r="G43" s="100">
        <v>110.51</v>
      </c>
      <c r="H43" s="100">
        <v>70.86</v>
      </c>
      <c r="I43" s="100">
        <v>23.07</v>
      </c>
      <c r="J43" s="100">
        <v>0.51</v>
      </c>
      <c r="K43" s="100">
        <v>26.14</v>
      </c>
      <c r="L43" s="100">
        <v>20.94</v>
      </c>
      <c r="M43" s="100">
        <v>48.9</v>
      </c>
      <c r="N43" s="100">
        <v>304.89999999999998</v>
      </c>
      <c r="O43" s="100">
        <v>0</v>
      </c>
      <c r="P43" s="100">
        <v>1.21</v>
      </c>
      <c r="Q43" s="100">
        <v>9.32</v>
      </c>
      <c r="R43" s="6"/>
      <c r="S43" s="6"/>
      <c r="T43" s="156"/>
      <c r="U43" s="6"/>
    </row>
    <row r="44" spans="1:21" customFormat="1">
      <c r="A44" s="163" t="s">
        <v>858</v>
      </c>
      <c r="B44" s="100">
        <v>17.48</v>
      </c>
      <c r="C44" s="100">
        <v>18.22</v>
      </c>
      <c r="D44" s="100">
        <v>23.54</v>
      </c>
      <c r="E44" s="100">
        <v>4.49</v>
      </c>
      <c r="F44" s="100">
        <v>0.16</v>
      </c>
      <c r="G44" s="100">
        <v>110.35</v>
      </c>
      <c r="H44" s="100">
        <v>70.86</v>
      </c>
      <c r="I44" s="100">
        <v>22.89</v>
      </c>
      <c r="J44" s="100">
        <v>0.74</v>
      </c>
      <c r="K44" s="100">
        <v>47.85</v>
      </c>
      <c r="L44" s="100">
        <v>21.98</v>
      </c>
      <c r="M44" s="100">
        <v>45.39</v>
      </c>
      <c r="N44" s="100">
        <v>331.5</v>
      </c>
      <c r="O44" s="100">
        <v>0</v>
      </c>
      <c r="P44" s="100">
        <v>1.18</v>
      </c>
      <c r="Q44" s="100">
        <v>9.32</v>
      </c>
      <c r="R44" s="6"/>
      <c r="S44" s="6"/>
      <c r="T44" s="156"/>
      <c r="U44" s="6"/>
    </row>
    <row r="45" spans="1:21" customFormat="1">
      <c r="A45" s="163" t="s">
        <v>859</v>
      </c>
      <c r="B45" s="100">
        <v>16.739999999999998</v>
      </c>
      <c r="C45" s="100">
        <v>18.489999999999998</v>
      </c>
      <c r="D45" s="100">
        <v>23.09</v>
      </c>
      <c r="E45" s="100">
        <v>4.71</v>
      </c>
      <c r="F45" s="100">
        <v>0.31</v>
      </c>
      <c r="G45" s="100">
        <v>110.35</v>
      </c>
      <c r="H45" s="100">
        <v>70.86</v>
      </c>
      <c r="I45" s="100">
        <v>22.61</v>
      </c>
      <c r="J45" s="100">
        <v>0.77</v>
      </c>
      <c r="K45" s="100">
        <v>53.23</v>
      </c>
      <c r="L45" s="100">
        <v>22.78</v>
      </c>
      <c r="M45" s="100">
        <v>41.58</v>
      </c>
      <c r="N45" s="100">
        <v>152.80000000000001</v>
      </c>
      <c r="O45" s="100">
        <v>0</v>
      </c>
      <c r="P45" s="100">
        <v>1.1599999999999999</v>
      </c>
      <c r="Q45" s="100">
        <v>9.32</v>
      </c>
      <c r="R45" s="6"/>
      <c r="S45" s="6"/>
      <c r="T45" s="156"/>
      <c r="U45" s="6"/>
    </row>
    <row r="46" spans="1:21" customFormat="1">
      <c r="A46" s="163" t="s">
        <v>860</v>
      </c>
      <c r="B46" s="100">
        <v>15.97</v>
      </c>
      <c r="C46" s="100">
        <v>18.600000000000001</v>
      </c>
      <c r="D46" s="100">
        <v>22.53</v>
      </c>
      <c r="E46" s="100">
        <v>4.97</v>
      </c>
      <c r="F46" s="100">
        <v>0.14000000000000001</v>
      </c>
      <c r="G46" s="100">
        <v>110.35</v>
      </c>
      <c r="H46" s="100">
        <v>70.86</v>
      </c>
      <c r="I46" s="100">
        <v>22.26</v>
      </c>
      <c r="J46" s="100">
        <v>0.57999999999999996</v>
      </c>
      <c r="K46" s="100">
        <v>61.79</v>
      </c>
      <c r="L46" s="100">
        <v>23.42</v>
      </c>
      <c r="M46" s="100">
        <v>39.270000000000003</v>
      </c>
      <c r="N46" s="100">
        <v>126.7</v>
      </c>
      <c r="O46" s="100">
        <v>0</v>
      </c>
      <c r="P46" s="100">
        <v>1.1299999999999999</v>
      </c>
      <c r="Q46" s="100">
        <v>9.32</v>
      </c>
      <c r="R46" s="6"/>
      <c r="S46" s="6"/>
      <c r="T46" s="156"/>
      <c r="U46" s="6"/>
    </row>
    <row r="47" spans="1:21" customFormat="1">
      <c r="A47" s="163" t="s">
        <v>861</v>
      </c>
      <c r="B47" s="100">
        <v>15.28</v>
      </c>
      <c r="C47" s="100">
        <v>18.600000000000001</v>
      </c>
      <c r="D47" s="100">
        <v>21.97</v>
      </c>
      <c r="E47" s="100">
        <v>4.87</v>
      </c>
      <c r="F47" s="100">
        <v>7.0000000000000007E-2</v>
      </c>
      <c r="G47" s="100">
        <v>99.73</v>
      </c>
      <c r="H47" s="100">
        <v>56.97</v>
      </c>
      <c r="I47" s="100">
        <v>19.61</v>
      </c>
      <c r="J47" s="100">
        <v>0.6</v>
      </c>
      <c r="K47" s="100">
        <v>44.15</v>
      </c>
      <c r="L47" s="100">
        <v>24.14</v>
      </c>
      <c r="M47" s="100">
        <v>38.57</v>
      </c>
      <c r="N47" s="100">
        <v>132.6</v>
      </c>
      <c r="O47" s="100">
        <v>0</v>
      </c>
      <c r="P47" s="100">
        <v>1.1100000000000001</v>
      </c>
      <c r="Q47" s="100">
        <v>9.32</v>
      </c>
      <c r="R47" s="6"/>
      <c r="S47" s="6"/>
      <c r="T47" s="156"/>
      <c r="U47" s="6"/>
    </row>
    <row r="48" spans="1:21" customFormat="1">
      <c r="A48" s="163" t="s">
        <v>862</v>
      </c>
      <c r="B48" s="100">
        <v>14.72</v>
      </c>
      <c r="C48" s="100">
        <v>18.690000000000001</v>
      </c>
      <c r="D48" s="100">
        <v>21.57</v>
      </c>
      <c r="E48" s="100">
        <v>4.8</v>
      </c>
      <c r="F48" s="100">
        <v>0.17</v>
      </c>
      <c r="G48" s="100">
        <v>99.49</v>
      </c>
      <c r="H48" s="100">
        <v>56.97</v>
      </c>
      <c r="I48" s="100">
        <v>16.78</v>
      </c>
      <c r="J48" s="100">
        <v>1.2</v>
      </c>
      <c r="K48" s="100">
        <v>38.090000000000003</v>
      </c>
      <c r="L48" s="100">
        <v>24.71</v>
      </c>
      <c r="M48" s="100">
        <v>36.46</v>
      </c>
      <c r="N48" s="100">
        <v>319.89999999999998</v>
      </c>
      <c r="O48" s="100">
        <v>0</v>
      </c>
      <c r="P48" s="100">
        <v>1.0900000000000001</v>
      </c>
      <c r="Q48" s="100">
        <v>9.32</v>
      </c>
      <c r="R48" s="6"/>
      <c r="S48" s="6"/>
      <c r="T48" s="156"/>
      <c r="U48" s="6"/>
    </row>
    <row r="49" spans="1:21" customFormat="1">
      <c r="A49" s="163" t="s">
        <v>863</v>
      </c>
      <c r="B49" s="100">
        <v>14.37</v>
      </c>
      <c r="C49" s="100">
        <v>18.829999999999998</v>
      </c>
      <c r="D49" s="100">
        <v>21.36</v>
      </c>
      <c r="E49" s="100">
        <v>4.5</v>
      </c>
      <c r="F49" s="100">
        <v>0.2</v>
      </c>
      <c r="G49" s="100">
        <v>99.49</v>
      </c>
      <c r="H49" s="100">
        <v>56.97</v>
      </c>
      <c r="I49" s="100">
        <v>16.45</v>
      </c>
      <c r="J49" s="100">
        <v>0.67</v>
      </c>
      <c r="K49" s="100">
        <v>55.15</v>
      </c>
      <c r="L49" s="100">
        <v>25.4</v>
      </c>
      <c r="M49" s="100">
        <v>33.950000000000003</v>
      </c>
      <c r="N49" s="100">
        <v>528.20000000000005</v>
      </c>
      <c r="O49" s="100">
        <v>0</v>
      </c>
      <c r="P49" s="100">
        <v>1.07</v>
      </c>
      <c r="Q49" s="100">
        <v>9.32</v>
      </c>
      <c r="R49" s="6"/>
      <c r="S49" s="6"/>
      <c r="T49" s="156"/>
      <c r="U49" s="6"/>
    </row>
    <row r="50" spans="1:21" customFormat="1">
      <c r="A50" s="163" t="s">
        <v>864</v>
      </c>
      <c r="B50" s="100">
        <v>13.93</v>
      </c>
      <c r="C50" s="100">
        <v>19.03</v>
      </c>
      <c r="D50" s="100">
        <v>21.11</v>
      </c>
      <c r="E50" s="100">
        <v>5.93</v>
      </c>
      <c r="F50" s="100">
        <v>0.33</v>
      </c>
      <c r="G50" s="100">
        <v>99.49</v>
      </c>
      <c r="H50" s="100">
        <v>56.97</v>
      </c>
      <c r="I50" s="100">
        <v>16.16</v>
      </c>
      <c r="J50" s="100">
        <v>0.78</v>
      </c>
      <c r="K50" s="100">
        <v>33.28</v>
      </c>
      <c r="L50" s="100">
        <v>26.07</v>
      </c>
      <c r="M50" s="100">
        <v>32.07</v>
      </c>
      <c r="N50" s="100">
        <v>551.5</v>
      </c>
      <c r="O50" s="100">
        <v>0</v>
      </c>
      <c r="P50" s="100">
        <v>1.05</v>
      </c>
      <c r="Q50" s="100">
        <v>9.32</v>
      </c>
      <c r="R50" s="6"/>
      <c r="S50" s="6"/>
      <c r="T50" s="156"/>
      <c r="U50" s="6"/>
    </row>
    <row r="51" spans="1:21" customFormat="1">
      <c r="A51" s="163" t="s">
        <v>865</v>
      </c>
      <c r="B51" s="100">
        <v>13.13</v>
      </c>
      <c r="C51" s="100">
        <v>19.54</v>
      </c>
      <c r="D51" s="100">
        <v>20.74</v>
      </c>
      <c r="E51" s="100">
        <v>6.19</v>
      </c>
      <c r="F51" s="100">
        <v>0.49</v>
      </c>
      <c r="G51" s="100">
        <v>87.55</v>
      </c>
      <c r="H51" s="100">
        <v>49.68</v>
      </c>
      <c r="I51" s="100">
        <v>15.9</v>
      </c>
      <c r="J51" s="100">
        <v>0.73</v>
      </c>
      <c r="K51" s="100">
        <v>55.2</v>
      </c>
      <c r="L51" s="100">
        <v>26.73</v>
      </c>
      <c r="M51" s="100">
        <v>29.32</v>
      </c>
      <c r="N51" s="100">
        <v>571.29999999999995</v>
      </c>
      <c r="O51" s="100">
        <v>0</v>
      </c>
      <c r="P51" s="100">
        <v>1.02</v>
      </c>
      <c r="Q51" s="100">
        <v>9.32</v>
      </c>
      <c r="R51" s="6"/>
      <c r="S51" s="6"/>
      <c r="T51" s="156"/>
      <c r="U51" s="6"/>
    </row>
    <row r="52" spans="1:21" customFormat="1">
      <c r="A52" s="163" t="s">
        <v>866</v>
      </c>
      <c r="B52" s="100">
        <v>11.99</v>
      </c>
      <c r="C52" s="100">
        <v>20.34</v>
      </c>
      <c r="D52" s="100">
        <v>20.239999999999998</v>
      </c>
      <c r="E52" s="100">
        <v>5.97</v>
      </c>
      <c r="F52" s="100">
        <v>0.57999999999999996</v>
      </c>
      <c r="G52" s="100">
        <v>87.28</v>
      </c>
      <c r="H52" s="100">
        <v>49.68</v>
      </c>
      <c r="I52" s="100">
        <v>15.62</v>
      </c>
      <c r="J52" s="100">
        <v>0.86</v>
      </c>
      <c r="K52" s="100">
        <v>31.36</v>
      </c>
      <c r="L52" s="100">
        <v>27.3</v>
      </c>
      <c r="M52" s="100">
        <v>29.1</v>
      </c>
      <c r="N52" s="100">
        <v>571.1</v>
      </c>
      <c r="O52" s="100">
        <v>0</v>
      </c>
      <c r="P52" s="100">
        <v>1</v>
      </c>
      <c r="Q52" s="100">
        <v>9.32</v>
      </c>
      <c r="R52" s="6"/>
      <c r="S52" s="6"/>
      <c r="T52" s="156"/>
      <c r="U52" s="6"/>
    </row>
    <row r="53" spans="1:21" customFormat="1">
      <c r="A53" s="163" t="s">
        <v>867</v>
      </c>
      <c r="B53" s="100">
        <v>10.94</v>
      </c>
      <c r="C53" s="100">
        <v>21</v>
      </c>
      <c r="D53" s="100">
        <v>19.75</v>
      </c>
      <c r="E53" s="100">
        <v>5.84</v>
      </c>
      <c r="F53" s="100">
        <v>0.64</v>
      </c>
      <c r="G53" s="100">
        <v>87.28</v>
      </c>
      <c r="H53" s="100">
        <v>49.68</v>
      </c>
      <c r="I53" s="100">
        <v>15.25</v>
      </c>
      <c r="J53" s="100">
        <v>0.86</v>
      </c>
      <c r="K53" s="100">
        <v>31.6</v>
      </c>
      <c r="L53" s="100">
        <v>27.33</v>
      </c>
      <c r="M53" s="100">
        <v>27.52</v>
      </c>
      <c r="N53" s="100">
        <v>549.79999999999995</v>
      </c>
      <c r="O53" s="100">
        <v>0</v>
      </c>
      <c r="P53" s="100">
        <v>0.97</v>
      </c>
      <c r="Q53" s="100">
        <v>9.32</v>
      </c>
      <c r="R53" s="6"/>
      <c r="S53" s="6"/>
      <c r="T53" s="156"/>
      <c r="U53" s="6"/>
    </row>
    <row r="54" spans="1:21" customFormat="1">
      <c r="A54" s="163" t="s">
        <v>868</v>
      </c>
      <c r="B54" s="100">
        <v>9.69</v>
      </c>
      <c r="C54" s="100">
        <v>21.59</v>
      </c>
      <c r="D54" s="100">
        <v>19.05</v>
      </c>
      <c r="E54" s="100">
        <v>5.88</v>
      </c>
      <c r="F54" s="100">
        <v>1.1100000000000001</v>
      </c>
      <c r="G54" s="100">
        <v>87.28</v>
      </c>
      <c r="H54" s="100">
        <v>49.68</v>
      </c>
      <c r="I54" s="100">
        <v>14.85</v>
      </c>
      <c r="J54" s="100">
        <v>0.57999999999999996</v>
      </c>
      <c r="K54" s="100">
        <v>17.78</v>
      </c>
      <c r="L54" s="100">
        <v>27.74</v>
      </c>
      <c r="M54" s="100">
        <v>26.74</v>
      </c>
      <c r="N54" s="100">
        <v>590.6</v>
      </c>
      <c r="O54" s="100">
        <v>0</v>
      </c>
      <c r="P54" s="100">
        <v>0.95</v>
      </c>
      <c r="Q54" s="100">
        <v>9.32</v>
      </c>
      <c r="R54" s="6"/>
      <c r="S54" s="6"/>
      <c r="T54" s="156"/>
      <c r="U54" s="6"/>
    </row>
    <row r="55" spans="1:21" customFormat="1">
      <c r="A55" s="163" t="s">
        <v>869</v>
      </c>
      <c r="B55" s="100">
        <v>8.27</v>
      </c>
      <c r="C55" s="100">
        <v>22.1</v>
      </c>
      <c r="D55" s="100">
        <v>18.18</v>
      </c>
      <c r="E55" s="100">
        <v>6.25</v>
      </c>
      <c r="F55" s="100">
        <v>1.35</v>
      </c>
      <c r="G55" s="100">
        <v>81.02</v>
      </c>
      <c r="H55" s="100">
        <v>45.35</v>
      </c>
      <c r="I55" s="100">
        <v>14.5</v>
      </c>
      <c r="J55" s="100">
        <v>0.73</v>
      </c>
      <c r="K55" s="100">
        <v>21.5</v>
      </c>
      <c r="L55" s="100">
        <v>28.21</v>
      </c>
      <c r="M55" s="100">
        <v>25.55</v>
      </c>
      <c r="N55" s="100">
        <v>587.20000000000005</v>
      </c>
      <c r="O55" s="100">
        <v>0</v>
      </c>
      <c r="P55" s="100">
        <v>0.93</v>
      </c>
      <c r="Q55" s="100">
        <v>9.32</v>
      </c>
      <c r="R55" s="6"/>
      <c r="S55" s="6"/>
      <c r="T55" s="156"/>
      <c r="U55" s="6"/>
    </row>
    <row r="56" spans="1:21" customFormat="1">
      <c r="A56" s="163" t="s">
        <v>870</v>
      </c>
      <c r="B56" s="100">
        <v>6.92</v>
      </c>
      <c r="C56" s="100">
        <v>22.63</v>
      </c>
      <c r="D56" s="100">
        <v>17.37</v>
      </c>
      <c r="E56" s="100">
        <v>6.18</v>
      </c>
      <c r="F56" s="100">
        <v>1.26</v>
      </c>
      <c r="G56" s="100">
        <v>80.87</v>
      </c>
      <c r="H56" s="100">
        <v>45.35</v>
      </c>
      <c r="I56" s="100">
        <v>14.17</v>
      </c>
      <c r="J56" s="100">
        <v>0.86</v>
      </c>
      <c r="K56" s="100">
        <v>20.170000000000002</v>
      </c>
      <c r="L56" s="100">
        <v>28.6</v>
      </c>
      <c r="M56" s="100">
        <v>23.23</v>
      </c>
      <c r="N56" s="100">
        <v>597.6</v>
      </c>
      <c r="O56" s="100">
        <v>0</v>
      </c>
      <c r="P56" s="100">
        <v>0.91</v>
      </c>
      <c r="Q56" s="100">
        <v>9.32</v>
      </c>
      <c r="R56" s="6"/>
      <c r="S56" s="6"/>
      <c r="T56" s="156"/>
      <c r="U56" s="6"/>
    </row>
    <row r="57" spans="1:21" customFormat="1">
      <c r="A57" s="163" t="s">
        <v>871</v>
      </c>
      <c r="B57" s="100">
        <v>5.69</v>
      </c>
      <c r="C57" s="100">
        <v>22.8</v>
      </c>
      <c r="D57" s="100">
        <v>16.48</v>
      </c>
      <c r="E57" s="100">
        <v>6.23</v>
      </c>
      <c r="F57" s="100">
        <v>1.81</v>
      </c>
      <c r="G57" s="100">
        <v>80.87</v>
      </c>
      <c r="H57" s="100">
        <v>45.35</v>
      </c>
      <c r="I57" s="100">
        <v>13.87</v>
      </c>
      <c r="J57" s="100">
        <v>1.01</v>
      </c>
      <c r="K57" s="100">
        <v>23.09</v>
      </c>
      <c r="L57" s="100">
        <v>29.08</v>
      </c>
      <c r="M57" s="100">
        <v>20.47</v>
      </c>
      <c r="N57" s="100">
        <v>609.70000000000005</v>
      </c>
      <c r="O57" s="100">
        <v>0</v>
      </c>
      <c r="P57" s="100">
        <v>0.89</v>
      </c>
      <c r="Q57" s="100">
        <v>9.32</v>
      </c>
      <c r="R57" s="6"/>
      <c r="S57" s="6"/>
      <c r="T57" s="156"/>
      <c r="U57" s="6"/>
    </row>
    <row r="58" spans="1:21" customFormat="1">
      <c r="A58" s="163" t="s">
        <v>872</v>
      </c>
      <c r="B58" s="100">
        <v>4.74</v>
      </c>
      <c r="C58" s="100">
        <v>22.63</v>
      </c>
      <c r="D58" s="100">
        <v>15.62</v>
      </c>
      <c r="E58" s="100">
        <v>6.24</v>
      </c>
      <c r="F58" s="100">
        <v>2.8</v>
      </c>
      <c r="G58" s="100">
        <v>80.87</v>
      </c>
      <c r="H58" s="100">
        <v>45.35</v>
      </c>
      <c r="I58" s="100">
        <v>13.57</v>
      </c>
      <c r="J58" s="100">
        <v>0.88</v>
      </c>
      <c r="K58" s="100">
        <v>32.75</v>
      </c>
      <c r="L58" s="100">
        <v>29.64</v>
      </c>
      <c r="M58" s="100">
        <v>18.91</v>
      </c>
      <c r="N58" s="100">
        <v>629.5</v>
      </c>
      <c r="O58" s="100">
        <v>0</v>
      </c>
      <c r="P58" s="100">
        <v>0.86</v>
      </c>
      <c r="Q58" s="100">
        <v>9.32</v>
      </c>
      <c r="R58" s="6"/>
      <c r="S58" s="6"/>
      <c r="T58" s="156"/>
      <c r="U58" s="6"/>
    </row>
    <row r="59" spans="1:21" customFormat="1">
      <c r="A59" s="163" t="s">
        <v>873</v>
      </c>
      <c r="B59" s="100">
        <v>4.13</v>
      </c>
      <c r="C59" s="100">
        <v>22.32</v>
      </c>
      <c r="D59" s="100">
        <v>14.97</v>
      </c>
      <c r="E59" s="100">
        <v>6.35</v>
      </c>
      <c r="F59" s="100">
        <v>2.8</v>
      </c>
      <c r="G59" s="100">
        <v>77.52</v>
      </c>
      <c r="H59" s="100">
        <v>42.41</v>
      </c>
      <c r="I59" s="100">
        <v>13.2</v>
      </c>
      <c r="J59" s="100">
        <v>0.83</v>
      </c>
      <c r="K59" s="100">
        <v>28.4</v>
      </c>
      <c r="L59" s="100">
        <v>29.92</v>
      </c>
      <c r="M59" s="100">
        <v>18.98</v>
      </c>
      <c r="N59" s="100">
        <v>612.5</v>
      </c>
      <c r="O59" s="100">
        <v>0</v>
      </c>
      <c r="P59" s="100">
        <v>0.84</v>
      </c>
      <c r="Q59" s="100">
        <v>9.32</v>
      </c>
      <c r="R59" s="6"/>
      <c r="S59" s="6"/>
      <c r="T59" s="156"/>
      <c r="U59" s="6"/>
    </row>
    <row r="60" spans="1:21" customFormat="1">
      <c r="A60" s="163" t="s">
        <v>874</v>
      </c>
      <c r="B60" s="100">
        <v>3.79</v>
      </c>
      <c r="C60" s="100">
        <v>22</v>
      </c>
      <c r="D60" s="100">
        <v>14.53</v>
      </c>
      <c r="E60" s="100">
        <v>6.35</v>
      </c>
      <c r="F60" s="100">
        <v>3.57</v>
      </c>
      <c r="G60" s="100">
        <v>77.44</v>
      </c>
      <c r="H60" s="100">
        <v>42.41</v>
      </c>
      <c r="I60" s="100">
        <v>14.26</v>
      </c>
      <c r="J60" s="100">
        <v>0.76</v>
      </c>
      <c r="K60" s="100">
        <v>22.71</v>
      </c>
      <c r="L60" s="100">
        <v>30.42</v>
      </c>
      <c r="M60" s="100">
        <v>17.690000000000001</v>
      </c>
      <c r="N60" s="100">
        <v>539.1</v>
      </c>
      <c r="O60" s="100">
        <v>0</v>
      </c>
      <c r="P60" s="100">
        <v>0.82</v>
      </c>
      <c r="Q60" s="100">
        <v>9.32</v>
      </c>
      <c r="R60" s="6"/>
      <c r="S60" s="6"/>
      <c r="T60" s="156"/>
      <c r="U60" s="6"/>
    </row>
    <row r="61" spans="1:21" customFormat="1">
      <c r="A61" s="163" t="s">
        <v>875</v>
      </c>
      <c r="B61" s="100">
        <v>3.61</v>
      </c>
      <c r="C61" s="100">
        <v>21.58</v>
      </c>
      <c r="D61" s="100">
        <v>14.17</v>
      </c>
      <c r="E61" s="100">
        <v>6.52</v>
      </c>
      <c r="F61" s="100">
        <v>3.28</v>
      </c>
      <c r="G61" s="100">
        <v>77.44</v>
      </c>
      <c r="H61" s="100">
        <v>42.41</v>
      </c>
      <c r="I61" s="100">
        <v>15.44</v>
      </c>
      <c r="J61" s="100">
        <v>0.94</v>
      </c>
      <c r="K61" s="100">
        <v>36.93</v>
      </c>
      <c r="L61" s="100">
        <v>30.46</v>
      </c>
      <c r="M61" s="100">
        <v>15.88</v>
      </c>
      <c r="N61" s="100">
        <v>534.5</v>
      </c>
      <c r="O61" s="100">
        <v>0</v>
      </c>
      <c r="P61" s="100">
        <v>0.8</v>
      </c>
      <c r="Q61" s="100">
        <v>9.32</v>
      </c>
      <c r="R61" s="6"/>
      <c r="S61" s="6"/>
      <c r="T61" s="156"/>
      <c r="U61" s="6"/>
    </row>
    <row r="62" spans="1:21" customFormat="1">
      <c r="A62" s="163" t="s">
        <v>876</v>
      </c>
      <c r="B62" s="100">
        <v>3.57</v>
      </c>
      <c r="C62" s="100">
        <v>21.24</v>
      </c>
      <c r="D62" s="100">
        <v>13.96</v>
      </c>
      <c r="E62" s="100">
        <v>7</v>
      </c>
      <c r="F62" s="100">
        <v>3.24</v>
      </c>
      <c r="G62" s="100">
        <v>77.44</v>
      </c>
      <c r="H62" s="100">
        <v>42.41</v>
      </c>
      <c r="I62" s="100">
        <v>15.1</v>
      </c>
      <c r="J62" s="100">
        <v>1.1399999999999999</v>
      </c>
      <c r="K62" s="100">
        <v>45.64</v>
      </c>
      <c r="L62" s="100">
        <v>30.41</v>
      </c>
      <c r="M62" s="100">
        <v>14.48</v>
      </c>
      <c r="N62" s="100">
        <v>216.5</v>
      </c>
      <c r="O62" s="100">
        <v>0</v>
      </c>
      <c r="P62" s="100">
        <v>0.77</v>
      </c>
      <c r="Q62" s="100">
        <v>9.32</v>
      </c>
      <c r="R62" s="6"/>
      <c r="S62" s="6"/>
      <c r="T62" s="156"/>
      <c r="U62" s="6"/>
    </row>
    <row r="63" spans="1:21" customFormat="1">
      <c r="A63" s="163" t="s">
        <v>877</v>
      </c>
      <c r="B63" s="100">
        <v>3.65</v>
      </c>
      <c r="C63" s="100">
        <v>21.25</v>
      </c>
      <c r="D63" s="100">
        <v>14.03</v>
      </c>
      <c r="E63" s="100">
        <v>7.3</v>
      </c>
      <c r="F63" s="100">
        <v>3.71</v>
      </c>
      <c r="G63" s="100">
        <v>71.86</v>
      </c>
      <c r="H63" s="100">
        <v>37.68</v>
      </c>
      <c r="I63" s="100">
        <v>14.77</v>
      </c>
      <c r="J63" s="100">
        <v>1.17</v>
      </c>
      <c r="K63" s="100">
        <v>36.57</v>
      </c>
      <c r="L63" s="100">
        <v>30.38</v>
      </c>
      <c r="M63" s="100">
        <v>14.85</v>
      </c>
      <c r="N63" s="100">
        <v>131.30000000000001</v>
      </c>
      <c r="O63" s="100">
        <v>0</v>
      </c>
      <c r="P63" s="100">
        <v>0.76</v>
      </c>
      <c r="Q63" s="100">
        <v>9.32</v>
      </c>
      <c r="R63" s="6"/>
      <c r="S63" s="6"/>
      <c r="T63" s="156"/>
      <c r="U63" s="6"/>
    </row>
    <row r="64" spans="1:21" customFormat="1">
      <c r="A64" s="163" t="s">
        <v>878</v>
      </c>
      <c r="B64" s="100">
        <v>3.67</v>
      </c>
      <c r="C64" s="100">
        <v>21.04</v>
      </c>
      <c r="D64" s="100">
        <v>13.94</v>
      </c>
      <c r="E64" s="100">
        <v>7.05</v>
      </c>
      <c r="F64" s="100">
        <v>3.84</v>
      </c>
      <c r="G64" s="100">
        <v>71.73</v>
      </c>
      <c r="H64" s="100">
        <v>37.68</v>
      </c>
      <c r="I64" s="100">
        <v>14.3</v>
      </c>
      <c r="J64" s="100">
        <v>1.01</v>
      </c>
      <c r="K64" s="100">
        <v>49.54</v>
      </c>
      <c r="L64" s="100">
        <v>30.45</v>
      </c>
      <c r="M64" s="100">
        <v>15.3</v>
      </c>
      <c r="N64" s="100">
        <v>106</v>
      </c>
      <c r="O64" s="100">
        <v>0</v>
      </c>
      <c r="P64" s="100">
        <v>0.74</v>
      </c>
      <c r="Q64" s="100">
        <v>9.32</v>
      </c>
      <c r="R64" s="6"/>
      <c r="S64" s="6"/>
      <c r="T64" s="156"/>
      <c r="U64" s="6"/>
    </row>
    <row r="65" spans="1:21" customFormat="1">
      <c r="A65" s="163" t="s">
        <v>879</v>
      </c>
      <c r="B65" s="100">
        <v>3.61</v>
      </c>
      <c r="C65" s="100">
        <v>20.65</v>
      </c>
      <c r="D65" s="100">
        <v>13.68</v>
      </c>
      <c r="E65" s="100">
        <v>7.26</v>
      </c>
      <c r="F65" s="100">
        <v>5.29</v>
      </c>
      <c r="G65" s="100">
        <v>71.73</v>
      </c>
      <c r="H65" s="100">
        <v>37.68</v>
      </c>
      <c r="I65" s="100">
        <v>13.99</v>
      </c>
      <c r="J65" s="100">
        <v>1.04</v>
      </c>
      <c r="K65" s="100">
        <v>31.07</v>
      </c>
      <c r="L65" s="100">
        <v>30.39</v>
      </c>
      <c r="M65" s="100">
        <v>14.84</v>
      </c>
      <c r="N65" s="100">
        <v>95.4</v>
      </c>
      <c r="O65" s="100">
        <v>0</v>
      </c>
      <c r="P65" s="100">
        <v>0.61</v>
      </c>
      <c r="Q65" s="100">
        <v>9.32</v>
      </c>
      <c r="R65" s="6"/>
      <c r="S65" s="6"/>
      <c r="T65" s="156"/>
      <c r="U65" s="6"/>
    </row>
    <row r="66" spans="1:21" customFormat="1">
      <c r="A66" s="163" t="s">
        <v>880</v>
      </c>
      <c r="B66" s="100">
        <v>3.56</v>
      </c>
      <c r="C66" s="100">
        <v>20.309999999999999</v>
      </c>
      <c r="D66" s="100">
        <v>13.46</v>
      </c>
      <c r="E66" s="100">
        <v>6.84</v>
      </c>
      <c r="F66" s="100">
        <v>5.17</v>
      </c>
      <c r="G66" s="100">
        <v>71.73</v>
      </c>
      <c r="H66" s="100">
        <v>37.68</v>
      </c>
      <c r="I66" s="100">
        <v>13.75</v>
      </c>
      <c r="J66" s="100">
        <v>1.1200000000000001</v>
      </c>
      <c r="K66" s="100">
        <v>40.53</v>
      </c>
      <c r="L66" s="100">
        <v>30.47</v>
      </c>
      <c r="M66" s="100">
        <v>13.54</v>
      </c>
      <c r="N66" s="100">
        <v>90.6</v>
      </c>
      <c r="O66" s="100">
        <v>0</v>
      </c>
      <c r="P66" s="100">
        <v>0.64</v>
      </c>
      <c r="Q66" s="100">
        <v>9.32</v>
      </c>
      <c r="R66" s="6"/>
      <c r="S66" s="6"/>
      <c r="T66" s="156"/>
      <c r="U66" s="6"/>
    </row>
    <row r="67" spans="1:21" customFormat="1">
      <c r="A67" s="163" t="s">
        <v>881</v>
      </c>
      <c r="B67" s="100">
        <v>3.46</v>
      </c>
      <c r="C67" s="100">
        <v>19.75</v>
      </c>
      <c r="D67" s="100">
        <v>13.1</v>
      </c>
      <c r="E67" s="100">
        <v>6.53</v>
      </c>
      <c r="F67" s="100">
        <v>4.08</v>
      </c>
      <c r="G67" s="100">
        <v>59.52</v>
      </c>
      <c r="H67" s="100">
        <v>32.44</v>
      </c>
      <c r="I67" s="100">
        <v>13.38</v>
      </c>
      <c r="J67" s="100">
        <v>0.97</v>
      </c>
      <c r="K67" s="100">
        <v>42.96</v>
      </c>
      <c r="L67" s="100">
        <v>30.55</v>
      </c>
      <c r="M67" s="100">
        <v>12.88</v>
      </c>
      <c r="N67" s="100">
        <v>94.4</v>
      </c>
      <c r="O67" s="100">
        <v>0</v>
      </c>
      <c r="P67" s="100">
        <v>0.62</v>
      </c>
      <c r="Q67" s="100">
        <v>9.32</v>
      </c>
      <c r="R67" s="6"/>
      <c r="S67" s="6"/>
      <c r="T67" s="156"/>
      <c r="U67" s="6"/>
    </row>
    <row r="68" spans="1:21" customFormat="1">
      <c r="A68" s="163" t="s">
        <v>882</v>
      </c>
      <c r="B68" s="100">
        <v>3.45</v>
      </c>
      <c r="C68" s="100">
        <v>19.43</v>
      </c>
      <c r="D68" s="100">
        <v>12.91</v>
      </c>
      <c r="E68" s="100">
        <v>6.86</v>
      </c>
      <c r="F68" s="100">
        <v>5.05</v>
      </c>
      <c r="G68" s="100">
        <v>59.24</v>
      </c>
      <c r="H68" s="100">
        <v>32.44</v>
      </c>
      <c r="I68" s="100">
        <v>12.87</v>
      </c>
      <c r="J68" s="100">
        <v>1.07</v>
      </c>
      <c r="K68" s="100">
        <v>40.75</v>
      </c>
      <c r="L68" s="100">
        <v>30.57</v>
      </c>
      <c r="M68" s="100">
        <v>12.12</v>
      </c>
      <c r="N68" s="100">
        <v>82.5</v>
      </c>
      <c r="O68" s="100">
        <v>0</v>
      </c>
      <c r="P68" s="100">
        <v>0.6</v>
      </c>
      <c r="Q68" s="100">
        <v>9.32</v>
      </c>
      <c r="R68" s="6"/>
      <c r="S68" s="6"/>
      <c r="T68" s="156"/>
      <c r="U68" s="6"/>
    </row>
    <row r="69" spans="1:21" customFormat="1">
      <c r="A69" s="163" t="s">
        <v>883</v>
      </c>
      <c r="B69" s="100">
        <v>3.46</v>
      </c>
      <c r="C69" s="100">
        <v>19.09</v>
      </c>
      <c r="D69" s="100">
        <v>12.75</v>
      </c>
      <c r="E69" s="100">
        <v>6.94</v>
      </c>
      <c r="F69" s="100">
        <v>5.25</v>
      </c>
      <c r="G69" s="100">
        <v>59.24</v>
      </c>
      <c r="H69" s="100">
        <v>32.44</v>
      </c>
      <c r="I69" s="100">
        <v>12.36</v>
      </c>
      <c r="J69" s="100">
        <v>0.78</v>
      </c>
      <c r="K69" s="100">
        <v>34.53</v>
      </c>
      <c r="L69" s="100">
        <v>30.55</v>
      </c>
      <c r="M69" s="100">
        <v>13.39</v>
      </c>
      <c r="N69" s="100">
        <v>82.6</v>
      </c>
      <c r="O69" s="100">
        <v>0</v>
      </c>
      <c r="P69" s="100">
        <v>0.57999999999999996</v>
      </c>
      <c r="Q69" s="100">
        <v>9.32</v>
      </c>
      <c r="R69" s="6"/>
      <c r="S69" s="6"/>
      <c r="T69" s="156"/>
      <c r="U69" s="6"/>
    </row>
    <row r="70" spans="1:21" customFormat="1">
      <c r="A70" s="163" t="s">
        <v>884</v>
      </c>
      <c r="B70" s="100">
        <v>3.44</v>
      </c>
      <c r="C70" s="100">
        <v>19.649999999999999</v>
      </c>
      <c r="D70" s="100">
        <v>13.02</v>
      </c>
      <c r="E70" s="100">
        <v>7.27</v>
      </c>
      <c r="F70" s="100">
        <v>4.74</v>
      </c>
      <c r="G70" s="100">
        <v>59.24</v>
      </c>
      <c r="H70" s="100">
        <v>32.44</v>
      </c>
      <c r="I70" s="100">
        <v>12.05</v>
      </c>
      <c r="J70" s="100">
        <v>0.38</v>
      </c>
      <c r="K70" s="100">
        <v>68.099999999999994</v>
      </c>
      <c r="L70" s="100">
        <v>30.29</v>
      </c>
      <c r="M70" s="100">
        <v>15.5</v>
      </c>
      <c r="N70" s="100">
        <v>90.7</v>
      </c>
      <c r="O70" s="100">
        <v>0</v>
      </c>
      <c r="P70" s="100">
        <v>0.57999999999999996</v>
      </c>
      <c r="Q70" s="100">
        <v>9.32</v>
      </c>
      <c r="R70" s="6"/>
      <c r="S70" s="6"/>
      <c r="T70" s="156"/>
      <c r="U70" s="6"/>
    </row>
    <row r="71" spans="1:21" customFormat="1">
      <c r="A71" s="163" t="s">
        <v>885</v>
      </c>
      <c r="B71" s="100">
        <v>3.75</v>
      </c>
      <c r="C71" s="100">
        <v>22.27</v>
      </c>
      <c r="D71" s="100">
        <v>14.64</v>
      </c>
      <c r="E71" s="100">
        <v>9.4</v>
      </c>
      <c r="F71" s="100">
        <v>3.73</v>
      </c>
      <c r="G71" s="100">
        <v>54.05</v>
      </c>
      <c r="H71" s="100">
        <v>28.3</v>
      </c>
      <c r="I71" s="100">
        <v>11.79</v>
      </c>
      <c r="J71" s="100">
        <v>0.4</v>
      </c>
      <c r="K71" s="100">
        <v>69.38</v>
      </c>
      <c r="L71" s="100">
        <v>30.1</v>
      </c>
      <c r="M71" s="100">
        <v>15.58</v>
      </c>
      <c r="N71" s="100">
        <v>85</v>
      </c>
      <c r="O71" s="100">
        <v>0</v>
      </c>
      <c r="P71" s="100">
        <v>0.57999999999999996</v>
      </c>
      <c r="Q71" s="100">
        <v>9.32</v>
      </c>
      <c r="R71" s="6"/>
      <c r="S71" s="6"/>
      <c r="T71" s="156"/>
      <c r="U71" s="6"/>
    </row>
    <row r="72" spans="1:21" customFormat="1">
      <c r="A72" s="163" t="s">
        <v>886</v>
      </c>
      <c r="B72" s="100">
        <v>3.68</v>
      </c>
      <c r="C72" s="100">
        <v>18.8</v>
      </c>
      <c r="D72" s="100">
        <v>12.77</v>
      </c>
      <c r="E72" s="100">
        <v>6.7</v>
      </c>
      <c r="F72" s="100">
        <v>2.73</v>
      </c>
      <c r="G72" s="100">
        <v>53.93</v>
      </c>
      <c r="H72" s="100">
        <v>28.3</v>
      </c>
      <c r="I72" s="100">
        <v>11.49</v>
      </c>
      <c r="J72" s="100">
        <v>0.33</v>
      </c>
      <c r="K72" s="100">
        <v>70.930000000000007</v>
      </c>
      <c r="L72" s="100">
        <v>29.81</v>
      </c>
      <c r="M72" s="100">
        <v>15.89</v>
      </c>
      <c r="N72" s="100">
        <v>93.1</v>
      </c>
      <c r="O72" s="100">
        <v>0</v>
      </c>
      <c r="P72" s="100">
        <v>0.56000000000000005</v>
      </c>
      <c r="Q72" s="100">
        <v>9.32</v>
      </c>
      <c r="R72" s="6"/>
      <c r="S72" s="6"/>
      <c r="T72" s="156"/>
      <c r="U72" s="6"/>
    </row>
    <row r="73" spans="1:21" customFormat="1">
      <c r="A73" s="163" t="s">
        <v>887</v>
      </c>
      <c r="B73" s="100">
        <v>3.78</v>
      </c>
      <c r="C73" s="100">
        <v>18.66</v>
      </c>
      <c r="D73" s="100">
        <v>12.78</v>
      </c>
      <c r="E73" s="100">
        <v>8.43</v>
      </c>
      <c r="F73" s="100">
        <v>3.79</v>
      </c>
      <c r="G73" s="100">
        <v>53.93</v>
      </c>
      <c r="H73" s="100">
        <v>28.3</v>
      </c>
      <c r="I73" s="100">
        <v>11.27</v>
      </c>
      <c r="J73" s="100">
        <v>0.32</v>
      </c>
      <c r="K73" s="100">
        <v>75.64</v>
      </c>
      <c r="L73" s="100">
        <v>29.52</v>
      </c>
      <c r="M73" s="100">
        <v>17.22</v>
      </c>
      <c r="N73" s="100">
        <v>85.3</v>
      </c>
      <c r="O73" s="100">
        <v>0</v>
      </c>
      <c r="P73" s="100">
        <v>0.55000000000000004</v>
      </c>
      <c r="Q73" s="100">
        <v>9.32</v>
      </c>
      <c r="R73" s="6"/>
      <c r="S73" s="6"/>
      <c r="T73" s="156"/>
      <c r="U73" s="6"/>
    </row>
    <row r="74" spans="1:21" customFormat="1">
      <c r="A74" s="163" t="s">
        <v>888</v>
      </c>
      <c r="B74" s="100">
        <v>3.9</v>
      </c>
      <c r="C74" s="100">
        <v>17.98</v>
      </c>
      <c r="D74" s="100">
        <v>12.52</v>
      </c>
      <c r="E74" s="100">
        <v>7.25</v>
      </c>
      <c r="F74" s="100">
        <v>2.44</v>
      </c>
      <c r="G74" s="100">
        <v>53.93</v>
      </c>
      <c r="H74" s="100">
        <v>28.3</v>
      </c>
      <c r="I74" s="100">
        <v>11.19</v>
      </c>
      <c r="J74" s="100">
        <v>0.17</v>
      </c>
      <c r="K74" s="100">
        <v>139.69999999999999</v>
      </c>
      <c r="L74" s="100">
        <v>28.92</v>
      </c>
      <c r="M74" s="100">
        <v>19.55</v>
      </c>
      <c r="N74" s="100">
        <v>75.8</v>
      </c>
      <c r="O74" s="100">
        <v>0</v>
      </c>
      <c r="P74" s="100">
        <v>0.55000000000000004</v>
      </c>
      <c r="Q74" s="100">
        <v>9.32</v>
      </c>
      <c r="R74" s="6"/>
      <c r="S74" s="6"/>
      <c r="T74" s="156"/>
      <c r="U74" s="6"/>
    </row>
    <row r="75" spans="1:21" customFormat="1">
      <c r="A75" s="163" t="s">
        <v>889</v>
      </c>
      <c r="B75" s="100">
        <v>4</v>
      </c>
      <c r="C75" s="100">
        <v>17.59</v>
      </c>
      <c r="D75" s="100">
        <v>12.4</v>
      </c>
      <c r="E75" s="100">
        <v>7.03</v>
      </c>
      <c r="F75" s="100">
        <v>2.35</v>
      </c>
      <c r="G75" s="100">
        <v>52.16</v>
      </c>
      <c r="H75" s="100">
        <v>28.48</v>
      </c>
      <c r="I75" s="100">
        <v>11.01</v>
      </c>
      <c r="J75" s="100">
        <v>0.18</v>
      </c>
      <c r="K75" s="100">
        <v>135.54</v>
      </c>
      <c r="L75" s="100">
        <v>28.11</v>
      </c>
      <c r="M75" s="100">
        <v>22.34</v>
      </c>
      <c r="N75" s="100">
        <v>68.5</v>
      </c>
      <c r="O75" s="100">
        <v>0</v>
      </c>
      <c r="P75" s="100">
        <v>0.55000000000000004</v>
      </c>
      <c r="Q75" s="100">
        <v>9.32</v>
      </c>
      <c r="R75" s="6"/>
      <c r="S75" s="6"/>
      <c r="T75" s="156"/>
      <c r="U75" s="6"/>
    </row>
    <row r="76" spans="1:21" customFormat="1">
      <c r="A76" s="163" t="s">
        <v>890</v>
      </c>
      <c r="B76" s="100">
        <v>4.13</v>
      </c>
      <c r="C76" s="100">
        <v>17.3</v>
      </c>
      <c r="D76" s="100">
        <v>12.36</v>
      </c>
      <c r="E76" s="100">
        <v>6.62</v>
      </c>
      <c r="F76" s="100">
        <v>1.88</v>
      </c>
      <c r="G76" s="100">
        <v>52.12</v>
      </c>
      <c r="H76" s="100">
        <v>28.48</v>
      </c>
      <c r="I76" s="100">
        <v>11.04</v>
      </c>
      <c r="J76" s="100">
        <v>0.24</v>
      </c>
      <c r="K76" s="100">
        <v>150.31</v>
      </c>
      <c r="L76" s="100">
        <v>27.21</v>
      </c>
      <c r="M76" s="100">
        <v>26.71</v>
      </c>
      <c r="N76" s="100">
        <v>62</v>
      </c>
      <c r="O76" s="100">
        <v>0</v>
      </c>
      <c r="P76" s="100">
        <v>0.55000000000000004</v>
      </c>
      <c r="Q76" s="100">
        <v>9.32</v>
      </c>
      <c r="R76" s="6"/>
      <c r="S76" s="6"/>
      <c r="T76" s="156"/>
      <c r="U76" s="6"/>
    </row>
    <row r="77" spans="1:21" customFormat="1">
      <c r="A77" s="163" t="s">
        <v>891</v>
      </c>
      <c r="B77" s="100">
        <v>4.28</v>
      </c>
      <c r="C77" s="100">
        <v>16.940000000000001</v>
      </c>
      <c r="D77" s="100">
        <v>12.28</v>
      </c>
      <c r="E77" s="100">
        <v>6.43</v>
      </c>
      <c r="F77" s="100">
        <v>1.06</v>
      </c>
      <c r="G77" s="100">
        <v>52.12</v>
      </c>
      <c r="H77" s="100">
        <v>28.48</v>
      </c>
      <c r="I77" s="100">
        <v>11.02</v>
      </c>
      <c r="J77" s="100">
        <v>0.24</v>
      </c>
      <c r="K77" s="100">
        <v>154.30000000000001</v>
      </c>
      <c r="L77" s="100">
        <v>25.89</v>
      </c>
      <c r="M77" s="100">
        <v>30.66</v>
      </c>
      <c r="N77" s="100">
        <v>53</v>
      </c>
      <c r="O77" s="100">
        <v>0</v>
      </c>
      <c r="P77" s="100">
        <v>0.55000000000000004</v>
      </c>
      <c r="Q77" s="100">
        <v>9.32</v>
      </c>
      <c r="R77" s="6"/>
      <c r="S77" s="6"/>
      <c r="T77" s="156"/>
      <c r="U77" s="6"/>
    </row>
    <row r="78" spans="1:21" customFormat="1">
      <c r="A78" s="163" t="s">
        <v>892</v>
      </c>
      <c r="B78" s="100">
        <v>4.5</v>
      </c>
      <c r="C78" s="100">
        <v>17.09</v>
      </c>
      <c r="D78" s="100">
        <v>12.54</v>
      </c>
      <c r="E78" s="100">
        <v>5.74</v>
      </c>
      <c r="F78" s="100">
        <v>0.74</v>
      </c>
      <c r="G78" s="100">
        <v>52.12</v>
      </c>
      <c r="H78" s="100">
        <v>28.48</v>
      </c>
      <c r="I78" s="100">
        <v>10.97</v>
      </c>
      <c r="J78" s="100">
        <v>0.19</v>
      </c>
      <c r="K78" s="100">
        <v>149.66</v>
      </c>
      <c r="L78" s="100">
        <v>25.18</v>
      </c>
      <c r="M78" s="100">
        <v>32.71</v>
      </c>
      <c r="N78" s="100">
        <v>45.1</v>
      </c>
      <c r="O78" s="100">
        <v>0</v>
      </c>
      <c r="P78" s="100">
        <v>0.56000000000000005</v>
      </c>
      <c r="Q78" s="100">
        <v>9.32</v>
      </c>
      <c r="R78" s="6"/>
      <c r="S78" s="6"/>
      <c r="T78" s="156"/>
      <c r="U78" s="6"/>
    </row>
    <row r="79" spans="1:21" customFormat="1">
      <c r="A79" s="163" t="s">
        <v>893</v>
      </c>
      <c r="B79" s="100">
        <v>4.8099999999999996</v>
      </c>
      <c r="C79" s="100">
        <v>17.829999999999998</v>
      </c>
      <c r="D79" s="100">
        <v>13.18</v>
      </c>
      <c r="E79" s="100">
        <v>4.24</v>
      </c>
      <c r="F79" s="100">
        <v>0.73</v>
      </c>
      <c r="G79" s="100">
        <v>73.569999999999993</v>
      </c>
      <c r="H79" s="100">
        <v>31.44</v>
      </c>
      <c r="I79" s="100">
        <v>11.07</v>
      </c>
      <c r="J79" s="100">
        <v>0.21</v>
      </c>
      <c r="K79" s="100">
        <v>150.6</v>
      </c>
      <c r="L79" s="100">
        <v>24.56</v>
      </c>
      <c r="M79" s="100">
        <v>34.92</v>
      </c>
      <c r="N79" s="100">
        <v>43.4</v>
      </c>
      <c r="O79" s="100">
        <v>0</v>
      </c>
      <c r="P79" s="100">
        <v>0.56999999999999995</v>
      </c>
      <c r="Q79" s="100">
        <v>9.32</v>
      </c>
      <c r="R79" s="6"/>
      <c r="S79" s="6"/>
      <c r="T79" s="156"/>
      <c r="U79" s="6"/>
    </row>
    <row r="80" spans="1:21" customFormat="1">
      <c r="A80" s="163" t="s">
        <v>894</v>
      </c>
      <c r="B80" s="100">
        <v>5.18</v>
      </c>
      <c r="C80" s="100">
        <v>17.61</v>
      </c>
      <c r="D80" s="100">
        <v>13.36</v>
      </c>
      <c r="E80" s="100">
        <v>5.59</v>
      </c>
      <c r="F80" s="100">
        <v>0.22</v>
      </c>
      <c r="G80" s="100">
        <v>75.83</v>
      </c>
      <c r="H80" s="100">
        <v>31.44</v>
      </c>
      <c r="I80" s="100">
        <v>10.95</v>
      </c>
      <c r="J80" s="100">
        <v>0.17</v>
      </c>
      <c r="K80" s="100">
        <v>160.16</v>
      </c>
      <c r="L80" s="100">
        <v>23.87</v>
      </c>
      <c r="M80" s="100">
        <v>37.96</v>
      </c>
      <c r="N80" s="100">
        <v>43.2</v>
      </c>
      <c r="O80" s="100">
        <v>0</v>
      </c>
      <c r="P80" s="100">
        <v>0.56999999999999995</v>
      </c>
      <c r="Q80" s="100">
        <v>9.32</v>
      </c>
      <c r="R80" s="6"/>
      <c r="S80" s="6"/>
      <c r="T80" s="156"/>
      <c r="U80" s="6"/>
    </row>
    <row r="81" spans="1:21" customFormat="1">
      <c r="A81" s="163" t="s">
        <v>895</v>
      </c>
      <c r="B81" s="100">
        <v>5.74</v>
      </c>
      <c r="C81" s="100">
        <v>18.02</v>
      </c>
      <c r="D81" s="100">
        <v>14.02</v>
      </c>
      <c r="E81" s="100">
        <v>5.32</v>
      </c>
      <c r="F81" s="100">
        <v>0.2</v>
      </c>
      <c r="G81" s="100">
        <v>75.83</v>
      </c>
      <c r="H81" s="100">
        <v>31.44</v>
      </c>
      <c r="I81" s="100">
        <v>10.89</v>
      </c>
      <c r="J81" s="100">
        <v>0.23</v>
      </c>
      <c r="K81" s="100">
        <v>168.69</v>
      </c>
      <c r="L81" s="100">
        <v>23.26</v>
      </c>
      <c r="M81" s="100">
        <v>41.8</v>
      </c>
      <c r="N81" s="100">
        <v>43.2</v>
      </c>
      <c r="O81" s="100">
        <v>0</v>
      </c>
      <c r="P81" s="100">
        <v>0.59</v>
      </c>
      <c r="Q81" s="100">
        <v>9.32</v>
      </c>
      <c r="R81" s="6"/>
      <c r="S81" s="6"/>
      <c r="T81" s="156"/>
      <c r="U81" s="6"/>
    </row>
    <row r="82" spans="1:21" customFormat="1">
      <c r="A82" s="163" t="s">
        <v>896</v>
      </c>
      <c r="B82" s="100">
        <v>6.35</v>
      </c>
      <c r="C82" s="100">
        <v>18.66</v>
      </c>
      <c r="D82" s="100">
        <v>14.85</v>
      </c>
      <c r="E82" s="100">
        <v>6.09</v>
      </c>
      <c r="F82" s="100">
        <v>0.12</v>
      </c>
      <c r="G82" s="100">
        <v>75.83</v>
      </c>
      <c r="H82" s="100">
        <v>31.44</v>
      </c>
      <c r="I82" s="100">
        <v>10.97</v>
      </c>
      <c r="J82" s="100">
        <v>0.23</v>
      </c>
      <c r="K82" s="100">
        <v>152.84</v>
      </c>
      <c r="L82" s="100">
        <v>22.6</v>
      </c>
      <c r="M82" s="100">
        <v>47.88</v>
      </c>
      <c r="N82" s="100">
        <v>43</v>
      </c>
      <c r="O82" s="100">
        <v>0</v>
      </c>
      <c r="P82" s="100">
        <v>0.6</v>
      </c>
      <c r="Q82" s="100">
        <v>9.32</v>
      </c>
      <c r="R82" s="6"/>
      <c r="S82" s="6"/>
      <c r="T82" s="156"/>
      <c r="U82" s="6"/>
    </row>
    <row r="83" spans="1:21" customFormat="1">
      <c r="A83" s="163" t="s">
        <v>897</v>
      </c>
      <c r="B83" s="100">
        <v>7.2</v>
      </c>
      <c r="C83" s="100">
        <v>19.059999999999999</v>
      </c>
      <c r="D83" s="100">
        <v>15.73</v>
      </c>
      <c r="E83" s="100">
        <v>5.9</v>
      </c>
      <c r="F83" s="100">
        <v>0.06</v>
      </c>
      <c r="G83" s="100">
        <v>184.09</v>
      </c>
      <c r="H83" s="100">
        <v>37.31</v>
      </c>
      <c r="I83" s="100">
        <v>11.08</v>
      </c>
      <c r="J83" s="100">
        <v>0.18</v>
      </c>
      <c r="K83" s="100">
        <v>129.77000000000001</v>
      </c>
      <c r="L83" s="100">
        <v>22.31</v>
      </c>
      <c r="M83" s="100">
        <v>45.79</v>
      </c>
      <c r="N83" s="100">
        <v>42.9</v>
      </c>
      <c r="O83" s="100">
        <v>0</v>
      </c>
      <c r="P83" s="100">
        <v>0.62</v>
      </c>
      <c r="Q83" s="100">
        <v>9.32</v>
      </c>
      <c r="R83" s="6"/>
      <c r="S83" s="6"/>
      <c r="T83" s="156"/>
      <c r="U83" s="6"/>
    </row>
    <row r="84" spans="1:21" customFormat="1">
      <c r="A84" s="163" t="s">
        <v>898</v>
      </c>
      <c r="B84" s="100">
        <v>8.4600000000000009</v>
      </c>
      <c r="C84" s="100">
        <v>19.53</v>
      </c>
      <c r="D84" s="100">
        <v>16.98</v>
      </c>
      <c r="E84" s="100">
        <v>6.08</v>
      </c>
      <c r="F84" s="100">
        <v>7.0000000000000007E-2</v>
      </c>
      <c r="G84" s="100">
        <v>186.55</v>
      </c>
      <c r="H84" s="100">
        <v>37.31</v>
      </c>
      <c r="I84" s="100">
        <v>11.24</v>
      </c>
      <c r="J84" s="100">
        <v>0.26</v>
      </c>
      <c r="K84" s="100">
        <v>169.74</v>
      </c>
      <c r="L84" s="100">
        <v>22.03</v>
      </c>
      <c r="M84" s="100">
        <v>50.52</v>
      </c>
      <c r="N84" s="100">
        <v>42.9</v>
      </c>
      <c r="O84" s="100">
        <v>0</v>
      </c>
      <c r="P84" s="100">
        <v>0.64</v>
      </c>
      <c r="Q84" s="100">
        <v>9.32</v>
      </c>
      <c r="R84" s="6"/>
      <c r="S84" s="6"/>
      <c r="T84" s="156"/>
      <c r="U84" s="6"/>
    </row>
    <row r="85" spans="1:21" customFormat="1">
      <c r="A85" s="163" t="s">
        <v>899</v>
      </c>
      <c r="B85" s="100">
        <v>9.59</v>
      </c>
      <c r="C85" s="100">
        <v>20.05</v>
      </c>
      <c r="D85" s="100">
        <v>18.170000000000002</v>
      </c>
      <c r="E85" s="100">
        <v>5.98</v>
      </c>
      <c r="F85" s="100">
        <v>7.0000000000000007E-2</v>
      </c>
      <c r="G85" s="100">
        <v>186.55</v>
      </c>
      <c r="H85" s="100">
        <v>37.31</v>
      </c>
      <c r="I85" s="100">
        <v>11.5</v>
      </c>
      <c r="J85" s="100">
        <v>0.22</v>
      </c>
      <c r="K85" s="100">
        <v>197.78</v>
      </c>
      <c r="L85" s="100">
        <v>21.01</v>
      </c>
      <c r="M85" s="100">
        <v>64.150000000000006</v>
      </c>
      <c r="N85" s="100">
        <v>43</v>
      </c>
      <c r="O85" s="100">
        <v>0</v>
      </c>
      <c r="P85" s="100">
        <v>0.66</v>
      </c>
      <c r="Q85" s="100">
        <v>9.32</v>
      </c>
      <c r="R85" s="6"/>
      <c r="S85" s="6"/>
      <c r="T85" s="156"/>
      <c r="U85" s="6"/>
    </row>
    <row r="86" spans="1:21" customFormat="1">
      <c r="A86" s="163" t="s">
        <v>900</v>
      </c>
      <c r="B86" s="100">
        <v>10.24</v>
      </c>
      <c r="C86" s="100">
        <v>20.36</v>
      </c>
      <c r="D86" s="100">
        <v>18.850000000000001</v>
      </c>
      <c r="E86" s="100">
        <v>5.63</v>
      </c>
      <c r="F86" s="100">
        <v>0.02</v>
      </c>
      <c r="G86" s="100">
        <v>186.55</v>
      </c>
      <c r="H86" s="100">
        <v>37.31</v>
      </c>
      <c r="I86" s="100">
        <v>11.84</v>
      </c>
      <c r="J86" s="100">
        <v>0.16</v>
      </c>
      <c r="K86" s="100">
        <v>216.5</v>
      </c>
      <c r="L86" s="100">
        <v>20.190000000000001</v>
      </c>
      <c r="M86" s="100">
        <v>61.05</v>
      </c>
      <c r="N86" s="100">
        <v>42.3</v>
      </c>
      <c r="O86" s="100">
        <v>0</v>
      </c>
      <c r="P86" s="100">
        <v>0.68</v>
      </c>
      <c r="Q86" s="100">
        <v>9.32</v>
      </c>
      <c r="R86" s="6"/>
      <c r="S86" s="6"/>
      <c r="T86" s="156"/>
      <c r="U86" s="6"/>
    </row>
    <row r="87" spans="1:21" customFormat="1">
      <c r="A87" s="163" t="s">
        <v>901</v>
      </c>
      <c r="B87" s="100">
        <v>10.5</v>
      </c>
      <c r="C87" s="100">
        <v>20.46</v>
      </c>
      <c r="D87" s="100">
        <v>19.11</v>
      </c>
      <c r="E87" s="100">
        <v>5.84</v>
      </c>
      <c r="F87" s="100">
        <v>0.06</v>
      </c>
      <c r="G87" s="100">
        <v>210.64</v>
      </c>
      <c r="H87" s="100">
        <v>48.66</v>
      </c>
      <c r="I87" s="100">
        <v>12.2</v>
      </c>
      <c r="J87" s="100">
        <v>0.16</v>
      </c>
      <c r="K87" s="100">
        <v>196.69</v>
      </c>
      <c r="L87" s="100">
        <v>19.97</v>
      </c>
      <c r="M87" s="100">
        <v>62.32</v>
      </c>
      <c r="N87" s="100">
        <v>41.6</v>
      </c>
      <c r="O87" s="100">
        <v>0</v>
      </c>
      <c r="P87" s="100">
        <v>0.69</v>
      </c>
      <c r="Q87" s="100">
        <v>9.32</v>
      </c>
      <c r="R87" s="6"/>
      <c r="S87" s="6"/>
      <c r="T87" s="156"/>
      <c r="U87" s="6"/>
    </row>
    <row r="88" spans="1:21" customFormat="1">
      <c r="A88" s="163" t="s">
        <v>902</v>
      </c>
      <c r="B88" s="100">
        <v>10.7</v>
      </c>
      <c r="C88" s="100">
        <v>20.420000000000002</v>
      </c>
      <c r="D88" s="100">
        <v>19.25</v>
      </c>
      <c r="E88" s="100">
        <v>5.73</v>
      </c>
      <c r="F88" s="100">
        <v>0.01</v>
      </c>
      <c r="G88" s="100">
        <v>211.18</v>
      </c>
      <c r="H88" s="100">
        <v>48.66</v>
      </c>
      <c r="I88" s="100">
        <v>12.7</v>
      </c>
      <c r="J88" s="100">
        <v>0.17</v>
      </c>
      <c r="K88" s="100">
        <v>203.69</v>
      </c>
      <c r="L88" s="100">
        <v>19.739999999999998</v>
      </c>
      <c r="M88" s="100">
        <v>66.849999999999994</v>
      </c>
      <c r="N88" s="100">
        <v>41.5</v>
      </c>
      <c r="O88" s="100">
        <v>0</v>
      </c>
      <c r="P88" s="100">
        <v>0.7</v>
      </c>
      <c r="Q88" s="100">
        <v>9.32</v>
      </c>
      <c r="R88" s="6"/>
      <c r="S88" s="6"/>
      <c r="T88" s="156"/>
      <c r="U88" s="6"/>
    </row>
    <row r="89" spans="1:21" customFormat="1">
      <c r="A89" s="163" t="s">
        <v>903</v>
      </c>
      <c r="B89" s="100">
        <v>10.85</v>
      </c>
      <c r="C89" s="100">
        <v>20.260000000000002</v>
      </c>
      <c r="D89" s="100">
        <v>19.28</v>
      </c>
      <c r="E89" s="100">
        <v>5.49</v>
      </c>
      <c r="F89" s="100">
        <v>0.01</v>
      </c>
      <c r="G89" s="100">
        <v>211.18</v>
      </c>
      <c r="H89" s="100">
        <v>48.66</v>
      </c>
      <c r="I89" s="100">
        <v>13.09</v>
      </c>
      <c r="J89" s="100">
        <v>0.13</v>
      </c>
      <c r="K89" s="100">
        <v>187.2</v>
      </c>
      <c r="L89" s="100">
        <v>19.350000000000001</v>
      </c>
      <c r="M89" s="100">
        <v>68.97</v>
      </c>
      <c r="N89" s="100">
        <v>41.5</v>
      </c>
      <c r="O89" s="100">
        <v>0</v>
      </c>
      <c r="P89" s="100">
        <v>0.71</v>
      </c>
      <c r="Q89" s="100">
        <v>9.32</v>
      </c>
      <c r="R89" s="6"/>
      <c r="S89" s="6"/>
      <c r="T89" s="156"/>
      <c r="U89" s="6"/>
    </row>
    <row r="90" spans="1:21" customFormat="1">
      <c r="A90" s="163" t="s">
        <v>904</v>
      </c>
      <c r="B90" s="100">
        <v>10.82</v>
      </c>
      <c r="C90" s="100">
        <v>19.989999999999998</v>
      </c>
      <c r="D90" s="100">
        <v>19.12</v>
      </c>
      <c r="E90" s="100">
        <v>5.57</v>
      </c>
      <c r="F90" s="100">
        <v>0.01</v>
      </c>
      <c r="G90" s="100">
        <v>211.18</v>
      </c>
      <c r="H90" s="100">
        <v>48.66</v>
      </c>
      <c r="I90" s="100">
        <v>13.18</v>
      </c>
      <c r="J90" s="100">
        <v>0.12</v>
      </c>
      <c r="K90" s="100">
        <v>193.81</v>
      </c>
      <c r="L90" s="100">
        <v>19.25</v>
      </c>
      <c r="M90" s="100">
        <v>67.64</v>
      </c>
      <c r="N90" s="100">
        <v>40.299999999999997</v>
      </c>
      <c r="O90" s="100">
        <v>0</v>
      </c>
      <c r="P90" s="100">
        <v>0.71</v>
      </c>
      <c r="Q90" s="100">
        <v>9.32</v>
      </c>
      <c r="R90" s="6"/>
      <c r="S90" s="6"/>
      <c r="T90" s="156"/>
      <c r="U90" s="6"/>
    </row>
    <row r="91" spans="1:21" customFormat="1">
      <c r="A91" s="163" t="s">
        <v>905</v>
      </c>
      <c r="B91" s="100">
        <v>10.68</v>
      </c>
      <c r="C91" s="100">
        <v>19.79</v>
      </c>
      <c r="D91" s="100">
        <v>18.91</v>
      </c>
      <c r="E91" s="100">
        <v>5.74</v>
      </c>
      <c r="F91" s="100">
        <v>0.01</v>
      </c>
      <c r="G91" s="100">
        <v>181.1</v>
      </c>
      <c r="H91" s="100">
        <v>44.34</v>
      </c>
      <c r="I91" s="100">
        <v>13.26</v>
      </c>
      <c r="J91" s="100">
        <v>0.18</v>
      </c>
      <c r="K91" s="100">
        <v>216.26</v>
      </c>
      <c r="L91" s="100">
        <v>19.13</v>
      </c>
      <c r="M91" s="100">
        <v>68.84</v>
      </c>
      <c r="N91" s="100">
        <v>38.200000000000003</v>
      </c>
      <c r="O91" s="100">
        <v>0</v>
      </c>
      <c r="P91" s="100">
        <v>0.71</v>
      </c>
      <c r="Q91" s="100">
        <v>9.32</v>
      </c>
      <c r="R91" s="6"/>
      <c r="S91" s="6"/>
      <c r="T91" s="156"/>
      <c r="U91" s="6"/>
    </row>
    <row r="92" spans="1:21" customFormat="1">
      <c r="A92" s="163" t="s">
        <v>906</v>
      </c>
      <c r="B92" s="100">
        <v>10.47</v>
      </c>
      <c r="C92" s="100">
        <v>19.440000000000001</v>
      </c>
      <c r="D92" s="100">
        <v>18.559999999999999</v>
      </c>
      <c r="E92" s="100">
        <v>5.45</v>
      </c>
      <c r="F92" s="100">
        <v>0.05</v>
      </c>
      <c r="G92" s="100">
        <v>180.42</v>
      </c>
      <c r="H92" s="100">
        <v>44.34</v>
      </c>
      <c r="I92" s="100">
        <v>13.33</v>
      </c>
      <c r="J92" s="100">
        <v>0.18</v>
      </c>
      <c r="K92" s="100">
        <v>216.68</v>
      </c>
      <c r="L92" s="100">
        <v>19</v>
      </c>
      <c r="M92" s="100">
        <v>67.44</v>
      </c>
      <c r="N92" s="100">
        <v>38.1</v>
      </c>
      <c r="O92" s="100">
        <v>0</v>
      </c>
      <c r="P92" s="100">
        <v>0.7</v>
      </c>
      <c r="Q92" s="100">
        <v>9.32</v>
      </c>
      <c r="R92" s="6"/>
      <c r="S92" s="6"/>
      <c r="T92" s="156"/>
      <c r="U92" s="6"/>
    </row>
    <row r="93" spans="1:21" customFormat="1">
      <c r="A93" s="163" t="s">
        <v>907</v>
      </c>
      <c r="B93" s="100">
        <v>10.25</v>
      </c>
      <c r="C93" s="100">
        <v>19.100000000000001</v>
      </c>
      <c r="D93" s="100">
        <v>18.2</v>
      </c>
      <c r="E93" s="100">
        <v>5.79</v>
      </c>
      <c r="F93" s="100">
        <v>0.05</v>
      </c>
      <c r="G93" s="100">
        <v>180.42</v>
      </c>
      <c r="H93" s="100">
        <v>44.34</v>
      </c>
      <c r="I93" s="100">
        <v>13.37</v>
      </c>
      <c r="J93" s="100">
        <v>0.19</v>
      </c>
      <c r="K93" s="100">
        <v>202.88</v>
      </c>
      <c r="L93" s="100">
        <v>18.809999999999999</v>
      </c>
      <c r="M93" s="100">
        <v>72.97</v>
      </c>
      <c r="N93" s="100">
        <v>37.4</v>
      </c>
      <c r="O93" s="100">
        <v>0</v>
      </c>
      <c r="P93" s="100">
        <v>0.71</v>
      </c>
      <c r="Q93" s="100">
        <v>9.32</v>
      </c>
      <c r="R93" s="6"/>
      <c r="S93" s="6"/>
      <c r="T93" s="156"/>
      <c r="U93" s="6"/>
    </row>
    <row r="94" spans="1:21" customFormat="1">
      <c r="A94" s="163" t="s">
        <v>908</v>
      </c>
      <c r="B94" s="100">
        <v>10.14</v>
      </c>
      <c r="C94" s="100">
        <v>18.62</v>
      </c>
      <c r="D94" s="100">
        <v>17.86</v>
      </c>
      <c r="E94" s="100">
        <v>5.75</v>
      </c>
      <c r="F94" s="100">
        <v>0.04</v>
      </c>
      <c r="G94" s="100">
        <v>180.42</v>
      </c>
      <c r="H94" s="100">
        <v>44.34</v>
      </c>
      <c r="I94" s="100">
        <v>13.43</v>
      </c>
      <c r="J94" s="100">
        <v>0.17</v>
      </c>
      <c r="K94" s="100">
        <v>157.44</v>
      </c>
      <c r="L94" s="100">
        <v>18.5</v>
      </c>
      <c r="M94" s="100">
        <v>77.599999999999994</v>
      </c>
      <c r="N94" s="100">
        <v>37.1</v>
      </c>
      <c r="O94" s="100">
        <v>0</v>
      </c>
      <c r="P94" s="100">
        <v>0.71</v>
      </c>
      <c r="Q94" s="100">
        <v>9.32</v>
      </c>
      <c r="R94" s="6"/>
      <c r="S94" s="6"/>
      <c r="T94" s="156"/>
      <c r="U94" s="6"/>
    </row>
    <row r="95" spans="1:21" customFormat="1">
      <c r="A95" s="163" t="s">
        <v>909</v>
      </c>
      <c r="B95" s="100">
        <v>10.31</v>
      </c>
      <c r="C95" s="100">
        <v>18.27</v>
      </c>
      <c r="D95" s="100">
        <v>17.809999999999999</v>
      </c>
      <c r="E95" s="100">
        <v>5.76</v>
      </c>
      <c r="F95" s="100">
        <v>0.04</v>
      </c>
      <c r="G95" s="100">
        <v>98.72</v>
      </c>
      <c r="H95" s="100">
        <v>42.01</v>
      </c>
      <c r="I95" s="100">
        <v>13.52</v>
      </c>
      <c r="J95" s="100">
        <v>0.15</v>
      </c>
      <c r="K95" s="100">
        <v>190.77</v>
      </c>
      <c r="L95" s="100">
        <v>18.66</v>
      </c>
      <c r="M95" s="100">
        <v>69.72</v>
      </c>
      <c r="N95" s="100">
        <v>36.6</v>
      </c>
      <c r="O95" s="100">
        <v>0</v>
      </c>
      <c r="P95" s="100">
        <v>0.72</v>
      </c>
      <c r="Q95" s="100">
        <v>9.32</v>
      </c>
      <c r="R95" s="6"/>
      <c r="S95" s="6"/>
      <c r="T95" s="156"/>
      <c r="U95" s="6"/>
    </row>
    <row r="96" spans="1:21" customFormat="1">
      <c r="A96" s="163" t="s">
        <v>910</v>
      </c>
      <c r="B96" s="100">
        <v>12.12</v>
      </c>
      <c r="C96" s="100">
        <v>18.510000000000002</v>
      </c>
      <c r="D96" s="100">
        <v>19.39</v>
      </c>
      <c r="E96" s="100">
        <v>5.73</v>
      </c>
      <c r="F96" s="100">
        <v>0.01</v>
      </c>
      <c r="G96" s="100">
        <v>96.86</v>
      </c>
      <c r="H96" s="100">
        <v>42.01</v>
      </c>
      <c r="I96" s="100">
        <v>13.58</v>
      </c>
      <c r="J96" s="100">
        <v>0.18</v>
      </c>
      <c r="K96" s="100">
        <v>174.26</v>
      </c>
      <c r="L96" s="100">
        <v>18.850000000000001</v>
      </c>
      <c r="M96" s="100">
        <v>66.430000000000007</v>
      </c>
      <c r="N96" s="100">
        <v>36.5</v>
      </c>
      <c r="O96" s="100">
        <v>0</v>
      </c>
      <c r="P96" s="100">
        <v>0.74</v>
      </c>
      <c r="Q96" s="100">
        <v>9.32</v>
      </c>
      <c r="R96" s="6"/>
      <c r="S96" s="6"/>
      <c r="T96" s="156"/>
      <c r="U96" s="6"/>
    </row>
    <row r="97" spans="1:28" customFormat="1">
      <c r="A97" s="163" t="s">
        <v>911</v>
      </c>
      <c r="B97" s="100">
        <v>14.3</v>
      </c>
      <c r="C97" s="100">
        <v>19.02</v>
      </c>
      <c r="D97" s="100">
        <v>21.4</v>
      </c>
      <c r="E97" s="100">
        <v>5.7</v>
      </c>
      <c r="F97" s="100">
        <v>0.09</v>
      </c>
      <c r="G97" s="100">
        <v>96.86</v>
      </c>
      <c r="H97" s="100">
        <v>42.01</v>
      </c>
      <c r="I97" s="100">
        <v>13.73</v>
      </c>
      <c r="J97" s="100">
        <v>0.22</v>
      </c>
      <c r="K97" s="100">
        <v>195.54</v>
      </c>
      <c r="L97" s="100">
        <v>18.78</v>
      </c>
      <c r="M97" s="100">
        <v>75.459999999999994</v>
      </c>
      <c r="N97" s="100">
        <v>36.4</v>
      </c>
      <c r="O97" s="100">
        <v>0</v>
      </c>
      <c r="P97" s="100">
        <v>0.77</v>
      </c>
      <c r="Q97" s="100">
        <v>9.32</v>
      </c>
      <c r="R97" s="6"/>
      <c r="S97" s="6"/>
      <c r="T97" s="156"/>
      <c r="U97" s="6"/>
    </row>
    <row r="98" spans="1:28" customFormat="1">
      <c r="A98" s="163" t="s">
        <v>912</v>
      </c>
      <c r="B98" s="100">
        <v>15.14</v>
      </c>
      <c r="C98" s="100">
        <v>18.95</v>
      </c>
      <c r="D98" s="100">
        <v>22.04</v>
      </c>
      <c r="E98" s="100">
        <v>5.61</v>
      </c>
      <c r="F98" s="100">
        <v>0.09</v>
      </c>
      <c r="G98" s="100">
        <v>96.86</v>
      </c>
      <c r="H98" s="100">
        <v>42.01</v>
      </c>
      <c r="I98" s="100">
        <v>13.99</v>
      </c>
      <c r="J98" s="100">
        <v>0.15</v>
      </c>
      <c r="K98" s="100">
        <v>196.1</v>
      </c>
      <c r="L98" s="100">
        <v>18.3</v>
      </c>
      <c r="M98" s="100">
        <v>80.28</v>
      </c>
      <c r="N98" s="100">
        <v>36.700000000000003</v>
      </c>
      <c r="O98" s="100">
        <v>0</v>
      </c>
      <c r="P98" s="100">
        <v>0.78</v>
      </c>
      <c r="Q98" s="100">
        <v>9.32</v>
      </c>
      <c r="R98" s="6"/>
      <c r="S98" s="6"/>
      <c r="T98" s="156"/>
      <c r="U98" s="6"/>
    </row>
    <row r="99" spans="1:28" customFormat="1">
      <c r="A99" s="163" t="s">
        <v>913</v>
      </c>
      <c r="B99" s="100">
        <v>15.39</v>
      </c>
      <c r="C99" s="100">
        <v>18.7</v>
      </c>
      <c r="D99" s="100">
        <v>22.11</v>
      </c>
      <c r="E99" s="100">
        <v>6.19</v>
      </c>
      <c r="F99" s="100">
        <v>0.09</v>
      </c>
      <c r="G99" s="100">
        <v>111.68</v>
      </c>
      <c r="H99" s="100">
        <v>43.88</v>
      </c>
      <c r="I99" s="100">
        <v>14.21</v>
      </c>
      <c r="J99" s="100">
        <v>0.16</v>
      </c>
      <c r="K99" s="100">
        <v>175.2</v>
      </c>
      <c r="L99" s="100">
        <v>18.29</v>
      </c>
      <c r="M99" s="100">
        <v>77.12</v>
      </c>
      <c r="N99" s="100">
        <v>36.299999999999997</v>
      </c>
      <c r="O99" s="100">
        <v>0</v>
      </c>
      <c r="P99" s="100">
        <v>0.78</v>
      </c>
      <c r="Q99" s="100">
        <v>9.32</v>
      </c>
      <c r="R99" s="6"/>
      <c r="S99" s="6"/>
      <c r="T99" s="156"/>
      <c r="U99" s="6"/>
    </row>
    <row r="100" spans="1:28" customFormat="1">
      <c r="A100" s="163" t="s">
        <v>914</v>
      </c>
      <c r="B100" s="100">
        <v>17.2</v>
      </c>
      <c r="C100" s="100">
        <v>19.02</v>
      </c>
      <c r="D100" s="100">
        <v>23.73</v>
      </c>
      <c r="E100" s="100">
        <v>6.19</v>
      </c>
      <c r="F100" s="100">
        <v>0.09</v>
      </c>
      <c r="G100" s="100">
        <v>112.02</v>
      </c>
      <c r="H100" s="100">
        <v>43.88</v>
      </c>
      <c r="I100" s="100">
        <v>14.37</v>
      </c>
      <c r="J100" s="100">
        <v>0.16</v>
      </c>
      <c r="K100" s="100">
        <v>199.21</v>
      </c>
      <c r="L100" s="100">
        <v>18.190000000000001</v>
      </c>
      <c r="M100" s="100">
        <v>75.81</v>
      </c>
      <c r="N100" s="100">
        <v>36.299999999999997</v>
      </c>
      <c r="O100" s="100">
        <v>0</v>
      </c>
      <c r="P100" s="100">
        <v>0.81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915</v>
      </c>
      <c r="B101" s="100">
        <v>19.940000000000001</v>
      </c>
      <c r="C101" s="100">
        <v>19.45</v>
      </c>
      <c r="D101" s="100">
        <v>26.15</v>
      </c>
      <c r="E101" s="100">
        <v>6.03</v>
      </c>
      <c r="F101" s="100">
        <v>0.09</v>
      </c>
      <c r="G101" s="100">
        <v>112.02</v>
      </c>
      <c r="H101" s="100">
        <v>43.88</v>
      </c>
      <c r="I101" s="100">
        <v>14.54</v>
      </c>
      <c r="J101" s="100">
        <v>0.15</v>
      </c>
      <c r="K101" s="100">
        <v>173.4</v>
      </c>
      <c r="L101" s="100">
        <v>18.059999999999999</v>
      </c>
      <c r="M101" s="100">
        <v>78.959999999999994</v>
      </c>
      <c r="N101" s="100">
        <v>36.4</v>
      </c>
      <c r="O101" s="100">
        <v>0</v>
      </c>
      <c r="P101" s="100">
        <v>0.83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916</v>
      </c>
      <c r="B102" s="100">
        <v>22.52</v>
      </c>
      <c r="C102" s="100">
        <v>19.760000000000002</v>
      </c>
      <c r="D102" s="100">
        <v>28.38</v>
      </c>
      <c r="E102" s="100">
        <v>6.15</v>
      </c>
      <c r="F102" s="100">
        <v>0.09</v>
      </c>
      <c r="G102" s="100">
        <v>112.02</v>
      </c>
      <c r="H102" s="100">
        <v>43.88</v>
      </c>
      <c r="I102" s="100">
        <v>14.87</v>
      </c>
      <c r="J102" s="100">
        <v>0.14000000000000001</v>
      </c>
      <c r="K102" s="100">
        <v>180.52</v>
      </c>
      <c r="L102" s="100">
        <v>18.190000000000001</v>
      </c>
      <c r="M102" s="100">
        <v>76.150000000000006</v>
      </c>
      <c r="N102" s="100">
        <v>36.200000000000003</v>
      </c>
      <c r="O102" s="100">
        <v>0</v>
      </c>
      <c r="P102" s="100">
        <v>0.86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917</v>
      </c>
      <c r="B103" s="100">
        <v>25.42</v>
      </c>
      <c r="C103" s="100">
        <v>20.27</v>
      </c>
      <c r="D103" s="100">
        <v>30.98</v>
      </c>
      <c r="E103" s="100">
        <v>6.28</v>
      </c>
      <c r="F103" s="100">
        <v>0.05</v>
      </c>
      <c r="G103" s="100">
        <v>116.48</v>
      </c>
      <c r="H103" s="100">
        <v>47.45</v>
      </c>
      <c r="I103" s="100">
        <v>15.22</v>
      </c>
      <c r="J103" s="100">
        <v>0.25</v>
      </c>
      <c r="K103" s="100">
        <v>161.6</v>
      </c>
      <c r="L103" s="100">
        <v>18.13</v>
      </c>
      <c r="M103" s="100">
        <v>76.92</v>
      </c>
      <c r="N103" s="100">
        <v>36.4</v>
      </c>
      <c r="O103" s="100">
        <v>0</v>
      </c>
      <c r="P103" s="100">
        <v>0.89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918</v>
      </c>
      <c r="B104" s="100">
        <v>27.21</v>
      </c>
      <c r="C104" s="100">
        <v>20.48</v>
      </c>
      <c r="D104" s="100">
        <v>32.520000000000003</v>
      </c>
      <c r="E104" s="100">
        <v>6.25</v>
      </c>
      <c r="F104" s="100">
        <v>0.01</v>
      </c>
      <c r="G104" s="100">
        <v>116.58</v>
      </c>
      <c r="H104" s="100">
        <v>47.45</v>
      </c>
      <c r="I104" s="100">
        <v>15.49</v>
      </c>
      <c r="J104" s="100">
        <v>0.21</v>
      </c>
      <c r="K104" s="100">
        <v>205.39</v>
      </c>
      <c r="L104" s="100">
        <v>17.809999999999999</v>
      </c>
      <c r="M104" s="100">
        <v>84.27</v>
      </c>
      <c r="N104" s="100">
        <v>36.4</v>
      </c>
      <c r="O104" s="100">
        <v>0</v>
      </c>
      <c r="P104" s="100">
        <v>0.9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3.44</v>
      </c>
      <c r="C106" s="158">
        <f>MIN(C9:C104)</f>
        <v>16.239999999999998</v>
      </c>
      <c r="D106" s="158">
        <f t="shared" ref="D106:Q106" si="0">MIN(D9:D104)</f>
        <v>12.28</v>
      </c>
      <c r="E106" s="158">
        <f t="shared" si="0"/>
        <v>4.1900000000000004</v>
      </c>
      <c r="F106" s="158">
        <f t="shared" si="0"/>
        <v>0.01</v>
      </c>
      <c r="G106" s="158">
        <f t="shared" si="0"/>
        <v>52.12</v>
      </c>
      <c r="H106" s="158">
        <f t="shared" si="0"/>
        <v>28.3</v>
      </c>
      <c r="I106" s="158">
        <f t="shared" si="0"/>
        <v>10.89</v>
      </c>
      <c r="J106" s="158">
        <f t="shared" si="0"/>
        <v>0.04</v>
      </c>
      <c r="K106" s="158">
        <f t="shared" si="0"/>
        <v>13.89</v>
      </c>
      <c r="L106" s="158">
        <f t="shared" si="0"/>
        <v>14.35</v>
      </c>
      <c r="M106" s="158">
        <f t="shared" si="0"/>
        <v>12.12</v>
      </c>
      <c r="N106" s="158">
        <f t="shared" si="0"/>
        <v>15.7</v>
      </c>
      <c r="O106" s="158">
        <f t="shared" si="0"/>
        <v>0</v>
      </c>
      <c r="P106" s="158">
        <f t="shared" si="0"/>
        <v>0.55000000000000004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28.25</v>
      </c>
      <c r="C107" s="157">
        <f t="shared" ref="C107:Q107" si="1">MAX(C9:C104)</f>
        <v>22.8</v>
      </c>
      <c r="D107" s="157">
        <f t="shared" si="1"/>
        <v>33.270000000000003</v>
      </c>
      <c r="E107" s="157">
        <f t="shared" si="1"/>
        <v>9.4</v>
      </c>
      <c r="F107" s="157">
        <f t="shared" si="1"/>
        <v>5.29</v>
      </c>
      <c r="G107" s="157">
        <f t="shared" si="1"/>
        <v>211.18</v>
      </c>
      <c r="H107" s="157">
        <f t="shared" si="1"/>
        <v>79.760000000000005</v>
      </c>
      <c r="I107" s="157">
        <f t="shared" si="1"/>
        <v>24.41</v>
      </c>
      <c r="J107" s="157">
        <f t="shared" si="1"/>
        <v>1.2</v>
      </c>
      <c r="K107" s="157">
        <f t="shared" si="1"/>
        <v>260.8</v>
      </c>
      <c r="L107" s="157">
        <f t="shared" si="1"/>
        <v>30.57</v>
      </c>
      <c r="M107" s="157">
        <f t="shared" si="1"/>
        <v>90.84</v>
      </c>
      <c r="N107" s="157">
        <f t="shared" si="1"/>
        <v>629.5</v>
      </c>
      <c r="O107" s="157">
        <f t="shared" si="1"/>
        <v>0</v>
      </c>
      <c r="P107" s="157">
        <f t="shared" si="1"/>
        <v>1.31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14.426770833333338</v>
      </c>
      <c r="C108" s="158">
        <f t="shared" ref="C108:Q108" si="2">AVERAGE(C9:C104)</f>
        <v>19.238229166666667</v>
      </c>
      <c r="D108" s="158">
        <f t="shared" si="2"/>
        <v>21.620625</v>
      </c>
      <c r="E108" s="158">
        <f t="shared" si="2"/>
        <v>5.614166666666665</v>
      </c>
      <c r="F108" s="158">
        <f t="shared" si="2"/>
        <v>0.87968750000000062</v>
      </c>
      <c r="G108" s="158">
        <f t="shared" si="2"/>
        <v>111.31385416666667</v>
      </c>
      <c r="H108" s="158">
        <f t="shared" si="2"/>
        <v>53.118333333333339</v>
      </c>
      <c r="I108" s="158">
        <f t="shared" si="2"/>
        <v>17.054062499999993</v>
      </c>
      <c r="J108" s="158">
        <f t="shared" si="2"/>
        <v>0.37645833333333306</v>
      </c>
      <c r="K108" s="158">
        <f t="shared" si="2"/>
        <v>138.84645833333337</v>
      </c>
      <c r="L108" s="158">
        <f t="shared" si="2"/>
        <v>21.439895833333335</v>
      </c>
      <c r="M108" s="158">
        <f t="shared" si="2"/>
        <v>56.910312500000025</v>
      </c>
      <c r="N108" s="158">
        <f t="shared" si="2"/>
        <v>131.80312499999999</v>
      </c>
      <c r="O108" s="158">
        <f t="shared" si="2"/>
        <v>0</v>
      </c>
      <c r="P108" s="158">
        <f t="shared" si="2"/>
        <v>0.9416666666666661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8.3211845683540631</v>
      </c>
      <c r="C109" s="158">
        <f t="shared" ref="C109:Q109" si="3">STDEV(C9:C104)</f>
        <v>1.5857384099606597</v>
      </c>
      <c r="D109" s="158">
        <f t="shared" si="3"/>
        <v>6.513989773031418</v>
      </c>
      <c r="E109" s="158">
        <f t="shared" si="3"/>
        <v>0.98444284714668229</v>
      </c>
      <c r="F109" s="158">
        <f t="shared" si="3"/>
        <v>1.4984640930492441</v>
      </c>
      <c r="G109" s="158">
        <f t="shared" si="3"/>
        <v>39.707991648766473</v>
      </c>
      <c r="H109" s="158">
        <f t="shared" si="3"/>
        <v>16.585772131347486</v>
      </c>
      <c r="I109" s="158">
        <f t="shared" si="3"/>
        <v>4.9902409135231469</v>
      </c>
      <c r="J109" s="158">
        <f t="shared" si="3"/>
        <v>0.32661253131812834</v>
      </c>
      <c r="K109" s="158">
        <f t="shared" si="3"/>
        <v>76.376377472001181</v>
      </c>
      <c r="L109" s="158">
        <f t="shared" si="3"/>
        <v>5.6704778402180303</v>
      </c>
      <c r="M109" s="158">
        <f t="shared" si="3"/>
        <v>28.469996337903883</v>
      </c>
      <c r="N109" s="158">
        <f t="shared" si="3"/>
        <v>187.7893794727571</v>
      </c>
      <c r="O109" s="158">
        <f t="shared" si="3"/>
        <v>0</v>
      </c>
      <c r="P109" s="158">
        <f t="shared" si="3"/>
        <v>0.2748920043127635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106" sqref="F10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919</v>
      </c>
      <c r="B9" s="100">
        <v>28.04</v>
      </c>
      <c r="C9" s="100">
        <v>19.899999999999999</v>
      </c>
      <c r="D9" s="100">
        <v>32.880000000000003</v>
      </c>
      <c r="E9" s="100">
        <v>6.51</v>
      </c>
      <c r="F9" s="100">
        <v>0.11</v>
      </c>
      <c r="G9" s="100">
        <v>116.58</v>
      </c>
      <c r="H9" s="100">
        <v>47.45</v>
      </c>
      <c r="I9" s="100">
        <v>15.79</v>
      </c>
      <c r="J9" s="100">
        <v>0.14000000000000001</v>
      </c>
      <c r="K9" s="100">
        <v>212.46</v>
      </c>
      <c r="L9" s="100">
        <v>17.190000000000001</v>
      </c>
      <c r="M9" s="100">
        <v>83.69</v>
      </c>
      <c r="N9" s="100">
        <v>36.5</v>
      </c>
      <c r="O9" s="100">
        <v>0</v>
      </c>
      <c r="P9" s="100">
        <v>0.92</v>
      </c>
      <c r="Q9" s="100">
        <v>9.32</v>
      </c>
      <c r="R9" s="6"/>
      <c r="S9" s="6"/>
      <c r="T9" s="156"/>
      <c r="U9" s="6"/>
    </row>
    <row r="10" spans="1:21" customFormat="1">
      <c r="A10" s="163" t="s">
        <v>920</v>
      </c>
      <c r="B10" s="100">
        <v>28.18</v>
      </c>
      <c r="C10" s="100">
        <v>20.170000000000002</v>
      </c>
      <c r="D10" s="100">
        <v>33.14</v>
      </c>
      <c r="E10" s="100">
        <v>6.5</v>
      </c>
      <c r="F10" s="100">
        <v>0.06</v>
      </c>
      <c r="G10" s="100">
        <v>116.58</v>
      </c>
      <c r="H10" s="100">
        <v>47.45</v>
      </c>
      <c r="I10" s="100">
        <v>16.02</v>
      </c>
      <c r="J10" s="100">
        <v>0.21</v>
      </c>
      <c r="K10" s="100">
        <v>209.93</v>
      </c>
      <c r="L10" s="100">
        <v>17.16</v>
      </c>
      <c r="M10" s="100">
        <v>80.930000000000007</v>
      </c>
      <c r="N10" s="100">
        <v>36.200000000000003</v>
      </c>
      <c r="O10" s="100">
        <v>0</v>
      </c>
      <c r="P10" s="100">
        <v>0.93</v>
      </c>
      <c r="Q10" s="100">
        <v>9.32</v>
      </c>
      <c r="R10" s="6"/>
      <c r="S10" s="6"/>
      <c r="T10" s="156"/>
      <c r="U10" s="6"/>
    </row>
    <row r="11" spans="1:21" customFormat="1">
      <c r="A11" s="163" t="s">
        <v>921</v>
      </c>
      <c r="B11" s="100">
        <v>28.39</v>
      </c>
      <c r="C11" s="100">
        <v>20.22</v>
      </c>
      <c r="D11" s="100">
        <v>33.33</v>
      </c>
      <c r="E11" s="100">
        <v>6.43</v>
      </c>
      <c r="F11" s="100">
        <v>0.06</v>
      </c>
      <c r="G11" s="100">
        <v>101.13</v>
      </c>
      <c r="H11" s="100">
        <v>48.59</v>
      </c>
      <c r="I11" s="100">
        <v>16.239999999999998</v>
      </c>
      <c r="J11" s="100">
        <v>0.17</v>
      </c>
      <c r="K11" s="100">
        <v>162.68</v>
      </c>
      <c r="L11" s="100">
        <v>16.899999999999999</v>
      </c>
      <c r="M11" s="100">
        <v>84.44</v>
      </c>
      <c r="N11" s="100">
        <v>36.4</v>
      </c>
      <c r="O11" s="100">
        <v>0</v>
      </c>
      <c r="P11" s="100">
        <v>0.94</v>
      </c>
      <c r="Q11" s="100">
        <v>9.32</v>
      </c>
      <c r="R11" s="6"/>
      <c r="S11" s="6"/>
      <c r="T11" s="156"/>
      <c r="U11" s="6"/>
    </row>
    <row r="12" spans="1:21" customFormat="1">
      <c r="A12" s="163" t="s">
        <v>922</v>
      </c>
      <c r="B12" s="100">
        <v>28.44</v>
      </c>
      <c r="C12" s="100">
        <v>19.940000000000001</v>
      </c>
      <c r="D12" s="100">
        <v>33.22</v>
      </c>
      <c r="E12" s="100">
        <v>6.55</v>
      </c>
      <c r="F12" s="100">
        <v>0.06</v>
      </c>
      <c r="G12" s="100">
        <v>100.78</v>
      </c>
      <c r="H12" s="100">
        <v>48.59</v>
      </c>
      <c r="I12" s="100">
        <v>16.48</v>
      </c>
      <c r="J12" s="100">
        <v>0.15</v>
      </c>
      <c r="K12" s="100">
        <v>173.66</v>
      </c>
      <c r="L12" s="100">
        <v>16.86</v>
      </c>
      <c r="M12" s="100">
        <v>82.24</v>
      </c>
      <c r="N12" s="100">
        <v>36.299999999999997</v>
      </c>
      <c r="O12" s="100">
        <v>0</v>
      </c>
      <c r="P12" s="100">
        <v>0.95</v>
      </c>
      <c r="Q12" s="100">
        <v>9.32</v>
      </c>
      <c r="R12" s="6"/>
      <c r="S12" s="6"/>
      <c r="T12" s="156"/>
      <c r="U12" s="6"/>
    </row>
    <row r="13" spans="1:21" customFormat="1">
      <c r="A13" s="163" t="s">
        <v>923</v>
      </c>
      <c r="B13" s="100">
        <v>28.49</v>
      </c>
      <c r="C13" s="100">
        <v>19.66</v>
      </c>
      <c r="D13" s="100">
        <v>33.119999999999997</v>
      </c>
      <c r="E13" s="100">
        <v>6.58</v>
      </c>
      <c r="F13" s="100">
        <v>0.01</v>
      </c>
      <c r="G13" s="100">
        <v>100.78</v>
      </c>
      <c r="H13" s="100">
        <v>48.59</v>
      </c>
      <c r="I13" s="100">
        <v>16.98</v>
      </c>
      <c r="J13" s="100">
        <v>0.14000000000000001</v>
      </c>
      <c r="K13" s="100">
        <v>208.36</v>
      </c>
      <c r="L13" s="100">
        <v>16.73</v>
      </c>
      <c r="M13" s="100">
        <v>82.87</v>
      </c>
      <c r="N13" s="100">
        <v>36.1</v>
      </c>
      <c r="O13" s="100">
        <v>0</v>
      </c>
      <c r="P13" s="100">
        <v>0.95</v>
      </c>
      <c r="Q13" s="100">
        <v>9.32</v>
      </c>
      <c r="R13" s="6"/>
      <c r="S13" s="6"/>
      <c r="T13" s="156"/>
      <c r="U13" s="6"/>
    </row>
    <row r="14" spans="1:21" customFormat="1">
      <c r="A14" s="163" t="s">
        <v>924</v>
      </c>
      <c r="B14" s="100">
        <v>28.58</v>
      </c>
      <c r="C14" s="100">
        <v>19.670000000000002</v>
      </c>
      <c r="D14" s="100">
        <v>33.19</v>
      </c>
      <c r="E14" s="100">
        <v>6.62</v>
      </c>
      <c r="F14" s="100">
        <v>0.08</v>
      </c>
      <c r="G14" s="100">
        <v>100.78</v>
      </c>
      <c r="H14" s="100">
        <v>48.59</v>
      </c>
      <c r="I14" s="100">
        <v>17.829999999999998</v>
      </c>
      <c r="J14" s="100">
        <v>0.16</v>
      </c>
      <c r="K14" s="100">
        <v>190.71</v>
      </c>
      <c r="L14" s="100">
        <v>16.59</v>
      </c>
      <c r="M14" s="100">
        <v>84.5</v>
      </c>
      <c r="N14" s="100">
        <v>36.1</v>
      </c>
      <c r="O14" s="100">
        <v>0</v>
      </c>
      <c r="P14" s="100">
        <v>0.96</v>
      </c>
      <c r="Q14" s="100">
        <v>9.32</v>
      </c>
      <c r="R14" s="6"/>
      <c r="S14" s="6"/>
      <c r="T14" s="156"/>
      <c r="U14" s="6"/>
    </row>
    <row r="15" spans="1:21" customFormat="1">
      <c r="A15" s="163" t="s">
        <v>925</v>
      </c>
      <c r="B15" s="100">
        <v>28.54</v>
      </c>
      <c r="C15" s="100">
        <v>19.36</v>
      </c>
      <c r="D15" s="100">
        <v>33</v>
      </c>
      <c r="E15" s="100">
        <v>6.46</v>
      </c>
      <c r="F15" s="100">
        <v>0.06</v>
      </c>
      <c r="G15" s="100">
        <v>85.51</v>
      </c>
      <c r="H15" s="100">
        <v>49.14</v>
      </c>
      <c r="I15" s="100">
        <v>18.52</v>
      </c>
      <c r="J15" s="100">
        <v>0.13</v>
      </c>
      <c r="K15" s="100">
        <v>210.06</v>
      </c>
      <c r="L15" s="100">
        <v>16.170000000000002</v>
      </c>
      <c r="M15" s="100">
        <v>82.29</v>
      </c>
      <c r="N15" s="100">
        <v>36.1</v>
      </c>
      <c r="O15" s="100">
        <v>0</v>
      </c>
      <c r="P15" s="100">
        <v>0.96</v>
      </c>
      <c r="Q15" s="100">
        <v>9.32</v>
      </c>
      <c r="R15" s="6"/>
      <c r="S15" s="6"/>
      <c r="T15" s="156"/>
      <c r="U15" s="6"/>
    </row>
    <row r="16" spans="1:21" customFormat="1">
      <c r="A16" s="163" t="s">
        <v>926</v>
      </c>
      <c r="B16" s="100">
        <v>27.98</v>
      </c>
      <c r="C16" s="100">
        <v>19.21</v>
      </c>
      <c r="D16" s="100">
        <v>32.479999999999997</v>
      </c>
      <c r="E16" s="100">
        <v>6.62</v>
      </c>
      <c r="F16" s="100">
        <v>0.04</v>
      </c>
      <c r="G16" s="100">
        <v>85.16</v>
      </c>
      <c r="H16" s="100">
        <v>49.14</v>
      </c>
      <c r="I16" s="100">
        <v>18.88</v>
      </c>
      <c r="J16" s="100">
        <v>0.22</v>
      </c>
      <c r="K16" s="100">
        <v>233.55</v>
      </c>
      <c r="L16" s="100">
        <v>16.190000000000001</v>
      </c>
      <c r="M16" s="100">
        <v>85.35</v>
      </c>
      <c r="N16" s="100">
        <v>35.799999999999997</v>
      </c>
      <c r="O16" s="100">
        <v>0</v>
      </c>
      <c r="P16" s="100">
        <v>0.95</v>
      </c>
      <c r="Q16" s="100">
        <v>9.32</v>
      </c>
      <c r="R16" s="6"/>
      <c r="S16" s="6"/>
      <c r="T16" s="156"/>
      <c r="U16" s="6"/>
    </row>
    <row r="17" spans="1:21" customFormat="1">
      <c r="A17" s="163" t="s">
        <v>927</v>
      </c>
      <c r="B17" s="100">
        <v>27.37</v>
      </c>
      <c r="C17" s="100">
        <v>18.899999999999999</v>
      </c>
      <c r="D17" s="100">
        <v>31.83</v>
      </c>
      <c r="E17" s="100">
        <v>5.1100000000000003</v>
      </c>
      <c r="F17" s="100">
        <v>0.06</v>
      </c>
      <c r="G17" s="100">
        <v>85.16</v>
      </c>
      <c r="H17" s="100">
        <v>49.14</v>
      </c>
      <c r="I17" s="100">
        <v>19.059999999999999</v>
      </c>
      <c r="J17" s="100">
        <v>0.15</v>
      </c>
      <c r="K17" s="100">
        <v>245.97</v>
      </c>
      <c r="L17" s="100">
        <v>15.93</v>
      </c>
      <c r="M17" s="100">
        <v>83.81</v>
      </c>
      <c r="N17" s="100">
        <v>35.799999999999997</v>
      </c>
      <c r="O17" s="100">
        <v>0</v>
      </c>
      <c r="P17" s="100">
        <v>0.94</v>
      </c>
      <c r="Q17" s="100">
        <v>9.32</v>
      </c>
      <c r="R17" s="6"/>
      <c r="S17" s="6"/>
      <c r="T17" s="156"/>
      <c r="U17" s="6"/>
    </row>
    <row r="18" spans="1:21" customFormat="1">
      <c r="A18" s="163" t="s">
        <v>928</v>
      </c>
      <c r="B18" s="100">
        <v>26.84</v>
      </c>
      <c r="C18" s="100">
        <v>18.739999999999998</v>
      </c>
      <c r="D18" s="100">
        <v>31.31</v>
      </c>
      <c r="E18" s="100">
        <v>6.02</v>
      </c>
      <c r="F18" s="100">
        <v>0.03</v>
      </c>
      <c r="G18" s="100">
        <v>85.16</v>
      </c>
      <c r="H18" s="100">
        <v>49.14</v>
      </c>
      <c r="I18" s="100">
        <v>19.100000000000001</v>
      </c>
      <c r="J18" s="100">
        <v>0.14000000000000001</v>
      </c>
      <c r="K18" s="100">
        <v>155.83000000000001</v>
      </c>
      <c r="L18" s="100">
        <v>15.93</v>
      </c>
      <c r="M18" s="100">
        <v>81.95</v>
      </c>
      <c r="N18" s="100">
        <v>35.4</v>
      </c>
      <c r="O18" s="100">
        <v>0</v>
      </c>
      <c r="P18" s="100">
        <v>0.94</v>
      </c>
      <c r="Q18" s="100">
        <v>9.32</v>
      </c>
      <c r="R18" s="6"/>
      <c r="S18" s="6"/>
      <c r="T18" s="156"/>
      <c r="U18" s="6"/>
    </row>
    <row r="19" spans="1:21" customFormat="1">
      <c r="A19" s="163" t="s">
        <v>929</v>
      </c>
      <c r="B19" s="100">
        <v>27</v>
      </c>
      <c r="C19" s="100">
        <v>18.77</v>
      </c>
      <c r="D19" s="100">
        <v>31.46</v>
      </c>
      <c r="E19" s="100">
        <v>6.04</v>
      </c>
      <c r="F19" s="100">
        <v>0.03</v>
      </c>
      <c r="G19" s="100">
        <v>78.849999999999994</v>
      </c>
      <c r="H19" s="100">
        <v>47.98</v>
      </c>
      <c r="I19" s="100">
        <v>19.170000000000002</v>
      </c>
      <c r="J19" s="100">
        <v>0.1</v>
      </c>
      <c r="K19" s="100">
        <v>133.13999999999999</v>
      </c>
      <c r="L19" s="100">
        <v>15.95</v>
      </c>
      <c r="M19" s="100">
        <v>82.06</v>
      </c>
      <c r="N19" s="100">
        <v>33.5</v>
      </c>
      <c r="O19" s="100">
        <v>0</v>
      </c>
      <c r="P19" s="100">
        <v>0.94</v>
      </c>
      <c r="Q19" s="100">
        <v>9.32</v>
      </c>
      <c r="R19" s="6"/>
      <c r="S19" s="6"/>
      <c r="T19" s="156"/>
      <c r="U19" s="6"/>
    </row>
    <row r="20" spans="1:21" customFormat="1">
      <c r="A20" s="163" t="s">
        <v>930</v>
      </c>
      <c r="B20" s="100">
        <v>27.87</v>
      </c>
      <c r="C20" s="100">
        <v>18.66</v>
      </c>
      <c r="D20" s="100">
        <v>32.1</v>
      </c>
      <c r="E20" s="100">
        <v>6.16</v>
      </c>
      <c r="F20" s="100">
        <v>0.04</v>
      </c>
      <c r="G20" s="100">
        <v>78.709999999999994</v>
      </c>
      <c r="H20" s="100">
        <v>47.98</v>
      </c>
      <c r="I20" s="100">
        <v>19.27</v>
      </c>
      <c r="J20" s="100">
        <v>0.15</v>
      </c>
      <c r="K20" s="100">
        <v>136.18</v>
      </c>
      <c r="L20" s="100">
        <v>16.07</v>
      </c>
      <c r="M20" s="100">
        <v>81</v>
      </c>
      <c r="N20" s="100">
        <v>31</v>
      </c>
      <c r="O20" s="100">
        <v>0</v>
      </c>
      <c r="P20" s="100">
        <v>0.95</v>
      </c>
      <c r="Q20" s="100">
        <v>9.32</v>
      </c>
      <c r="R20" s="6"/>
      <c r="S20" s="6"/>
      <c r="T20" s="156"/>
      <c r="U20" s="6"/>
    </row>
    <row r="21" spans="1:21" customFormat="1">
      <c r="A21" s="163" t="s">
        <v>931</v>
      </c>
      <c r="B21" s="100">
        <v>29.25</v>
      </c>
      <c r="C21" s="100">
        <v>18.88</v>
      </c>
      <c r="D21" s="100">
        <v>33.32</v>
      </c>
      <c r="E21" s="100">
        <v>6.37</v>
      </c>
      <c r="F21" s="100">
        <v>0.02</v>
      </c>
      <c r="G21" s="100">
        <v>78.709999999999994</v>
      </c>
      <c r="H21" s="100">
        <v>47.98</v>
      </c>
      <c r="I21" s="100">
        <v>19.43</v>
      </c>
      <c r="J21" s="100">
        <v>0.09</v>
      </c>
      <c r="K21" s="100">
        <v>167.63</v>
      </c>
      <c r="L21" s="100">
        <v>16.12</v>
      </c>
      <c r="M21" s="100">
        <v>79.8</v>
      </c>
      <c r="N21" s="100">
        <v>30.7</v>
      </c>
      <c r="O21" s="100">
        <v>0</v>
      </c>
      <c r="P21" s="100">
        <v>0.96</v>
      </c>
      <c r="Q21" s="100">
        <v>9.32</v>
      </c>
      <c r="R21" s="6"/>
      <c r="S21" s="6"/>
      <c r="T21" s="156"/>
      <c r="U21" s="6"/>
    </row>
    <row r="22" spans="1:21" customFormat="1">
      <c r="A22" s="163" t="s">
        <v>932</v>
      </c>
      <c r="B22" s="100">
        <v>30.72</v>
      </c>
      <c r="C22" s="100">
        <v>19.260000000000002</v>
      </c>
      <c r="D22" s="100">
        <v>34.700000000000003</v>
      </c>
      <c r="E22" s="100">
        <v>6.31</v>
      </c>
      <c r="F22" s="100">
        <v>0.02</v>
      </c>
      <c r="G22" s="100">
        <v>78.709999999999994</v>
      </c>
      <c r="H22" s="100">
        <v>47.98</v>
      </c>
      <c r="I22" s="100">
        <v>19.62</v>
      </c>
      <c r="J22" s="100">
        <v>0.09</v>
      </c>
      <c r="K22" s="100">
        <v>157.46</v>
      </c>
      <c r="L22" s="100">
        <v>15.94</v>
      </c>
      <c r="M22" s="100">
        <v>80.069999999999993</v>
      </c>
      <c r="N22" s="100">
        <v>30.5</v>
      </c>
      <c r="O22" s="100">
        <v>0</v>
      </c>
      <c r="P22" s="100">
        <v>0.97</v>
      </c>
      <c r="Q22" s="100">
        <v>9.32</v>
      </c>
      <c r="R22" s="6"/>
      <c r="S22" s="6"/>
      <c r="T22" s="156"/>
      <c r="U22" s="6"/>
    </row>
    <row r="23" spans="1:21" customFormat="1">
      <c r="A23" s="163" t="s">
        <v>933</v>
      </c>
      <c r="B23" s="100">
        <v>31.98</v>
      </c>
      <c r="C23" s="100">
        <v>19.52</v>
      </c>
      <c r="D23" s="100">
        <v>35.840000000000003</v>
      </c>
      <c r="E23" s="100">
        <v>6.03</v>
      </c>
      <c r="F23" s="100">
        <v>0.02</v>
      </c>
      <c r="G23" s="100">
        <v>106.6</v>
      </c>
      <c r="H23" s="100">
        <v>49.41</v>
      </c>
      <c r="I23" s="100">
        <v>19.75</v>
      </c>
      <c r="J23" s="100">
        <v>0.13</v>
      </c>
      <c r="K23" s="100">
        <v>66.11</v>
      </c>
      <c r="L23" s="100">
        <v>16.25</v>
      </c>
      <c r="M23" s="100">
        <v>74.56</v>
      </c>
      <c r="N23" s="100">
        <v>29.7</v>
      </c>
      <c r="O23" s="100">
        <v>0</v>
      </c>
      <c r="P23" s="100">
        <v>0.98</v>
      </c>
      <c r="Q23" s="100">
        <v>9.32</v>
      </c>
      <c r="R23" s="6"/>
      <c r="S23" s="6"/>
      <c r="T23" s="156"/>
      <c r="U23" s="6"/>
    </row>
    <row r="24" spans="1:21" customFormat="1">
      <c r="A24" s="163" t="s">
        <v>934</v>
      </c>
      <c r="B24" s="100">
        <v>32.479999999999997</v>
      </c>
      <c r="C24" s="100">
        <v>19.55</v>
      </c>
      <c r="D24" s="100">
        <v>36.26</v>
      </c>
      <c r="E24" s="100">
        <v>5.88</v>
      </c>
      <c r="F24" s="100">
        <v>0.02</v>
      </c>
      <c r="G24" s="100">
        <v>107.24</v>
      </c>
      <c r="H24" s="100">
        <v>49.41</v>
      </c>
      <c r="I24" s="100">
        <v>18.100000000000001</v>
      </c>
      <c r="J24" s="100">
        <v>0.16</v>
      </c>
      <c r="K24" s="100">
        <v>207.14</v>
      </c>
      <c r="L24" s="100">
        <v>16.03</v>
      </c>
      <c r="M24" s="100">
        <v>76.52</v>
      </c>
      <c r="N24" s="100">
        <v>30</v>
      </c>
      <c r="O24" s="100">
        <v>0</v>
      </c>
      <c r="P24" s="100">
        <v>0.99</v>
      </c>
      <c r="Q24" s="100">
        <v>9.32</v>
      </c>
      <c r="R24" s="6"/>
      <c r="S24" s="6"/>
      <c r="T24" s="156"/>
      <c r="U24" s="6"/>
    </row>
    <row r="25" spans="1:21" customFormat="1">
      <c r="A25" s="163" t="s">
        <v>935</v>
      </c>
      <c r="B25" s="100">
        <v>32.32</v>
      </c>
      <c r="C25" s="100">
        <v>19.510000000000002</v>
      </c>
      <c r="D25" s="100">
        <v>36.11</v>
      </c>
      <c r="E25" s="100">
        <v>5.98</v>
      </c>
      <c r="F25" s="100">
        <v>0.12</v>
      </c>
      <c r="G25" s="100">
        <v>107.24</v>
      </c>
      <c r="H25" s="100">
        <v>49.41</v>
      </c>
      <c r="I25" s="100">
        <v>16.329999999999998</v>
      </c>
      <c r="J25" s="100">
        <v>0.15</v>
      </c>
      <c r="K25" s="100">
        <v>220.1</v>
      </c>
      <c r="L25" s="100">
        <v>15.67</v>
      </c>
      <c r="M25" s="100">
        <v>84.04</v>
      </c>
      <c r="N25" s="100">
        <v>30</v>
      </c>
      <c r="O25" s="100">
        <v>0</v>
      </c>
      <c r="P25" s="100">
        <v>0.99</v>
      </c>
      <c r="Q25" s="100">
        <v>9.32</v>
      </c>
      <c r="R25" s="6"/>
      <c r="S25" s="6"/>
      <c r="T25" s="156"/>
      <c r="U25" s="6"/>
    </row>
    <row r="26" spans="1:21" customFormat="1">
      <c r="A26" s="163" t="s">
        <v>936</v>
      </c>
      <c r="B26" s="100">
        <v>31.83</v>
      </c>
      <c r="C26" s="100">
        <v>19.059999999999999</v>
      </c>
      <c r="D26" s="100">
        <v>35.49</v>
      </c>
      <c r="E26" s="100">
        <v>5.57</v>
      </c>
      <c r="F26" s="100">
        <v>0.03</v>
      </c>
      <c r="G26" s="100">
        <v>107.24</v>
      </c>
      <c r="H26" s="100">
        <v>49.41</v>
      </c>
      <c r="I26" s="100">
        <v>16.440000000000001</v>
      </c>
      <c r="J26" s="100">
        <v>0.18</v>
      </c>
      <c r="K26" s="100">
        <v>203.81</v>
      </c>
      <c r="L26" s="100">
        <v>15.25</v>
      </c>
      <c r="M26" s="100">
        <v>87.79</v>
      </c>
      <c r="N26" s="100">
        <v>30</v>
      </c>
      <c r="O26" s="100">
        <v>0</v>
      </c>
      <c r="P26" s="100">
        <v>1</v>
      </c>
      <c r="Q26" s="100">
        <v>9.32</v>
      </c>
      <c r="R26" s="6"/>
      <c r="S26" s="6"/>
      <c r="T26" s="156"/>
      <c r="U26" s="6"/>
    </row>
    <row r="27" spans="1:21" customFormat="1">
      <c r="A27" s="163" t="s">
        <v>937</v>
      </c>
      <c r="B27" s="100">
        <v>31.19</v>
      </c>
      <c r="C27" s="100">
        <v>18.8</v>
      </c>
      <c r="D27" s="100">
        <v>34.83</v>
      </c>
      <c r="E27" s="100">
        <v>6.02</v>
      </c>
      <c r="F27" s="100">
        <v>0.03</v>
      </c>
      <c r="G27" s="100">
        <v>115.89</v>
      </c>
      <c r="H27" s="100">
        <v>52.56</v>
      </c>
      <c r="I27" s="100">
        <v>16.510000000000002</v>
      </c>
      <c r="J27" s="100">
        <v>0.08</v>
      </c>
      <c r="K27" s="100">
        <v>168.84</v>
      </c>
      <c r="L27" s="100">
        <v>14.9</v>
      </c>
      <c r="M27" s="100">
        <v>86.98</v>
      </c>
      <c r="N27" s="100">
        <v>30</v>
      </c>
      <c r="O27" s="100">
        <v>0</v>
      </c>
      <c r="P27" s="100">
        <v>1</v>
      </c>
      <c r="Q27" s="100">
        <v>9.32</v>
      </c>
      <c r="R27" s="6"/>
      <c r="S27" s="6"/>
      <c r="T27" s="156"/>
      <c r="U27" s="6"/>
    </row>
    <row r="28" spans="1:21" customFormat="1">
      <c r="A28" s="163" t="s">
        <v>938</v>
      </c>
      <c r="B28" s="100">
        <v>30.78</v>
      </c>
      <c r="C28" s="100">
        <v>18.59</v>
      </c>
      <c r="D28" s="100">
        <v>34.39</v>
      </c>
      <c r="E28" s="100">
        <v>6</v>
      </c>
      <c r="F28" s="100">
        <v>0.03</v>
      </c>
      <c r="G28" s="100">
        <v>116.09</v>
      </c>
      <c r="H28" s="100">
        <v>52.56</v>
      </c>
      <c r="I28" s="100">
        <v>16.54</v>
      </c>
      <c r="J28" s="100">
        <v>0.1</v>
      </c>
      <c r="K28" s="100">
        <v>174.09</v>
      </c>
      <c r="L28" s="100">
        <v>14.85</v>
      </c>
      <c r="M28" s="100">
        <v>85.62</v>
      </c>
      <c r="N28" s="100">
        <v>29.8</v>
      </c>
      <c r="O28" s="100">
        <v>0</v>
      </c>
      <c r="P28" s="100">
        <v>1</v>
      </c>
      <c r="Q28" s="100">
        <v>9.32</v>
      </c>
      <c r="R28" s="6"/>
      <c r="S28" s="6"/>
      <c r="T28" s="156"/>
      <c r="U28" s="6"/>
    </row>
    <row r="29" spans="1:21" customFormat="1">
      <c r="A29" s="163" t="s">
        <v>939</v>
      </c>
      <c r="B29" s="100">
        <v>32.26</v>
      </c>
      <c r="C29" s="100">
        <v>18.8</v>
      </c>
      <c r="D29" s="100">
        <v>35.69</v>
      </c>
      <c r="E29" s="100">
        <v>6.04</v>
      </c>
      <c r="F29" s="100">
        <v>0.03</v>
      </c>
      <c r="G29" s="100">
        <v>116.09</v>
      </c>
      <c r="H29" s="100">
        <v>52.56</v>
      </c>
      <c r="I29" s="100">
        <v>16.53</v>
      </c>
      <c r="J29" s="100">
        <v>0.2</v>
      </c>
      <c r="K29" s="100">
        <v>230.97</v>
      </c>
      <c r="L29" s="100">
        <v>14.86</v>
      </c>
      <c r="M29" s="100">
        <v>86.42</v>
      </c>
      <c r="N29" s="100">
        <v>29.6</v>
      </c>
      <c r="O29" s="100">
        <v>0</v>
      </c>
      <c r="P29" s="100">
        <v>1.01</v>
      </c>
      <c r="Q29" s="100">
        <v>9.32</v>
      </c>
      <c r="R29" s="6"/>
      <c r="S29" s="6"/>
      <c r="T29" s="156"/>
      <c r="U29" s="6"/>
    </row>
    <row r="30" spans="1:21" customFormat="1">
      <c r="A30" s="163" t="s">
        <v>940</v>
      </c>
      <c r="B30" s="100">
        <v>33.04</v>
      </c>
      <c r="C30" s="100">
        <v>18.79</v>
      </c>
      <c r="D30" s="100">
        <v>36.31</v>
      </c>
      <c r="E30" s="100">
        <v>5.95</v>
      </c>
      <c r="F30" s="100">
        <v>0.06</v>
      </c>
      <c r="G30" s="100">
        <v>116.09</v>
      </c>
      <c r="H30" s="100">
        <v>52.56</v>
      </c>
      <c r="I30" s="100">
        <v>16.55</v>
      </c>
      <c r="J30" s="100">
        <v>0.21</v>
      </c>
      <c r="K30" s="100">
        <v>208.01</v>
      </c>
      <c r="L30" s="100">
        <v>14.64</v>
      </c>
      <c r="M30" s="100">
        <v>88.47</v>
      </c>
      <c r="N30" s="100">
        <v>29.8</v>
      </c>
      <c r="O30" s="100">
        <v>0</v>
      </c>
      <c r="P30" s="100">
        <v>1.02</v>
      </c>
      <c r="Q30" s="100">
        <v>9.32</v>
      </c>
      <c r="R30" s="6"/>
      <c r="S30" s="6"/>
      <c r="T30" s="156"/>
      <c r="U30" s="6"/>
    </row>
    <row r="31" spans="1:21" customFormat="1">
      <c r="A31" s="163" t="s">
        <v>941</v>
      </c>
      <c r="B31" s="100">
        <v>32.590000000000003</v>
      </c>
      <c r="C31" s="100">
        <v>18.43</v>
      </c>
      <c r="D31" s="100">
        <v>35.76</v>
      </c>
      <c r="E31" s="100">
        <v>6.09</v>
      </c>
      <c r="F31" s="100">
        <v>0.04</v>
      </c>
      <c r="G31" s="100">
        <v>102.55</v>
      </c>
      <c r="H31" s="100">
        <v>53.77</v>
      </c>
      <c r="I31" s="100">
        <v>16.57</v>
      </c>
      <c r="J31" s="100">
        <v>0.12</v>
      </c>
      <c r="K31" s="100">
        <v>216.05</v>
      </c>
      <c r="L31" s="100">
        <v>14.24</v>
      </c>
      <c r="M31" s="100">
        <v>89.98</v>
      </c>
      <c r="N31" s="100">
        <v>30.1</v>
      </c>
      <c r="O31" s="100">
        <v>0</v>
      </c>
      <c r="P31" s="100">
        <v>1.01</v>
      </c>
      <c r="Q31" s="100">
        <v>9.32</v>
      </c>
      <c r="R31" s="6"/>
      <c r="S31" s="6"/>
      <c r="T31" s="156"/>
      <c r="U31" s="6"/>
    </row>
    <row r="32" spans="1:21" customFormat="1">
      <c r="A32" s="163" t="s">
        <v>942</v>
      </c>
      <c r="B32" s="100">
        <v>31.62</v>
      </c>
      <c r="C32" s="100">
        <v>17.88</v>
      </c>
      <c r="D32" s="100">
        <v>34.700000000000003</v>
      </c>
      <c r="E32" s="100">
        <v>5.75</v>
      </c>
      <c r="F32" s="100">
        <v>0.04</v>
      </c>
      <c r="G32" s="100">
        <v>102.25</v>
      </c>
      <c r="H32" s="100">
        <v>53.77</v>
      </c>
      <c r="I32" s="100">
        <v>16.600000000000001</v>
      </c>
      <c r="J32" s="100">
        <v>0.13</v>
      </c>
      <c r="K32" s="100">
        <v>208.89</v>
      </c>
      <c r="L32" s="100">
        <v>14.05</v>
      </c>
      <c r="M32" s="100">
        <v>90.57</v>
      </c>
      <c r="N32" s="100">
        <v>29.8</v>
      </c>
      <c r="O32" s="100">
        <v>0</v>
      </c>
      <c r="P32" s="100">
        <v>1</v>
      </c>
      <c r="Q32" s="100">
        <v>9.32</v>
      </c>
      <c r="R32" s="6"/>
      <c r="S32" s="6"/>
      <c r="T32" s="156"/>
      <c r="U32" s="6"/>
    </row>
    <row r="33" spans="1:21" customFormat="1">
      <c r="A33" s="163" t="s">
        <v>943</v>
      </c>
      <c r="B33" s="100">
        <v>30.69</v>
      </c>
      <c r="C33" s="100">
        <v>17.670000000000002</v>
      </c>
      <c r="D33" s="100">
        <v>33.840000000000003</v>
      </c>
      <c r="E33" s="100">
        <v>5.69</v>
      </c>
      <c r="F33" s="100">
        <v>0.04</v>
      </c>
      <c r="G33" s="100">
        <v>102.25</v>
      </c>
      <c r="H33" s="100">
        <v>53.77</v>
      </c>
      <c r="I33" s="100">
        <v>16.62</v>
      </c>
      <c r="J33" s="100">
        <v>0.11</v>
      </c>
      <c r="K33" s="100">
        <v>240.82</v>
      </c>
      <c r="L33" s="100">
        <v>14.15</v>
      </c>
      <c r="M33" s="100">
        <v>91.25</v>
      </c>
      <c r="N33" s="100">
        <v>29.8</v>
      </c>
      <c r="O33" s="100">
        <v>0</v>
      </c>
      <c r="P33" s="100">
        <v>0.99</v>
      </c>
      <c r="Q33" s="100">
        <v>9.32</v>
      </c>
      <c r="R33" s="6"/>
      <c r="S33" s="6"/>
      <c r="T33" s="156"/>
      <c r="U33" s="6"/>
    </row>
    <row r="34" spans="1:21" customFormat="1">
      <c r="A34" s="163" t="s">
        <v>944</v>
      </c>
      <c r="B34" s="100">
        <v>29.57</v>
      </c>
      <c r="C34" s="100">
        <v>17.36</v>
      </c>
      <c r="D34" s="100">
        <v>32.79</v>
      </c>
      <c r="E34" s="100">
        <v>5.63</v>
      </c>
      <c r="F34" s="100">
        <v>0.02</v>
      </c>
      <c r="G34" s="100">
        <v>102.25</v>
      </c>
      <c r="H34" s="100">
        <v>53.77</v>
      </c>
      <c r="I34" s="100">
        <v>16.57</v>
      </c>
      <c r="J34" s="100">
        <v>0.15</v>
      </c>
      <c r="K34" s="100">
        <v>227.26</v>
      </c>
      <c r="L34" s="100">
        <v>14.15</v>
      </c>
      <c r="M34" s="100">
        <v>90.36</v>
      </c>
      <c r="N34" s="100">
        <v>30.1</v>
      </c>
      <c r="O34" s="100">
        <v>0</v>
      </c>
      <c r="P34" s="100">
        <v>0.99</v>
      </c>
      <c r="Q34" s="100">
        <v>9.32</v>
      </c>
      <c r="R34" s="6"/>
      <c r="S34" s="6"/>
      <c r="T34" s="156"/>
      <c r="U34" s="6"/>
    </row>
    <row r="35" spans="1:21" customFormat="1">
      <c r="A35" s="163" t="s">
        <v>945</v>
      </c>
      <c r="B35" s="100">
        <v>28.54</v>
      </c>
      <c r="C35" s="100">
        <v>17.05</v>
      </c>
      <c r="D35" s="100">
        <v>31.8</v>
      </c>
      <c r="E35" s="100">
        <v>5.71</v>
      </c>
      <c r="F35" s="100">
        <v>0.04</v>
      </c>
      <c r="G35" s="100">
        <v>95.18</v>
      </c>
      <c r="H35" s="100">
        <v>51.06</v>
      </c>
      <c r="I35" s="100">
        <v>16.510000000000002</v>
      </c>
      <c r="J35" s="100">
        <v>0.16</v>
      </c>
      <c r="K35" s="100">
        <v>168.85</v>
      </c>
      <c r="L35" s="100">
        <v>14.24</v>
      </c>
      <c r="M35" s="100">
        <v>90.54</v>
      </c>
      <c r="N35" s="100">
        <v>35.6</v>
      </c>
      <c r="O35" s="100">
        <v>0</v>
      </c>
      <c r="P35" s="100">
        <v>0.99</v>
      </c>
      <c r="Q35" s="100">
        <v>9.32</v>
      </c>
      <c r="R35" s="6"/>
      <c r="S35" s="6"/>
      <c r="T35" s="156"/>
      <c r="U35" s="6"/>
    </row>
    <row r="36" spans="1:21" customFormat="1">
      <c r="A36" s="163" t="s">
        <v>946</v>
      </c>
      <c r="B36" s="100">
        <v>27.61</v>
      </c>
      <c r="C36" s="100">
        <v>16.71</v>
      </c>
      <c r="D36" s="100">
        <v>30.87</v>
      </c>
      <c r="E36" s="100">
        <v>5.62</v>
      </c>
      <c r="F36" s="100">
        <v>0.05</v>
      </c>
      <c r="G36" s="100">
        <v>95.02</v>
      </c>
      <c r="H36" s="100">
        <v>51.06</v>
      </c>
      <c r="I36" s="100">
        <v>16.47</v>
      </c>
      <c r="J36" s="100">
        <v>7.0000000000000007E-2</v>
      </c>
      <c r="K36" s="100">
        <v>165.04</v>
      </c>
      <c r="L36" s="100">
        <v>14.12</v>
      </c>
      <c r="M36" s="100">
        <v>90.86</v>
      </c>
      <c r="N36" s="100">
        <v>44.4</v>
      </c>
      <c r="O36" s="100">
        <v>0</v>
      </c>
      <c r="P36" s="100">
        <v>0.99</v>
      </c>
      <c r="Q36" s="100">
        <v>9.32</v>
      </c>
      <c r="R36" s="6"/>
      <c r="S36" s="6"/>
      <c r="T36" s="156"/>
      <c r="U36" s="6"/>
    </row>
    <row r="37" spans="1:21" customFormat="1">
      <c r="A37" s="163" t="s">
        <v>947</v>
      </c>
      <c r="B37" s="100">
        <v>26.72</v>
      </c>
      <c r="C37" s="100">
        <v>16.53</v>
      </c>
      <c r="D37" s="100">
        <v>30.06</v>
      </c>
      <c r="E37" s="100">
        <v>5.58</v>
      </c>
      <c r="F37" s="100">
        <v>0.04</v>
      </c>
      <c r="G37" s="100">
        <v>95.02</v>
      </c>
      <c r="H37" s="100">
        <v>51.06</v>
      </c>
      <c r="I37" s="100">
        <v>16.440000000000001</v>
      </c>
      <c r="J37" s="100">
        <v>0.11</v>
      </c>
      <c r="K37" s="100">
        <v>204.23</v>
      </c>
      <c r="L37" s="100">
        <v>14.6</v>
      </c>
      <c r="M37" s="100">
        <v>91.74</v>
      </c>
      <c r="N37" s="100">
        <v>54.2</v>
      </c>
      <c r="O37" s="100">
        <v>0</v>
      </c>
      <c r="P37" s="100">
        <v>0.98</v>
      </c>
      <c r="Q37" s="100">
        <v>9.32</v>
      </c>
      <c r="R37" s="6"/>
      <c r="S37" s="6"/>
      <c r="T37" s="156"/>
      <c r="U37" s="6"/>
    </row>
    <row r="38" spans="1:21" customFormat="1">
      <c r="A38" s="163" t="s">
        <v>948</v>
      </c>
      <c r="B38" s="100">
        <v>25.88</v>
      </c>
      <c r="C38" s="100">
        <v>16.260000000000002</v>
      </c>
      <c r="D38" s="100">
        <v>29.25</v>
      </c>
      <c r="E38" s="100">
        <v>5.64</v>
      </c>
      <c r="F38" s="100">
        <v>0.03</v>
      </c>
      <c r="G38" s="100">
        <v>95.02</v>
      </c>
      <c r="H38" s="100">
        <v>51.06</v>
      </c>
      <c r="I38" s="100">
        <v>16.46</v>
      </c>
      <c r="J38" s="100">
        <v>0.11</v>
      </c>
      <c r="K38" s="100">
        <v>173.55</v>
      </c>
      <c r="L38" s="100">
        <v>15.25</v>
      </c>
      <c r="M38" s="100">
        <v>90.5</v>
      </c>
      <c r="N38" s="100">
        <v>64.900000000000006</v>
      </c>
      <c r="O38" s="100">
        <v>0</v>
      </c>
      <c r="P38" s="100">
        <v>0.99</v>
      </c>
      <c r="Q38" s="100">
        <v>9.32</v>
      </c>
      <c r="R38" s="6"/>
      <c r="S38" s="6"/>
      <c r="T38" s="156"/>
      <c r="U38" s="6"/>
    </row>
    <row r="39" spans="1:21" customFormat="1">
      <c r="A39" s="163" t="s">
        <v>949</v>
      </c>
      <c r="B39" s="100">
        <v>25.16</v>
      </c>
      <c r="C39" s="100">
        <v>16.02</v>
      </c>
      <c r="D39" s="100">
        <v>28.54</v>
      </c>
      <c r="E39" s="100">
        <v>5.75</v>
      </c>
      <c r="F39" s="100">
        <v>0.01</v>
      </c>
      <c r="G39" s="100">
        <v>94.55</v>
      </c>
      <c r="H39" s="100">
        <v>52.46</v>
      </c>
      <c r="I39" s="100">
        <v>16.47</v>
      </c>
      <c r="J39" s="100">
        <v>0.17</v>
      </c>
      <c r="K39" s="100">
        <v>233.7</v>
      </c>
      <c r="L39" s="100">
        <v>16.04</v>
      </c>
      <c r="M39" s="100">
        <v>85.95</v>
      </c>
      <c r="N39" s="100">
        <v>75.8</v>
      </c>
      <c r="O39" s="100">
        <v>0</v>
      </c>
      <c r="P39" s="100">
        <v>0.99</v>
      </c>
      <c r="Q39" s="100">
        <v>9.32</v>
      </c>
      <c r="R39" s="6"/>
      <c r="S39" s="6"/>
      <c r="T39" s="156"/>
      <c r="U39" s="6"/>
    </row>
    <row r="40" spans="1:21" customFormat="1">
      <c r="A40" s="163" t="s">
        <v>950</v>
      </c>
      <c r="B40" s="100">
        <v>24.42</v>
      </c>
      <c r="C40" s="100">
        <v>16.059999999999999</v>
      </c>
      <c r="D40" s="100">
        <v>27.97</v>
      </c>
      <c r="E40" s="100">
        <v>5.76</v>
      </c>
      <c r="F40" s="100">
        <v>0.15</v>
      </c>
      <c r="G40" s="100">
        <v>94.53</v>
      </c>
      <c r="H40" s="100">
        <v>52.46</v>
      </c>
      <c r="I40" s="100">
        <v>16.48</v>
      </c>
      <c r="J40" s="100">
        <v>0.15</v>
      </c>
      <c r="K40" s="100">
        <v>171.75</v>
      </c>
      <c r="L40" s="100">
        <v>17.149999999999999</v>
      </c>
      <c r="M40" s="100">
        <v>78.19</v>
      </c>
      <c r="N40" s="100">
        <v>98.4</v>
      </c>
      <c r="O40" s="100">
        <v>0</v>
      </c>
      <c r="P40" s="100">
        <v>0.99</v>
      </c>
      <c r="Q40" s="100">
        <v>9.32</v>
      </c>
      <c r="R40" s="6"/>
      <c r="S40" s="6"/>
      <c r="T40" s="156"/>
      <c r="U40" s="6"/>
    </row>
    <row r="41" spans="1:21" customFormat="1">
      <c r="A41" s="163" t="s">
        <v>951</v>
      </c>
      <c r="B41" s="100">
        <v>23.68</v>
      </c>
      <c r="C41" s="100">
        <v>16.649999999999999</v>
      </c>
      <c r="D41" s="100">
        <v>27.69</v>
      </c>
      <c r="E41" s="100">
        <v>5.69</v>
      </c>
      <c r="F41" s="100">
        <v>7.0000000000000007E-2</v>
      </c>
      <c r="G41" s="100">
        <v>94.53</v>
      </c>
      <c r="H41" s="100">
        <v>52.46</v>
      </c>
      <c r="I41" s="100">
        <v>16.510000000000002</v>
      </c>
      <c r="J41" s="100">
        <v>0.12</v>
      </c>
      <c r="K41" s="100">
        <v>242.68</v>
      </c>
      <c r="L41" s="100">
        <v>18.760000000000002</v>
      </c>
      <c r="M41" s="100">
        <v>65.489999999999995</v>
      </c>
      <c r="N41" s="100">
        <v>229.1</v>
      </c>
      <c r="O41" s="100">
        <v>0</v>
      </c>
      <c r="P41" s="100">
        <v>0.99</v>
      </c>
      <c r="Q41" s="100">
        <v>9.32</v>
      </c>
      <c r="R41" s="6"/>
      <c r="S41" s="6"/>
      <c r="T41" s="156"/>
      <c r="U41" s="6"/>
    </row>
    <row r="42" spans="1:21" customFormat="1">
      <c r="A42" s="163" t="s">
        <v>952</v>
      </c>
      <c r="B42" s="100">
        <v>22.74</v>
      </c>
      <c r="C42" s="100">
        <v>16.73</v>
      </c>
      <c r="D42" s="100">
        <v>26.97</v>
      </c>
      <c r="E42" s="100">
        <v>5.8</v>
      </c>
      <c r="F42" s="100">
        <v>0.01</v>
      </c>
      <c r="G42" s="100">
        <v>94.53</v>
      </c>
      <c r="H42" s="100">
        <v>52.46</v>
      </c>
      <c r="I42" s="100">
        <v>16.5</v>
      </c>
      <c r="J42" s="100">
        <v>0.04</v>
      </c>
      <c r="K42" s="100">
        <v>86.73</v>
      </c>
      <c r="L42" s="100">
        <v>20.67</v>
      </c>
      <c r="M42" s="100">
        <v>51.92</v>
      </c>
      <c r="N42" s="100">
        <v>277.7</v>
      </c>
      <c r="O42" s="100">
        <v>0</v>
      </c>
      <c r="P42" s="100">
        <v>0.98</v>
      </c>
      <c r="Q42" s="100">
        <v>9.32</v>
      </c>
      <c r="R42" s="6"/>
      <c r="S42" s="6"/>
      <c r="T42" s="156"/>
      <c r="U42" s="6"/>
    </row>
    <row r="43" spans="1:21" customFormat="1">
      <c r="A43" s="163" t="s">
        <v>953</v>
      </c>
      <c r="B43" s="100">
        <v>21.88</v>
      </c>
      <c r="C43" s="100">
        <v>17.079999999999998</v>
      </c>
      <c r="D43" s="100">
        <v>26.47</v>
      </c>
      <c r="E43" s="100">
        <v>5.67</v>
      </c>
      <c r="F43" s="100">
        <v>0.04</v>
      </c>
      <c r="G43" s="100">
        <v>85.46</v>
      </c>
      <c r="H43" s="100">
        <v>51.38</v>
      </c>
      <c r="I43" s="100">
        <v>16.43</v>
      </c>
      <c r="J43" s="100">
        <v>0.56000000000000005</v>
      </c>
      <c r="K43" s="100">
        <v>46.89</v>
      </c>
      <c r="L43" s="100">
        <v>21.69</v>
      </c>
      <c r="M43" s="100">
        <v>45.44</v>
      </c>
      <c r="N43" s="100">
        <v>323.2</v>
      </c>
      <c r="O43" s="100">
        <v>0</v>
      </c>
      <c r="P43" s="100">
        <v>0.97</v>
      </c>
      <c r="Q43" s="100">
        <v>9.32</v>
      </c>
      <c r="R43" s="6"/>
      <c r="S43" s="6"/>
      <c r="T43" s="156"/>
      <c r="U43" s="6"/>
    </row>
    <row r="44" spans="1:21" customFormat="1">
      <c r="A44" s="163" t="s">
        <v>954</v>
      </c>
      <c r="B44" s="100">
        <v>20.98</v>
      </c>
      <c r="C44" s="100">
        <v>17.350000000000001</v>
      </c>
      <c r="D44" s="100">
        <v>25.89</v>
      </c>
      <c r="E44" s="100">
        <v>6.13</v>
      </c>
      <c r="F44" s="100">
        <v>0.05</v>
      </c>
      <c r="G44" s="100">
        <v>85.25</v>
      </c>
      <c r="H44" s="100">
        <v>51.38</v>
      </c>
      <c r="I44" s="100">
        <v>16.239999999999998</v>
      </c>
      <c r="J44" s="100">
        <v>0.42</v>
      </c>
      <c r="K44" s="100">
        <v>47.05</v>
      </c>
      <c r="L44" s="100">
        <v>22.76</v>
      </c>
      <c r="M44" s="100">
        <v>41.83</v>
      </c>
      <c r="N44" s="100">
        <v>351.3</v>
      </c>
      <c r="O44" s="100">
        <v>0</v>
      </c>
      <c r="P44" s="100">
        <v>0.96</v>
      </c>
      <c r="Q44" s="100">
        <v>9.32</v>
      </c>
      <c r="R44" s="6"/>
      <c r="S44" s="6"/>
      <c r="T44" s="156"/>
      <c r="U44" s="6"/>
    </row>
    <row r="45" spans="1:21" customFormat="1">
      <c r="A45" s="163" t="s">
        <v>955</v>
      </c>
      <c r="B45" s="100">
        <v>20.190000000000001</v>
      </c>
      <c r="C45" s="100">
        <v>18.02</v>
      </c>
      <c r="D45" s="100">
        <v>25.61</v>
      </c>
      <c r="E45" s="100">
        <v>6.13</v>
      </c>
      <c r="F45" s="100">
        <v>0.13</v>
      </c>
      <c r="G45" s="100">
        <v>85.25</v>
      </c>
      <c r="H45" s="100">
        <v>51.38</v>
      </c>
      <c r="I45" s="100">
        <v>15.97</v>
      </c>
      <c r="J45" s="100">
        <v>0.54</v>
      </c>
      <c r="K45" s="100">
        <v>53.41</v>
      </c>
      <c r="L45" s="100">
        <v>23.35</v>
      </c>
      <c r="M45" s="100">
        <v>40.49</v>
      </c>
      <c r="N45" s="100">
        <v>167.3</v>
      </c>
      <c r="O45" s="100">
        <v>0</v>
      </c>
      <c r="P45" s="100">
        <v>0.94</v>
      </c>
      <c r="Q45" s="100">
        <v>9.32</v>
      </c>
      <c r="R45" s="6"/>
      <c r="S45" s="6"/>
      <c r="T45" s="156"/>
      <c r="U45" s="6"/>
    </row>
    <row r="46" spans="1:21" customFormat="1">
      <c r="A46" s="163" t="s">
        <v>956</v>
      </c>
      <c r="B46" s="100">
        <v>19.25</v>
      </c>
      <c r="C46" s="100">
        <v>18.66</v>
      </c>
      <c r="D46" s="100">
        <v>25.18</v>
      </c>
      <c r="E46" s="100">
        <v>5.92</v>
      </c>
      <c r="F46" s="100">
        <v>0.09</v>
      </c>
      <c r="G46" s="100">
        <v>85.25</v>
      </c>
      <c r="H46" s="100">
        <v>51.38</v>
      </c>
      <c r="I46" s="100">
        <v>15.64</v>
      </c>
      <c r="J46" s="100">
        <v>0.86</v>
      </c>
      <c r="K46" s="100">
        <v>52.32</v>
      </c>
      <c r="L46" s="100">
        <v>24.26</v>
      </c>
      <c r="M46" s="100">
        <v>36.020000000000003</v>
      </c>
      <c r="N46" s="100">
        <v>143.9</v>
      </c>
      <c r="O46" s="100">
        <v>0</v>
      </c>
      <c r="P46" s="100">
        <v>0.92</v>
      </c>
      <c r="Q46" s="100">
        <v>9.32</v>
      </c>
      <c r="R46" s="6"/>
      <c r="S46" s="6"/>
      <c r="T46" s="156"/>
      <c r="U46" s="6"/>
    </row>
    <row r="47" spans="1:21" customFormat="1">
      <c r="A47" s="163" t="s">
        <v>957</v>
      </c>
      <c r="B47" s="100">
        <v>18.940000000000001</v>
      </c>
      <c r="C47" s="100">
        <v>19.559999999999999</v>
      </c>
      <c r="D47" s="100">
        <v>25.41</v>
      </c>
      <c r="E47" s="100">
        <v>5.86</v>
      </c>
      <c r="F47" s="100">
        <v>0.08</v>
      </c>
      <c r="G47" s="100">
        <v>70.53</v>
      </c>
      <c r="H47" s="100">
        <v>44</v>
      </c>
      <c r="I47" s="100">
        <v>15.27</v>
      </c>
      <c r="J47" s="100">
        <v>1.06</v>
      </c>
      <c r="K47" s="100">
        <v>40.85</v>
      </c>
      <c r="L47" s="100">
        <v>24.91</v>
      </c>
      <c r="M47" s="100">
        <v>31.7</v>
      </c>
      <c r="N47" s="100">
        <v>147.6</v>
      </c>
      <c r="O47" s="100">
        <v>0</v>
      </c>
      <c r="P47" s="100">
        <v>0.9</v>
      </c>
      <c r="Q47" s="100">
        <v>9.32</v>
      </c>
      <c r="R47" s="6"/>
      <c r="S47" s="6"/>
      <c r="T47" s="156"/>
      <c r="U47" s="6"/>
    </row>
    <row r="48" spans="1:21" customFormat="1">
      <c r="A48" s="163" t="s">
        <v>958</v>
      </c>
      <c r="B48" s="100">
        <v>19.14</v>
      </c>
      <c r="C48" s="100">
        <v>20.5</v>
      </c>
      <c r="D48" s="100">
        <v>26.06</v>
      </c>
      <c r="E48" s="100">
        <v>6.12</v>
      </c>
      <c r="F48" s="100">
        <v>0.04</v>
      </c>
      <c r="G48" s="100">
        <v>70.2</v>
      </c>
      <c r="H48" s="100">
        <v>44</v>
      </c>
      <c r="I48" s="100">
        <v>14.89</v>
      </c>
      <c r="J48" s="100">
        <v>1.1499999999999999</v>
      </c>
      <c r="K48" s="100">
        <v>41.02</v>
      </c>
      <c r="L48" s="100">
        <v>25.86</v>
      </c>
      <c r="M48" s="100">
        <v>28.28</v>
      </c>
      <c r="N48" s="100">
        <v>317.7</v>
      </c>
      <c r="O48" s="100">
        <v>0</v>
      </c>
      <c r="P48" s="100">
        <v>0.87</v>
      </c>
      <c r="Q48" s="100">
        <v>9.32</v>
      </c>
      <c r="R48" s="6"/>
      <c r="S48" s="6"/>
      <c r="T48" s="156"/>
      <c r="U48" s="6"/>
    </row>
    <row r="49" spans="1:21" customFormat="1">
      <c r="A49" s="163" t="s">
        <v>959</v>
      </c>
      <c r="B49" s="100">
        <v>18.940000000000001</v>
      </c>
      <c r="C49" s="100">
        <v>21.16</v>
      </c>
      <c r="D49" s="100">
        <v>26.24</v>
      </c>
      <c r="E49" s="100">
        <v>5.38</v>
      </c>
      <c r="F49" s="100">
        <v>0.21</v>
      </c>
      <c r="G49" s="100">
        <v>70.2</v>
      </c>
      <c r="H49" s="100">
        <v>44</v>
      </c>
      <c r="I49" s="100">
        <v>14.45</v>
      </c>
      <c r="J49" s="100">
        <v>0.65</v>
      </c>
      <c r="K49" s="100">
        <v>58.45</v>
      </c>
      <c r="L49" s="100">
        <v>26.4</v>
      </c>
      <c r="M49" s="100">
        <v>26.47</v>
      </c>
      <c r="N49" s="100">
        <v>558.6</v>
      </c>
      <c r="O49" s="100">
        <v>0</v>
      </c>
      <c r="P49" s="100">
        <v>0.84</v>
      </c>
      <c r="Q49" s="100">
        <v>9.32</v>
      </c>
      <c r="R49" s="6"/>
      <c r="S49" s="6"/>
      <c r="T49" s="156"/>
      <c r="U49" s="6"/>
    </row>
    <row r="50" spans="1:21" customFormat="1">
      <c r="A50" s="163" t="s">
        <v>960</v>
      </c>
      <c r="B50" s="100">
        <v>18.11</v>
      </c>
      <c r="C50" s="100">
        <v>21.51</v>
      </c>
      <c r="D50" s="100">
        <v>25.76</v>
      </c>
      <c r="E50" s="100">
        <v>6.5</v>
      </c>
      <c r="F50" s="100">
        <v>0.26</v>
      </c>
      <c r="G50" s="100">
        <v>70.2</v>
      </c>
      <c r="H50" s="100">
        <v>44</v>
      </c>
      <c r="I50" s="100">
        <v>14</v>
      </c>
      <c r="J50" s="100">
        <v>0.46</v>
      </c>
      <c r="K50" s="100">
        <v>84.7</v>
      </c>
      <c r="L50" s="100">
        <v>27.65</v>
      </c>
      <c r="M50" s="100">
        <v>25.26</v>
      </c>
      <c r="N50" s="100">
        <v>577.79999999999995</v>
      </c>
      <c r="O50" s="100">
        <v>0</v>
      </c>
      <c r="P50" s="100">
        <v>0.82</v>
      </c>
      <c r="Q50" s="100">
        <v>9.32</v>
      </c>
      <c r="R50" s="6"/>
      <c r="S50" s="6"/>
      <c r="T50" s="156"/>
      <c r="U50" s="6"/>
    </row>
    <row r="51" spans="1:21" customFormat="1">
      <c r="A51" s="163" t="s">
        <v>961</v>
      </c>
      <c r="B51" s="100">
        <v>17.059999999999999</v>
      </c>
      <c r="C51" s="100">
        <v>21.66</v>
      </c>
      <c r="D51" s="100">
        <v>25</v>
      </c>
      <c r="E51" s="100">
        <v>6.7</v>
      </c>
      <c r="F51" s="100">
        <v>0.3</v>
      </c>
      <c r="G51" s="100">
        <v>51.88</v>
      </c>
      <c r="H51" s="100">
        <v>36.229999999999997</v>
      </c>
      <c r="I51" s="100">
        <v>13.57</v>
      </c>
      <c r="J51" s="100">
        <v>0.7</v>
      </c>
      <c r="K51" s="100">
        <v>49.91</v>
      </c>
      <c r="L51" s="100">
        <v>27.79</v>
      </c>
      <c r="M51" s="100">
        <v>24.9</v>
      </c>
      <c r="N51" s="100">
        <v>596.9</v>
      </c>
      <c r="O51" s="100">
        <v>0</v>
      </c>
      <c r="P51" s="100">
        <v>0.79</v>
      </c>
      <c r="Q51" s="100">
        <v>9.32</v>
      </c>
      <c r="R51" s="6"/>
      <c r="S51" s="6"/>
      <c r="T51" s="156"/>
      <c r="U51" s="6"/>
    </row>
    <row r="52" spans="1:21" customFormat="1">
      <c r="A52" s="163" t="s">
        <v>962</v>
      </c>
      <c r="B52" s="100">
        <v>16.16</v>
      </c>
      <c r="C52" s="100">
        <v>21.82</v>
      </c>
      <c r="D52" s="100">
        <v>24.36</v>
      </c>
      <c r="E52" s="100">
        <v>6.7</v>
      </c>
      <c r="F52" s="100">
        <v>0.4</v>
      </c>
      <c r="G52" s="100">
        <v>51.47</v>
      </c>
      <c r="H52" s="100">
        <v>36.229999999999997</v>
      </c>
      <c r="I52" s="100">
        <v>14.61</v>
      </c>
      <c r="J52" s="100">
        <v>0.9</v>
      </c>
      <c r="K52" s="100">
        <v>36.83</v>
      </c>
      <c r="L52" s="100">
        <v>28.4</v>
      </c>
      <c r="M52" s="100">
        <v>23.05</v>
      </c>
      <c r="N52" s="100">
        <v>613.70000000000005</v>
      </c>
      <c r="O52" s="100">
        <v>0</v>
      </c>
      <c r="P52" s="100">
        <v>0.77</v>
      </c>
      <c r="Q52" s="100">
        <v>9.32</v>
      </c>
      <c r="R52" s="6"/>
      <c r="S52" s="6"/>
      <c r="T52" s="156"/>
      <c r="U52" s="6"/>
    </row>
    <row r="53" spans="1:21" customFormat="1">
      <c r="A53" s="163" t="s">
        <v>963</v>
      </c>
      <c r="B53" s="100">
        <v>15.16</v>
      </c>
      <c r="C53" s="100">
        <v>21.87</v>
      </c>
      <c r="D53" s="100">
        <v>23.58</v>
      </c>
      <c r="E53" s="100">
        <v>6.81</v>
      </c>
      <c r="F53" s="100">
        <v>0.78</v>
      </c>
      <c r="G53" s="100">
        <v>51.47</v>
      </c>
      <c r="H53" s="100">
        <v>36.229999999999997</v>
      </c>
      <c r="I53" s="100">
        <v>15.83</v>
      </c>
      <c r="J53" s="100">
        <v>0.6</v>
      </c>
      <c r="K53" s="100">
        <v>47.35</v>
      </c>
      <c r="L53" s="100">
        <v>29.03</v>
      </c>
      <c r="M53" s="100">
        <v>22.02</v>
      </c>
      <c r="N53" s="100">
        <v>575.5</v>
      </c>
      <c r="O53" s="100">
        <v>0</v>
      </c>
      <c r="P53" s="100">
        <v>0.75</v>
      </c>
      <c r="Q53" s="100">
        <v>9.32</v>
      </c>
      <c r="R53" s="6"/>
      <c r="S53" s="6"/>
      <c r="T53" s="156"/>
      <c r="U53" s="6"/>
    </row>
    <row r="54" spans="1:21" customFormat="1">
      <c r="A54" s="163" t="s">
        <v>964</v>
      </c>
      <c r="B54" s="100">
        <v>14.31</v>
      </c>
      <c r="C54" s="100">
        <v>21.69</v>
      </c>
      <c r="D54" s="100">
        <v>22.81</v>
      </c>
      <c r="E54" s="100">
        <v>6.98</v>
      </c>
      <c r="F54" s="100">
        <v>0.83</v>
      </c>
      <c r="G54" s="100">
        <v>51.47</v>
      </c>
      <c r="H54" s="100">
        <v>36.229999999999997</v>
      </c>
      <c r="I54" s="100">
        <v>15.49</v>
      </c>
      <c r="J54" s="100">
        <v>0.56999999999999995</v>
      </c>
      <c r="K54" s="100">
        <v>43.47</v>
      </c>
      <c r="L54" s="100">
        <v>29.29</v>
      </c>
      <c r="M54" s="100">
        <v>20.88</v>
      </c>
      <c r="N54" s="100">
        <v>643.29999999999995</v>
      </c>
      <c r="O54" s="100">
        <v>0</v>
      </c>
      <c r="P54" s="100">
        <v>0.74</v>
      </c>
      <c r="Q54" s="100">
        <v>9.32</v>
      </c>
      <c r="R54" s="6"/>
      <c r="S54" s="6"/>
      <c r="T54" s="156"/>
      <c r="U54" s="6"/>
    </row>
    <row r="55" spans="1:21" customFormat="1">
      <c r="A55" s="163" t="s">
        <v>965</v>
      </c>
      <c r="B55" s="100">
        <v>13.76</v>
      </c>
      <c r="C55" s="100">
        <v>21.32</v>
      </c>
      <c r="D55" s="100">
        <v>22.17</v>
      </c>
      <c r="E55" s="100">
        <v>7.41</v>
      </c>
      <c r="F55" s="100">
        <v>0.66</v>
      </c>
      <c r="G55" s="100">
        <v>58.98</v>
      </c>
      <c r="H55" s="100">
        <v>32.54</v>
      </c>
      <c r="I55" s="100">
        <v>15.08</v>
      </c>
      <c r="J55" s="100">
        <v>0.54</v>
      </c>
      <c r="K55" s="100">
        <v>20.73</v>
      </c>
      <c r="L55" s="100">
        <v>30.04</v>
      </c>
      <c r="M55" s="100">
        <v>16.809999999999999</v>
      </c>
      <c r="N55" s="100">
        <v>660.6</v>
      </c>
      <c r="O55" s="100">
        <v>0</v>
      </c>
      <c r="P55" s="100">
        <v>0.71</v>
      </c>
      <c r="Q55" s="100">
        <v>9.32</v>
      </c>
      <c r="R55" s="6"/>
      <c r="S55" s="6"/>
      <c r="T55" s="156"/>
      <c r="U55" s="6"/>
    </row>
    <row r="56" spans="1:21" customFormat="1">
      <c r="A56" s="163" t="s">
        <v>966</v>
      </c>
      <c r="B56" s="100">
        <v>13.18</v>
      </c>
      <c r="C56" s="100">
        <v>20.79</v>
      </c>
      <c r="D56" s="100">
        <v>21.44</v>
      </c>
      <c r="E56" s="100">
        <v>7.86</v>
      </c>
      <c r="F56" s="100">
        <v>3.13</v>
      </c>
      <c r="G56" s="100">
        <v>59.15</v>
      </c>
      <c r="H56" s="100">
        <v>32.54</v>
      </c>
      <c r="I56" s="100">
        <v>14.76</v>
      </c>
      <c r="J56" s="100">
        <v>0.81</v>
      </c>
      <c r="K56" s="100">
        <v>27.18</v>
      </c>
      <c r="L56" s="100">
        <v>30.88</v>
      </c>
      <c r="M56" s="100">
        <v>11.18</v>
      </c>
      <c r="N56" s="100">
        <v>721.5</v>
      </c>
      <c r="O56" s="100">
        <v>0</v>
      </c>
      <c r="P56" s="100">
        <v>0.7</v>
      </c>
      <c r="Q56" s="100">
        <v>9.32</v>
      </c>
      <c r="R56" s="6"/>
      <c r="S56" s="6"/>
      <c r="T56" s="156"/>
      <c r="U56" s="6"/>
    </row>
    <row r="57" spans="1:21" customFormat="1">
      <c r="A57" s="163" t="s">
        <v>967</v>
      </c>
      <c r="B57" s="100">
        <v>12.78</v>
      </c>
      <c r="C57" s="100">
        <v>20.32</v>
      </c>
      <c r="D57" s="100">
        <v>20.86</v>
      </c>
      <c r="E57" s="100">
        <v>7.96</v>
      </c>
      <c r="F57" s="100">
        <v>1.62</v>
      </c>
      <c r="G57" s="100">
        <v>59.15</v>
      </c>
      <c r="H57" s="100">
        <v>32.54</v>
      </c>
      <c r="I57" s="100">
        <v>14.43</v>
      </c>
      <c r="J57" s="100">
        <v>1.07</v>
      </c>
      <c r="K57" s="100">
        <v>48.51</v>
      </c>
      <c r="L57" s="100">
        <v>31.03</v>
      </c>
      <c r="M57" s="100">
        <v>8.56</v>
      </c>
      <c r="N57" s="100">
        <v>729.2</v>
      </c>
      <c r="O57" s="100">
        <v>0</v>
      </c>
      <c r="P57" s="100">
        <v>0.67</v>
      </c>
      <c r="Q57" s="100">
        <v>9.32</v>
      </c>
      <c r="R57" s="6"/>
      <c r="S57" s="6"/>
      <c r="T57" s="156"/>
      <c r="U57" s="6"/>
    </row>
    <row r="58" spans="1:21" customFormat="1">
      <c r="A58" s="163" t="s">
        <v>968</v>
      </c>
      <c r="B58" s="100">
        <v>11.99</v>
      </c>
      <c r="C58" s="100">
        <v>19.739999999999998</v>
      </c>
      <c r="D58" s="100">
        <v>19.920000000000002</v>
      </c>
      <c r="E58" s="100">
        <v>6.71</v>
      </c>
      <c r="F58" s="100">
        <v>2.3199999999999998</v>
      </c>
      <c r="G58" s="100">
        <v>59.15</v>
      </c>
      <c r="H58" s="100">
        <v>32.54</v>
      </c>
      <c r="I58" s="100">
        <v>14.11</v>
      </c>
      <c r="J58" s="100">
        <v>0.74</v>
      </c>
      <c r="K58" s="100">
        <v>33.68</v>
      </c>
      <c r="L58" s="100">
        <v>30.9</v>
      </c>
      <c r="M58" s="100">
        <v>10.9</v>
      </c>
      <c r="N58" s="100">
        <v>646.5</v>
      </c>
      <c r="O58" s="100">
        <v>0</v>
      </c>
      <c r="P58" s="100">
        <v>0.65</v>
      </c>
      <c r="Q58" s="100">
        <v>9.32</v>
      </c>
      <c r="R58" s="6"/>
      <c r="S58" s="6"/>
      <c r="T58" s="156"/>
      <c r="U58" s="6"/>
    </row>
    <row r="59" spans="1:21" customFormat="1">
      <c r="A59" s="163" t="s">
        <v>969</v>
      </c>
      <c r="B59" s="100">
        <v>11.07</v>
      </c>
      <c r="C59" s="100">
        <v>19.28</v>
      </c>
      <c r="D59" s="100">
        <v>18.95</v>
      </c>
      <c r="E59" s="100">
        <v>5.77</v>
      </c>
      <c r="F59" s="100">
        <v>2.7</v>
      </c>
      <c r="G59" s="100">
        <v>45.3</v>
      </c>
      <c r="H59" s="100">
        <v>26.03</v>
      </c>
      <c r="I59" s="100">
        <v>13.66</v>
      </c>
      <c r="J59" s="100">
        <v>0.77</v>
      </c>
      <c r="K59" s="100">
        <v>22.46</v>
      </c>
      <c r="L59" s="100">
        <v>31.18</v>
      </c>
      <c r="M59" s="100">
        <v>10.53</v>
      </c>
      <c r="N59" s="100">
        <v>682.8</v>
      </c>
      <c r="O59" s="100">
        <v>0</v>
      </c>
      <c r="P59" s="100">
        <v>0.63</v>
      </c>
      <c r="Q59" s="100">
        <v>9.32</v>
      </c>
      <c r="R59" s="6"/>
      <c r="S59" s="6"/>
      <c r="T59" s="156"/>
      <c r="U59" s="6"/>
    </row>
    <row r="60" spans="1:21" customFormat="1">
      <c r="A60" s="163" t="s">
        <v>970</v>
      </c>
      <c r="B60" s="100">
        <v>10.17</v>
      </c>
      <c r="C60" s="100">
        <v>18.66</v>
      </c>
      <c r="D60" s="100">
        <v>17.91</v>
      </c>
      <c r="E60" s="100">
        <v>6.71</v>
      </c>
      <c r="F60" s="100">
        <v>2.64</v>
      </c>
      <c r="G60" s="100">
        <v>44.98</v>
      </c>
      <c r="H60" s="100">
        <v>26.03</v>
      </c>
      <c r="I60" s="100">
        <v>13.08</v>
      </c>
      <c r="J60" s="100">
        <v>0.88</v>
      </c>
      <c r="K60" s="100">
        <v>14.23</v>
      </c>
      <c r="L60" s="100">
        <v>31.35</v>
      </c>
      <c r="M60" s="100">
        <v>9.67</v>
      </c>
      <c r="N60" s="100">
        <v>638.20000000000005</v>
      </c>
      <c r="O60" s="100">
        <v>0</v>
      </c>
      <c r="P60" s="100">
        <v>0.61</v>
      </c>
      <c r="Q60" s="100">
        <v>9.32</v>
      </c>
      <c r="R60" s="6"/>
      <c r="S60" s="6"/>
      <c r="T60" s="156"/>
      <c r="U60" s="6"/>
    </row>
    <row r="61" spans="1:21" customFormat="1">
      <c r="A61" s="163" t="s">
        <v>971</v>
      </c>
      <c r="B61" s="100">
        <v>9.41</v>
      </c>
      <c r="C61" s="100">
        <v>18.34</v>
      </c>
      <c r="D61" s="100">
        <v>17.13</v>
      </c>
      <c r="E61" s="100">
        <v>6.3</v>
      </c>
      <c r="F61" s="100">
        <v>1.46</v>
      </c>
      <c r="G61" s="100">
        <v>44.98</v>
      </c>
      <c r="H61" s="100">
        <v>26.03</v>
      </c>
      <c r="I61" s="100">
        <v>12.75</v>
      </c>
      <c r="J61" s="100">
        <v>0.35</v>
      </c>
      <c r="K61" s="100">
        <v>30.18</v>
      </c>
      <c r="L61" s="100">
        <v>31.65</v>
      </c>
      <c r="M61" s="100">
        <v>9.51</v>
      </c>
      <c r="N61" s="100">
        <v>550.4</v>
      </c>
      <c r="O61" s="100">
        <v>0</v>
      </c>
      <c r="P61" s="100">
        <v>0.6</v>
      </c>
      <c r="Q61" s="100">
        <v>9.32</v>
      </c>
      <c r="R61" s="6"/>
      <c r="S61" s="6"/>
      <c r="T61" s="156"/>
      <c r="U61" s="6"/>
    </row>
    <row r="62" spans="1:21" customFormat="1">
      <c r="A62" s="163" t="s">
        <v>972</v>
      </c>
      <c r="B62" s="100">
        <v>8.7100000000000009</v>
      </c>
      <c r="C62" s="100">
        <v>18.03</v>
      </c>
      <c r="D62" s="100">
        <v>16.41</v>
      </c>
      <c r="E62" s="100">
        <v>6.46</v>
      </c>
      <c r="F62" s="100">
        <v>2.89</v>
      </c>
      <c r="G62" s="100">
        <v>44.98</v>
      </c>
      <c r="H62" s="100">
        <v>26.03</v>
      </c>
      <c r="I62" s="100">
        <v>12.5</v>
      </c>
      <c r="J62" s="100">
        <v>0.84</v>
      </c>
      <c r="K62" s="100">
        <v>40.86</v>
      </c>
      <c r="L62" s="100">
        <v>31.38</v>
      </c>
      <c r="M62" s="100">
        <v>8.1300000000000008</v>
      </c>
      <c r="N62" s="100">
        <v>199.5</v>
      </c>
      <c r="O62" s="100">
        <v>0</v>
      </c>
      <c r="P62" s="100">
        <v>0.57999999999999996</v>
      </c>
      <c r="Q62" s="100">
        <v>9.32</v>
      </c>
      <c r="R62" s="6"/>
      <c r="S62" s="6"/>
      <c r="T62" s="156"/>
      <c r="U62" s="6"/>
    </row>
    <row r="63" spans="1:21" customFormat="1">
      <c r="A63" s="163" t="s">
        <v>973</v>
      </c>
      <c r="B63" s="100">
        <v>8.0399999999999991</v>
      </c>
      <c r="C63" s="100">
        <v>17.739999999999998</v>
      </c>
      <c r="D63" s="100">
        <v>15.72</v>
      </c>
      <c r="E63" s="100">
        <v>6.62</v>
      </c>
      <c r="F63" s="100">
        <v>3.42</v>
      </c>
      <c r="G63" s="100">
        <v>39.020000000000003</v>
      </c>
      <c r="H63" s="100">
        <v>23.14</v>
      </c>
      <c r="I63" s="100">
        <v>12.28</v>
      </c>
      <c r="J63" s="100">
        <v>0.88</v>
      </c>
      <c r="K63" s="100">
        <v>45.1</v>
      </c>
      <c r="L63" s="100">
        <v>31.21</v>
      </c>
      <c r="M63" s="100">
        <v>8.56</v>
      </c>
      <c r="N63" s="100">
        <v>130.19999999999999</v>
      </c>
      <c r="O63" s="100">
        <v>0</v>
      </c>
      <c r="P63" s="100">
        <v>0.56000000000000005</v>
      </c>
      <c r="Q63" s="100">
        <v>9.32</v>
      </c>
      <c r="R63" s="6"/>
      <c r="S63" s="6"/>
      <c r="T63" s="156"/>
      <c r="U63" s="6"/>
    </row>
    <row r="64" spans="1:21" customFormat="1">
      <c r="A64" s="163" t="s">
        <v>974</v>
      </c>
      <c r="B64" s="100">
        <v>7.39</v>
      </c>
      <c r="C64" s="100">
        <v>17.440000000000001</v>
      </c>
      <c r="D64" s="100">
        <v>15.03</v>
      </c>
      <c r="E64" s="100">
        <v>7.05</v>
      </c>
      <c r="F64" s="100">
        <v>5.16</v>
      </c>
      <c r="G64" s="100">
        <v>38.89</v>
      </c>
      <c r="H64" s="100">
        <v>23.14</v>
      </c>
      <c r="I64" s="100">
        <v>11.99</v>
      </c>
      <c r="J64" s="100">
        <v>0.78</v>
      </c>
      <c r="K64" s="100">
        <v>36.29</v>
      </c>
      <c r="L64" s="100">
        <v>31.23</v>
      </c>
      <c r="M64" s="100">
        <v>8.44</v>
      </c>
      <c r="N64" s="100">
        <v>96.6</v>
      </c>
      <c r="O64" s="100">
        <v>0</v>
      </c>
      <c r="P64" s="100">
        <v>0.55000000000000004</v>
      </c>
      <c r="Q64" s="100">
        <v>9.32</v>
      </c>
      <c r="R64" s="6"/>
      <c r="S64" s="6"/>
      <c r="T64" s="156"/>
      <c r="U64" s="6"/>
    </row>
    <row r="65" spans="1:21" customFormat="1">
      <c r="A65" s="163" t="s">
        <v>975</v>
      </c>
      <c r="B65" s="100">
        <v>6.93</v>
      </c>
      <c r="C65" s="100">
        <v>17.100000000000001</v>
      </c>
      <c r="D65" s="100">
        <v>14.49</v>
      </c>
      <c r="E65" s="100">
        <v>6.89</v>
      </c>
      <c r="F65" s="100">
        <v>6.4</v>
      </c>
      <c r="G65" s="100">
        <v>38.89</v>
      </c>
      <c r="H65" s="100">
        <v>23.14</v>
      </c>
      <c r="I65" s="100">
        <v>11.69</v>
      </c>
      <c r="J65" s="100">
        <v>0.84</v>
      </c>
      <c r="K65" s="100">
        <v>21.45</v>
      </c>
      <c r="L65" s="100">
        <v>31.2</v>
      </c>
      <c r="M65" s="100">
        <v>8.01</v>
      </c>
      <c r="N65" s="100">
        <v>86.7</v>
      </c>
      <c r="O65" s="100">
        <v>0</v>
      </c>
      <c r="P65" s="100">
        <v>0.52</v>
      </c>
      <c r="Q65" s="100">
        <v>9.32</v>
      </c>
      <c r="R65" s="6"/>
      <c r="S65" s="6"/>
      <c r="T65" s="156"/>
      <c r="U65" s="6"/>
    </row>
    <row r="66" spans="1:21" customFormat="1">
      <c r="A66" s="163" t="s">
        <v>976</v>
      </c>
      <c r="B66" s="100">
        <v>6.47</v>
      </c>
      <c r="C66" s="100">
        <v>16.989999999999998</v>
      </c>
      <c r="D66" s="100">
        <v>14.06</v>
      </c>
      <c r="E66" s="100">
        <v>6.95</v>
      </c>
      <c r="F66" s="100">
        <v>8.0399999999999991</v>
      </c>
      <c r="G66" s="100">
        <v>38.89</v>
      </c>
      <c r="H66" s="100">
        <v>23.14</v>
      </c>
      <c r="I66" s="100">
        <v>11.38</v>
      </c>
      <c r="J66" s="100">
        <v>0.85</v>
      </c>
      <c r="K66" s="100">
        <v>24.45</v>
      </c>
      <c r="L66" s="100">
        <v>31.2</v>
      </c>
      <c r="M66" s="100">
        <v>8.11</v>
      </c>
      <c r="N66" s="100">
        <v>85.7</v>
      </c>
      <c r="O66" s="100">
        <v>0</v>
      </c>
      <c r="P66" s="100">
        <v>0.52</v>
      </c>
      <c r="Q66" s="100">
        <v>9.32</v>
      </c>
      <c r="R66" s="6"/>
      <c r="S66" s="6"/>
      <c r="T66" s="156"/>
      <c r="U66" s="6"/>
    </row>
    <row r="67" spans="1:21" customFormat="1">
      <c r="A67" s="163" t="s">
        <v>977</v>
      </c>
      <c r="B67" s="100">
        <v>6.02</v>
      </c>
      <c r="C67" s="100">
        <v>17.13</v>
      </c>
      <c r="D67" s="100">
        <v>13.78</v>
      </c>
      <c r="E67" s="100">
        <v>7.19</v>
      </c>
      <c r="F67" s="100">
        <v>7.79</v>
      </c>
      <c r="G67" s="100">
        <v>33.89</v>
      </c>
      <c r="H67" s="100">
        <v>17.989999999999998</v>
      </c>
      <c r="I67" s="100">
        <v>11.1</v>
      </c>
      <c r="J67" s="100">
        <v>0.41</v>
      </c>
      <c r="K67" s="100">
        <v>15.63</v>
      </c>
      <c r="L67" s="100">
        <v>31.1</v>
      </c>
      <c r="M67" s="100">
        <v>7.6</v>
      </c>
      <c r="N67" s="100">
        <v>92.2</v>
      </c>
      <c r="O67" s="100">
        <v>0</v>
      </c>
      <c r="P67" s="100">
        <v>0.52</v>
      </c>
      <c r="Q67" s="100">
        <v>9.32</v>
      </c>
      <c r="R67" s="6"/>
      <c r="S67" s="6"/>
      <c r="T67" s="156"/>
      <c r="U67" s="6"/>
    </row>
    <row r="68" spans="1:21" customFormat="1">
      <c r="A68" s="163" t="s">
        <v>978</v>
      </c>
      <c r="B68" s="100">
        <v>5.76</v>
      </c>
      <c r="C68" s="100">
        <v>16.63</v>
      </c>
      <c r="D68" s="100">
        <v>13.31</v>
      </c>
      <c r="E68" s="100">
        <v>7.55</v>
      </c>
      <c r="F68" s="100">
        <v>7.36</v>
      </c>
      <c r="G68" s="100">
        <v>33.78</v>
      </c>
      <c r="H68" s="100">
        <v>17.989999999999998</v>
      </c>
      <c r="I68" s="100">
        <v>10.78</v>
      </c>
      <c r="J68" s="100">
        <v>0.78</v>
      </c>
      <c r="K68" s="100">
        <v>40.18</v>
      </c>
      <c r="L68" s="100">
        <v>31.11</v>
      </c>
      <c r="M68" s="100">
        <v>7.1</v>
      </c>
      <c r="N68" s="100">
        <v>70.099999999999994</v>
      </c>
      <c r="O68" s="100">
        <v>0</v>
      </c>
      <c r="P68" s="100">
        <v>0.51</v>
      </c>
      <c r="Q68" s="100">
        <v>9.32</v>
      </c>
      <c r="R68" s="6"/>
      <c r="S68" s="6"/>
      <c r="T68" s="156"/>
      <c r="U68" s="6"/>
    </row>
    <row r="69" spans="1:21" customFormat="1">
      <c r="A69" s="163" t="s">
        <v>979</v>
      </c>
      <c r="B69" s="100">
        <v>5.53</v>
      </c>
      <c r="C69" s="100">
        <v>16.28</v>
      </c>
      <c r="D69" s="100">
        <v>12.94</v>
      </c>
      <c r="E69" s="100">
        <v>6.9</v>
      </c>
      <c r="F69" s="100">
        <v>5.81</v>
      </c>
      <c r="G69" s="100">
        <v>33.78</v>
      </c>
      <c r="H69" s="100">
        <v>17.989999999999998</v>
      </c>
      <c r="I69" s="100">
        <v>10.63</v>
      </c>
      <c r="J69" s="100">
        <v>0.48</v>
      </c>
      <c r="K69" s="100">
        <v>33.950000000000003</v>
      </c>
      <c r="L69" s="100">
        <v>31.03</v>
      </c>
      <c r="M69" s="100">
        <v>7.6</v>
      </c>
      <c r="N69" s="100">
        <v>68</v>
      </c>
      <c r="O69" s="100">
        <v>0</v>
      </c>
      <c r="P69" s="100">
        <v>0.5</v>
      </c>
      <c r="Q69" s="100">
        <v>9.32</v>
      </c>
      <c r="R69" s="6"/>
      <c r="S69" s="6"/>
      <c r="T69" s="156"/>
      <c r="U69" s="6"/>
    </row>
    <row r="70" spans="1:21" customFormat="1">
      <c r="A70" s="163" t="s">
        <v>980</v>
      </c>
      <c r="B70" s="100">
        <v>5.27</v>
      </c>
      <c r="C70" s="100">
        <v>16.25</v>
      </c>
      <c r="D70" s="100">
        <v>12.72</v>
      </c>
      <c r="E70" s="100">
        <v>6.96</v>
      </c>
      <c r="F70" s="100">
        <v>6.04</v>
      </c>
      <c r="G70" s="100">
        <v>33.78</v>
      </c>
      <c r="H70" s="100">
        <v>17.989999999999998</v>
      </c>
      <c r="I70" s="100">
        <v>10.61</v>
      </c>
      <c r="J70" s="100">
        <v>0.78</v>
      </c>
      <c r="K70" s="100">
        <v>48.01</v>
      </c>
      <c r="L70" s="100">
        <v>31.11</v>
      </c>
      <c r="M70" s="100">
        <v>7.54</v>
      </c>
      <c r="N70" s="100">
        <v>76</v>
      </c>
      <c r="O70" s="100">
        <v>0</v>
      </c>
      <c r="P70" s="100">
        <v>0.5</v>
      </c>
      <c r="Q70" s="100">
        <v>9.32</v>
      </c>
      <c r="R70" s="6"/>
      <c r="S70" s="6"/>
      <c r="T70" s="156"/>
      <c r="U70" s="6"/>
    </row>
    <row r="71" spans="1:21" customFormat="1">
      <c r="A71" s="163" t="s">
        <v>981</v>
      </c>
      <c r="B71" s="100">
        <v>5</v>
      </c>
      <c r="C71" s="100">
        <v>15.88</v>
      </c>
      <c r="D71" s="100">
        <v>12.3</v>
      </c>
      <c r="E71" s="100">
        <v>6.68</v>
      </c>
      <c r="F71" s="100">
        <v>6.1</v>
      </c>
      <c r="G71" s="100">
        <v>25.82</v>
      </c>
      <c r="H71" s="100">
        <v>16.149999999999999</v>
      </c>
      <c r="I71" s="100">
        <v>10.61</v>
      </c>
      <c r="J71" s="100">
        <v>0.5</v>
      </c>
      <c r="K71" s="100">
        <v>46.26</v>
      </c>
      <c r="L71" s="100">
        <v>30.74</v>
      </c>
      <c r="M71" s="100">
        <v>8.84</v>
      </c>
      <c r="N71" s="100">
        <v>65.3</v>
      </c>
      <c r="O71" s="100">
        <v>0</v>
      </c>
      <c r="P71" s="100">
        <v>0.49</v>
      </c>
      <c r="Q71" s="100">
        <v>9.32</v>
      </c>
      <c r="R71" s="6"/>
      <c r="S71" s="6"/>
      <c r="T71" s="156"/>
      <c r="U71" s="6"/>
    </row>
    <row r="72" spans="1:21" customFormat="1">
      <c r="A72" s="163" t="s">
        <v>982</v>
      </c>
      <c r="B72" s="100">
        <v>4.8499999999999996</v>
      </c>
      <c r="C72" s="100">
        <v>15.81</v>
      </c>
      <c r="D72" s="100">
        <v>12.15</v>
      </c>
      <c r="E72" s="100">
        <v>6.72</v>
      </c>
      <c r="F72" s="100">
        <v>3.21</v>
      </c>
      <c r="G72" s="100">
        <v>25.64</v>
      </c>
      <c r="H72" s="100">
        <v>16.149999999999999</v>
      </c>
      <c r="I72" s="100">
        <v>10.58</v>
      </c>
      <c r="J72" s="100">
        <v>0.27</v>
      </c>
      <c r="K72" s="100">
        <v>84.34</v>
      </c>
      <c r="L72" s="100">
        <v>30.25</v>
      </c>
      <c r="M72" s="100">
        <v>11.46</v>
      </c>
      <c r="N72" s="100">
        <v>66.400000000000006</v>
      </c>
      <c r="O72" s="100">
        <v>0</v>
      </c>
      <c r="P72" s="100">
        <v>0.49</v>
      </c>
      <c r="Q72" s="100">
        <v>9.32</v>
      </c>
      <c r="R72" s="6"/>
      <c r="S72" s="6"/>
      <c r="T72" s="156"/>
      <c r="U72" s="6"/>
    </row>
    <row r="73" spans="1:21" customFormat="1">
      <c r="A73" s="163" t="s">
        <v>983</v>
      </c>
      <c r="B73" s="100">
        <v>4.63</v>
      </c>
      <c r="C73" s="100">
        <v>15.39</v>
      </c>
      <c r="D73" s="100">
        <v>11.75</v>
      </c>
      <c r="E73" s="100">
        <v>6.48</v>
      </c>
      <c r="F73" s="100">
        <v>1.1299999999999999</v>
      </c>
      <c r="G73" s="100">
        <v>25.64</v>
      </c>
      <c r="H73" s="100">
        <v>16.149999999999999</v>
      </c>
      <c r="I73" s="100">
        <v>10.57</v>
      </c>
      <c r="J73" s="100">
        <v>0.2</v>
      </c>
      <c r="K73" s="100">
        <v>153.79</v>
      </c>
      <c r="L73" s="100">
        <v>29.35</v>
      </c>
      <c r="M73" s="100">
        <v>17.12</v>
      </c>
      <c r="N73" s="100">
        <v>69.599999999999994</v>
      </c>
      <c r="O73" s="100">
        <v>0</v>
      </c>
      <c r="P73" s="100">
        <v>0.49</v>
      </c>
      <c r="Q73" s="100">
        <v>9.32</v>
      </c>
      <c r="R73" s="6"/>
      <c r="S73" s="6"/>
      <c r="T73" s="156"/>
      <c r="U73" s="6"/>
    </row>
    <row r="74" spans="1:21" customFormat="1">
      <c r="A74" s="163" t="s">
        <v>984</v>
      </c>
      <c r="B74" s="100">
        <v>4.37</v>
      </c>
      <c r="C74" s="100">
        <v>15.51</v>
      </c>
      <c r="D74" s="100">
        <v>11.61</v>
      </c>
      <c r="E74" s="100">
        <v>6.37</v>
      </c>
      <c r="F74" s="100">
        <v>1.35</v>
      </c>
      <c r="G74" s="100">
        <v>25.64</v>
      </c>
      <c r="H74" s="100">
        <v>16.149999999999999</v>
      </c>
      <c r="I74" s="100">
        <v>10.73</v>
      </c>
      <c r="J74" s="100">
        <v>0.12</v>
      </c>
      <c r="K74" s="100">
        <v>135.29</v>
      </c>
      <c r="L74" s="100">
        <v>28.93</v>
      </c>
      <c r="M74" s="100">
        <v>20.84</v>
      </c>
      <c r="N74" s="100">
        <v>61</v>
      </c>
      <c r="O74" s="100">
        <v>0</v>
      </c>
      <c r="P74" s="100">
        <v>0.48</v>
      </c>
      <c r="Q74" s="100">
        <v>9.32</v>
      </c>
      <c r="R74" s="6"/>
      <c r="S74" s="6"/>
      <c r="T74" s="156"/>
      <c r="U74" s="6"/>
    </row>
    <row r="75" spans="1:21" customFormat="1">
      <c r="A75" s="163" t="s">
        <v>985</v>
      </c>
      <c r="B75" s="100">
        <v>4.2699999999999996</v>
      </c>
      <c r="C75" s="100">
        <v>15.59</v>
      </c>
      <c r="D75" s="100">
        <v>11.57</v>
      </c>
      <c r="E75" s="100">
        <v>6.02</v>
      </c>
      <c r="F75" s="100">
        <v>0.97</v>
      </c>
      <c r="G75" s="100">
        <v>42.04</v>
      </c>
      <c r="H75" s="100">
        <v>18.54</v>
      </c>
      <c r="I75" s="100">
        <v>10.64</v>
      </c>
      <c r="J75" s="100">
        <v>0.17</v>
      </c>
      <c r="K75" s="100">
        <v>61.94</v>
      </c>
      <c r="L75" s="100">
        <v>28.6</v>
      </c>
      <c r="M75" s="100">
        <v>21.32</v>
      </c>
      <c r="N75" s="100">
        <v>43.4</v>
      </c>
      <c r="O75" s="100">
        <v>0</v>
      </c>
      <c r="P75" s="100">
        <v>0.47</v>
      </c>
      <c r="Q75" s="100">
        <v>9.32</v>
      </c>
      <c r="R75" s="6"/>
      <c r="S75" s="6"/>
      <c r="T75" s="156"/>
      <c r="U75" s="6"/>
    </row>
    <row r="76" spans="1:21" customFormat="1">
      <c r="A76" s="163" t="s">
        <v>986</v>
      </c>
      <c r="B76" s="100">
        <v>4.33</v>
      </c>
      <c r="C76" s="100">
        <v>16.04</v>
      </c>
      <c r="D76" s="100">
        <v>11.85</v>
      </c>
      <c r="E76" s="100">
        <v>5.99</v>
      </c>
      <c r="F76" s="100">
        <v>0.56000000000000005</v>
      </c>
      <c r="G76" s="100">
        <v>42.41</v>
      </c>
      <c r="H76" s="100">
        <v>18.54</v>
      </c>
      <c r="I76" s="100">
        <v>10.48</v>
      </c>
      <c r="J76" s="100">
        <v>0.12</v>
      </c>
      <c r="K76" s="100">
        <v>129.1</v>
      </c>
      <c r="L76" s="100">
        <v>27.7</v>
      </c>
      <c r="M76" s="100">
        <v>25.02</v>
      </c>
      <c r="N76" s="100">
        <v>34.5</v>
      </c>
      <c r="O76" s="100">
        <v>0</v>
      </c>
      <c r="P76" s="100">
        <v>0.48</v>
      </c>
      <c r="Q76" s="100">
        <v>9.32</v>
      </c>
      <c r="R76" s="6"/>
      <c r="S76" s="6"/>
      <c r="T76" s="156"/>
      <c r="U76" s="6"/>
    </row>
    <row r="77" spans="1:21" customFormat="1">
      <c r="A77" s="163" t="s">
        <v>987</v>
      </c>
      <c r="B77" s="100">
        <v>4.4400000000000004</v>
      </c>
      <c r="C77" s="100">
        <v>16.46</v>
      </c>
      <c r="D77" s="100">
        <v>12.16</v>
      </c>
      <c r="E77" s="100">
        <v>5.89</v>
      </c>
      <c r="F77" s="100">
        <v>0.45</v>
      </c>
      <c r="G77" s="100">
        <v>42.41</v>
      </c>
      <c r="H77" s="100">
        <v>18.54</v>
      </c>
      <c r="I77" s="100">
        <v>10.42</v>
      </c>
      <c r="J77" s="100">
        <v>0.4</v>
      </c>
      <c r="K77" s="100">
        <v>159.22999999999999</v>
      </c>
      <c r="L77" s="100">
        <v>26.3</v>
      </c>
      <c r="M77" s="100">
        <v>31.44</v>
      </c>
      <c r="N77" s="100">
        <v>24.8</v>
      </c>
      <c r="O77" s="100">
        <v>0</v>
      </c>
      <c r="P77" s="100">
        <v>0.48</v>
      </c>
      <c r="Q77" s="100">
        <v>9.32</v>
      </c>
      <c r="R77" s="6"/>
      <c r="S77" s="6"/>
      <c r="T77" s="156"/>
      <c r="U77" s="6"/>
    </row>
    <row r="78" spans="1:21" customFormat="1">
      <c r="A78" s="163" t="s">
        <v>988</v>
      </c>
      <c r="B78" s="100">
        <v>4.53</v>
      </c>
      <c r="C78" s="100">
        <v>16.73</v>
      </c>
      <c r="D78" s="100">
        <v>12.37</v>
      </c>
      <c r="E78" s="100">
        <v>5.99</v>
      </c>
      <c r="F78" s="100">
        <v>0.51</v>
      </c>
      <c r="G78" s="100">
        <v>42.41</v>
      </c>
      <c r="H78" s="100">
        <v>18.54</v>
      </c>
      <c r="I78" s="100">
        <v>10.45</v>
      </c>
      <c r="J78" s="100">
        <v>0.34</v>
      </c>
      <c r="K78" s="100">
        <v>155.03</v>
      </c>
      <c r="L78" s="100">
        <v>25.41</v>
      </c>
      <c r="M78" s="100">
        <v>34.64</v>
      </c>
      <c r="N78" s="100">
        <v>18.899999999999999</v>
      </c>
      <c r="O78" s="100">
        <v>0</v>
      </c>
      <c r="P78" s="100">
        <v>0.48</v>
      </c>
      <c r="Q78" s="100">
        <v>9.32</v>
      </c>
      <c r="R78" s="6"/>
      <c r="S78" s="6"/>
      <c r="T78" s="156"/>
      <c r="U78" s="6"/>
    </row>
    <row r="79" spans="1:21" customFormat="1">
      <c r="A79" s="163" t="s">
        <v>989</v>
      </c>
      <c r="B79" s="100">
        <v>4.6100000000000003</v>
      </c>
      <c r="C79" s="100">
        <v>16.95</v>
      </c>
      <c r="D79" s="100">
        <v>12.55</v>
      </c>
      <c r="E79" s="100">
        <v>6.18</v>
      </c>
      <c r="F79" s="100">
        <v>0.54</v>
      </c>
      <c r="G79" s="100">
        <v>72.599999999999994</v>
      </c>
      <c r="H79" s="100">
        <v>22.02</v>
      </c>
      <c r="I79" s="100">
        <v>10.58</v>
      </c>
      <c r="J79" s="100">
        <v>0.38</v>
      </c>
      <c r="K79" s="100">
        <v>163</v>
      </c>
      <c r="L79" s="100">
        <v>24.56</v>
      </c>
      <c r="M79" s="100">
        <v>36.72</v>
      </c>
      <c r="N79" s="100">
        <v>17.3</v>
      </c>
      <c r="O79" s="100">
        <v>0</v>
      </c>
      <c r="P79" s="100">
        <v>0.49</v>
      </c>
      <c r="Q79" s="100">
        <v>9.32</v>
      </c>
      <c r="R79" s="6"/>
      <c r="S79" s="6"/>
      <c r="T79" s="156"/>
      <c r="U79" s="6"/>
    </row>
    <row r="80" spans="1:21" customFormat="1">
      <c r="A80" s="163" t="s">
        <v>990</v>
      </c>
      <c r="B80" s="100">
        <v>4.67</v>
      </c>
      <c r="C80" s="100">
        <v>17.05</v>
      </c>
      <c r="D80" s="100">
        <v>12.65</v>
      </c>
      <c r="E80" s="100">
        <v>6.22</v>
      </c>
      <c r="F80" s="100">
        <v>0.32</v>
      </c>
      <c r="G80" s="100">
        <v>73.55</v>
      </c>
      <c r="H80" s="100">
        <v>22.02</v>
      </c>
      <c r="I80" s="100">
        <v>10.87</v>
      </c>
      <c r="J80" s="100">
        <v>0.25</v>
      </c>
      <c r="K80" s="100">
        <v>170.27</v>
      </c>
      <c r="L80" s="100">
        <v>23.8</v>
      </c>
      <c r="M80" s="100">
        <v>38.72</v>
      </c>
      <c r="N80" s="100">
        <v>16.7</v>
      </c>
      <c r="O80" s="100">
        <v>0</v>
      </c>
      <c r="P80" s="100">
        <v>0.5</v>
      </c>
      <c r="Q80" s="100">
        <v>9.32</v>
      </c>
      <c r="R80" s="6"/>
      <c r="S80" s="6"/>
      <c r="T80" s="156"/>
      <c r="U80" s="6"/>
    </row>
    <row r="81" spans="1:21" customFormat="1">
      <c r="A81" s="163" t="s">
        <v>991</v>
      </c>
      <c r="B81" s="100">
        <v>4.7</v>
      </c>
      <c r="C81" s="100">
        <v>17.32</v>
      </c>
      <c r="D81" s="100">
        <v>12.82</v>
      </c>
      <c r="E81" s="100">
        <v>4</v>
      </c>
      <c r="F81" s="100">
        <v>0.3</v>
      </c>
      <c r="G81" s="100">
        <v>73.55</v>
      </c>
      <c r="H81" s="100">
        <v>22.02</v>
      </c>
      <c r="I81" s="100">
        <v>11.22</v>
      </c>
      <c r="J81" s="100">
        <v>0.24</v>
      </c>
      <c r="K81" s="100">
        <v>184.76</v>
      </c>
      <c r="L81" s="100">
        <v>23.16</v>
      </c>
      <c r="M81" s="100">
        <v>52.59</v>
      </c>
      <c r="N81" s="100">
        <v>16.7</v>
      </c>
      <c r="O81" s="100">
        <v>0</v>
      </c>
      <c r="P81" s="100">
        <v>0.51</v>
      </c>
      <c r="Q81" s="100">
        <v>9.32</v>
      </c>
      <c r="R81" s="6"/>
      <c r="S81" s="6"/>
      <c r="T81" s="156"/>
      <c r="U81" s="6"/>
    </row>
    <row r="82" spans="1:21" customFormat="1">
      <c r="A82" s="163" t="s">
        <v>992</v>
      </c>
      <c r="B82" s="100">
        <v>4.8099999999999996</v>
      </c>
      <c r="C82" s="100">
        <v>17.350000000000001</v>
      </c>
      <c r="D82" s="100">
        <v>12.92</v>
      </c>
      <c r="E82" s="100">
        <v>5.41</v>
      </c>
      <c r="F82" s="100">
        <v>0.21</v>
      </c>
      <c r="G82" s="100">
        <v>73.55</v>
      </c>
      <c r="H82" s="100">
        <v>22.02</v>
      </c>
      <c r="I82" s="100">
        <v>11.34</v>
      </c>
      <c r="J82" s="100">
        <v>0.19</v>
      </c>
      <c r="K82" s="100">
        <v>183.01</v>
      </c>
      <c r="L82" s="100">
        <v>22.26</v>
      </c>
      <c r="M82" s="100">
        <v>57.61</v>
      </c>
      <c r="N82" s="100">
        <v>16.600000000000001</v>
      </c>
      <c r="O82" s="100">
        <v>0</v>
      </c>
      <c r="P82" s="100">
        <v>0.52</v>
      </c>
      <c r="Q82" s="100">
        <v>9.32</v>
      </c>
      <c r="R82" s="6"/>
      <c r="S82" s="6"/>
      <c r="T82" s="156"/>
      <c r="U82" s="6"/>
    </row>
    <row r="83" spans="1:21" customFormat="1">
      <c r="A83" s="163" t="s">
        <v>993</v>
      </c>
      <c r="B83" s="100">
        <v>4.97</v>
      </c>
      <c r="C83" s="100">
        <v>17.399999999999999</v>
      </c>
      <c r="D83" s="100">
        <v>13.08</v>
      </c>
      <c r="E83" s="100">
        <v>5.17</v>
      </c>
      <c r="F83" s="100">
        <v>0.15</v>
      </c>
      <c r="G83" s="100">
        <v>99.46</v>
      </c>
      <c r="H83" s="100">
        <v>25.84</v>
      </c>
      <c r="I83" s="100">
        <v>11.27</v>
      </c>
      <c r="J83" s="100">
        <v>0.25</v>
      </c>
      <c r="K83" s="100">
        <v>176.22</v>
      </c>
      <c r="L83" s="100">
        <v>22.03</v>
      </c>
      <c r="M83" s="100">
        <v>58.2</v>
      </c>
      <c r="N83" s="100">
        <v>16.2</v>
      </c>
      <c r="O83" s="100">
        <v>0</v>
      </c>
      <c r="P83" s="100">
        <v>0.53</v>
      </c>
      <c r="Q83" s="100">
        <v>9.32</v>
      </c>
      <c r="R83" s="6"/>
      <c r="S83" s="6"/>
      <c r="T83" s="156"/>
      <c r="U83" s="6"/>
    </row>
    <row r="84" spans="1:21" customFormat="1">
      <c r="A84" s="163" t="s">
        <v>994</v>
      </c>
      <c r="B84" s="100">
        <v>5.19</v>
      </c>
      <c r="C84" s="100">
        <v>17.399999999999999</v>
      </c>
      <c r="D84" s="100">
        <v>13.25</v>
      </c>
      <c r="E84" s="100">
        <v>5.23</v>
      </c>
      <c r="F84" s="100">
        <v>0.09</v>
      </c>
      <c r="G84" s="100">
        <v>100.05</v>
      </c>
      <c r="H84" s="100">
        <v>25.84</v>
      </c>
      <c r="I84" s="100">
        <v>11.3</v>
      </c>
      <c r="J84" s="100">
        <v>0.19</v>
      </c>
      <c r="K84" s="100">
        <v>166.6</v>
      </c>
      <c r="L84" s="100">
        <v>21.41</v>
      </c>
      <c r="M84" s="100">
        <v>62.01</v>
      </c>
      <c r="N84" s="100">
        <v>16.399999999999999</v>
      </c>
      <c r="O84" s="100">
        <v>0</v>
      </c>
      <c r="P84" s="100">
        <v>0.55000000000000004</v>
      </c>
      <c r="Q84" s="100">
        <v>9.32</v>
      </c>
      <c r="R84" s="6"/>
      <c r="S84" s="6"/>
      <c r="T84" s="156"/>
      <c r="U84" s="6"/>
    </row>
    <row r="85" spans="1:21" customFormat="1">
      <c r="A85" s="163" t="s">
        <v>995</v>
      </c>
      <c r="B85" s="100">
        <v>5.39</v>
      </c>
      <c r="C85" s="100">
        <v>17.440000000000001</v>
      </c>
      <c r="D85" s="100">
        <v>13.43</v>
      </c>
      <c r="E85" s="100">
        <v>5.07</v>
      </c>
      <c r="F85" s="100">
        <v>0.08</v>
      </c>
      <c r="G85" s="100">
        <v>100.05</v>
      </c>
      <c r="H85" s="100">
        <v>25.84</v>
      </c>
      <c r="I85" s="100">
        <v>11.37</v>
      </c>
      <c r="J85" s="100">
        <v>0.16</v>
      </c>
      <c r="K85" s="100">
        <v>201.45</v>
      </c>
      <c r="L85" s="100">
        <v>21.04</v>
      </c>
      <c r="M85" s="100">
        <v>55.56</v>
      </c>
      <c r="N85" s="100">
        <v>16</v>
      </c>
      <c r="O85" s="100">
        <v>0</v>
      </c>
      <c r="P85" s="100">
        <v>0.56000000000000005</v>
      </c>
      <c r="Q85" s="100">
        <v>9.32</v>
      </c>
      <c r="R85" s="6"/>
      <c r="S85" s="6"/>
      <c r="T85" s="156"/>
      <c r="U85" s="6"/>
    </row>
    <row r="86" spans="1:21" customFormat="1">
      <c r="A86" s="163" t="s">
        <v>996</v>
      </c>
      <c r="B86" s="100">
        <v>5.53</v>
      </c>
      <c r="C86" s="100">
        <v>17.48</v>
      </c>
      <c r="D86" s="100">
        <v>13.57</v>
      </c>
      <c r="E86" s="100">
        <v>5.54</v>
      </c>
      <c r="F86" s="100">
        <v>0.23</v>
      </c>
      <c r="G86" s="100">
        <v>100.05</v>
      </c>
      <c r="H86" s="100">
        <v>25.84</v>
      </c>
      <c r="I86" s="100">
        <v>11.43</v>
      </c>
      <c r="J86" s="100">
        <v>0.19</v>
      </c>
      <c r="K86" s="100">
        <v>180.23</v>
      </c>
      <c r="L86" s="100">
        <v>21</v>
      </c>
      <c r="M86" s="100">
        <v>55.64</v>
      </c>
      <c r="N86" s="100">
        <v>15.9</v>
      </c>
      <c r="O86" s="100">
        <v>0</v>
      </c>
      <c r="P86" s="100">
        <v>0.56999999999999995</v>
      </c>
      <c r="Q86" s="100">
        <v>9.32</v>
      </c>
      <c r="R86" s="6"/>
      <c r="S86" s="6"/>
      <c r="T86" s="156"/>
      <c r="U86" s="6"/>
    </row>
    <row r="87" spans="1:21" customFormat="1">
      <c r="A87" s="163" t="s">
        <v>997</v>
      </c>
      <c r="B87" s="100">
        <v>5.66</v>
      </c>
      <c r="C87" s="100">
        <v>17.28</v>
      </c>
      <c r="D87" s="100">
        <v>13.57</v>
      </c>
      <c r="E87" s="100">
        <v>5.09</v>
      </c>
      <c r="F87" s="100">
        <v>0.28999999999999998</v>
      </c>
      <c r="G87" s="100">
        <v>84.86</v>
      </c>
      <c r="H87" s="100">
        <v>26.92</v>
      </c>
      <c r="I87" s="100">
        <v>6</v>
      </c>
      <c r="J87" s="100">
        <v>0.25</v>
      </c>
      <c r="K87" s="100">
        <v>162.19</v>
      </c>
      <c r="L87" s="100">
        <v>20.58</v>
      </c>
      <c r="M87" s="100">
        <v>66.39</v>
      </c>
      <c r="N87" s="100">
        <v>16</v>
      </c>
      <c r="O87" s="100">
        <v>0</v>
      </c>
      <c r="P87" s="100">
        <v>0.56999999999999995</v>
      </c>
      <c r="Q87" s="100">
        <v>9.32</v>
      </c>
      <c r="R87" s="6"/>
      <c r="S87" s="6"/>
      <c r="T87" s="156"/>
      <c r="U87" s="6"/>
    </row>
    <row r="88" spans="1:21" customFormat="1">
      <c r="A88" s="163" t="s">
        <v>998</v>
      </c>
      <c r="B88" s="100">
        <v>5.83</v>
      </c>
      <c r="C88" s="100">
        <v>17.03</v>
      </c>
      <c r="D88" s="100">
        <v>13.58</v>
      </c>
      <c r="E88" s="100">
        <v>5.07</v>
      </c>
      <c r="F88" s="100">
        <v>0.02</v>
      </c>
      <c r="G88" s="100">
        <v>84.51</v>
      </c>
      <c r="H88" s="100">
        <v>26.92</v>
      </c>
      <c r="I88" s="100">
        <v>10.18</v>
      </c>
      <c r="J88" s="100">
        <v>0.2</v>
      </c>
      <c r="K88" s="100">
        <v>168.85</v>
      </c>
      <c r="L88" s="100">
        <v>20.38</v>
      </c>
      <c r="M88" s="100">
        <v>67.69</v>
      </c>
      <c r="N88" s="100">
        <v>15.9</v>
      </c>
      <c r="O88" s="100">
        <v>0</v>
      </c>
      <c r="P88" s="100">
        <v>0.56999999999999995</v>
      </c>
      <c r="Q88" s="100">
        <v>9.32</v>
      </c>
      <c r="R88" s="6"/>
      <c r="S88" s="6"/>
      <c r="T88" s="156"/>
      <c r="U88" s="6"/>
    </row>
    <row r="89" spans="1:21" customFormat="1">
      <c r="A89" s="163" t="s">
        <v>999</v>
      </c>
      <c r="B89" s="100">
        <v>6.01</v>
      </c>
      <c r="C89" s="100">
        <v>16.8</v>
      </c>
      <c r="D89" s="100">
        <v>13.59</v>
      </c>
      <c r="E89" s="100">
        <v>4.99</v>
      </c>
      <c r="F89" s="100">
        <v>0.01</v>
      </c>
      <c r="G89" s="100">
        <v>84.51</v>
      </c>
      <c r="H89" s="100">
        <v>26.92</v>
      </c>
      <c r="I89" s="100">
        <v>16.850000000000001</v>
      </c>
      <c r="J89" s="100">
        <v>0.16</v>
      </c>
      <c r="K89" s="100">
        <v>197.51</v>
      </c>
      <c r="L89" s="100">
        <v>19.97</v>
      </c>
      <c r="M89" s="100">
        <v>71.680000000000007</v>
      </c>
      <c r="N89" s="100">
        <v>15.9</v>
      </c>
      <c r="O89" s="100">
        <v>0</v>
      </c>
      <c r="P89" s="100">
        <v>0.57999999999999996</v>
      </c>
      <c r="Q89" s="100">
        <v>9.32</v>
      </c>
      <c r="R89" s="6"/>
      <c r="S89" s="6"/>
      <c r="T89" s="156"/>
      <c r="U89" s="6"/>
    </row>
    <row r="90" spans="1:21" customFormat="1">
      <c r="A90" s="163" t="s">
        <v>1000</v>
      </c>
      <c r="B90" s="100">
        <v>6.21</v>
      </c>
      <c r="C90" s="100">
        <v>16.47</v>
      </c>
      <c r="D90" s="100">
        <v>13.58</v>
      </c>
      <c r="E90" s="100">
        <v>5.25</v>
      </c>
      <c r="F90" s="100">
        <v>0.01</v>
      </c>
      <c r="G90" s="100">
        <v>84.51</v>
      </c>
      <c r="H90" s="100">
        <v>26.92</v>
      </c>
      <c r="I90" s="100">
        <v>11.94</v>
      </c>
      <c r="J90" s="100">
        <v>0.18</v>
      </c>
      <c r="K90" s="100">
        <v>168.39</v>
      </c>
      <c r="L90" s="100">
        <v>19.78</v>
      </c>
      <c r="M90" s="100">
        <v>71.180000000000007</v>
      </c>
      <c r="N90" s="100">
        <v>15.9</v>
      </c>
      <c r="O90" s="100">
        <v>0</v>
      </c>
      <c r="P90" s="100">
        <v>0.57999999999999996</v>
      </c>
      <c r="Q90" s="100">
        <v>9.32</v>
      </c>
      <c r="R90" s="6"/>
      <c r="S90" s="6"/>
      <c r="T90" s="156"/>
      <c r="U90" s="6"/>
    </row>
    <row r="91" spans="1:21" customFormat="1">
      <c r="A91" s="163" t="s">
        <v>1001</v>
      </c>
      <c r="B91" s="100">
        <v>6.45</v>
      </c>
      <c r="C91" s="100">
        <v>16.13</v>
      </c>
      <c r="D91" s="100">
        <v>13.6</v>
      </c>
      <c r="E91" s="100">
        <v>5.05</v>
      </c>
      <c r="F91" s="100">
        <v>0.01</v>
      </c>
      <c r="G91" s="100">
        <v>88.73</v>
      </c>
      <c r="H91" s="100">
        <v>29.32</v>
      </c>
      <c r="I91" s="100">
        <v>11.9</v>
      </c>
      <c r="J91" s="100">
        <v>0.19</v>
      </c>
      <c r="K91" s="100">
        <v>182.12</v>
      </c>
      <c r="L91" s="100">
        <v>19.809999999999999</v>
      </c>
      <c r="M91" s="100">
        <v>68.88</v>
      </c>
      <c r="N91" s="100">
        <v>15.7</v>
      </c>
      <c r="O91" s="100">
        <v>0</v>
      </c>
      <c r="P91" s="100">
        <v>0.57999999999999996</v>
      </c>
      <c r="Q91" s="100">
        <v>9.32</v>
      </c>
      <c r="R91" s="6"/>
      <c r="S91" s="6"/>
      <c r="T91" s="156"/>
      <c r="U91" s="6"/>
    </row>
    <row r="92" spans="1:21" customFormat="1">
      <c r="A92" s="163" t="s">
        <v>1002</v>
      </c>
      <c r="B92" s="100">
        <v>6.8</v>
      </c>
      <c r="C92" s="100">
        <v>16</v>
      </c>
      <c r="D92" s="100">
        <v>13.82</v>
      </c>
      <c r="E92" s="100">
        <v>5.42</v>
      </c>
      <c r="F92" s="100">
        <v>0.03</v>
      </c>
      <c r="G92" s="100">
        <v>88.83</v>
      </c>
      <c r="H92" s="100">
        <v>29.32</v>
      </c>
      <c r="I92" s="100">
        <v>11.87</v>
      </c>
      <c r="J92" s="100">
        <v>0.17</v>
      </c>
      <c r="K92" s="100">
        <v>201.93</v>
      </c>
      <c r="L92" s="100">
        <v>19.7</v>
      </c>
      <c r="M92" s="100">
        <v>68.23</v>
      </c>
      <c r="N92" s="100">
        <v>15.7</v>
      </c>
      <c r="O92" s="100">
        <v>0</v>
      </c>
      <c r="P92" s="100">
        <v>0.59</v>
      </c>
      <c r="Q92" s="100">
        <v>9.32</v>
      </c>
      <c r="R92" s="6"/>
      <c r="S92" s="6"/>
      <c r="T92" s="156"/>
      <c r="U92" s="6"/>
    </row>
    <row r="93" spans="1:21" customFormat="1">
      <c r="A93" s="163" t="s">
        <v>1003</v>
      </c>
      <c r="B93" s="100">
        <v>7.37</v>
      </c>
      <c r="C93" s="100">
        <v>16.04</v>
      </c>
      <c r="D93" s="100">
        <v>14.29</v>
      </c>
      <c r="E93" s="100">
        <v>5.69</v>
      </c>
      <c r="F93" s="100">
        <v>0.05</v>
      </c>
      <c r="G93" s="100">
        <v>88.83</v>
      </c>
      <c r="H93" s="100">
        <v>29.32</v>
      </c>
      <c r="I93" s="100">
        <v>11.94</v>
      </c>
      <c r="J93" s="100">
        <v>0.17</v>
      </c>
      <c r="K93" s="100">
        <v>210.49</v>
      </c>
      <c r="L93" s="100">
        <v>19.38</v>
      </c>
      <c r="M93" s="100">
        <v>72.97</v>
      </c>
      <c r="N93" s="100">
        <v>15.8</v>
      </c>
      <c r="O93" s="100">
        <v>0</v>
      </c>
      <c r="P93" s="100">
        <v>0.62</v>
      </c>
      <c r="Q93" s="100">
        <v>9.32</v>
      </c>
      <c r="R93" s="6"/>
      <c r="S93" s="6"/>
      <c r="T93" s="156"/>
      <c r="U93" s="6"/>
    </row>
    <row r="94" spans="1:21" customFormat="1">
      <c r="A94" s="163" t="s">
        <v>1004</v>
      </c>
      <c r="B94" s="100">
        <v>8.0299999999999994</v>
      </c>
      <c r="C94" s="100">
        <v>16.05</v>
      </c>
      <c r="D94" s="100">
        <v>14.82</v>
      </c>
      <c r="E94" s="100">
        <v>5.33</v>
      </c>
      <c r="F94" s="100">
        <v>0.06</v>
      </c>
      <c r="G94" s="100">
        <v>88.83</v>
      </c>
      <c r="H94" s="100">
        <v>29.32</v>
      </c>
      <c r="I94" s="100">
        <v>12.11</v>
      </c>
      <c r="J94" s="100">
        <v>0.15</v>
      </c>
      <c r="K94" s="100">
        <v>200.89</v>
      </c>
      <c r="L94" s="100">
        <v>19.14</v>
      </c>
      <c r="M94" s="100">
        <v>68.86</v>
      </c>
      <c r="N94" s="100">
        <v>15.6</v>
      </c>
      <c r="O94" s="100">
        <v>0</v>
      </c>
      <c r="P94" s="100">
        <v>0.63</v>
      </c>
      <c r="Q94" s="100">
        <v>9.32</v>
      </c>
      <c r="R94" s="6"/>
      <c r="S94" s="6"/>
      <c r="T94" s="156"/>
      <c r="U94" s="6"/>
    </row>
    <row r="95" spans="1:21" customFormat="1">
      <c r="A95" s="163" t="s">
        <v>1005</v>
      </c>
      <c r="B95" s="100">
        <v>9.15</v>
      </c>
      <c r="C95" s="100">
        <v>16.149999999999999</v>
      </c>
      <c r="D95" s="100">
        <v>15.78</v>
      </c>
      <c r="E95" s="100">
        <v>5.6</v>
      </c>
      <c r="F95" s="100">
        <v>0.14000000000000001</v>
      </c>
      <c r="G95" s="100">
        <v>94.63</v>
      </c>
      <c r="H95" s="100">
        <v>31.23</v>
      </c>
      <c r="I95" s="100">
        <v>12.29</v>
      </c>
      <c r="J95" s="100">
        <v>0.17</v>
      </c>
      <c r="K95" s="100">
        <v>204.45</v>
      </c>
      <c r="L95" s="100">
        <v>18.91</v>
      </c>
      <c r="M95" s="100">
        <v>69.239999999999995</v>
      </c>
      <c r="N95" s="100">
        <v>15.6</v>
      </c>
      <c r="O95" s="100">
        <v>0</v>
      </c>
      <c r="P95" s="100">
        <v>0.65</v>
      </c>
      <c r="Q95" s="100">
        <v>9.32</v>
      </c>
      <c r="R95" s="6"/>
      <c r="S95" s="6"/>
      <c r="T95" s="156"/>
      <c r="U95" s="6"/>
    </row>
    <row r="96" spans="1:21" customFormat="1">
      <c r="A96" s="163" t="s">
        <v>1006</v>
      </c>
      <c r="B96" s="100">
        <v>9.8800000000000008</v>
      </c>
      <c r="C96" s="100">
        <v>16.28</v>
      </c>
      <c r="D96" s="100">
        <v>16.43</v>
      </c>
      <c r="E96" s="100">
        <v>5.71</v>
      </c>
      <c r="F96" s="100">
        <v>0.06</v>
      </c>
      <c r="G96" s="100">
        <v>94.76</v>
      </c>
      <c r="H96" s="100">
        <v>31.23</v>
      </c>
      <c r="I96" s="100">
        <v>12.5</v>
      </c>
      <c r="J96" s="100">
        <v>0.19</v>
      </c>
      <c r="K96" s="100">
        <v>212.81</v>
      </c>
      <c r="L96" s="100">
        <v>18.440000000000001</v>
      </c>
      <c r="M96" s="100">
        <v>77.11</v>
      </c>
      <c r="N96" s="100">
        <v>15.7</v>
      </c>
      <c r="O96" s="100">
        <v>0</v>
      </c>
      <c r="P96" s="100">
        <v>0.65</v>
      </c>
      <c r="Q96" s="100">
        <v>9.32</v>
      </c>
      <c r="R96" s="6"/>
      <c r="S96" s="6"/>
      <c r="T96" s="156"/>
      <c r="U96" s="6"/>
    </row>
    <row r="97" spans="1:28" customFormat="1">
      <c r="A97" s="163" t="s">
        <v>1007</v>
      </c>
      <c r="B97" s="100">
        <v>10.25</v>
      </c>
      <c r="C97" s="100">
        <v>16.23</v>
      </c>
      <c r="D97" s="100">
        <v>16.7</v>
      </c>
      <c r="E97" s="100">
        <v>5.68</v>
      </c>
      <c r="F97" s="100">
        <v>0.02</v>
      </c>
      <c r="G97" s="100">
        <v>94.76</v>
      </c>
      <c r="H97" s="100">
        <v>31.23</v>
      </c>
      <c r="I97" s="100">
        <v>12.73</v>
      </c>
      <c r="J97" s="100">
        <v>0.13</v>
      </c>
      <c r="K97" s="100">
        <v>218.51</v>
      </c>
      <c r="L97" s="100">
        <v>18.22</v>
      </c>
      <c r="M97" s="100">
        <v>73.849999999999994</v>
      </c>
      <c r="N97" s="100">
        <v>15.5</v>
      </c>
      <c r="O97" s="100">
        <v>0</v>
      </c>
      <c r="P97" s="100">
        <v>0.66</v>
      </c>
      <c r="Q97" s="100">
        <v>9.32</v>
      </c>
      <c r="R97" s="6"/>
      <c r="S97" s="6"/>
      <c r="T97" s="156"/>
      <c r="U97" s="6"/>
    </row>
    <row r="98" spans="1:28" customFormat="1">
      <c r="A98" s="163" t="s">
        <v>1008</v>
      </c>
      <c r="B98" s="100">
        <v>10.64</v>
      </c>
      <c r="C98" s="100">
        <v>16.27</v>
      </c>
      <c r="D98" s="100">
        <v>17.03</v>
      </c>
      <c r="E98" s="100">
        <v>5.64</v>
      </c>
      <c r="F98" s="100">
        <v>0.01</v>
      </c>
      <c r="G98" s="100">
        <v>94.76</v>
      </c>
      <c r="H98" s="100">
        <v>31.23</v>
      </c>
      <c r="I98" s="100">
        <v>12.95</v>
      </c>
      <c r="J98" s="100">
        <v>0.11</v>
      </c>
      <c r="K98" s="100">
        <v>185.98</v>
      </c>
      <c r="L98" s="100">
        <v>18.29</v>
      </c>
      <c r="M98" s="100">
        <v>65.510000000000005</v>
      </c>
      <c r="N98" s="100">
        <v>15.2</v>
      </c>
      <c r="O98" s="100">
        <v>0</v>
      </c>
      <c r="P98" s="100">
        <v>0.67</v>
      </c>
      <c r="Q98" s="100">
        <v>9.32</v>
      </c>
      <c r="R98" s="6"/>
      <c r="S98" s="6"/>
      <c r="T98" s="156"/>
      <c r="U98" s="6"/>
    </row>
    <row r="99" spans="1:28" customFormat="1">
      <c r="A99" s="163" t="s">
        <v>1009</v>
      </c>
      <c r="B99" s="100">
        <v>12.38</v>
      </c>
      <c r="C99" s="100">
        <v>16.690000000000001</v>
      </c>
      <c r="D99" s="100">
        <v>18.64</v>
      </c>
      <c r="E99" s="100">
        <v>5.49</v>
      </c>
      <c r="F99" s="100">
        <v>0.08</v>
      </c>
      <c r="G99" s="100">
        <v>100.68</v>
      </c>
      <c r="H99" s="100">
        <v>32.07</v>
      </c>
      <c r="I99" s="100">
        <v>13.13</v>
      </c>
      <c r="J99" s="100">
        <v>0.18</v>
      </c>
      <c r="K99" s="100">
        <v>169.18</v>
      </c>
      <c r="L99" s="100">
        <v>18.54</v>
      </c>
      <c r="M99" s="100">
        <v>64.650000000000006</v>
      </c>
      <c r="N99" s="100">
        <v>15.1</v>
      </c>
      <c r="O99" s="100">
        <v>0</v>
      </c>
      <c r="P99" s="100">
        <v>0.69</v>
      </c>
      <c r="Q99" s="100">
        <v>9.32</v>
      </c>
      <c r="R99" s="6"/>
      <c r="S99" s="6"/>
      <c r="T99" s="156"/>
      <c r="U99" s="6"/>
    </row>
    <row r="100" spans="1:28" customFormat="1">
      <c r="A100" s="163" t="s">
        <v>1010</v>
      </c>
      <c r="B100" s="100">
        <v>15.17</v>
      </c>
      <c r="C100" s="100">
        <v>17.38</v>
      </c>
      <c r="D100" s="100">
        <v>21.24</v>
      </c>
      <c r="E100" s="100">
        <v>5.59</v>
      </c>
      <c r="F100" s="100">
        <v>0.03</v>
      </c>
      <c r="G100" s="100">
        <v>100.82</v>
      </c>
      <c r="H100" s="100">
        <v>32.07</v>
      </c>
      <c r="I100" s="100">
        <v>13.31</v>
      </c>
      <c r="J100" s="100">
        <v>0.25</v>
      </c>
      <c r="K100" s="100">
        <v>200.59</v>
      </c>
      <c r="L100" s="100">
        <v>18.399999999999999</v>
      </c>
      <c r="M100" s="100">
        <v>75.61</v>
      </c>
      <c r="N100" s="100">
        <v>15.4</v>
      </c>
      <c r="O100" s="100">
        <v>0</v>
      </c>
      <c r="P100" s="100">
        <v>0.71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1011</v>
      </c>
      <c r="B101" s="100">
        <v>16.170000000000002</v>
      </c>
      <c r="C101" s="100">
        <v>17.600000000000001</v>
      </c>
      <c r="D101" s="100">
        <v>22.17</v>
      </c>
      <c r="E101" s="100">
        <v>5.49</v>
      </c>
      <c r="F101" s="100">
        <v>0.03</v>
      </c>
      <c r="G101" s="100">
        <v>100.82</v>
      </c>
      <c r="H101" s="100">
        <v>32.07</v>
      </c>
      <c r="I101" s="100">
        <v>13.59</v>
      </c>
      <c r="J101" s="100">
        <v>0.13</v>
      </c>
      <c r="K101" s="100">
        <v>207.04</v>
      </c>
      <c r="L101" s="100">
        <v>17.88</v>
      </c>
      <c r="M101" s="100">
        <v>78.5</v>
      </c>
      <c r="N101" s="100">
        <v>15.7</v>
      </c>
      <c r="O101" s="100">
        <v>0</v>
      </c>
      <c r="P101" s="100">
        <v>0.73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1012</v>
      </c>
      <c r="B102" s="100">
        <v>16.5</v>
      </c>
      <c r="C102" s="100">
        <v>17.54</v>
      </c>
      <c r="D102" s="100">
        <v>22.39</v>
      </c>
      <c r="E102" s="100">
        <v>5.5</v>
      </c>
      <c r="F102" s="100">
        <v>0.08</v>
      </c>
      <c r="G102" s="100">
        <v>100.82</v>
      </c>
      <c r="H102" s="100">
        <v>32.07</v>
      </c>
      <c r="I102" s="100">
        <v>13.89</v>
      </c>
      <c r="J102" s="100">
        <v>0.16</v>
      </c>
      <c r="K102" s="100">
        <v>212.59</v>
      </c>
      <c r="L102" s="100">
        <v>17.760000000000002</v>
      </c>
      <c r="M102" s="100">
        <v>74.58</v>
      </c>
      <c r="N102" s="100">
        <v>15.3</v>
      </c>
      <c r="O102" s="100">
        <v>0</v>
      </c>
      <c r="P102" s="100">
        <v>0.74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1013</v>
      </c>
      <c r="B103" s="100">
        <v>17.29</v>
      </c>
      <c r="C103" s="100">
        <v>17.36</v>
      </c>
      <c r="D103" s="100">
        <v>22.93</v>
      </c>
      <c r="E103" s="100">
        <v>5.52</v>
      </c>
      <c r="F103" s="100">
        <v>0.11</v>
      </c>
      <c r="G103" s="100">
        <v>97.77</v>
      </c>
      <c r="H103" s="100">
        <v>41.09</v>
      </c>
      <c r="I103" s="100">
        <v>14.14</v>
      </c>
      <c r="J103" s="100">
        <v>0.19</v>
      </c>
      <c r="K103" s="100">
        <v>209.39</v>
      </c>
      <c r="L103" s="100">
        <v>17.61</v>
      </c>
      <c r="M103" s="100">
        <v>78.86</v>
      </c>
      <c r="N103" s="100">
        <v>15.4</v>
      </c>
      <c r="O103" s="100">
        <v>0</v>
      </c>
      <c r="P103" s="100">
        <v>0.75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1014</v>
      </c>
      <c r="B104" s="100">
        <v>17.47</v>
      </c>
      <c r="C104" s="100">
        <v>17.170000000000002</v>
      </c>
      <c r="D104" s="100">
        <v>22.98</v>
      </c>
      <c r="E104" s="100">
        <v>5.6</v>
      </c>
      <c r="F104" s="100">
        <v>0.02</v>
      </c>
      <c r="G104" s="100">
        <v>97.71</v>
      </c>
      <c r="H104" s="100">
        <v>41.09</v>
      </c>
      <c r="I104" s="100">
        <v>14.36</v>
      </c>
      <c r="J104" s="100">
        <v>0.17</v>
      </c>
      <c r="K104" s="100">
        <v>191.71</v>
      </c>
      <c r="L104" s="100">
        <v>17.329999999999998</v>
      </c>
      <c r="M104" s="100">
        <v>81.430000000000007</v>
      </c>
      <c r="N104" s="100">
        <v>15.4</v>
      </c>
      <c r="O104" s="100">
        <v>0</v>
      </c>
      <c r="P104" s="100">
        <v>0.76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4.2699999999999996</v>
      </c>
      <c r="C106" s="158">
        <f>MIN(C9:C104)</f>
        <v>15.39</v>
      </c>
      <c r="D106" s="158">
        <f t="shared" ref="D106:Q106" si="0">MIN(D9:D104)</f>
        <v>11.57</v>
      </c>
      <c r="E106" s="158">
        <f t="shared" si="0"/>
        <v>4</v>
      </c>
      <c r="F106" s="158">
        <f t="shared" si="0"/>
        <v>0.01</v>
      </c>
      <c r="G106" s="158">
        <f t="shared" si="0"/>
        <v>25.64</v>
      </c>
      <c r="H106" s="158">
        <f t="shared" si="0"/>
        <v>16.149999999999999</v>
      </c>
      <c r="I106" s="158">
        <f t="shared" si="0"/>
        <v>6</v>
      </c>
      <c r="J106" s="158">
        <f t="shared" si="0"/>
        <v>0.04</v>
      </c>
      <c r="K106" s="158">
        <f t="shared" si="0"/>
        <v>14.23</v>
      </c>
      <c r="L106" s="158">
        <f t="shared" si="0"/>
        <v>14.05</v>
      </c>
      <c r="M106" s="158">
        <f t="shared" si="0"/>
        <v>7.1</v>
      </c>
      <c r="N106" s="158">
        <f t="shared" si="0"/>
        <v>15.1</v>
      </c>
      <c r="O106" s="158">
        <f t="shared" si="0"/>
        <v>0</v>
      </c>
      <c r="P106" s="158">
        <f t="shared" si="0"/>
        <v>0.47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33.04</v>
      </c>
      <c r="C107" s="157">
        <f t="shared" ref="C107:Q107" si="1">MAX(C9:C104)</f>
        <v>21.87</v>
      </c>
      <c r="D107" s="157">
        <f t="shared" si="1"/>
        <v>36.31</v>
      </c>
      <c r="E107" s="157">
        <f t="shared" si="1"/>
        <v>7.96</v>
      </c>
      <c r="F107" s="157">
        <f t="shared" si="1"/>
        <v>8.0399999999999991</v>
      </c>
      <c r="G107" s="157">
        <f t="shared" si="1"/>
        <v>116.58</v>
      </c>
      <c r="H107" s="157">
        <f t="shared" si="1"/>
        <v>53.77</v>
      </c>
      <c r="I107" s="157">
        <f t="shared" si="1"/>
        <v>19.75</v>
      </c>
      <c r="J107" s="157">
        <f t="shared" si="1"/>
        <v>1.1499999999999999</v>
      </c>
      <c r="K107" s="157">
        <f t="shared" si="1"/>
        <v>245.97</v>
      </c>
      <c r="L107" s="157">
        <f t="shared" si="1"/>
        <v>31.65</v>
      </c>
      <c r="M107" s="157">
        <f t="shared" si="1"/>
        <v>91.74</v>
      </c>
      <c r="N107" s="157">
        <f t="shared" si="1"/>
        <v>729.2</v>
      </c>
      <c r="O107" s="157">
        <f t="shared" si="1"/>
        <v>0</v>
      </c>
      <c r="P107" s="157">
        <f t="shared" si="1"/>
        <v>1.02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16.73895833333334</v>
      </c>
      <c r="C108" s="158">
        <f t="shared" ref="C108:Q108" si="2">AVERAGE(C9:C104)</f>
        <v>17.984375000000004</v>
      </c>
      <c r="D108" s="158">
        <f t="shared" si="2"/>
        <v>22.818958333333324</v>
      </c>
      <c r="E108" s="158">
        <f t="shared" si="2"/>
        <v>6.0554166666666687</v>
      </c>
      <c r="F108" s="158">
        <f t="shared" si="2"/>
        <v>0.9319791666666668</v>
      </c>
      <c r="G108" s="158">
        <f t="shared" si="2"/>
        <v>78.385312500000012</v>
      </c>
      <c r="H108" s="158">
        <f t="shared" si="2"/>
        <v>36.776666666666692</v>
      </c>
      <c r="I108" s="158">
        <f t="shared" si="2"/>
        <v>14.271875000000001</v>
      </c>
      <c r="J108" s="158">
        <f t="shared" si="2"/>
        <v>0.33416666666666678</v>
      </c>
      <c r="K108" s="158">
        <f t="shared" si="2"/>
        <v>139.33875000000003</v>
      </c>
      <c r="L108" s="158">
        <f t="shared" si="2"/>
        <v>21.825520833333339</v>
      </c>
      <c r="M108" s="158">
        <f t="shared" si="2"/>
        <v>54.482187499999988</v>
      </c>
      <c r="N108" s="158">
        <f t="shared" si="2"/>
        <v>136.17395833333336</v>
      </c>
      <c r="O108" s="158">
        <f t="shared" si="2"/>
        <v>0</v>
      </c>
      <c r="P108" s="158">
        <f t="shared" si="2"/>
        <v>0.75583333333333336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10.134977732602618</v>
      </c>
      <c r="C109" s="158">
        <f t="shared" ref="C109:Q109" si="3">STDEV(C9:C104)</f>
        <v>1.6754963522239579</v>
      </c>
      <c r="D109" s="158">
        <f t="shared" si="3"/>
        <v>8.5578311909608917</v>
      </c>
      <c r="E109" s="158">
        <f t="shared" si="3"/>
        <v>0.66634575609563507</v>
      </c>
      <c r="F109" s="158">
        <f t="shared" si="3"/>
        <v>1.9015365641566191</v>
      </c>
      <c r="G109" s="158">
        <f t="shared" si="3"/>
        <v>26.089078495481989</v>
      </c>
      <c r="H109" s="158">
        <f t="shared" si="3"/>
        <v>12.76640712484101</v>
      </c>
      <c r="I109" s="158">
        <f t="shared" si="3"/>
        <v>2.8645489449291368</v>
      </c>
      <c r="J109" s="158">
        <f t="shared" si="3"/>
        <v>0.28211108923022976</v>
      </c>
      <c r="K109" s="158">
        <f t="shared" si="3"/>
        <v>73.88477800994562</v>
      </c>
      <c r="L109" s="158">
        <f t="shared" si="3"/>
        <v>6.0536396828757075</v>
      </c>
      <c r="M109" s="158">
        <f t="shared" si="3"/>
        <v>30.205265250427516</v>
      </c>
      <c r="N109" s="158">
        <f t="shared" si="3"/>
        <v>208.80052089307458</v>
      </c>
      <c r="O109" s="158">
        <f t="shared" si="3"/>
        <v>0</v>
      </c>
      <c r="P109" s="158">
        <f t="shared" si="3"/>
        <v>0.1970234646280371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F101" sqref="F101:F10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1015</v>
      </c>
      <c r="B9" s="100">
        <v>17.28</v>
      </c>
      <c r="C9" s="100">
        <v>16.829999999999998</v>
      </c>
      <c r="D9" s="100">
        <v>22.65</v>
      </c>
      <c r="E9" s="100">
        <v>5.48</v>
      </c>
      <c r="F9" s="100">
        <v>0.02</v>
      </c>
      <c r="G9" s="100">
        <v>97.71</v>
      </c>
      <c r="H9" s="100">
        <v>41.09</v>
      </c>
      <c r="I9" s="100">
        <v>14.55</v>
      </c>
      <c r="J9" s="100">
        <v>0.19</v>
      </c>
      <c r="K9" s="100">
        <v>208.19</v>
      </c>
      <c r="L9" s="100">
        <v>17.12</v>
      </c>
      <c r="M9" s="100">
        <v>82.66</v>
      </c>
      <c r="N9" s="100">
        <v>15.5</v>
      </c>
      <c r="O9" s="100">
        <v>0</v>
      </c>
      <c r="P9" s="100">
        <v>0.77</v>
      </c>
      <c r="Q9" s="100">
        <v>9.32</v>
      </c>
      <c r="R9" s="6"/>
      <c r="S9" s="6"/>
      <c r="T9" s="156"/>
      <c r="U9" s="6"/>
    </row>
    <row r="10" spans="1:21" customFormat="1">
      <c r="A10" s="163" t="s">
        <v>1016</v>
      </c>
      <c r="B10" s="100">
        <v>17.21</v>
      </c>
      <c r="C10" s="100">
        <v>16.68</v>
      </c>
      <c r="D10" s="100">
        <v>22.52</v>
      </c>
      <c r="E10" s="100">
        <v>5.5</v>
      </c>
      <c r="F10" s="100">
        <v>0.05</v>
      </c>
      <c r="G10" s="100">
        <v>97.71</v>
      </c>
      <c r="H10" s="100">
        <v>41.09</v>
      </c>
      <c r="I10" s="100">
        <v>14.76</v>
      </c>
      <c r="J10" s="100">
        <v>0.08</v>
      </c>
      <c r="K10" s="100">
        <v>185.26</v>
      </c>
      <c r="L10" s="100">
        <v>16.73</v>
      </c>
      <c r="M10" s="100">
        <v>83.35</v>
      </c>
      <c r="N10" s="100">
        <v>15.4</v>
      </c>
      <c r="O10" s="100">
        <v>0</v>
      </c>
      <c r="P10" s="100">
        <v>0.77</v>
      </c>
      <c r="Q10" s="100">
        <v>9.32</v>
      </c>
      <c r="R10" s="6"/>
      <c r="S10" s="6"/>
      <c r="T10" s="156"/>
      <c r="U10" s="6"/>
    </row>
    <row r="11" spans="1:21" customFormat="1">
      <c r="A11" s="163" t="s">
        <v>1017</v>
      </c>
      <c r="B11" s="100">
        <v>17.13</v>
      </c>
      <c r="C11" s="100">
        <v>16.37</v>
      </c>
      <c r="D11" s="100">
        <v>22.29</v>
      </c>
      <c r="E11" s="100">
        <v>5.68</v>
      </c>
      <c r="F11" s="100">
        <v>7.0000000000000007E-2</v>
      </c>
      <c r="G11" s="100">
        <v>91.51</v>
      </c>
      <c r="H11" s="100">
        <v>38.049999999999997</v>
      </c>
      <c r="I11" s="100">
        <v>14.99</v>
      </c>
      <c r="J11" s="100">
        <v>0.08</v>
      </c>
      <c r="K11" s="100">
        <v>153.9</v>
      </c>
      <c r="L11" s="100">
        <v>16.48</v>
      </c>
      <c r="M11" s="100">
        <v>84.43</v>
      </c>
      <c r="N11" s="100">
        <v>15.3</v>
      </c>
      <c r="O11" s="100">
        <v>0</v>
      </c>
      <c r="P11" s="100">
        <v>0.78</v>
      </c>
      <c r="Q11" s="100">
        <v>9.32</v>
      </c>
      <c r="R11" s="6"/>
      <c r="S11" s="6"/>
      <c r="T11" s="156"/>
      <c r="U11" s="6"/>
    </row>
    <row r="12" spans="1:21" customFormat="1">
      <c r="A12" s="163" t="s">
        <v>1018</v>
      </c>
      <c r="B12" s="100">
        <v>17.03</v>
      </c>
      <c r="C12" s="100">
        <v>16.12</v>
      </c>
      <c r="D12" s="100">
        <v>22.08</v>
      </c>
      <c r="E12" s="100">
        <v>5.43</v>
      </c>
      <c r="F12" s="100">
        <v>7.0000000000000007E-2</v>
      </c>
      <c r="G12" s="100">
        <v>91.37</v>
      </c>
      <c r="H12" s="100">
        <v>38.049999999999997</v>
      </c>
      <c r="I12" s="100">
        <v>15.19</v>
      </c>
      <c r="J12" s="100">
        <v>0.11</v>
      </c>
      <c r="K12" s="100">
        <v>148.78</v>
      </c>
      <c r="L12" s="100">
        <v>16.37</v>
      </c>
      <c r="M12" s="100">
        <v>85.87</v>
      </c>
      <c r="N12" s="100">
        <v>15.2</v>
      </c>
      <c r="O12" s="100">
        <v>0</v>
      </c>
      <c r="P12" s="100">
        <v>0.8</v>
      </c>
      <c r="Q12" s="100">
        <v>9.32</v>
      </c>
      <c r="R12" s="6"/>
      <c r="S12" s="6"/>
      <c r="T12" s="156"/>
      <c r="U12" s="6"/>
    </row>
    <row r="13" spans="1:21" customFormat="1">
      <c r="A13" s="163" t="s">
        <v>1019</v>
      </c>
      <c r="B13" s="100">
        <v>16.86</v>
      </c>
      <c r="C13" s="100">
        <v>15.93</v>
      </c>
      <c r="D13" s="100">
        <v>21.84</v>
      </c>
      <c r="E13" s="100">
        <v>5.36</v>
      </c>
      <c r="F13" s="100">
        <v>0.02</v>
      </c>
      <c r="G13" s="100">
        <v>91.37</v>
      </c>
      <c r="H13" s="100">
        <v>38.049999999999997</v>
      </c>
      <c r="I13" s="100">
        <v>15.38</v>
      </c>
      <c r="J13" s="100">
        <v>0.13</v>
      </c>
      <c r="K13" s="100">
        <v>205.63</v>
      </c>
      <c r="L13" s="100">
        <v>16.440000000000001</v>
      </c>
      <c r="M13" s="100">
        <v>83.96</v>
      </c>
      <c r="N13" s="100">
        <v>15.1</v>
      </c>
      <c r="O13" s="100">
        <v>0</v>
      </c>
      <c r="P13" s="100">
        <v>0.81</v>
      </c>
      <c r="Q13" s="100">
        <v>9.32</v>
      </c>
      <c r="R13" s="6"/>
      <c r="S13" s="6"/>
      <c r="T13" s="156"/>
      <c r="U13" s="6"/>
    </row>
    <row r="14" spans="1:21" customFormat="1">
      <c r="A14" s="163" t="s">
        <v>1020</v>
      </c>
      <c r="B14" s="100">
        <v>16.760000000000002</v>
      </c>
      <c r="C14" s="100">
        <v>15.78</v>
      </c>
      <c r="D14" s="100">
        <v>21.68</v>
      </c>
      <c r="E14" s="100">
        <v>5.26</v>
      </c>
      <c r="F14" s="100">
        <v>0.03</v>
      </c>
      <c r="G14" s="100">
        <v>91.37</v>
      </c>
      <c r="H14" s="100">
        <v>38.049999999999997</v>
      </c>
      <c r="I14" s="100">
        <v>15.59</v>
      </c>
      <c r="J14" s="100">
        <v>0.1</v>
      </c>
      <c r="K14" s="100">
        <v>132.44</v>
      </c>
      <c r="L14" s="100">
        <v>16.22</v>
      </c>
      <c r="M14" s="100">
        <v>83.67</v>
      </c>
      <c r="N14" s="100">
        <v>15.2</v>
      </c>
      <c r="O14" s="100">
        <v>0</v>
      </c>
      <c r="P14" s="100">
        <v>0.82</v>
      </c>
      <c r="Q14" s="100">
        <v>9.32</v>
      </c>
      <c r="R14" s="6"/>
      <c r="S14" s="6"/>
      <c r="T14" s="156"/>
      <c r="U14" s="6"/>
    </row>
    <row r="15" spans="1:21" customFormat="1">
      <c r="A15" s="163" t="s">
        <v>1021</v>
      </c>
      <c r="B15" s="100">
        <v>16.72</v>
      </c>
      <c r="C15" s="100">
        <v>15.6</v>
      </c>
      <c r="D15" s="100">
        <v>21.56</v>
      </c>
      <c r="E15" s="100">
        <v>5.44</v>
      </c>
      <c r="F15" s="100">
        <v>0.02</v>
      </c>
      <c r="G15" s="100">
        <v>82.54</v>
      </c>
      <c r="H15" s="100">
        <v>39.380000000000003</v>
      </c>
      <c r="I15" s="100">
        <v>15.81</v>
      </c>
      <c r="J15" s="100">
        <v>0.15</v>
      </c>
      <c r="K15" s="100">
        <v>216.95</v>
      </c>
      <c r="L15" s="100">
        <v>16.190000000000001</v>
      </c>
      <c r="M15" s="100">
        <v>86.91</v>
      </c>
      <c r="N15" s="100">
        <v>15.1</v>
      </c>
      <c r="O15" s="100">
        <v>0</v>
      </c>
      <c r="P15" s="100">
        <v>0.83</v>
      </c>
      <c r="Q15" s="100">
        <v>9.32</v>
      </c>
      <c r="R15" s="6"/>
      <c r="S15" s="6"/>
      <c r="T15" s="156"/>
      <c r="U15" s="6"/>
    </row>
    <row r="16" spans="1:21" customFormat="1">
      <c r="A16" s="163" t="s">
        <v>1022</v>
      </c>
      <c r="B16" s="100">
        <v>16.600000000000001</v>
      </c>
      <c r="C16" s="100">
        <v>15.5</v>
      </c>
      <c r="D16" s="100">
        <v>21.41</v>
      </c>
      <c r="E16" s="100">
        <v>5.34</v>
      </c>
      <c r="F16" s="100">
        <v>0.01</v>
      </c>
      <c r="G16" s="100">
        <v>82.34</v>
      </c>
      <c r="H16" s="100">
        <v>39.380000000000003</v>
      </c>
      <c r="I16" s="100">
        <v>16.04</v>
      </c>
      <c r="J16" s="100">
        <v>0.09</v>
      </c>
      <c r="K16" s="100">
        <v>230.75</v>
      </c>
      <c r="L16" s="100">
        <v>15.94</v>
      </c>
      <c r="M16" s="100">
        <v>86.37</v>
      </c>
      <c r="N16" s="100">
        <v>15.1</v>
      </c>
      <c r="O16" s="100">
        <v>0</v>
      </c>
      <c r="P16" s="100">
        <v>0.84</v>
      </c>
      <c r="Q16" s="100">
        <v>9.32</v>
      </c>
      <c r="R16" s="6"/>
      <c r="S16" s="6"/>
      <c r="T16" s="156"/>
      <c r="U16" s="6"/>
    </row>
    <row r="17" spans="1:21" customFormat="1">
      <c r="A17" s="163" t="s">
        <v>1023</v>
      </c>
      <c r="B17" s="100">
        <v>16.38</v>
      </c>
      <c r="C17" s="100">
        <v>15.34</v>
      </c>
      <c r="D17" s="100">
        <v>21.15</v>
      </c>
      <c r="E17" s="100">
        <v>4.5999999999999996</v>
      </c>
      <c r="F17" s="100">
        <v>0.12</v>
      </c>
      <c r="G17" s="100">
        <v>82.34</v>
      </c>
      <c r="H17" s="100">
        <v>39.380000000000003</v>
      </c>
      <c r="I17" s="100">
        <v>16.29</v>
      </c>
      <c r="J17" s="100">
        <v>0.1</v>
      </c>
      <c r="K17" s="100">
        <v>131.12</v>
      </c>
      <c r="L17" s="100">
        <v>15.65</v>
      </c>
      <c r="M17" s="100">
        <v>86.79</v>
      </c>
      <c r="N17" s="100">
        <v>14.3</v>
      </c>
      <c r="O17" s="100">
        <v>0</v>
      </c>
      <c r="P17" s="100">
        <v>0.85</v>
      </c>
      <c r="Q17" s="100">
        <v>9.32</v>
      </c>
      <c r="R17" s="6"/>
      <c r="S17" s="6"/>
      <c r="T17" s="156"/>
      <c r="U17" s="6"/>
    </row>
    <row r="18" spans="1:21" customFormat="1">
      <c r="A18" s="163" t="s">
        <v>1024</v>
      </c>
      <c r="B18" s="100">
        <v>16.07</v>
      </c>
      <c r="C18" s="100">
        <v>15.25</v>
      </c>
      <c r="D18" s="100">
        <v>20.86</v>
      </c>
      <c r="E18" s="100">
        <v>5.37</v>
      </c>
      <c r="F18" s="100">
        <v>0.08</v>
      </c>
      <c r="G18" s="100">
        <v>82.34</v>
      </c>
      <c r="H18" s="100">
        <v>39.380000000000003</v>
      </c>
      <c r="I18" s="100">
        <v>16.5</v>
      </c>
      <c r="J18" s="100">
        <v>0.15</v>
      </c>
      <c r="K18" s="100">
        <v>162.9</v>
      </c>
      <c r="L18" s="100">
        <v>15.58</v>
      </c>
      <c r="M18" s="100">
        <v>82.73</v>
      </c>
      <c r="N18" s="100">
        <v>13.9</v>
      </c>
      <c r="O18" s="100">
        <v>0</v>
      </c>
      <c r="P18" s="100">
        <v>0.85</v>
      </c>
      <c r="Q18" s="100">
        <v>9.32</v>
      </c>
      <c r="R18" s="6"/>
      <c r="S18" s="6"/>
      <c r="T18" s="156"/>
      <c r="U18" s="6"/>
    </row>
    <row r="19" spans="1:21" customFormat="1">
      <c r="A19" s="163" t="s">
        <v>1025</v>
      </c>
      <c r="B19" s="100">
        <v>15.77</v>
      </c>
      <c r="C19" s="100">
        <v>15.29</v>
      </c>
      <c r="D19" s="100">
        <v>20.64</v>
      </c>
      <c r="E19" s="100">
        <v>4.96</v>
      </c>
      <c r="F19" s="100">
        <v>0.06</v>
      </c>
      <c r="G19" s="100">
        <v>76.510000000000005</v>
      </c>
      <c r="H19" s="100">
        <v>39.85</v>
      </c>
      <c r="I19" s="100">
        <v>16.66</v>
      </c>
      <c r="J19" s="100">
        <v>0.08</v>
      </c>
      <c r="K19" s="100">
        <v>216.5</v>
      </c>
      <c r="L19" s="100">
        <v>15.7</v>
      </c>
      <c r="M19" s="100">
        <v>82.47</v>
      </c>
      <c r="N19" s="100">
        <v>13.9</v>
      </c>
      <c r="O19" s="100">
        <v>0</v>
      </c>
      <c r="P19" s="100">
        <v>0.86</v>
      </c>
      <c r="Q19" s="100">
        <v>9.32</v>
      </c>
      <c r="R19" s="6"/>
      <c r="S19" s="6"/>
      <c r="T19" s="156"/>
      <c r="U19" s="6"/>
    </row>
    <row r="20" spans="1:21" customFormat="1">
      <c r="A20" s="163" t="s">
        <v>1026</v>
      </c>
      <c r="B20" s="100">
        <v>15.46</v>
      </c>
      <c r="C20" s="100">
        <v>15.06</v>
      </c>
      <c r="D20" s="100">
        <v>20.27</v>
      </c>
      <c r="E20" s="100">
        <v>4.8099999999999996</v>
      </c>
      <c r="F20" s="100">
        <v>0.05</v>
      </c>
      <c r="G20" s="100">
        <v>76.38</v>
      </c>
      <c r="H20" s="100">
        <v>39.85</v>
      </c>
      <c r="I20" s="100">
        <v>16.79</v>
      </c>
      <c r="J20" s="100">
        <v>0.16</v>
      </c>
      <c r="K20" s="100">
        <v>169.57</v>
      </c>
      <c r="L20" s="100">
        <v>15.68</v>
      </c>
      <c r="M20" s="100">
        <v>86.42</v>
      </c>
      <c r="N20" s="100">
        <v>13.9</v>
      </c>
      <c r="O20" s="100">
        <v>0</v>
      </c>
      <c r="P20" s="100">
        <v>0.86</v>
      </c>
      <c r="Q20" s="100">
        <v>9.32</v>
      </c>
      <c r="R20" s="6"/>
      <c r="S20" s="6"/>
      <c r="T20" s="156"/>
      <c r="U20" s="6"/>
    </row>
    <row r="21" spans="1:21" customFormat="1">
      <c r="A21" s="163" t="s">
        <v>1027</v>
      </c>
      <c r="B21" s="100">
        <v>15.18</v>
      </c>
      <c r="C21" s="100">
        <v>14.81</v>
      </c>
      <c r="D21" s="100">
        <v>19.91</v>
      </c>
      <c r="E21" s="100">
        <v>5.25</v>
      </c>
      <c r="F21" s="100">
        <v>0.05</v>
      </c>
      <c r="G21" s="100">
        <v>76.38</v>
      </c>
      <c r="H21" s="100">
        <v>39.85</v>
      </c>
      <c r="I21" s="100">
        <v>16.91</v>
      </c>
      <c r="J21" s="100">
        <v>0.09</v>
      </c>
      <c r="K21" s="100">
        <v>182.19</v>
      </c>
      <c r="L21" s="100">
        <v>15.32</v>
      </c>
      <c r="M21" s="100">
        <v>86.57</v>
      </c>
      <c r="N21" s="100">
        <v>14.1</v>
      </c>
      <c r="O21" s="100">
        <v>0</v>
      </c>
      <c r="P21" s="100">
        <v>0.86</v>
      </c>
      <c r="Q21" s="100">
        <v>9.32</v>
      </c>
      <c r="R21" s="6"/>
      <c r="S21" s="6"/>
      <c r="T21" s="156"/>
      <c r="U21" s="6"/>
    </row>
    <row r="22" spans="1:21" customFormat="1">
      <c r="A22" s="163" t="s">
        <v>1028</v>
      </c>
      <c r="B22" s="100">
        <v>14.83</v>
      </c>
      <c r="C22" s="100">
        <v>14.69</v>
      </c>
      <c r="D22" s="100">
        <v>19.57</v>
      </c>
      <c r="E22" s="100">
        <v>5.31</v>
      </c>
      <c r="F22" s="100">
        <v>0.02</v>
      </c>
      <c r="G22" s="100">
        <v>76.38</v>
      </c>
      <c r="H22" s="100">
        <v>39.85</v>
      </c>
      <c r="I22" s="100">
        <v>17.04</v>
      </c>
      <c r="J22" s="100">
        <v>0.12</v>
      </c>
      <c r="K22" s="100">
        <v>200.59</v>
      </c>
      <c r="L22" s="100">
        <v>15.4</v>
      </c>
      <c r="M22" s="100">
        <v>88.68</v>
      </c>
      <c r="N22" s="100">
        <v>13.8</v>
      </c>
      <c r="O22" s="100">
        <v>0</v>
      </c>
      <c r="P22" s="100">
        <v>0.86</v>
      </c>
      <c r="Q22" s="100">
        <v>9.32</v>
      </c>
      <c r="R22" s="6"/>
      <c r="S22" s="6"/>
      <c r="T22" s="156"/>
      <c r="U22" s="6"/>
    </row>
    <row r="23" spans="1:21" customFormat="1">
      <c r="A23" s="163" t="s">
        <v>1029</v>
      </c>
      <c r="B23" s="100">
        <v>14.54</v>
      </c>
      <c r="C23" s="100">
        <v>14.52</v>
      </c>
      <c r="D23" s="100">
        <v>19.25</v>
      </c>
      <c r="E23" s="100">
        <v>5.36</v>
      </c>
      <c r="F23" s="100">
        <v>0.01</v>
      </c>
      <c r="G23" s="100">
        <v>75.09</v>
      </c>
      <c r="H23" s="100">
        <v>37.200000000000003</v>
      </c>
      <c r="I23" s="100">
        <v>17.13</v>
      </c>
      <c r="J23" s="100">
        <v>0.13</v>
      </c>
      <c r="K23" s="100">
        <v>227.1</v>
      </c>
      <c r="L23" s="100">
        <v>15.11</v>
      </c>
      <c r="M23" s="100">
        <v>87.17</v>
      </c>
      <c r="N23" s="100">
        <v>14</v>
      </c>
      <c r="O23" s="100">
        <v>0</v>
      </c>
      <c r="P23" s="100">
        <v>0.86</v>
      </c>
      <c r="Q23" s="100">
        <v>9.32</v>
      </c>
      <c r="R23" s="6"/>
      <c r="S23" s="6"/>
      <c r="T23" s="156"/>
      <c r="U23" s="6"/>
    </row>
    <row r="24" spans="1:21" customFormat="1">
      <c r="A24" s="163" t="s">
        <v>1030</v>
      </c>
      <c r="B24" s="100">
        <v>14.27</v>
      </c>
      <c r="C24" s="100">
        <v>14.29</v>
      </c>
      <c r="D24" s="100">
        <v>18.91</v>
      </c>
      <c r="E24" s="100">
        <v>5.15</v>
      </c>
      <c r="F24" s="100">
        <v>0.01</v>
      </c>
      <c r="G24" s="100">
        <v>75.06</v>
      </c>
      <c r="H24" s="100">
        <v>37.200000000000003</v>
      </c>
      <c r="I24" s="100">
        <v>17.190000000000001</v>
      </c>
      <c r="J24" s="100">
        <v>0.13</v>
      </c>
      <c r="K24" s="100">
        <v>220.03</v>
      </c>
      <c r="L24" s="100">
        <v>14.99</v>
      </c>
      <c r="M24" s="100">
        <v>87.71</v>
      </c>
      <c r="N24" s="100">
        <v>13.8</v>
      </c>
      <c r="O24" s="100">
        <v>0</v>
      </c>
      <c r="P24" s="100">
        <v>0.86</v>
      </c>
      <c r="Q24" s="100">
        <v>9.32</v>
      </c>
      <c r="R24" s="6"/>
      <c r="S24" s="6"/>
      <c r="T24" s="156"/>
      <c r="U24" s="6"/>
    </row>
    <row r="25" spans="1:21" customFormat="1">
      <c r="A25" s="163" t="s">
        <v>1031</v>
      </c>
      <c r="B25" s="100">
        <v>13.97</v>
      </c>
      <c r="C25" s="100">
        <v>14.14</v>
      </c>
      <c r="D25" s="100">
        <v>18.59</v>
      </c>
      <c r="E25" s="100">
        <v>4.97</v>
      </c>
      <c r="F25" s="100">
        <v>0.01</v>
      </c>
      <c r="G25" s="100">
        <v>75.06</v>
      </c>
      <c r="H25" s="100">
        <v>37.200000000000003</v>
      </c>
      <c r="I25" s="100">
        <v>17.239999999999998</v>
      </c>
      <c r="J25" s="100">
        <v>0.32</v>
      </c>
      <c r="K25" s="100">
        <v>168.34</v>
      </c>
      <c r="L25" s="100">
        <v>15.39</v>
      </c>
      <c r="M25" s="100">
        <v>85.75</v>
      </c>
      <c r="N25" s="100">
        <v>13.7</v>
      </c>
      <c r="O25" s="100">
        <v>0</v>
      </c>
      <c r="P25" s="100">
        <v>0.86</v>
      </c>
      <c r="Q25" s="100">
        <v>9.33</v>
      </c>
      <c r="R25" s="6"/>
      <c r="S25" s="6"/>
      <c r="T25" s="156"/>
      <c r="U25" s="6"/>
    </row>
    <row r="26" spans="1:21" customFormat="1">
      <c r="A26" s="163" t="s">
        <v>1032</v>
      </c>
      <c r="B26" s="100">
        <v>13.67</v>
      </c>
      <c r="C26" s="100">
        <v>14.15</v>
      </c>
      <c r="D26" s="100">
        <v>18.350000000000001</v>
      </c>
      <c r="E26" s="100">
        <v>5.3</v>
      </c>
      <c r="F26" s="100">
        <v>0.01</v>
      </c>
      <c r="G26" s="100">
        <v>75.06</v>
      </c>
      <c r="H26" s="100">
        <v>37.200000000000003</v>
      </c>
      <c r="I26" s="100">
        <v>17.22</v>
      </c>
      <c r="J26" s="100">
        <v>0.11</v>
      </c>
      <c r="K26" s="100">
        <v>157.47999999999999</v>
      </c>
      <c r="L26" s="100">
        <v>14.91</v>
      </c>
      <c r="M26" s="100">
        <v>83.51</v>
      </c>
      <c r="N26" s="100">
        <v>14</v>
      </c>
      <c r="O26" s="100">
        <v>0</v>
      </c>
      <c r="P26" s="100">
        <v>0.85</v>
      </c>
      <c r="Q26" s="100">
        <v>9.32</v>
      </c>
      <c r="R26" s="6"/>
      <c r="S26" s="6"/>
      <c r="T26" s="156"/>
      <c r="U26" s="6"/>
    </row>
    <row r="27" spans="1:21" customFormat="1">
      <c r="A27" s="163" t="s">
        <v>1033</v>
      </c>
      <c r="B27" s="100">
        <v>13.36</v>
      </c>
      <c r="C27" s="100">
        <v>14.11</v>
      </c>
      <c r="D27" s="100">
        <v>18.09</v>
      </c>
      <c r="E27" s="100">
        <v>5.08</v>
      </c>
      <c r="F27" s="100">
        <v>0.01</v>
      </c>
      <c r="G27" s="100">
        <v>69.8</v>
      </c>
      <c r="H27" s="100">
        <v>35.869999999999997</v>
      </c>
      <c r="I27" s="100">
        <v>17.149999999999999</v>
      </c>
      <c r="J27" s="100">
        <v>0.1</v>
      </c>
      <c r="K27" s="100">
        <v>212.18</v>
      </c>
      <c r="L27" s="100">
        <v>14.67</v>
      </c>
      <c r="M27" s="100">
        <v>83.51</v>
      </c>
      <c r="N27" s="100">
        <v>13.8</v>
      </c>
      <c r="O27" s="100">
        <v>0</v>
      </c>
      <c r="P27" s="100">
        <v>0.85</v>
      </c>
      <c r="Q27" s="100">
        <v>9.32</v>
      </c>
      <c r="R27" s="6"/>
      <c r="S27" s="6"/>
      <c r="T27" s="156"/>
      <c r="U27" s="6"/>
    </row>
    <row r="28" spans="1:21" customFormat="1">
      <c r="A28" s="163" t="s">
        <v>1034</v>
      </c>
      <c r="B28" s="100">
        <v>13.1</v>
      </c>
      <c r="C28" s="100">
        <v>13.93</v>
      </c>
      <c r="D28" s="100">
        <v>17.78</v>
      </c>
      <c r="E28" s="100">
        <v>5.22</v>
      </c>
      <c r="F28" s="100">
        <v>0.01</v>
      </c>
      <c r="G28" s="100">
        <v>69.680000000000007</v>
      </c>
      <c r="H28" s="100">
        <v>35.869999999999997</v>
      </c>
      <c r="I28" s="100">
        <v>17.059999999999999</v>
      </c>
      <c r="J28" s="100">
        <v>0.09</v>
      </c>
      <c r="K28" s="100">
        <v>204.04</v>
      </c>
      <c r="L28" s="100">
        <v>14.57</v>
      </c>
      <c r="M28" s="100">
        <v>85.98</v>
      </c>
      <c r="N28" s="100">
        <v>13.9</v>
      </c>
      <c r="O28" s="100">
        <v>0</v>
      </c>
      <c r="P28" s="100">
        <v>0.84</v>
      </c>
      <c r="Q28" s="100">
        <v>9.32</v>
      </c>
      <c r="R28" s="6"/>
      <c r="S28" s="6"/>
      <c r="T28" s="156"/>
      <c r="U28" s="6"/>
    </row>
    <row r="29" spans="1:21" customFormat="1">
      <c r="A29" s="163" t="s">
        <v>1035</v>
      </c>
      <c r="B29" s="100">
        <v>12.84</v>
      </c>
      <c r="C29" s="100">
        <v>13.86</v>
      </c>
      <c r="D29" s="100">
        <v>17.54</v>
      </c>
      <c r="E29" s="100">
        <v>5.07</v>
      </c>
      <c r="F29" s="100">
        <v>0.01</v>
      </c>
      <c r="G29" s="100">
        <v>69.680000000000007</v>
      </c>
      <c r="H29" s="100">
        <v>35.869999999999997</v>
      </c>
      <c r="I29" s="100">
        <v>16.97</v>
      </c>
      <c r="J29" s="100">
        <v>0.1</v>
      </c>
      <c r="K29" s="100">
        <v>155</v>
      </c>
      <c r="L29" s="100">
        <v>14.59</v>
      </c>
      <c r="M29" s="100">
        <v>85.23</v>
      </c>
      <c r="N29" s="100">
        <v>13.8</v>
      </c>
      <c r="O29" s="100">
        <v>0</v>
      </c>
      <c r="P29" s="100">
        <v>0.83</v>
      </c>
      <c r="Q29" s="100">
        <v>9.32</v>
      </c>
      <c r="R29" s="6"/>
      <c r="S29" s="6"/>
      <c r="T29" s="156"/>
      <c r="U29" s="6"/>
    </row>
    <row r="30" spans="1:21" customFormat="1">
      <c r="A30" s="163" t="s">
        <v>1036</v>
      </c>
      <c r="B30" s="100">
        <v>12.82</v>
      </c>
      <c r="C30" s="100">
        <v>13.9</v>
      </c>
      <c r="D30" s="100">
        <v>17.54</v>
      </c>
      <c r="E30" s="100">
        <v>4.9400000000000004</v>
      </c>
      <c r="F30" s="100">
        <v>0.01</v>
      </c>
      <c r="G30" s="100">
        <v>69.680000000000007</v>
      </c>
      <c r="H30" s="100">
        <v>35.869999999999997</v>
      </c>
      <c r="I30" s="100">
        <v>16.88</v>
      </c>
      <c r="J30" s="100">
        <v>0.19</v>
      </c>
      <c r="K30" s="100">
        <v>157.76</v>
      </c>
      <c r="L30" s="100">
        <v>14.95</v>
      </c>
      <c r="M30" s="100">
        <v>83.85</v>
      </c>
      <c r="N30" s="100">
        <v>13.6</v>
      </c>
      <c r="O30" s="100">
        <v>0</v>
      </c>
      <c r="P30" s="100">
        <v>0.83</v>
      </c>
      <c r="Q30" s="100">
        <v>9.32</v>
      </c>
      <c r="R30" s="6"/>
      <c r="S30" s="6"/>
      <c r="T30" s="156"/>
      <c r="U30" s="6"/>
    </row>
    <row r="31" spans="1:21" customFormat="1">
      <c r="A31" s="163" t="s">
        <v>1037</v>
      </c>
      <c r="B31" s="100">
        <v>12.79</v>
      </c>
      <c r="C31" s="100">
        <v>13.92</v>
      </c>
      <c r="D31" s="100">
        <v>17.53</v>
      </c>
      <c r="E31" s="100">
        <v>5.2</v>
      </c>
      <c r="F31" s="100">
        <v>0.01</v>
      </c>
      <c r="G31" s="100">
        <v>68.77</v>
      </c>
      <c r="H31" s="100">
        <v>36.83</v>
      </c>
      <c r="I31" s="100">
        <v>16.850000000000001</v>
      </c>
      <c r="J31" s="100">
        <v>0.19</v>
      </c>
      <c r="K31" s="100">
        <v>163.22</v>
      </c>
      <c r="L31" s="100">
        <v>14.83</v>
      </c>
      <c r="M31" s="100">
        <v>86.83</v>
      </c>
      <c r="N31" s="100">
        <v>13.8</v>
      </c>
      <c r="O31" s="100">
        <v>0</v>
      </c>
      <c r="P31" s="100">
        <v>0.83</v>
      </c>
      <c r="Q31" s="100">
        <v>9.32</v>
      </c>
      <c r="R31" s="6"/>
      <c r="S31" s="6"/>
      <c r="T31" s="156"/>
      <c r="U31" s="6"/>
    </row>
    <row r="32" spans="1:21" customFormat="1">
      <c r="A32" s="163" t="s">
        <v>1038</v>
      </c>
      <c r="B32" s="100">
        <v>12.49</v>
      </c>
      <c r="C32" s="100">
        <v>13.81</v>
      </c>
      <c r="D32" s="100">
        <v>17.23</v>
      </c>
      <c r="E32" s="100">
        <v>5.03</v>
      </c>
      <c r="F32" s="100">
        <v>0.01</v>
      </c>
      <c r="G32" s="100">
        <v>68.75</v>
      </c>
      <c r="H32" s="100">
        <v>36.83</v>
      </c>
      <c r="I32" s="100">
        <v>16.850000000000001</v>
      </c>
      <c r="J32" s="100">
        <v>0.1</v>
      </c>
      <c r="K32" s="100">
        <v>211.48</v>
      </c>
      <c r="L32" s="100">
        <v>14.35</v>
      </c>
      <c r="M32" s="100">
        <v>87.19</v>
      </c>
      <c r="N32" s="100">
        <v>14.1</v>
      </c>
      <c r="O32" s="100">
        <v>0</v>
      </c>
      <c r="P32" s="100">
        <v>0.83</v>
      </c>
      <c r="Q32" s="100">
        <v>9.32</v>
      </c>
      <c r="R32" s="6"/>
      <c r="S32" s="6"/>
      <c r="T32" s="156"/>
      <c r="U32" s="6"/>
    </row>
    <row r="33" spans="1:21" customFormat="1">
      <c r="A33" s="163" t="s">
        <v>1039</v>
      </c>
      <c r="B33" s="100">
        <v>12.25</v>
      </c>
      <c r="C33" s="100">
        <v>13.87</v>
      </c>
      <c r="D33" s="100">
        <v>17.079999999999998</v>
      </c>
      <c r="E33" s="100">
        <v>5.15</v>
      </c>
      <c r="F33" s="100">
        <v>0.04</v>
      </c>
      <c r="G33" s="100">
        <v>68.75</v>
      </c>
      <c r="H33" s="100">
        <v>36.83</v>
      </c>
      <c r="I33" s="100">
        <v>16.87</v>
      </c>
      <c r="J33" s="100">
        <v>0.12</v>
      </c>
      <c r="K33" s="100">
        <v>185.12</v>
      </c>
      <c r="L33" s="100">
        <v>14.25</v>
      </c>
      <c r="M33" s="100">
        <v>86.84</v>
      </c>
      <c r="N33" s="100">
        <v>14</v>
      </c>
      <c r="O33" s="100">
        <v>0</v>
      </c>
      <c r="P33" s="100">
        <v>0.83</v>
      </c>
      <c r="Q33" s="100">
        <v>9.32</v>
      </c>
      <c r="R33" s="6"/>
      <c r="S33" s="6"/>
      <c r="T33" s="156"/>
      <c r="U33" s="6"/>
    </row>
    <row r="34" spans="1:21" customFormat="1">
      <c r="A34" s="163" t="s">
        <v>1040</v>
      </c>
      <c r="B34" s="100">
        <v>12.09</v>
      </c>
      <c r="C34" s="100">
        <v>13.83</v>
      </c>
      <c r="D34" s="100">
        <v>16.920000000000002</v>
      </c>
      <c r="E34" s="100">
        <v>5.39</v>
      </c>
      <c r="F34" s="100">
        <v>7.0000000000000007E-2</v>
      </c>
      <c r="G34" s="100">
        <v>68.75</v>
      </c>
      <c r="H34" s="100">
        <v>36.83</v>
      </c>
      <c r="I34" s="100">
        <v>16.89</v>
      </c>
      <c r="J34" s="100">
        <v>0.08</v>
      </c>
      <c r="K34" s="100">
        <v>162.36000000000001</v>
      </c>
      <c r="L34" s="100">
        <v>14.32</v>
      </c>
      <c r="M34" s="100">
        <v>87.55</v>
      </c>
      <c r="N34" s="100">
        <v>15.4</v>
      </c>
      <c r="O34" s="100">
        <v>0</v>
      </c>
      <c r="P34" s="100">
        <v>0.84</v>
      </c>
      <c r="Q34" s="100">
        <v>9.32</v>
      </c>
      <c r="R34" s="6"/>
      <c r="S34" s="6"/>
      <c r="T34" s="156"/>
      <c r="U34" s="6"/>
    </row>
    <row r="35" spans="1:21" customFormat="1">
      <c r="A35" s="163" t="s">
        <v>1041</v>
      </c>
      <c r="B35" s="100">
        <v>11.94</v>
      </c>
      <c r="C35" s="100">
        <v>13.79</v>
      </c>
      <c r="D35" s="100">
        <v>16.77</v>
      </c>
      <c r="E35" s="100">
        <v>5.13</v>
      </c>
      <c r="F35" s="100">
        <v>7.0000000000000007E-2</v>
      </c>
      <c r="G35" s="100">
        <v>72.97</v>
      </c>
      <c r="H35" s="100">
        <v>39.619999999999997</v>
      </c>
      <c r="I35" s="100">
        <v>16.93</v>
      </c>
      <c r="J35" s="100">
        <v>0.14000000000000001</v>
      </c>
      <c r="K35" s="100">
        <v>152.82</v>
      </c>
      <c r="L35" s="100">
        <v>14.37</v>
      </c>
      <c r="M35" s="100">
        <v>89.49</v>
      </c>
      <c r="N35" s="100">
        <v>20</v>
      </c>
      <c r="O35" s="100">
        <v>0</v>
      </c>
      <c r="P35" s="100">
        <v>0.84</v>
      </c>
      <c r="Q35" s="100">
        <v>9.32</v>
      </c>
      <c r="R35" s="6"/>
      <c r="S35" s="6"/>
      <c r="T35" s="156"/>
      <c r="U35" s="6"/>
    </row>
    <row r="36" spans="1:21" customFormat="1">
      <c r="A36" s="163" t="s">
        <v>1042</v>
      </c>
      <c r="B36" s="100">
        <v>11.82</v>
      </c>
      <c r="C36" s="100">
        <v>13.54</v>
      </c>
      <c r="D36" s="100">
        <v>16.55</v>
      </c>
      <c r="E36" s="100">
        <v>5.52</v>
      </c>
      <c r="F36" s="100">
        <v>7.0000000000000007E-2</v>
      </c>
      <c r="G36" s="100">
        <v>73.069999999999993</v>
      </c>
      <c r="H36" s="100">
        <v>39.619999999999997</v>
      </c>
      <c r="I36" s="100">
        <v>17.03</v>
      </c>
      <c r="J36" s="100">
        <v>0.13</v>
      </c>
      <c r="K36" s="100">
        <v>118.08</v>
      </c>
      <c r="L36" s="100">
        <v>14.21</v>
      </c>
      <c r="M36" s="100">
        <v>89.61</v>
      </c>
      <c r="N36" s="100">
        <v>28.9</v>
      </c>
      <c r="O36" s="100">
        <v>0</v>
      </c>
      <c r="P36" s="100">
        <v>0.86</v>
      </c>
      <c r="Q36" s="100">
        <v>9.32</v>
      </c>
      <c r="R36" s="6"/>
      <c r="S36" s="6"/>
      <c r="T36" s="156"/>
      <c r="U36" s="6"/>
    </row>
    <row r="37" spans="1:21" customFormat="1">
      <c r="A37" s="163" t="s">
        <v>1043</v>
      </c>
      <c r="B37" s="100">
        <v>11.78</v>
      </c>
      <c r="C37" s="100">
        <v>13.41</v>
      </c>
      <c r="D37" s="100">
        <v>16.45</v>
      </c>
      <c r="E37" s="100">
        <v>5.5</v>
      </c>
      <c r="F37" s="100">
        <v>0.09</v>
      </c>
      <c r="G37" s="100">
        <v>73.069999999999993</v>
      </c>
      <c r="H37" s="100">
        <v>39.619999999999997</v>
      </c>
      <c r="I37" s="100">
        <v>15.61</v>
      </c>
      <c r="J37" s="100">
        <v>0.1</v>
      </c>
      <c r="K37" s="100">
        <v>144.25</v>
      </c>
      <c r="L37" s="100">
        <v>14.58</v>
      </c>
      <c r="M37" s="100">
        <v>88.2</v>
      </c>
      <c r="N37" s="100">
        <v>38</v>
      </c>
      <c r="O37" s="100">
        <v>0</v>
      </c>
      <c r="P37" s="100">
        <v>0.87</v>
      </c>
      <c r="Q37" s="100">
        <v>9.32</v>
      </c>
      <c r="R37" s="6"/>
      <c r="S37" s="6"/>
      <c r="T37" s="156"/>
      <c r="U37" s="6"/>
    </row>
    <row r="38" spans="1:21" customFormat="1">
      <c r="A38" s="163" t="s">
        <v>1044</v>
      </c>
      <c r="B38" s="100">
        <v>11.74</v>
      </c>
      <c r="C38" s="100">
        <v>13.38</v>
      </c>
      <c r="D38" s="100">
        <v>16.399999999999999</v>
      </c>
      <c r="E38" s="100">
        <v>5.14</v>
      </c>
      <c r="F38" s="100">
        <v>0.16</v>
      </c>
      <c r="G38" s="100">
        <v>73.069999999999993</v>
      </c>
      <c r="H38" s="100">
        <v>39.619999999999997</v>
      </c>
      <c r="I38" s="100">
        <v>15.47</v>
      </c>
      <c r="J38" s="100">
        <v>0.08</v>
      </c>
      <c r="K38" s="100">
        <v>182.28</v>
      </c>
      <c r="L38" s="100">
        <v>15.35</v>
      </c>
      <c r="M38" s="100">
        <v>86.83</v>
      </c>
      <c r="N38" s="100">
        <v>47.6</v>
      </c>
      <c r="O38" s="100">
        <v>0</v>
      </c>
      <c r="P38" s="100">
        <v>0.88</v>
      </c>
      <c r="Q38" s="100">
        <v>9.32</v>
      </c>
      <c r="R38" s="6"/>
      <c r="S38" s="6"/>
      <c r="T38" s="156"/>
      <c r="U38" s="6"/>
    </row>
    <row r="39" spans="1:21" customFormat="1">
      <c r="A39" s="163" t="s">
        <v>1045</v>
      </c>
      <c r="B39" s="100">
        <v>11.95</v>
      </c>
      <c r="C39" s="100">
        <v>13.51</v>
      </c>
      <c r="D39" s="100">
        <v>16.64</v>
      </c>
      <c r="E39" s="100">
        <v>4.97</v>
      </c>
      <c r="F39" s="100">
        <v>0.08</v>
      </c>
      <c r="G39" s="100">
        <v>76.11</v>
      </c>
      <c r="H39" s="100">
        <v>41.92</v>
      </c>
      <c r="I39" s="100">
        <v>17.09</v>
      </c>
      <c r="J39" s="100">
        <v>0.09</v>
      </c>
      <c r="K39" s="100">
        <v>126.1</v>
      </c>
      <c r="L39" s="100">
        <v>16.190000000000001</v>
      </c>
      <c r="M39" s="100">
        <v>83.02</v>
      </c>
      <c r="N39" s="100">
        <v>57.5</v>
      </c>
      <c r="O39" s="100">
        <v>0</v>
      </c>
      <c r="P39" s="100">
        <v>0.89</v>
      </c>
      <c r="Q39" s="100">
        <v>9.32</v>
      </c>
      <c r="R39" s="6"/>
      <c r="S39" s="6"/>
      <c r="T39" s="156"/>
      <c r="U39" s="6"/>
    </row>
    <row r="40" spans="1:21" customFormat="1">
      <c r="A40" s="163" t="s">
        <v>1046</v>
      </c>
      <c r="B40" s="100">
        <v>13.09</v>
      </c>
      <c r="C40" s="100">
        <v>14.22</v>
      </c>
      <c r="D40" s="100">
        <v>17.93</v>
      </c>
      <c r="E40" s="100">
        <v>4.9800000000000004</v>
      </c>
      <c r="F40" s="100">
        <v>0.08</v>
      </c>
      <c r="G40" s="100">
        <v>76.180000000000007</v>
      </c>
      <c r="H40" s="100">
        <v>41.92</v>
      </c>
      <c r="I40" s="100">
        <v>15.62</v>
      </c>
      <c r="J40" s="100">
        <v>0.56000000000000005</v>
      </c>
      <c r="K40" s="100">
        <v>18.489999999999998</v>
      </c>
      <c r="L40" s="100">
        <v>18.079999999999998</v>
      </c>
      <c r="M40" s="100">
        <v>64.61</v>
      </c>
      <c r="N40" s="100">
        <v>74.5</v>
      </c>
      <c r="O40" s="100">
        <v>0</v>
      </c>
      <c r="P40" s="100">
        <v>0.92</v>
      </c>
      <c r="Q40" s="100">
        <v>9.32</v>
      </c>
      <c r="R40" s="6"/>
      <c r="S40" s="6"/>
      <c r="T40" s="156"/>
      <c r="U40" s="6"/>
    </row>
    <row r="41" spans="1:21" customFormat="1">
      <c r="A41" s="163" t="s">
        <v>1047</v>
      </c>
      <c r="B41" s="100">
        <v>14.4</v>
      </c>
      <c r="C41" s="100">
        <v>15.31</v>
      </c>
      <c r="D41" s="100">
        <v>19.55</v>
      </c>
      <c r="E41" s="100">
        <v>5.36</v>
      </c>
      <c r="F41" s="100">
        <v>0.03</v>
      </c>
      <c r="G41" s="100">
        <v>76.180000000000007</v>
      </c>
      <c r="H41" s="100">
        <v>41.92</v>
      </c>
      <c r="I41" s="100">
        <v>14.1</v>
      </c>
      <c r="J41" s="100">
        <v>0.53</v>
      </c>
      <c r="K41" s="100">
        <v>21.7</v>
      </c>
      <c r="L41" s="100">
        <v>19.54</v>
      </c>
      <c r="M41" s="100">
        <v>55.4</v>
      </c>
      <c r="N41" s="100">
        <v>216.8</v>
      </c>
      <c r="O41" s="100">
        <v>0</v>
      </c>
      <c r="P41" s="100">
        <v>0.95</v>
      </c>
      <c r="Q41" s="100">
        <v>9.32</v>
      </c>
      <c r="R41" s="6"/>
      <c r="S41" s="6"/>
      <c r="T41" s="156"/>
      <c r="U41" s="6"/>
    </row>
    <row r="42" spans="1:21" customFormat="1">
      <c r="A42" s="163" t="s">
        <v>1048</v>
      </c>
      <c r="B42" s="100">
        <v>15.15</v>
      </c>
      <c r="C42" s="100">
        <v>16.809999999999999</v>
      </c>
      <c r="D42" s="100">
        <v>20.93</v>
      </c>
      <c r="E42" s="100">
        <v>5.6</v>
      </c>
      <c r="F42" s="100">
        <v>0.06</v>
      </c>
      <c r="G42" s="100">
        <v>76.180000000000007</v>
      </c>
      <c r="H42" s="100">
        <v>41.92</v>
      </c>
      <c r="I42" s="100">
        <v>14.39</v>
      </c>
      <c r="J42" s="100">
        <v>0.42</v>
      </c>
      <c r="K42" s="100">
        <v>39.79</v>
      </c>
      <c r="L42" s="100">
        <v>20.87</v>
      </c>
      <c r="M42" s="100">
        <v>51.3</v>
      </c>
      <c r="N42" s="100">
        <v>256.60000000000002</v>
      </c>
      <c r="O42" s="100">
        <v>0</v>
      </c>
      <c r="P42" s="100">
        <v>0.98</v>
      </c>
      <c r="Q42" s="100">
        <v>9.32</v>
      </c>
      <c r="R42" s="6"/>
      <c r="S42" s="6"/>
      <c r="T42" s="156"/>
      <c r="U42" s="6"/>
    </row>
    <row r="43" spans="1:21" customFormat="1">
      <c r="A43" s="163" t="s">
        <v>1049</v>
      </c>
      <c r="B43" s="100">
        <v>15.33</v>
      </c>
      <c r="C43" s="100">
        <v>17.95</v>
      </c>
      <c r="D43" s="100">
        <v>21.67</v>
      </c>
      <c r="E43" s="100">
        <v>5.52</v>
      </c>
      <c r="F43" s="100">
        <v>0.11</v>
      </c>
      <c r="G43" s="100">
        <v>101.3</v>
      </c>
      <c r="H43" s="100">
        <v>51.38</v>
      </c>
      <c r="I43" s="100">
        <v>14.72</v>
      </c>
      <c r="J43" s="100">
        <v>0.68</v>
      </c>
      <c r="K43" s="100">
        <v>53.76</v>
      </c>
      <c r="L43" s="100">
        <v>21.84</v>
      </c>
      <c r="M43" s="100">
        <v>47.4</v>
      </c>
      <c r="N43" s="100">
        <v>297.39999999999998</v>
      </c>
      <c r="O43" s="100">
        <v>0</v>
      </c>
      <c r="P43" s="100">
        <v>0.99</v>
      </c>
      <c r="Q43" s="100">
        <v>9.33</v>
      </c>
      <c r="R43" s="6"/>
      <c r="S43" s="6"/>
      <c r="T43" s="156"/>
      <c r="U43" s="6"/>
    </row>
    <row r="44" spans="1:21" customFormat="1">
      <c r="A44" s="163" t="s">
        <v>1050</v>
      </c>
      <c r="B44" s="100">
        <v>15.1</v>
      </c>
      <c r="C44" s="100">
        <v>18.37</v>
      </c>
      <c r="D44" s="100">
        <v>21.71</v>
      </c>
      <c r="E44" s="100">
        <v>5.37</v>
      </c>
      <c r="F44" s="100">
        <v>0.06</v>
      </c>
      <c r="G44" s="100">
        <v>101.87</v>
      </c>
      <c r="H44" s="100">
        <v>51.38</v>
      </c>
      <c r="I44" s="100">
        <v>14.99</v>
      </c>
      <c r="J44" s="100">
        <v>0.67</v>
      </c>
      <c r="K44" s="100">
        <v>38.11</v>
      </c>
      <c r="L44" s="100">
        <v>22.94</v>
      </c>
      <c r="M44" s="100">
        <v>42.72</v>
      </c>
      <c r="N44" s="100">
        <v>328.1</v>
      </c>
      <c r="O44" s="100">
        <v>0</v>
      </c>
      <c r="P44" s="100">
        <v>0.99</v>
      </c>
      <c r="Q44" s="100">
        <v>9.32</v>
      </c>
      <c r="R44" s="6"/>
      <c r="S44" s="6"/>
      <c r="T44" s="156"/>
      <c r="U44" s="6"/>
    </row>
    <row r="45" spans="1:21" customFormat="1">
      <c r="A45" s="163" t="s">
        <v>1051</v>
      </c>
      <c r="B45" s="100">
        <v>14.73</v>
      </c>
      <c r="C45" s="100">
        <v>18.670000000000002</v>
      </c>
      <c r="D45" s="100">
        <v>21.57</v>
      </c>
      <c r="E45" s="100">
        <v>5.79</v>
      </c>
      <c r="F45" s="100">
        <v>0.1</v>
      </c>
      <c r="G45" s="100">
        <v>101.87</v>
      </c>
      <c r="H45" s="100">
        <v>51.38</v>
      </c>
      <c r="I45" s="100">
        <v>15.15</v>
      </c>
      <c r="J45" s="100">
        <v>0.92</v>
      </c>
      <c r="K45" s="100">
        <v>50.02</v>
      </c>
      <c r="L45" s="100">
        <v>23.94</v>
      </c>
      <c r="M45" s="100">
        <v>36.479999999999997</v>
      </c>
      <c r="N45" s="100">
        <v>147</v>
      </c>
      <c r="O45" s="100">
        <v>0</v>
      </c>
      <c r="P45" s="100">
        <v>0.98</v>
      </c>
      <c r="Q45" s="100">
        <v>9.32</v>
      </c>
      <c r="R45" s="6"/>
      <c r="S45" s="6"/>
      <c r="T45" s="156"/>
      <c r="U45" s="6"/>
    </row>
    <row r="46" spans="1:21" customFormat="1">
      <c r="A46" s="163" t="s">
        <v>1052</v>
      </c>
      <c r="B46" s="100">
        <v>14.23</v>
      </c>
      <c r="C46" s="100">
        <v>18.5</v>
      </c>
      <c r="D46" s="100">
        <v>21.08</v>
      </c>
      <c r="E46" s="100">
        <v>5.59</v>
      </c>
      <c r="F46" s="100">
        <v>0.24</v>
      </c>
      <c r="G46" s="100">
        <v>101.87</v>
      </c>
      <c r="H46" s="100">
        <v>51.38</v>
      </c>
      <c r="I46" s="100">
        <v>15.12</v>
      </c>
      <c r="J46" s="100">
        <v>0.92</v>
      </c>
      <c r="K46" s="100">
        <v>39.28</v>
      </c>
      <c r="L46" s="100">
        <v>24.8</v>
      </c>
      <c r="M46" s="100">
        <v>35.54</v>
      </c>
      <c r="N46" s="100">
        <v>115.3</v>
      </c>
      <c r="O46" s="100">
        <v>0</v>
      </c>
      <c r="P46" s="100">
        <v>0.97</v>
      </c>
      <c r="Q46" s="100">
        <v>9.36</v>
      </c>
      <c r="R46" s="6"/>
      <c r="S46" s="6"/>
      <c r="T46" s="156"/>
      <c r="U46" s="6"/>
    </row>
    <row r="47" spans="1:21" customFormat="1">
      <c r="A47" s="163" t="s">
        <v>1053</v>
      </c>
      <c r="B47" s="100">
        <v>13.85</v>
      </c>
      <c r="C47" s="100">
        <v>18.25</v>
      </c>
      <c r="D47" s="100">
        <v>20.64</v>
      </c>
      <c r="E47" s="100">
        <v>5.62</v>
      </c>
      <c r="F47" s="100">
        <v>0.17</v>
      </c>
      <c r="G47" s="100">
        <v>102.54</v>
      </c>
      <c r="H47" s="100">
        <v>47.79</v>
      </c>
      <c r="I47" s="100">
        <v>14.93</v>
      </c>
      <c r="J47" s="100">
        <v>1.03</v>
      </c>
      <c r="K47" s="100">
        <v>44.56</v>
      </c>
      <c r="L47" s="100">
        <v>25.5</v>
      </c>
      <c r="M47" s="100">
        <v>32.35</v>
      </c>
      <c r="N47" s="100">
        <v>114.1</v>
      </c>
      <c r="O47" s="100">
        <v>0</v>
      </c>
      <c r="P47" s="100">
        <v>0.94</v>
      </c>
      <c r="Q47" s="100">
        <v>9.34</v>
      </c>
      <c r="R47" s="6"/>
      <c r="S47" s="6"/>
      <c r="T47" s="156"/>
      <c r="U47" s="6"/>
    </row>
    <row r="48" spans="1:21" customFormat="1">
      <c r="A48" s="163" t="s">
        <v>1054</v>
      </c>
      <c r="B48" s="100">
        <v>13.47</v>
      </c>
      <c r="C48" s="100">
        <v>18.23</v>
      </c>
      <c r="D48" s="100">
        <v>20.32</v>
      </c>
      <c r="E48" s="100">
        <v>5.6</v>
      </c>
      <c r="F48" s="100">
        <v>0.28999999999999998</v>
      </c>
      <c r="G48" s="100">
        <v>102.56</v>
      </c>
      <c r="H48" s="100">
        <v>47.79</v>
      </c>
      <c r="I48" s="100">
        <v>14.67</v>
      </c>
      <c r="J48" s="100">
        <v>1.02</v>
      </c>
      <c r="K48" s="100">
        <v>35.770000000000003</v>
      </c>
      <c r="L48" s="100">
        <v>26.41</v>
      </c>
      <c r="M48" s="100">
        <v>30.02</v>
      </c>
      <c r="N48" s="100">
        <v>265.2</v>
      </c>
      <c r="O48" s="100">
        <v>0</v>
      </c>
      <c r="P48" s="100">
        <v>0.94</v>
      </c>
      <c r="Q48" s="100">
        <v>9.32</v>
      </c>
      <c r="R48" s="6"/>
      <c r="S48" s="6"/>
      <c r="T48" s="156"/>
      <c r="U48" s="6"/>
    </row>
    <row r="49" spans="1:21" customFormat="1">
      <c r="A49" s="163" t="s">
        <v>1055</v>
      </c>
      <c r="B49" s="100">
        <v>12.95</v>
      </c>
      <c r="C49" s="100">
        <v>18.170000000000002</v>
      </c>
      <c r="D49" s="100">
        <v>19.88</v>
      </c>
      <c r="E49" s="100">
        <v>5.34</v>
      </c>
      <c r="F49" s="100">
        <v>0.47</v>
      </c>
      <c r="G49" s="100">
        <v>102.56</v>
      </c>
      <c r="H49" s="100">
        <v>47.79</v>
      </c>
      <c r="I49" s="100">
        <v>14.42</v>
      </c>
      <c r="J49" s="100">
        <v>0.9</v>
      </c>
      <c r="K49" s="100">
        <v>45.05</v>
      </c>
      <c r="L49" s="100">
        <v>27.2</v>
      </c>
      <c r="M49" s="100">
        <v>26.87</v>
      </c>
      <c r="N49" s="100">
        <v>543.70000000000005</v>
      </c>
      <c r="O49" s="100">
        <v>0</v>
      </c>
      <c r="P49" s="100">
        <v>0.92</v>
      </c>
      <c r="Q49" s="100">
        <v>9.32</v>
      </c>
      <c r="R49" s="6"/>
      <c r="S49" s="6"/>
      <c r="T49" s="156"/>
      <c r="U49" s="6"/>
    </row>
    <row r="50" spans="1:21" customFormat="1">
      <c r="A50" s="163" t="s">
        <v>1056</v>
      </c>
      <c r="B50" s="100">
        <v>12.19</v>
      </c>
      <c r="C50" s="100">
        <v>18.170000000000002</v>
      </c>
      <c r="D50" s="100">
        <v>19.27</v>
      </c>
      <c r="E50" s="100">
        <v>6.47</v>
      </c>
      <c r="F50" s="100">
        <v>0.59</v>
      </c>
      <c r="G50" s="100">
        <v>102.56</v>
      </c>
      <c r="H50" s="100">
        <v>47.79</v>
      </c>
      <c r="I50" s="100">
        <v>14.15</v>
      </c>
      <c r="J50" s="100">
        <v>0.87</v>
      </c>
      <c r="K50" s="100">
        <v>45.69</v>
      </c>
      <c r="L50" s="100">
        <v>27.88</v>
      </c>
      <c r="M50" s="100">
        <v>25.19</v>
      </c>
      <c r="N50" s="100">
        <v>567.4</v>
      </c>
      <c r="O50" s="100">
        <v>0</v>
      </c>
      <c r="P50" s="100">
        <v>0.89</v>
      </c>
      <c r="Q50" s="100">
        <v>9.32</v>
      </c>
      <c r="R50" s="6"/>
      <c r="S50" s="6"/>
      <c r="T50" s="156"/>
      <c r="U50" s="6"/>
    </row>
    <row r="51" spans="1:21" customFormat="1">
      <c r="A51" s="163" t="s">
        <v>1057</v>
      </c>
      <c r="B51" s="100">
        <v>11.54</v>
      </c>
      <c r="C51" s="100">
        <v>18.07</v>
      </c>
      <c r="D51" s="100">
        <v>18.7</v>
      </c>
      <c r="E51" s="100">
        <v>6.85</v>
      </c>
      <c r="F51" s="100">
        <v>0.82</v>
      </c>
      <c r="G51" s="100">
        <v>89.6</v>
      </c>
      <c r="H51" s="100">
        <v>38.76</v>
      </c>
      <c r="I51" s="100">
        <v>15.42</v>
      </c>
      <c r="J51" s="100">
        <v>1.19</v>
      </c>
      <c r="K51" s="100">
        <v>39.85</v>
      </c>
      <c r="L51" s="100">
        <v>28.36</v>
      </c>
      <c r="M51" s="100">
        <v>21.84</v>
      </c>
      <c r="N51" s="100">
        <v>601.79999999999995</v>
      </c>
      <c r="O51" s="100">
        <v>0</v>
      </c>
      <c r="P51" s="100">
        <v>0.87</v>
      </c>
      <c r="Q51" s="100">
        <v>9.32</v>
      </c>
      <c r="R51" s="6"/>
      <c r="S51" s="6"/>
      <c r="T51" s="156"/>
      <c r="U51" s="6"/>
    </row>
    <row r="52" spans="1:21" customFormat="1">
      <c r="A52" s="163" t="s">
        <v>1058</v>
      </c>
      <c r="B52" s="100">
        <v>10.98</v>
      </c>
      <c r="C52" s="100">
        <v>18.02</v>
      </c>
      <c r="D52" s="100">
        <v>18.22</v>
      </c>
      <c r="E52" s="100">
        <v>7.2</v>
      </c>
      <c r="F52" s="100">
        <v>1.85</v>
      </c>
      <c r="G52" s="100">
        <v>89.3</v>
      </c>
      <c r="H52" s="100">
        <v>38.76</v>
      </c>
      <c r="I52" s="100">
        <v>16.79</v>
      </c>
      <c r="J52" s="100">
        <v>1.19</v>
      </c>
      <c r="K52" s="100">
        <v>43.54</v>
      </c>
      <c r="L52" s="100">
        <v>28.75</v>
      </c>
      <c r="M52" s="100">
        <v>18.54</v>
      </c>
      <c r="N52" s="100">
        <v>629.1</v>
      </c>
      <c r="O52" s="100">
        <v>0</v>
      </c>
      <c r="P52" s="100">
        <v>0.84</v>
      </c>
      <c r="Q52" s="100">
        <v>9.32</v>
      </c>
      <c r="R52" s="6"/>
      <c r="S52" s="6"/>
      <c r="T52" s="156"/>
      <c r="U52" s="6"/>
    </row>
    <row r="53" spans="1:21" customFormat="1">
      <c r="A53" s="163" t="s">
        <v>1059</v>
      </c>
      <c r="B53" s="100">
        <v>10.44</v>
      </c>
      <c r="C53" s="100">
        <v>17.989999999999998</v>
      </c>
      <c r="D53" s="100">
        <v>17.77</v>
      </c>
      <c r="E53" s="100">
        <v>7.34</v>
      </c>
      <c r="F53" s="100">
        <v>2.14</v>
      </c>
      <c r="G53" s="100">
        <v>89.3</v>
      </c>
      <c r="H53" s="100">
        <v>38.76</v>
      </c>
      <c r="I53" s="100">
        <v>16.41</v>
      </c>
      <c r="J53" s="100">
        <v>1.58</v>
      </c>
      <c r="K53" s="100">
        <v>37.5</v>
      </c>
      <c r="L53" s="100">
        <v>29.23</v>
      </c>
      <c r="M53" s="100">
        <v>16.68</v>
      </c>
      <c r="N53" s="100">
        <v>593</v>
      </c>
      <c r="O53" s="100">
        <v>0</v>
      </c>
      <c r="P53" s="100">
        <v>0.81</v>
      </c>
      <c r="Q53" s="100">
        <v>9.32</v>
      </c>
      <c r="R53" s="6"/>
      <c r="S53" s="6"/>
      <c r="T53" s="156"/>
      <c r="U53" s="6"/>
    </row>
    <row r="54" spans="1:21" customFormat="1">
      <c r="A54" s="163" t="s">
        <v>1060</v>
      </c>
      <c r="B54" s="100">
        <v>10.09</v>
      </c>
      <c r="C54" s="100">
        <v>18.25</v>
      </c>
      <c r="D54" s="100">
        <v>17.63</v>
      </c>
      <c r="E54" s="100">
        <v>7.83</v>
      </c>
      <c r="F54" s="100">
        <v>1.55</v>
      </c>
      <c r="G54" s="100">
        <v>89.3</v>
      </c>
      <c r="H54" s="100">
        <v>38.76</v>
      </c>
      <c r="I54" s="100">
        <v>15.97</v>
      </c>
      <c r="J54" s="100">
        <v>0.97</v>
      </c>
      <c r="K54" s="100">
        <v>43.02</v>
      </c>
      <c r="L54" s="100">
        <v>29.65</v>
      </c>
      <c r="M54" s="100">
        <v>16.52</v>
      </c>
      <c r="N54" s="100">
        <v>655.20000000000005</v>
      </c>
      <c r="O54" s="100">
        <v>0</v>
      </c>
      <c r="P54" s="100">
        <v>0.78</v>
      </c>
      <c r="Q54" s="100">
        <v>9.32</v>
      </c>
      <c r="R54" s="6"/>
      <c r="S54" s="6"/>
      <c r="T54" s="156"/>
      <c r="U54" s="6"/>
    </row>
    <row r="55" spans="1:21" customFormat="1">
      <c r="A55" s="163" t="s">
        <v>1061</v>
      </c>
      <c r="B55" s="100">
        <v>9.68</v>
      </c>
      <c r="C55" s="100">
        <v>18.079999999999998</v>
      </c>
      <c r="D55" s="100">
        <v>17.21</v>
      </c>
      <c r="E55" s="100">
        <v>7.28</v>
      </c>
      <c r="F55" s="100">
        <v>1.96</v>
      </c>
      <c r="G55" s="100">
        <v>72.83</v>
      </c>
      <c r="H55" s="100">
        <v>31.56</v>
      </c>
      <c r="I55" s="100">
        <v>15.54</v>
      </c>
      <c r="J55" s="100">
        <v>1.1399999999999999</v>
      </c>
      <c r="K55" s="100">
        <v>38.85</v>
      </c>
      <c r="L55" s="100">
        <v>30.09</v>
      </c>
      <c r="M55" s="100">
        <v>16.18</v>
      </c>
      <c r="N55" s="100">
        <v>658.8</v>
      </c>
      <c r="O55" s="100">
        <v>0</v>
      </c>
      <c r="P55" s="100">
        <v>0.75</v>
      </c>
      <c r="Q55" s="100">
        <v>9.32</v>
      </c>
      <c r="R55" s="6"/>
      <c r="S55" s="6"/>
      <c r="T55" s="156"/>
      <c r="U55" s="6"/>
    </row>
    <row r="56" spans="1:21" customFormat="1">
      <c r="A56" s="163" t="s">
        <v>1062</v>
      </c>
      <c r="B56" s="100">
        <v>9.14</v>
      </c>
      <c r="C56" s="100">
        <v>18.399999999999999</v>
      </c>
      <c r="D56" s="100">
        <v>16.940000000000001</v>
      </c>
      <c r="E56" s="100">
        <v>7.35</v>
      </c>
      <c r="F56" s="100">
        <v>2.2200000000000002</v>
      </c>
      <c r="G56" s="100">
        <v>72.45</v>
      </c>
      <c r="H56" s="100">
        <v>31.56</v>
      </c>
      <c r="I56" s="100">
        <v>15.13</v>
      </c>
      <c r="J56" s="100">
        <v>1.1100000000000001</v>
      </c>
      <c r="K56" s="100">
        <v>53.82</v>
      </c>
      <c r="L56" s="100">
        <v>30.1</v>
      </c>
      <c r="M56" s="100">
        <v>15.78</v>
      </c>
      <c r="N56" s="100">
        <v>679.7</v>
      </c>
      <c r="O56" s="100">
        <v>0</v>
      </c>
      <c r="P56" s="100">
        <v>0.74</v>
      </c>
      <c r="Q56" s="100">
        <v>9.32</v>
      </c>
      <c r="R56" s="6"/>
      <c r="S56" s="6"/>
      <c r="T56" s="156"/>
      <c r="U56" s="6"/>
    </row>
    <row r="57" spans="1:21" customFormat="1">
      <c r="A57" s="163" t="s">
        <v>1063</v>
      </c>
      <c r="B57" s="100">
        <v>8.57</v>
      </c>
      <c r="C57" s="100">
        <v>19.03</v>
      </c>
      <c r="D57" s="100">
        <v>16.82</v>
      </c>
      <c r="E57" s="100">
        <v>7.1</v>
      </c>
      <c r="F57" s="100">
        <v>1.37</v>
      </c>
      <c r="G57" s="100">
        <v>72.45</v>
      </c>
      <c r="H57" s="100">
        <v>31.56</v>
      </c>
      <c r="I57" s="100">
        <v>14.73</v>
      </c>
      <c r="J57" s="100">
        <v>0.79</v>
      </c>
      <c r="K57" s="100">
        <v>47.53</v>
      </c>
      <c r="L57" s="100">
        <v>30.51</v>
      </c>
      <c r="M57" s="100">
        <v>15.24</v>
      </c>
      <c r="N57" s="100">
        <v>684.3</v>
      </c>
      <c r="O57" s="100">
        <v>0</v>
      </c>
      <c r="P57" s="100">
        <v>0.7</v>
      </c>
      <c r="Q57" s="100">
        <v>9.32</v>
      </c>
      <c r="R57" s="6"/>
      <c r="S57" s="6"/>
      <c r="T57" s="156"/>
      <c r="U57" s="6"/>
    </row>
    <row r="58" spans="1:21" customFormat="1">
      <c r="A58" s="163" t="s">
        <v>1064</v>
      </c>
      <c r="B58" s="100">
        <v>8.07</v>
      </c>
      <c r="C58" s="100">
        <v>19.28</v>
      </c>
      <c r="D58" s="100">
        <v>16.54</v>
      </c>
      <c r="E58" s="100">
        <v>6.88</v>
      </c>
      <c r="F58" s="100">
        <v>1.43</v>
      </c>
      <c r="G58" s="100">
        <v>72.45</v>
      </c>
      <c r="H58" s="100">
        <v>31.56</v>
      </c>
      <c r="I58" s="100">
        <v>14.34</v>
      </c>
      <c r="J58" s="100">
        <v>0.44</v>
      </c>
      <c r="K58" s="100">
        <v>73.739999999999995</v>
      </c>
      <c r="L58" s="100">
        <v>30.97</v>
      </c>
      <c r="M58" s="100">
        <v>15.09</v>
      </c>
      <c r="N58" s="100">
        <v>667.5</v>
      </c>
      <c r="O58" s="100">
        <v>0</v>
      </c>
      <c r="P58" s="100">
        <v>0.68</v>
      </c>
      <c r="Q58" s="100">
        <v>9.32</v>
      </c>
      <c r="R58" s="6"/>
      <c r="S58" s="6"/>
      <c r="T58" s="156"/>
      <c r="U58" s="6"/>
    </row>
    <row r="59" spans="1:21" customFormat="1">
      <c r="A59" s="163" t="s">
        <v>1065</v>
      </c>
      <c r="B59" s="100">
        <v>7.76</v>
      </c>
      <c r="C59" s="100">
        <v>19.600000000000001</v>
      </c>
      <c r="D59" s="100">
        <v>16.46</v>
      </c>
      <c r="E59" s="100">
        <v>7.18</v>
      </c>
      <c r="F59" s="100">
        <v>1.1200000000000001</v>
      </c>
      <c r="G59" s="100">
        <v>62.89</v>
      </c>
      <c r="H59" s="100">
        <v>27.97</v>
      </c>
      <c r="I59" s="100">
        <v>13.86</v>
      </c>
      <c r="J59" s="100">
        <v>0.95</v>
      </c>
      <c r="K59" s="100">
        <v>45.2</v>
      </c>
      <c r="L59" s="100">
        <v>30.92</v>
      </c>
      <c r="M59" s="100">
        <v>14.58</v>
      </c>
      <c r="N59" s="100">
        <v>648.20000000000005</v>
      </c>
      <c r="O59" s="100">
        <v>0</v>
      </c>
      <c r="P59" s="100">
        <v>0.65</v>
      </c>
      <c r="Q59" s="100">
        <v>9.32</v>
      </c>
      <c r="R59" s="6"/>
      <c r="S59" s="6"/>
      <c r="T59" s="156"/>
      <c r="U59" s="6"/>
    </row>
    <row r="60" spans="1:21" customFormat="1">
      <c r="A60" s="163" t="s">
        <v>1066</v>
      </c>
      <c r="B60" s="100">
        <v>7.52</v>
      </c>
      <c r="C60" s="100">
        <v>19.8</v>
      </c>
      <c r="D60" s="100">
        <v>16.38</v>
      </c>
      <c r="E60" s="100">
        <v>7.14</v>
      </c>
      <c r="F60" s="100">
        <v>1.74</v>
      </c>
      <c r="G60" s="100">
        <v>62.67</v>
      </c>
      <c r="H60" s="100">
        <v>27.97</v>
      </c>
      <c r="I60" s="100">
        <v>13.41</v>
      </c>
      <c r="J60" s="100">
        <v>0.87</v>
      </c>
      <c r="K60" s="100">
        <v>48.01</v>
      </c>
      <c r="L60" s="100">
        <v>31.11</v>
      </c>
      <c r="M60" s="100">
        <v>14.47</v>
      </c>
      <c r="N60" s="100">
        <v>609.4</v>
      </c>
      <c r="O60" s="100">
        <v>0</v>
      </c>
      <c r="P60" s="100">
        <v>0.62</v>
      </c>
      <c r="Q60" s="100">
        <v>9.32</v>
      </c>
      <c r="R60" s="6"/>
      <c r="S60" s="6"/>
      <c r="T60" s="156"/>
      <c r="U60" s="6"/>
    </row>
    <row r="61" spans="1:21" customFormat="1">
      <c r="A61" s="163" t="s">
        <v>1067</v>
      </c>
      <c r="B61" s="100">
        <v>7.16</v>
      </c>
      <c r="C61" s="100">
        <v>19.989999999999998</v>
      </c>
      <c r="D61" s="100">
        <v>16.18</v>
      </c>
      <c r="E61" s="100">
        <v>7.29</v>
      </c>
      <c r="F61" s="100">
        <v>1.88</v>
      </c>
      <c r="G61" s="100">
        <v>62.67</v>
      </c>
      <c r="H61" s="100">
        <v>27.97</v>
      </c>
      <c r="I61" s="100">
        <v>13.03</v>
      </c>
      <c r="J61" s="100">
        <v>1.08</v>
      </c>
      <c r="K61" s="100">
        <v>43.52</v>
      </c>
      <c r="L61" s="100">
        <v>31.05</v>
      </c>
      <c r="M61" s="100">
        <v>13.73</v>
      </c>
      <c r="N61" s="100">
        <v>563.70000000000005</v>
      </c>
      <c r="O61" s="100">
        <v>0</v>
      </c>
      <c r="P61" s="100">
        <v>0.61</v>
      </c>
      <c r="Q61" s="100">
        <v>9.31</v>
      </c>
      <c r="R61" s="6"/>
      <c r="S61" s="6"/>
      <c r="T61" s="156"/>
      <c r="U61" s="6"/>
    </row>
    <row r="62" spans="1:21" customFormat="1">
      <c r="A62" s="163" t="s">
        <v>1068</v>
      </c>
      <c r="B62" s="100">
        <v>6.61</v>
      </c>
      <c r="C62" s="100">
        <v>19.98</v>
      </c>
      <c r="D62" s="100">
        <v>15.74</v>
      </c>
      <c r="E62" s="100">
        <v>6.86</v>
      </c>
      <c r="F62" s="100">
        <v>3.19</v>
      </c>
      <c r="G62" s="100">
        <v>62.67</v>
      </c>
      <c r="H62" s="100">
        <v>27.97</v>
      </c>
      <c r="I62" s="100">
        <v>12.42</v>
      </c>
      <c r="J62" s="100">
        <v>1.38</v>
      </c>
      <c r="K62" s="100">
        <v>34.68</v>
      </c>
      <c r="L62" s="100">
        <v>30.84</v>
      </c>
      <c r="M62" s="100">
        <v>13.84</v>
      </c>
      <c r="N62" s="100">
        <v>233.2</v>
      </c>
      <c r="O62" s="100">
        <v>0</v>
      </c>
      <c r="P62" s="100">
        <v>0.57999999999999996</v>
      </c>
      <c r="Q62" s="100">
        <v>9.35</v>
      </c>
      <c r="R62" s="6"/>
      <c r="S62" s="6"/>
      <c r="T62" s="156"/>
      <c r="U62" s="6"/>
    </row>
    <row r="63" spans="1:21" customFormat="1">
      <c r="A63" s="163" t="s">
        <v>1069</v>
      </c>
      <c r="B63" s="100">
        <v>5.99</v>
      </c>
      <c r="C63" s="100">
        <v>20.02</v>
      </c>
      <c r="D63" s="100">
        <v>15.26</v>
      </c>
      <c r="E63" s="100">
        <v>7.21</v>
      </c>
      <c r="F63" s="100">
        <v>3.81</v>
      </c>
      <c r="G63" s="100">
        <v>52.01</v>
      </c>
      <c r="H63" s="100">
        <v>24.09</v>
      </c>
      <c r="I63" s="100">
        <v>11.83</v>
      </c>
      <c r="J63" s="100">
        <v>1.25</v>
      </c>
      <c r="K63" s="100">
        <v>44.15</v>
      </c>
      <c r="L63" s="100">
        <v>30.79</v>
      </c>
      <c r="M63" s="100">
        <v>13.8</v>
      </c>
      <c r="N63" s="100">
        <v>138.9</v>
      </c>
      <c r="O63" s="100">
        <v>0</v>
      </c>
      <c r="P63" s="100">
        <v>0.56000000000000005</v>
      </c>
      <c r="Q63" s="100">
        <v>9.31</v>
      </c>
      <c r="R63" s="6"/>
      <c r="S63" s="6"/>
      <c r="T63" s="156"/>
      <c r="U63" s="6"/>
    </row>
    <row r="64" spans="1:21" customFormat="1">
      <c r="A64" s="163" t="s">
        <v>1070</v>
      </c>
      <c r="B64" s="100">
        <v>5.5</v>
      </c>
      <c r="C64" s="100">
        <v>20</v>
      </c>
      <c r="D64" s="100">
        <v>14.86</v>
      </c>
      <c r="E64" s="100">
        <v>7</v>
      </c>
      <c r="F64" s="100">
        <v>3.68</v>
      </c>
      <c r="G64" s="100">
        <v>51.77</v>
      </c>
      <c r="H64" s="100">
        <v>24.09</v>
      </c>
      <c r="I64" s="100">
        <v>11.43</v>
      </c>
      <c r="J64" s="100">
        <v>1.1000000000000001</v>
      </c>
      <c r="K64" s="100">
        <v>36.49</v>
      </c>
      <c r="L64" s="100">
        <v>30.78</v>
      </c>
      <c r="M64" s="100">
        <v>14.53</v>
      </c>
      <c r="N64" s="100">
        <v>108.9</v>
      </c>
      <c r="O64" s="100">
        <v>0</v>
      </c>
      <c r="P64" s="100">
        <v>0.54</v>
      </c>
      <c r="Q64" s="100">
        <v>9.32</v>
      </c>
      <c r="R64" s="6"/>
      <c r="S64" s="6"/>
      <c r="T64" s="156"/>
      <c r="U64" s="6"/>
    </row>
    <row r="65" spans="1:21" customFormat="1">
      <c r="A65" s="163" t="s">
        <v>1071</v>
      </c>
      <c r="B65" s="100">
        <v>5.04</v>
      </c>
      <c r="C65" s="100">
        <v>19.8</v>
      </c>
      <c r="D65" s="100">
        <v>14.38</v>
      </c>
      <c r="E65" s="100">
        <v>6.48</v>
      </c>
      <c r="F65" s="100">
        <v>3.94</v>
      </c>
      <c r="G65" s="100">
        <v>51.77</v>
      </c>
      <c r="H65" s="100">
        <v>24.09</v>
      </c>
      <c r="I65" s="100">
        <v>11.08</v>
      </c>
      <c r="J65" s="100">
        <v>1.06</v>
      </c>
      <c r="K65" s="100">
        <v>42.92</v>
      </c>
      <c r="L65" s="100">
        <v>30.78</v>
      </c>
      <c r="M65" s="100">
        <v>14.67</v>
      </c>
      <c r="N65" s="100">
        <v>104.1</v>
      </c>
      <c r="O65" s="100">
        <v>0</v>
      </c>
      <c r="P65" s="100">
        <v>0.51</v>
      </c>
      <c r="Q65" s="100">
        <v>9.33</v>
      </c>
      <c r="R65" s="6"/>
      <c r="S65" s="6"/>
      <c r="T65" s="156"/>
      <c r="U65" s="6"/>
    </row>
    <row r="66" spans="1:21" customFormat="1">
      <c r="A66" s="163" t="s">
        <v>1072</v>
      </c>
      <c r="B66" s="100">
        <v>4.59</v>
      </c>
      <c r="C66" s="100">
        <v>19.489999999999998</v>
      </c>
      <c r="D66" s="100">
        <v>13.86</v>
      </c>
      <c r="E66" s="100">
        <v>6.71</v>
      </c>
      <c r="F66" s="100">
        <v>5.12</v>
      </c>
      <c r="G66" s="100">
        <v>51.77</v>
      </c>
      <c r="H66" s="100">
        <v>24.09</v>
      </c>
      <c r="I66" s="100">
        <v>10.83</v>
      </c>
      <c r="J66" s="100">
        <v>0.91</v>
      </c>
      <c r="K66" s="100">
        <v>45.09</v>
      </c>
      <c r="L66" s="100">
        <v>30.71</v>
      </c>
      <c r="M66" s="100">
        <v>14.67</v>
      </c>
      <c r="N66" s="100">
        <v>106</v>
      </c>
      <c r="O66" s="100">
        <v>0</v>
      </c>
      <c r="P66" s="100">
        <v>0.52</v>
      </c>
      <c r="Q66" s="100">
        <v>9.34</v>
      </c>
      <c r="R66" s="6"/>
      <c r="S66" s="6"/>
      <c r="T66" s="156"/>
      <c r="U66" s="6"/>
    </row>
    <row r="67" spans="1:21" customFormat="1">
      <c r="A67" s="163" t="s">
        <v>1073</v>
      </c>
      <c r="B67" s="100">
        <v>4.24</v>
      </c>
      <c r="C67" s="100">
        <v>19.36</v>
      </c>
      <c r="D67" s="100">
        <v>13.51</v>
      </c>
      <c r="E67" s="100">
        <v>6.88</v>
      </c>
      <c r="F67" s="100">
        <v>4.8499999999999996</v>
      </c>
      <c r="G67" s="100">
        <v>46.1</v>
      </c>
      <c r="H67" s="100">
        <v>19.93</v>
      </c>
      <c r="I67" s="100">
        <v>10.56</v>
      </c>
      <c r="J67" s="100">
        <v>0.54</v>
      </c>
      <c r="K67" s="100">
        <v>66.02</v>
      </c>
      <c r="L67" s="100">
        <v>30.67</v>
      </c>
      <c r="M67" s="100">
        <v>15.2</v>
      </c>
      <c r="N67" s="100">
        <v>123.7</v>
      </c>
      <c r="O67" s="100">
        <v>0</v>
      </c>
      <c r="P67" s="100">
        <v>0.51</v>
      </c>
      <c r="Q67" s="100">
        <v>9.36</v>
      </c>
      <c r="R67" s="6"/>
      <c r="S67" s="6"/>
      <c r="T67" s="156"/>
      <c r="U67" s="6"/>
    </row>
    <row r="68" spans="1:21" customFormat="1">
      <c r="A68" s="163" t="s">
        <v>1074</v>
      </c>
      <c r="B68" s="100">
        <v>3.93</v>
      </c>
      <c r="C68" s="100">
        <v>18.91</v>
      </c>
      <c r="D68" s="100">
        <v>13.03</v>
      </c>
      <c r="E68" s="100">
        <v>6.78</v>
      </c>
      <c r="F68" s="100">
        <v>3.89</v>
      </c>
      <c r="G68" s="100">
        <v>45.97</v>
      </c>
      <c r="H68" s="100">
        <v>19.93</v>
      </c>
      <c r="I68" s="100">
        <v>10.42</v>
      </c>
      <c r="J68" s="100">
        <v>0.86</v>
      </c>
      <c r="K68" s="100">
        <v>50.33</v>
      </c>
      <c r="L68" s="100">
        <v>30.56</v>
      </c>
      <c r="M68" s="100">
        <v>15.66</v>
      </c>
      <c r="N68" s="100">
        <v>111.9</v>
      </c>
      <c r="O68" s="100">
        <v>0</v>
      </c>
      <c r="P68" s="100">
        <v>0.5</v>
      </c>
      <c r="Q68" s="100">
        <v>9.34</v>
      </c>
      <c r="R68" s="6"/>
      <c r="S68" s="6"/>
      <c r="T68" s="156"/>
      <c r="U68" s="6"/>
    </row>
    <row r="69" spans="1:21" customFormat="1">
      <c r="A69" s="163" t="s">
        <v>1075</v>
      </c>
      <c r="B69" s="100">
        <v>3.68</v>
      </c>
      <c r="C69" s="100">
        <v>18.649999999999999</v>
      </c>
      <c r="D69" s="100">
        <v>12.69</v>
      </c>
      <c r="E69" s="100">
        <v>6.6</v>
      </c>
      <c r="F69" s="100">
        <v>3.73</v>
      </c>
      <c r="G69" s="100">
        <v>45.97</v>
      </c>
      <c r="H69" s="100">
        <v>19.93</v>
      </c>
      <c r="I69" s="100">
        <v>10.32</v>
      </c>
      <c r="J69" s="100">
        <v>0.26</v>
      </c>
      <c r="K69" s="100">
        <v>122.93</v>
      </c>
      <c r="L69" s="100">
        <v>30.45</v>
      </c>
      <c r="M69" s="100">
        <v>16.149999999999999</v>
      </c>
      <c r="N69" s="100">
        <v>109.1</v>
      </c>
      <c r="O69" s="100">
        <v>0</v>
      </c>
      <c r="P69" s="100">
        <v>0.5</v>
      </c>
      <c r="Q69" s="100">
        <v>9.33</v>
      </c>
      <c r="R69" s="6"/>
      <c r="S69" s="6"/>
      <c r="T69" s="156"/>
      <c r="U69" s="6"/>
    </row>
    <row r="70" spans="1:21" customFormat="1">
      <c r="A70" s="163" t="s">
        <v>1076</v>
      </c>
      <c r="B70" s="100">
        <v>4.04</v>
      </c>
      <c r="C70" s="100">
        <v>19.52</v>
      </c>
      <c r="D70" s="100">
        <v>13.44</v>
      </c>
      <c r="E70" s="100">
        <v>6.65</v>
      </c>
      <c r="F70" s="100">
        <v>4.6100000000000003</v>
      </c>
      <c r="G70" s="100">
        <v>45.97</v>
      </c>
      <c r="H70" s="100">
        <v>19.93</v>
      </c>
      <c r="I70" s="100">
        <v>10.17</v>
      </c>
      <c r="J70" s="100">
        <v>0.65</v>
      </c>
      <c r="K70" s="100">
        <v>55.03</v>
      </c>
      <c r="L70" s="100">
        <v>30.38</v>
      </c>
      <c r="M70" s="100">
        <v>16.010000000000002</v>
      </c>
      <c r="N70" s="100">
        <v>107.3</v>
      </c>
      <c r="O70" s="100">
        <v>0</v>
      </c>
      <c r="P70" s="100">
        <v>0.49</v>
      </c>
      <c r="Q70" s="100">
        <v>9.33</v>
      </c>
      <c r="R70" s="6"/>
      <c r="S70" s="6"/>
      <c r="T70" s="156"/>
      <c r="U70" s="6"/>
    </row>
    <row r="71" spans="1:21" customFormat="1">
      <c r="A71" s="163" t="s">
        <v>1077</v>
      </c>
      <c r="B71" s="100">
        <v>4.3600000000000003</v>
      </c>
      <c r="C71" s="100">
        <v>20.54</v>
      </c>
      <c r="D71" s="100">
        <v>14.23</v>
      </c>
      <c r="E71" s="100">
        <v>6.77</v>
      </c>
      <c r="F71" s="100">
        <v>5.41</v>
      </c>
      <c r="G71" s="100">
        <v>48.01</v>
      </c>
      <c r="H71" s="100">
        <v>18.14</v>
      </c>
      <c r="I71" s="100">
        <v>10.029999999999999</v>
      </c>
      <c r="J71" s="100">
        <v>0.65</v>
      </c>
      <c r="K71" s="100">
        <v>45.4</v>
      </c>
      <c r="L71" s="100">
        <v>30.24</v>
      </c>
      <c r="M71" s="100">
        <v>16.649999999999999</v>
      </c>
      <c r="N71" s="100">
        <v>96</v>
      </c>
      <c r="O71" s="100">
        <v>0</v>
      </c>
      <c r="P71" s="100">
        <v>0.48</v>
      </c>
      <c r="Q71" s="100">
        <v>9.33</v>
      </c>
      <c r="R71" s="6"/>
      <c r="S71" s="6"/>
      <c r="T71" s="156"/>
      <c r="U71" s="6"/>
    </row>
    <row r="72" spans="1:21" customFormat="1">
      <c r="A72" s="163" t="s">
        <v>1078</v>
      </c>
      <c r="B72" s="100">
        <v>3.61</v>
      </c>
      <c r="C72" s="100">
        <v>18.82</v>
      </c>
      <c r="D72" s="100">
        <v>12.73</v>
      </c>
      <c r="E72" s="100">
        <v>6.7</v>
      </c>
      <c r="F72" s="100">
        <v>4.2699999999999996</v>
      </c>
      <c r="G72" s="100">
        <v>48.06</v>
      </c>
      <c r="H72" s="100">
        <v>18.14</v>
      </c>
      <c r="I72" s="100">
        <v>9.94</v>
      </c>
      <c r="J72" s="100">
        <v>0.41</v>
      </c>
      <c r="K72" s="100">
        <v>63.11</v>
      </c>
      <c r="L72" s="100">
        <v>29.95</v>
      </c>
      <c r="M72" s="100">
        <v>17.71</v>
      </c>
      <c r="N72" s="100">
        <v>88</v>
      </c>
      <c r="O72" s="100">
        <v>0</v>
      </c>
      <c r="P72" s="100">
        <v>0.47</v>
      </c>
      <c r="Q72" s="100">
        <v>9.32</v>
      </c>
      <c r="R72" s="6"/>
      <c r="S72" s="6"/>
      <c r="T72" s="156"/>
      <c r="U72" s="6"/>
    </row>
    <row r="73" spans="1:21" customFormat="1">
      <c r="A73" s="163" t="s">
        <v>1079</v>
      </c>
      <c r="B73" s="100">
        <v>3.61</v>
      </c>
      <c r="C73" s="100">
        <v>18.78</v>
      </c>
      <c r="D73" s="100">
        <v>12.71</v>
      </c>
      <c r="E73" s="100">
        <v>6.55</v>
      </c>
      <c r="F73" s="100">
        <v>4.08</v>
      </c>
      <c r="G73" s="100">
        <v>48.06</v>
      </c>
      <c r="H73" s="100">
        <v>18.14</v>
      </c>
      <c r="I73" s="100">
        <v>9.98</v>
      </c>
      <c r="J73" s="100">
        <v>0.3</v>
      </c>
      <c r="K73" s="100">
        <v>84.5</v>
      </c>
      <c r="L73" s="100">
        <v>29.71</v>
      </c>
      <c r="M73" s="100">
        <v>17.66</v>
      </c>
      <c r="N73" s="100">
        <v>80.599999999999994</v>
      </c>
      <c r="O73" s="100">
        <v>0</v>
      </c>
      <c r="P73" s="100">
        <v>0.47</v>
      </c>
      <c r="Q73" s="100">
        <v>9.3699999999999992</v>
      </c>
      <c r="R73" s="6"/>
      <c r="S73" s="6"/>
      <c r="T73" s="156"/>
      <c r="U73" s="6"/>
    </row>
    <row r="74" spans="1:21" customFormat="1">
      <c r="A74" s="163" t="s">
        <v>1080</v>
      </c>
      <c r="B74" s="100">
        <v>3.5</v>
      </c>
      <c r="C74" s="100">
        <v>18.149999999999999</v>
      </c>
      <c r="D74" s="100">
        <v>12.29</v>
      </c>
      <c r="E74" s="100">
        <v>5.88</v>
      </c>
      <c r="F74" s="100">
        <v>2.94</v>
      </c>
      <c r="G74" s="100">
        <v>48.06</v>
      </c>
      <c r="H74" s="100">
        <v>18.14</v>
      </c>
      <c r="I74" s="100">
        <v>10</v>
      </c>
      <c r="J74" s="100">
        <v>0.23</v>
      </c>
      <c r="K74" s="100">
        <v>65.64</v>
      </c>
      <c r="L74" s="100">
        <v>29.3</v>
      </c>
      <c r="M74" s="100">
        <v>19.100000000000001</v>
      </c>
      <c r="N74" s="100">
        <v>75.2</v>
      </c>
      <c r="O74" s="100">
        <v>0</v>
      </c>
      <c r="P74" s="100">
        <v>0.47</v>
      </c>
      <c r="Q74" s="100">
        <v>9.36</v>
      </c>
      <c r="R74" s="6"/>
      <c r="S74" s="6"/>
      <c r="T74" s="156"/>
      <c r="U74" s="6"/>
    </row>
    <row r="75" spans="1:21" customFormat="1">
      <c r="A75" s="163" t="s">
        <v>1081</v>
      </c>
      <c r="B75" s="100">
        <v>3.52</v>
      </c>
      <c r="C75" s="100">
        <v>17.989999999999998</v>
      </c>
      <c r="D75" s="100">
        <v>12.22</v>
      </c>
      <c r="E75" s="100">
        <v>6.19</v>
      </c>
      <c r="F75" s="100">
        <v>2.4500000000000002</v>
      </c>
      <c r="G75" s="100">
        <v>49.93</v>
      </c>
      <c r="H75" s="100">
        <v>21.16</v>
      </c>
      <c r="I75" s="100">
        <v>9.9</v>
      </c>
      <c r="J75" s="100">
        <v>0.16</v>
      </c>
      <c r="K75" s="100">
        <v>119.6</v>
      </c>
      <c r="L75" s="100">
        <v>28.7</v>
      </c>
      <c r="M75" s="100">
        <v>21.76</v>
      </c>
      <c r="N75" s="100">
        <v>64.900000000000006</v>
      </c>
      <c r="O75" s="100">
        <v>0</v>
      </c>
      <c r="P75" s="100">
        <v>0.46</v>
      </c>
      <c r="Q75" s="100">
        <v>9.3699999999999992</v>
      </c>
      <c r="R75" s="6"/>
      <c r="S75" s="6"/>
      <c r="T75" s="156"/>
      <c r="U75" s="6"/>
    </row>
    <row r="76" spans="1:21" customFormat="1">
      <c r="A76" s="163" t="s">
        <v>1082</v>
      </c>
      <c r="B76" s="100">
        <v>4.12</v>
      </c>
      <c r="C76" s="100">
        <v>18.899999999999999</v>
      </c>
      <c r="D76" s="100">
        <v>13.18</v>
      </c>
      <c r="E76" s="100">
        <v>6.18</v>
      </c>
      <c r="F76" s="100">
        <v>1.29</v>
      </c>
      <c r="G76" s="100">
        <v>49.97</v>
      </c>
      <c r="H76" s="100">
        <v>21.16</v>
      </c>
      <c r="I76" s="100">
        <v>9.7100000000000009</v>
      </c>
      <c r="J76" s="100">
        <v>0.21</v>
      </c>
      <c r="K76" s="100">
        <v>147.28</v>
      </c>
      <c r="L76" s="100">
        <v>27.7</v>
      </c>
      <c r="M76" s="100">
        <v>24.31</v>
      </c>
      <c r="N76" s="100">
        <v>60.9</v>
      </c>
      <c r="O76" s="100">
        <v>0</v>
      </c>
      <c r="P76" s="100">
        <v>0.47</v>
      </c>
      <c r="Q76" s="100">
        <v>9.4499999999999993</v>
      </c>
      <c r="R76" s="6"/>
      <c r="S76" s="6"/>
      <c r="T76" s="156"/>
      <c r="U76" s="6"/>
    </row>
    <row r="77" spans="1:21" customFormat="1">
      <c r="A77" s="163" t="s">
        <v>1083</v>
      </c>
      <c r="B77" s="100">
        <v>4.1100000000000003</v>
      </c>
      <c r="C77" s="100">
        <v>17.36</v>
      </c>
      <c r="D77" s="100">
        <v>12.36</v>
      </c>
      <c r="E77" s="100">
        <v>6.22</v>
      </c>
      <c r="F77" s="100">
        <v>1.05</v>
      </c>
      <c r="G77" s="100">
        <v>49.97</v>
      </c>
      <c r="H77" s="100">
        <v>21.16</v>
      </c>
      <c r="I77" s="100">
        <v>9.5500000000000007</v>
      </c>
      <c r="J77" s="100">
        <v>0.24</v>
      </c>
      <c r="K77" s="100">
        <v>152.56</v>
      </c>
      <c r="L77" s="100">
        <v>26.22</v>
      </c>
      <c r="M77" s="100">
        <v>29.72</v>
      </c>
      <c r="N77" s="100">
        <v>55.9</v>
      </c>
      <c r="O77" s="100">
        <v>0</v>
      </c>
      <c r="P77" s="100">
        <v>0.46</v>
      </c>
      <c r="Q77" s="100">
        <v>9.41</v>
      </c>
      <c r="R77" s="6"/>
      <c r="S77" s="6"/>
      <c r="T77" s="156"/>
      <c r="U77" s="6"/>
    </row>
    <row r="78" spans="1:21" customFormat="1">
      <c r="A78" s="163" t="s">
        <v>1084</v>
      </c>
      <c r="B78" s="100">
        <v>4.3499999999999996</v>
      </c>
      <c r="C78" s="100">
        <v>16.95</v>
      </c>
      <c r="D78" s="100">
        <v>12.34</v>
      </c>
      <c r="E78" s="100">
        <v>6.02</v>
      </c>
      <c r="F78" s="100">
        <v>0.51</v>
      </c>
      <c r="G78" s="100">
        <v>49.97</v>
      </c>
      <c r="H78" s="100">
        <v>21.16</v>
      </c>
      <c r="I78" s="100">
        <v>9.4700000000000006</v>
      </c>
      <c r="J78" s="100">
        <v>0.3</v>
      </c>
      <c r="K78" s="100">
        <v>161.86000000000001</v>
      </c>
      <c r="L78" s="100">
        <v>25.17</v>
      </c>
      <c r="M78" s="100">
        <v>33.270000000000003</v>
      </c>
      <c r="N78" s="100">
        <v>25.3</v>
      </c>
      <c r="O78" s="100">
        <v>0</v>
      </c>
      <c r="P78" s="100">
        <v>0.47</v>
      </c>
      <c r="Q78" s="100">
        <v>9.3699999999999992</v>
      </c>
      <c r="R78" s="6"/>
      <c r="S78" s="6"/>
      <c r="T78" s="156"/>
      <c r="U78" s="6"/>
    </row>
    <row r="79" spans="1:21" customFormat="1">
      <c r="A79" s="163" t="s">
        <v>1085</v>
      </c>
      <c r="B79" s="100">
        <v>4.6399999999999997</v>
      </c>
      <c r="C79" s="100">
        <v>16.61</v>
      </c>
      <c r="D79" s="100">
        <v>12.4</v>
      </c>
      <c r="E79" s="100">
        <v>5.92</v>
      </c>
      <c r="F79" s="100">
        <v>0.4</v>
      </c>
      <c r="G79" s="100">
        <v>61.75</v>
      </c>
      <c r="H79" s="100">
        <v>21.06</v>
      </c>
      <c r="I79" s="100">
        <v>9.43</v>
      </c>
      <c r="J79" s="100">
        <v>0.21</v>
      </c>
      <c r="K79" s="100">
        <v>157.13999999999999</v>
      </c>
      <c r="L79" s="100">
        <v>24.29</v>
      </c>
      <c r="M79" s="100">
        <v>36.79</v>
      </c>
      <c r="N79" s="100">
        <v>23.8</v>
      </c>
      <c r="O79" s="100">
        <v>0</v>
      </c>
      <c r="P79" s="100">
        <v>0.47</v>
      </c>
      <c r="Q79" s="100">
        <v>9.4700000000000006</v>
      </c>
      <c r="R79" s="6"/>
      <c r="S79" s="6"/>
      <c r="T79" s="156"/>
      <c r="U79" s="6"/>
    </row>
    <row r="80" spans="1:21" customFormat="1">
      <c r="A80" s="163" t="s">
        <v>1086</v>
      </c>
      <c r="B80" s="100">
        <v>5.05</v>
      </c>
      <c r="C80" s="100">
        <v>16.78</v>
      </c>
      <c r="D80" s="100">
        <v>12.82</v>
      </c>
      <c r="E80" s="100">
        <v>5.82</v>
      </c>
      <c r="F80" s="100">
        <v>0.14000000000000001</v>
      </c>
      <c r="G80" s="100">
        <v>62.08</v>
      </c>
      <c r="H80" s="100">
        <v>21.06</v>
      </c>
      <c r="I80" s="100">
        <v>9.4</v>
      </c>
      <c r="J80" s="100">
        <v>0.25</v>
      </c>
      <c r="K80" s="100">
        <v>161.87</v>
      </c>
      <c r="L80" s="100">
        <v>23.77</v>
      </c>
      <c r="M80" s="100">
        <v>37.85</v>
      </c>
      <c r="N80" s="100">
        <v>23.5</v>
      </c>
      <c r="O80" s="100">
        <v>0</v>
      </c>
      <c r="P80" s="100">
        <v>0.47</v>
      </c>
      <c r="Q80" s="100">
        <v>9.4600000000000009</v>
      </c>
      <c r="R80" s="6"/>
      <c r="S80" s="6"/>
      <c r="T80" s="156"/>
      <c r="U80" s="6"/>
    </row>
    <row r="81" spans="1:21" customFormat="1">
      <c r="A81" s="163" t="s">
        <v>1087</v>
      </c>
      <c r="B81" s="100">
        <v>5.67</v>
      </c>
      <c r="C81" s="100">
        <v>17.16</v>
      </c>
      <c r="D81" s="100">
        <v>13.51</v>
      </c>
      <c r="E81" s="100">
        <v>3.67</v>
      </c>
      <c r="F81" s="100">
        <v>0.14000000000000001</v>
      </c>
      <c r="G81" s="100">
        <v>62.08</v>
      </c>
      <c r="H81" s="100">
        <v>21.06</v>
      </c>
      <c r="I81" s="100">
        <v>9.42</v>
      </c>
      <c r="J81" s="100">
        <v>0.21</v>
      </c>
      <c r="K81" s="100">
        <v>169.51</v>
      </c>
      <c r="L81" s="100">
        <v>23.01</v>
      </c>
      <c r="M81" s="100">
        <v>48.82</v>
      </c>
      <c r="N81" s="100">
        <v>23.6</v>
      </c>
      <c r="O81" s="100">
        <v>0</v>
      </c>
      <c r="P81" s="100">
        <v>0.5</v>
      </c>
      <c r="Q81" s="100">
        <v>9.35</v>
      </c>
      <c r="R81" s="6"/>
      <c r="S81" s="6"/>
      <c r="T81" s="156"/>
      <c r="U81" s="6"/>
    </row>
    <row r="82" spans="1:21" customFormat="1">
      <c r="A82" s="163" t="s">
        <v>1088</v>
      </c>
      <c r="B82" s="100">
        <v>6.43</v>
      </c>
      <c r="C82" s="100">
        <v>17.47</v>
      </c>
      <c r="D82" s="100">
        <v>14.28</v>
      </c>
      <c r="E82" s="100">
        <v>4.42</v>
      </c>
      <c r="F82" s="100">
        <v>0.11</v>
      </c>
      <c r="G82" s="100">
        <v>62.08</v>
      </c>
      <c r="H82" s="100">
        <v>21.06</v>
      </c>
      <c r="I82" s="100">
        <v>9.49</v>
      </c>
      <c r="J82" s="100">
        <v>0.18</v>
      </c>
      <c r="K82" s="100">
        <v>179.26</v>
      </c>
      <c r="L82" s="100">
        <v>22.23</v>
      </c>
      <c r="M82" s="100">
        <v>57.62</v>
      </c>
      <c r="N82" s="100">
        <v>23.6</v>
      </c>
      <c r="O82" s="100">
        <v>0</v>
      </c>
      <c r="P82" s="100">
        <v>0.6</v>
      </c>
      <c r="Q82" s="100">
        <v>9.31</v>
      </c>
      <c r="R82" s="6"/>
      <c r="S82" s="6"/>
      <c r="T82" s="156"/>
      <c r="U82" s="6"/>
    </row>
    <row r="83" spans="1:21" customFormat="1">
      <c r="A83" s="163" t="s">
        <v>1089</v>
      </c>
      <c r="B83" s="100">
        <v>7.25</v>
      </c>
      <c r="C83" s="100">
        <v>17.52</v>
      </c>
      <c r="D83" s="100">
        <v>14.96</v>
      </c>
      <c r="E83" s="100">
        <v>4.78</v>
      </c>
      <c r="F83" s="100">
        <v>0.2</v>
      </c>
      <c r="G83" s="100">
        <v>62.08</v>
      </c>
      <c r="H83" s="100">
        <v>164.56</v>
      </c>
      <c r="I83" s="100">
        <v>9.85</v>
      </c>
      <c r="J83" s="100">
        <v>0.16</v>
      </c>
      <c r="K83" s="100">
        <v>187.02</v>
      </c>
      <c r="L83" s="100">
        <v>21.72</v>
      </c>
      <c r="M83" s="100">
        <v>58.38</v>
      </c>
      <c r="N83" s="100">
        <v>23.6</v>
      </c>
      <c r="O83" s="100">
        <v>0</v>
      </c>
      <c r="P83" s="100">
        <v>0.72</v>
      </c>
      <c r="Q83" s="100">
        <v>9.33</v>
      </c>
      <c r="R83" s="6"/>
      <c r="S83" s="6"/>
      <c r="T83" s="156"/>
      <c r="U83" s="6"/>
    </row>
    <row r="84" spans="1:21" customFormat="1">
      <c r="A84" s="163" t="s">
        <v>1090</v>
      </c>
      <c r="B84" s="100">
        <v>7.86</v>
      </c>
      <c r="C84" s="100">
        <v>17.45</v>
      </c>
      <c r="D84" s="100">
        <v>15.42</v>
      </c>
      <c r="E84" s="100">
        <v>4.53</v>
      </c>
      <c r="F84" s="100">
        <v>0.32</v>
      </c>
      <c r="G84" s="100">
        <v>356.56</v>
      </c>
      <c r="H84" s="100">
        <v>164.56</v>
      </c>
      <c r="I84" s="100">
        <v>11.38</v>
      </c>
      <c r="J84" s="100">
        <v>0.17</v>
      </c>
      <c r="K84" s="100">
        <v>198.99</v>
      </c>
      <c r="L84" s="100">
        <v>21.04</v>
      </c>
      <c r="M84" s="100">
        <v>63.81</v>
      </c>
      <c r="N84" s="100">
        <v>23.7</v>
      </c>
      <c r="O84" s="100">
        <v>0</v>
      </c>
      <c r="P84" s="100">
        <v>0.8</v>
      </c>
      <c r="Q84" s="100">
        <v>9.26</v>
      </c>
      <c r="R84" s="6"/>
      <c r="S84" s="6"/>
      <c r="T84" s="156"/>
      <c r="U84" s="6"/>
    </row>
    <row r="85" spans="1:21" customFormat="1">
      <c r="A85" s="163" t="s">
        <v>1091</v>
      </c>
      <c r="B85" s="100">
        <v>8.15</v>
      </c>
      <c r="C85" s="100">
        <v>17.260000000000002</v>
      </c>
      <c r="D85" s="100">
        <v>15.55</v>
      </c>
      <c r="E85" s="100">
        <v>4.6900000000000004</v>
      </c>
      <c r="F85" s="100">
        <v>0.14000000000000001</v>
      </c>
      <c r="G85" s="100">
        <v>356.56</v>
      </c>
      <c r="H85" s="100">
        <v>164.56</v>
      </c>
      <c r="I85" s="100">
        <v>13.38</v>
      </c>
      <c r="J85" s="100">
        <v>0.17</v>
      </c>
      <c r="K85" s="100">
        <v>183.8</v>
      </c>
      <c r="L85" s="100">
        <v>20.43</v>
      </c>
      <c r="M85" s="100">
        <v>65.34</v>
      </c>
      <c r="N85" s="100">
        <v>23.7</v>
      </c>
      <c r="O85" s="100">
        <v>0</v>
      </c>
      <c r="P85" s="100">
        <v>0.84</v>
      </c>
      <c r="Q85" s="100">
        <v>9.32</v>
      </c>
      <c r="R85" s="6"/>
      <c r="S85" s="6"/>
      <c r="T85" s="156"/>
      <c r="U85" s="6"/>
    </row>
    <row r="86" spans="1:21" customFormat="1">
      <c r="A86" s="163" t="s">
        <v>1092</v>
      </c>
      <c r="B86" s="100">
        <v>8.33</v>
      </c>
      <c r="C86" s="100">
        <v>17.02</v>
      </c>
      <c r="D86" s="100">
        <v>15.57</v>
      </c>
      <c r="E86" s="100">
        <v>4.68</v>
      </c>
      <c r="F86" s="100">
        <v>0.05</v>
      </c>
      <c r="G86" s="100">
        <v>356.56</v>
      </c>
      <c r="H86" s="100">
        <v>164.56</v>
      </c>
      <c r="I86" s="100">
        <v>14.26</v>
      </c>
      <c r="J86" s="100">
        <v>0.16</v>
      </c>
      <c r="K86" s="100">
        <v>192.34</v>
      </c>
      <c r="L86" s="100">
        <v>20.3</v>
      </c>
      <c r="M86" s="100">
        <v>65.44</v>
      </c>
      <c r="N86" s="100">
        <v>23.5</v>
      </c>
      <c r="O86" s="100">
        <v>0</v>
      </c>
      <c r="P86" s="100">
        <v>0.84</v>
      </c>
      <c r="Q86" s="100">
        <v>9.32</v>
      </c>
      <c r="R86" s="6"/>
      <c r="S86" s="6"/>
      <c r="T86" s="156"/>
      <c r="U86" s="6"/>
    </row>
    <row r="87" spans="1:21" customFormat="1">
      <c r="A87" s="163" t="s">
        <v>1093</v>
      </c>
      <c r="B87" s="100">
        <v>8.49</v>
      </c>
      <c r="C87" s="100">
        <v>16.739999999999998</v>
      </c>
      <c r="D87" s="100">
        <v>15.55</v>
      </c>
      <c r="E87" s="100">
        <v>4.2300000000000004</v>
      </c>
      <c r="F87" s="100">
        <v>0.11</v>
      </c>
      <c r="G87" s="100">
        <v>176.12</v>
      </c>
      <c r="H87" s="100">
        <v>70.11</v>
      </c>
      <c r="I87" s="100">
        <v>14.33</v>
      </c>
      <c r="J87" s="100">
        <v>0.13</v>
      </c>
      <c r="K87" s="100">
        <v>178.72</v>
      </c>
      <c r="L87" s="100">
        <v>19.96</v>
      </c>
      <c r="M87" s="100">
        <v>61.78</v>
      </c>
      <c r="N87" s="100">
        <v>23.5</v>
      </c>
      <c r="O87" s="100">
        <v>0</v>
      </c>
      <c r="P87" s="100">
        <v>0.84</v>
      </c>
      <c r="Q87" s="100">
        <v>9.27</v>
      </c>
      <c r="R87" s="6"/>
      <c r="S87" s="6"/>
      <c r="T87" s="156"/>
      <c r="U87" s="6"/>
    </row>
    <row r="88" spans="1:21" customFormat="1">
      <c r="A88" s="163" t="s">
        <v>1094</v>
      </c>
      <c r="B88" s="100">
        <v>8.59</v>
      </c>
      <c r="C88" s="100">
        <v>16.46</v>
      </c>
      <c r="D88" s="100">
        <v>15.49</v>
      </c>
      <c r="E88" s="100">
        <v>4.5599999999999996</v>
      </c>
      <c r="F88" s="100">
        <v>0.12</v>
      </c>
      <c r="G88" s="100">
        <v>176.12</v>
      </c>
      <c r="H88" s="100">
        <v>70.11</v>
      </c>
      <c r="I88" s="100">
        <v>14.26</v>
      </c>
      <c r="J88" s="100">
        <v>0.16</v>
      </c>
      <c r="K88" s="100">
        <v>197.24</v>
      </c>
      <c r="L88" s="100">
        <v>19.68</v>
      </c>
      <c r="M88" s="100">
        <v>62.36</v>
      </c>
      <c r="N88" s="100">
        <v>23.5</v>
      </c>
      <c r="O88" s="100">
        <v>0</v>
      </c>
      <c r="P88" s="100">
        <v>0.84</v>
      </c>
      <c r="Q88" s="100">
        <v>9.2799999999999994</v>
      </c>
      <c r="R88" s="6"/>
      <c r="S88" s="6"/>
      <c r="T88" s="156"/>
      <c r="U88" s="6"/>
    </row>
    <row r="89" spans="1:21" customFormat="1">
      <c r="A89" s="163" t="s">
        <v>1095</v>
      </c>
      <c r="B89" s="100">
        <v>8.66</v>
      </c>
      <c r="C89" s="100">
        <v>16.260000000000002</v>
      </c>
      <c r="D89" s="100">
        <v>15.44</v>
      </c>
      <c r="E89" s="100">
        <v>4.51</v>
      </c>
      <c r="F89" s="100">
        <v>0.11</v>
      </c>
      <c r="G89" s="100">
        <v>176.12</v>
      </c>
      <c r="H89" s="100">
        <v>70.11</v>
      </c>
      <c r="I89" s="100">
        <v>14.27</v>
      </c>
      <c r="J89" s="100">
        <v>0.2</v>
      </c>
      <c r="K89" s="100">
        <v>186.32</v>
      </c>
      <c r="L89" s="100">
        <v>19.670000000000002</v>
      </c>
      <c r="M89" s="100">
        <v>66.13</v>
      </c>
      <c r="N89" s="100">
        <v>23.4</v>
      </c>
      <c r="O89" s="100">
        <v>0</v>
      </c>
      <c r="P89" s="100">
        <v>0.84</v>
      </c>
      <c r="Q89" s="100">
        <v>9.32</v>
      </c>
      <c r="R89" s="6"/>
      <c r="S89" s="6"/>
      <c r="T89" s="156"/>
      <c r="U89" s="6"/>
    </row>
    <row r="90" spans="1:21" customFormat="1">
      <c r="A90" s="163" t="s">
        <v>1096</v>
      </c>
      <c r="B90" s="100">
        <v>8.76</v>
      </c>
      <c r="C90" s="100">
        <v>16</v>
      </c>
      <c r="D90" s="100">
        <v>15.39</v>
      </c>
      <c r="E90" s="100">
        <v>4.2</v>
      </c>
      <c r="F90" s="100">
        <v>0.05</v>
      </c>
      <c r="G90" s="100">
        <v>176.12</v>
      </c>
      <c r="H90" s="100">
        <v>70.11</v>
      </c>
      <c r="I90" s="100">
        <v>14.29</v>
      </c>
      <c r="J90" s="100">
        <v>0.18</v>
      </c>
      <c r="K90" s="100">
        <v>204.45</v>
      </c>
      <c r="L90" s="100">
        <v>19.329999999999998</v>
      </c>
      <c r="M90" s="100">
        <v>68.290000000000006</v>
      </c>
      <c r="N90" s="100">
        <v>23.6</v>
      </c>
      <c r="O90" s="100">
        <v>0</v>
      </c>
      <c r="P90" s="100">
        <v>0.83</v>
      </c>
      <c r="Q90" s="100">
        <v>9.32</v>
      </c>
      <c r="R90" s="6"/>
      <c r="S90" s="6"/>
      <c r="T90" s="156"/>
      <c r="U90" s="6"/>
    </row>
    <row r="91" spans="1:21" customFormat="1">
      <c r="A91" s="163" t="s">
        <v>1097</v>
      </c>
      <c r="B91" s="100">
        <v>8.91</v>
      </c>
      <c r="C91" s="100">
        <v>15.72</v>
      </c>
      <c r="D91" s="100">
        <v>15.36</v>
      </c>
      <c r="E91" s="100">
        <v>4.62</v>
      </c>
      <c r="F91" s="100">
        <v>0.14000000000000001</v>
      </c>
      <c r="G91" s="100">
        <v>106.8</v>
      </c>
      <c r="H91" s="100">
        <v>31.19</v>
      </c>
      <c r="I91" s="100">
        <v>14.22</v>
      </c>
      <c r="J91" s="100">
        <v>0.2</v>
      </c>
      <c r="K91" s="100">
        <v>176.51</v>
      </c>
      <c r="L91" s="100">
        <v>18.98</v>
      </c>
      <c r="M91" s="100">
        <v>71.25</v>
      </c>
      <c r="N91" s="100">
        <v>23.9</v>
      </c>
      <c r="O91" s="100">
        <v>0</v>
      </c>
      <c r="P91" s="100">
        <v>0.83</v>
      </c>
      <c r="Q91" s="100">
        <v>9.32</v>
      </c>
      <c r="R91" s="6"/>
      <c r="S91" s="6"/>
      <c r="T91" s="156"/>
      <c r="U91" s="6"/>
    </row>
    <row r="92" spans="1:21" customFormat="1">
      <c r="A92" s="163" t="s">
        <v>1098</v>
      </c>
      <c r="B92" s="100">
        <v>8.9700000000000006</v>
      </c>
      <c r="C92" s="100">
        <v>15.64</v>
      </c>
      <c r="D92" s="100">
        <v>15.37</v>
      </c>
      <c r="E92" s="100">
        <v>4.5999999999999996</v>
      </c>
      <c r="F92" s="100">
        <v>0.04</v>
      </c>
      <c r="G92" s="100">
        <v>105.22</v>
      </c>
      <c r="H92" s="100">
        <v>31.19</v>
      </c>
      <c r="I92" s="100">
        <v>14.2</v>
      </c>
      <c r="J92" s="100">
        <v>0.17</v>
      </c>
      <c r="K92" s="100">
        <v>160.72</v>
      </c>
      <c r="L92" s="100">
        <v>18.84</v>
      </c>
      <c r="M92" s="100">
        <v>65.7</v>
      </c>
      <c r="N92" s="100">
        <v>23.8</v>
      </c>
      <c r="O92" s="100">
        <v>0</v>
      </c>
      <c r="P92" s="100">
        <v>0.83</v>
      </c>
      <c r="Q92" s="100">
        <v>9.32</v>
      </c>
      <c r="R92" s="6"/>
      <c r="S92" s="6"/>
      <c r="T92" s="156"/>
      <c r="U92" s="6"/>
    </row>
    <row r="93" spans="1:21" customFormat="1">
      <c r="A93" s="163" t="s">
        <v>1099</v>
      </c>
      <c r="B93" s="100">
        <v>9.16</v>
      </c>
      <c r="C93" s="100">
        <v>15.62</v>
      </c>
      <c r="D93" s="100">
        <v>15.51</v>
      </c>
      <c r="E93" s="100">
        <v>4.84</v>
      </c>
      <c r="F93" s="100">
        <v>0.04</v>
      </c>
      <c r="G93" s="100">
        <v>105.22</v>
      </c>
      <c r="H93" s="100">
        <v>31.19</v>
      </c>
      <c r="I93" s="100">
        <v>14.18</v>
      </c>
      <c r="J93" s="100">
        <v>0.21</v>
      </c>
      <c r="K93" s="100">
        <v>164.75</v>
      </c>
      <c r="L93" s="100">
        <v>18.98</v>
      </c>
      <c r="M93" s="100">
        <v>64.16</v>
      </c>
      <c r="N93" s="100">
        <v>23.9</v>
      </c>
      <c r="O93" s="100">
        <v>0</v>
      </c>
      <c r="P93" s="100">
        <v>0.83</v>
      </c>
      <c r="Q93" s="100">
        <v>9.32</v>
      </c>
      <c r="R93" s="6"/>
      <c r="S93" s="6"/>
      <c r="T93" s="156"/>
      <c r="U93" s="6"/>
    </row>
    <row r="94" spans="1:21" customFormat="1">
      <c r="A94" s="163" t="s">
        <v>1100</v>
      </c>
      <c r="B94" s="100">
        <v>9.65</v>
      </c>
      <c r="C94" s="100">
        <v>15.78</v>
      </c>
      <c r="D94" s="100">
        <v>15.98</v>
      </c>
      <c r="E94" s="100">
        <v>4.6100000000000003</v>
      </c>
      <c r="F94" s="100">
        <v>0.01</v>
      </c>
      <c r="G94" s="100">
        <v>105.22</v>
      </c>
      <c r="H94" s="100">
        <v>31.19</v>
      </c>
      <c r="I94" s="100">
        <v>14.2</v>
      </c>
      <c r="J94" s="100">
        <v>0.18</v>
      </c>
      <c r="K94" s="100">
        <v>161.13999999999999</v>
      </c>
      <c r="L94" s="100">
        <v>18.95</v>
      </c>
      <c r="M94" s="100">
        <v>65.010000000000005</v>
      </c>
      <c r="N94" s="100">
        <v>24</v>
      </c>
      <c r="O94" s="100">
        <v>0</v>
      </c>
      <c r="P94" s="100">
        <v>0.84</v>
      </c>
      <c r="Q94" s="100">
        <v>9.39</v>
      </c>
      <c r="R94" s="6"/>
      <c r="S94" s="6"/>
      <c r="T94" s="156"/>
      <c r="U94" s="6"/>
    </row>
    <row r="95" spans="1:21" customFormat="1">
      <c r="A95" s="163" t="s">
        <v>1101</v>
      </c>
      <c r="B95" s="100">
        <v>10.89</v>
      </c>
      <c r="C95" s="100">
        <v>16.16</v>
      </c>
      <c r="D95" s="100">
        <v>17.170000000000002</v>
      </c>
      <c r="E95" s="100">
        <v>4.6100000000000003</v>
      </c>
      <c r="F95" s="100">
        <v>0.03</v>
      </c>
      <c r="G95" s="100">
        <v>101.23</v>
      </c>
      <c r="H95" s="100">
        <v>28.77</v>
      </c>
      <c r="I95" s="100">
        <v>14.3</v>
      </c>
      <c r="J95" s="100">
        <v>0.19</v>
      </c>
      <c r="K95" s="100">
        <v>191.24</v>
      </c>
      <c r="L95" s="100">
        <v>18.82</v>
      </c>
      <c r="M95" s="100">
        <v>66.489999999999995</v>
      </c>
      <c r="N95" s="100">
        <v>24.2</v>
      </c>
      <c r="O95" s="100">
        <v>0</v>
      </c>
      <c r="P95" s="100">
        <v>0.85</v>
      </c>
      <c r="Q95" s="100">
        <v>9.4600000000000009</v>
      </c>
      <c r="R95" s="6"/>
      <c r="S95" s="6"/>
      <c r="T95" s="156"/>
      <c r="U95" s="6"/>
    </row>
    <row r="96" spans="1:21" customFormat="1">
      <c r="A96" s="163" t="s">
        <v>1102</v>
      </c>
      <c r="B96" s="100">
        <v>12.26</v>
      </c>
      <c r="C96" s="100">
        <v>16.760000000000002</v>
      </c>
      <c r="D96" s="100">
        <v>18.59</v>
      </c>
      <c r="E96" s="100">
        <v>4.75</v>
      </c>
      <c r="F96" s="100">
        <v>0.02</v>
      </c>
      <c r="G96" s="100">
        <v>101.14</v>
      </c>
      <c r="H96" s="100">
        <v>28.77</v>
      </c>
      <c r="I96" s="100">
        <v>14.41</v>
      </c>
      <c r="J96" s="100">
        <v>0.17</v>
      </c>
      <c r="K96" s="100">
        <v>169.83</v>
      </c>
      <c r="L96" s="100">
        <v>18.690000000000001</v>
      </c>
      <c r="M96" s="100">
        <v>68.89</v>
      </c>
      <c r="N96" s="100">
        <v>25.2</v>
      </c>
      <c r="O96" s="100">
        <v>0</v>
      </c>
      <c r="P96" s="100">
        <v>0.87</v>
      </c>
      <c r="Q96" s="100">
        <v>9.48</v>
      </c>
      <c r="R96" s="6"/>
      <c r="S96" s="6"/>
      <c r="T96" s="156"/>
      <c r="U96" s="6"/>
    </row>
    <row r="97" spans="1:28" customFormat="1">
      <c r="A97" s="163" t="s">
        <v>1103</v>
      </c>
      <c r="B97" s="100">
        <v>14.38</v>
      </c>
      <c r="C97" s="100">
        <v>17.420000000000002</v>
      </c>
      <c r="D97" s="100">
        <v>20.63</v>
      </c>
      <c r="E97" s="100">
        <v>4.74</v>
      </c>
      <c r="F97" s="100">
        <v>0.04</v>
      </c>
      <c r="G97" s="100">
        <v>101.14</v>
      </c>
      <c r="H97" s="100">
        <v>28.77</v>
      </c>
      <c r="I97" s="100">
        <v>14.66</v>
      </c>
      <c r="J97" s="100">
        <v>0.14000000000000001</v>
      </c>
      <c r="K97" s="100">
        <v>171.25</v>
      </c>
      <c r="L97" s="100">
        <v>18.7</v>
      </c>
      <c r="M97" s="100">
        <v>68.08</v>
      </c>
      <c r="N97" s="100">
        <v>26.6</v>
      </c>
      <c r="O97" s="100">
        <v>0</v>
      </c>
      <c r="P97" s="100">
        <v>0.9</v>
      </c>
      <c r="Q97" s="100">
        <v>9.57</v>
      </c>
      <c r="R97" s="6"/>
      <c r="S97" s="6"/>
      <c r="T97" s="156"/>
      <c r="U97" s="6"/>
    </row>
    <row r="98" spans="1:28" customFormat="1">
      <c r="A98" s="163" t="s">
        <v>1104</v>
      </c>
      <c r="B98" s="100">
        <v>18.78</v>
      </c>
      <c r="C98" s="100">
        <v>18.440000000000001</v>
      </c>
      <c r="D98" s="100">
        <v>24.69</v>
      </c>
      <c r="E98" s="100">
        <v>4.6100000000000003</v>
      </c>
      <c r="F98" s="100">
        <v>0.01</v>
      </c>
      <c r="G98" s="100">
        <v>101.14</v>
      </c>
      <c r="H98" s="100">
        <v>28.77</v>
      </c>
      <c r="I98" s="100">
        <v>14.98</v>
      </c>
      <c r="J98" s="100">
        <v>0.14000000000000001</v>
      </c>
      <c r="K98" s="100">
        <v>200.7</v>
      </c>
      <c r="L98" s="100">
        <v>18.8</v>
      </c>
      <c r="M98" s="100">
        <v>66.790000000000006</v>
      </c>
      <c r="N98" s="100">
        <v>27</v>
      </c>
      <c r="O98" s="100">
        <v>0</v>
      </c>
      <c r="P98" s="100">
        <v>0.94</v>
      </c>
      <c r="Q98" s="100">
        <v>9.56</v>
      </c>
      <c r="R98" s="6"/>
      <c r="S98" s="6"/>
      <c r="T98" s="156"/>
      <c r="U98" s="6"/>
    </row>
    <row r="99" spans="1:28" customFormat="1">
      <c r="A99" s="163" t="s">
        <v>1105</v>
      </c>
      <c r="B99" s="100">
        <v>23.4</v>
      </c>
      <c r="C99" s="100">
        <v>19.57</v>
      </c>
      <c r="D99" s="100">
        <v>28.99</v>
      </c>
      <c r="E99" s="100">
        <v>4.5999999999999996</v>
      </c>
      <c r="F99" s="100">
        <v>0.01</v>
      </c>
      <c r="G99" s="100">
        <v>132.32</v>
      </c>
      <c r="H99" s="100">
        <v>60.46</v>
      </c>
      <c r="I99" s="100">
        <v>15.32</v>
      </c>
      <c r="J99" s="100">
        <v>0.21</v>
      </c>
      <c r="K99" s="100">
        <v>171.62</v>
      </c>
      <c r="L99" s="100">
        <v>18.84</v>
      </c>
      <c r="M99" s="100">
        <v>66.94</v>
      </c>
      <c r="N99" s="100">
        <v>27.2</v>
      </c>
      <c r="O99" s="100">
        <v>0</v>
      </c>
      <c r="P99" s="100">
        <v>0.99</v>
      </c>
      <c r="Q99" s="100">
        <v>9.5</v>
      </c>
      <c r="R99" s="6"/>
      <c r="S99" s="6"/>
      <c r="T99" s="156"/>
      <c r="U99" s="6"/>
    </row>
    <row r="100" spans="1:28" customFormat="1">
      <c r="A100" s="163" t="s">
        <v>1106</v>
      </c>
      <c r="B100" s="100">
        <v>26.51</v>
      </c>
      <c r="C100" s="100">
        <v>20.059999999999999</v>
      </c>
      <c r="D100" s="100">
        <v>31.74</v>
      </c>
      <c r="E100" s="100">
        <v>4.9800000000000004</v>
      </c>
      <c r="F100" s="100">
        <v>7.0000000000000007E-2</v>
      </c>
      <c r="G100" s="100">
        <v>133.03</v>
      </c>
      <c r="H100" s="100">
        <v>60.46</v>
      </c>
      <c r="I100" s="100">
        <v>15.81</v>
      </c>
      <c r="J100" s="100">
        <v>0.28999999999999998</v>
      </c>
      <c r="K100" s="100">
        <v>160.86000000000001</v>
      </c>
      <c r="L100" s="100">
        <v>18.559999999999999</v>
      </c>
      <c r="M100" s="100">
        <v>77.7</v>
      </c>
      <c r="N100" s="100">
        <v>27.3</v>
      </c>
      <c r="O100" s="100">
        <v>0</v>
      </c>
      <c r="P100" s="100">
        <v>1.02</v>
      </c>
      <c r="Q100" s="100">
        <v>9.4499999999999993</v>
      </c>
      <c r="R100" s="6"/>
      <c r="S100" s="6"/>
      <c r="T100" s="156"/>
      <c r="U100" s="6"/>
      <c r="AB100" s="161"/>
    </row>
    <row r="101" spans="1:28" customFormat="1">
      <c r="A101" s="163" t="s">
        <v>1107</v>
      </c>
      <c r="B101" s="100">
        <v>28.67</v>
      </c>
      <c r="C101" s="100">
        <v>20.36</v>
      </c>
      <c r="D101" s="100">
        <v>33.630000000000003</v>
      </c>
      <c r="E101" s="100">
        <v>4.82</v>
      </c>
      <c r="F101" s="100">
        <v>0.03</v>
      </c>
      <c r="G101" s="100">
        <v>133.03</v>
      </c>
      <c r="H101" s="100">
        <v>60.46</v>
      </c>
      <c r="I101" s="100">
        <v>16.350000000000001</v>
      </c>
      <c r="J101" s="100">
        <v>0.19</v>
      </c>
      <c r="K101" s="100">
        <v>175.18</v>
      </c>
      <c r="L101" s="100">
        <v>18.05</v>
      </c>
      <c r="M101" s="100">
        <v>80.84</v>
      </c>
      <c r="N101" s="100">
        <v>27.6</v>
      </c>
      <c r="O101" s="100">
        <v>0</v>
      </c>
      <c r="P101" s="100">
        <v>1.05</v>
      </c>
      <c r="Q101" s="100">
        <v>9.4700000000000006</v>
      </c>
      <c r="R101" s="6"/>
      <c r="S101" s="6"/>
      <c r="T101" s="156"/>
      <c r="U101" s="6"/>
    </row>
    <row r="102" spans="1:28" customFormat="1">
      <c r="A102" s="163" t="s">
        <v>1108</v>
      </c>
      <c r="B102" s="100">
        <v>30.48</v>
      </c>
      <c r="C102" s="100">
        <v>20.48</v>
      </c>
      <c r="D102" s="100">
        <v>35.14</v>
      </c>
      <c r="E102" s="100">
        <v>4.88</v>
      </c>
      <c r="F102" s="100">
        <v>0.03</v>
      </c>
      <c r="G102" s="100">
        <v>133.03</v>
      </c>
      <c r="H102" s="100">
        <v>60.46</v>
      </c>
      <c r="I102" s="100">
        <v>16.829999999999998</v>
      </c>
      <c r="J102" s="100">
        <v>0.17</v>
      </c>
      <c r="K102" s="100">
        <v>193.1</v>
      </c>
      <c r="L102" s="100">
        <v>18.05</v>
      </c>
      <c r="M102" s="100">
        <v>81.680000000000007</v>
      </c>
      <c r="N102" s="100">
        <v>27.7</v>
      </c>
      <c r="O102" s="100">
        <v>0</v>
      </c>
      <c r="P102" s="100">
        <v>1.08</v>
      </c>
      <c r="Q102" s="100">
        <v>9.56</v>
      </c>
      <c r="R102" s="6"/>
      <c r="S102" s="6"/>
      <c r="T102" s="156"/>
      <c r="U102" s="6"/>
    </row>
    <row r="103" spans="1:28" customFormat="1">
      <c r="A103" s="163" t="s">
        <v>1109</v>
      </c>
      <c r="B103" s="100">
        <v>31.71</v>
      </c>
      <c r="C103" s="100">
        <v>20.41</v>
      </c>
      <c r="D103" s="100">
        <v>36.1</v>
      </c>
      <c r="E103" s="100">
        <v>5.13</v>
      </c>
      <c r="F103" s="100">
        <v>0.03</v>
      </c>
      <c r="G103" s="100">
        <v>115.57</v>
      </c>
      <c r="H103" s="100">
        <v>53.85</v>
      </c>
      <c r="I103" s="100">
        <v>17.27</v>
      </c>
      <c r="J103" s="100">
        <v>0.18</v>
      </c>
      <c r="K103" s="100">
        <v>201.17</v>
      </c>
      <c r="L103" s="100">
        <v>17.63</v>
      </c>
      <c r="M103" s="100">
        <v>81.95</v>
      </c>
      <c r="N103" s="100">
        <v>28</v>
      </c>
      <c r="O103" s="100">
        <v>0</v>
      </c>
      <c r="P103" s="100">
        <v>1.1000000000000001</v>
      </c>
      <c r="Q103" s="100">
        <v>9.49</v>
      </c>
      <c r="R103" s="6"/>
      <c r="S103" s="6"/>
      <c r="T103" s="156"/>
      <c r="U103" s="6"/>
    </row>
    <row r="104" spans="1:28" customFormat="1">
      <c r="A104" s="163" t="s">
        <v>1110</v>
      </c>
      <c r="B104" s="100">
        <v>32.869999999999997</v>
      </c>
      <c r="C104" s="100">
        <v>20.34</v>
      </c>
      <c r="D104" s="100">
        <v>36.979999999999997</v>
      </c>
      <c r="E104" s="100">
        <v>4.76</v>
      </c>
      <c r="F104" s="100">
        <v>0.02</v>
      </c>
      <c r="G104" s="100">
        <v>115.17</v>
      </c>
      <c r="H104" s="100">
        <v>53.85</v>
      </c>
      <c r="I104" s="100">
        <v>17.64</v>
      </c>
      <c r="J104" s="100">
        <v>0.14000000000000001</v>
      </c>
      <c r="K104" s="100">
        <v>184.1</v>
      </c>
      <c r="L104" s="100">
        <v>17.579999999999998</v>
      </c>
      <c r="M104" s="100">
        <v>81.47</v>
      </c>
      <c r="N104" s="100">
        <v>27.8</v>
      </c>
      <c r="O104" s="100">
        <v>0</v>
      </c>
      <c r="P104" s="100">
        <v>1.1200000000000001</v>
      </c>
      <c r="Q104" s="100">
        <v>9.49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</v>
      </c>
      <c r="C106" s="158">
        <f>MIN(C9:C104)</f>
        <v>13.38</v>
      </c>
      <c r="D106" s="158">
        <f t="shared" ref="D106:Q106" si="0">MIN(D9:D104)</f>
        <v>12.22</v>
      </c>
      <c r="E106" s="158">
        <f t="shared" si="0"/>
        <v>3.67</v>
      </c>
      <c r="F106" s="158">
        <f t="shared" si="0"/>
        <v>0.01</v>
      </c>
      <c r="G106" s="158">
        <f t="shared" si="0"/>
        <v>45.97</v>
      </c>
      <c r="H106" s="158">
        <f t="shared" si="0"/>
        <v>18.14</v>
      </c>
      <c r="I106" s="158">
        <f t="shared" si="0"/>
        <v>9.4</v>
      </c>
      <c r="J106" s="158">
        <f t="shared" si="0"/>
        <v>0.08</v>
      </c>
      <c r="K106" s="158">
        <f t="shared" si="0"/>
        <v>18.489999999999998</v>
      </c>
      <c r="L106" s="158">
        <f t="shared" si="0"/>
        <v>14.21</v>
      </c>
      <c r="M106" s="158">
        <f t="shared" si="0"/>
        <v>13.73</v>
      </c>
      <c r="N106" s="158">
        <f t="shared" si="0"/>
        <v>13.6</v>
      </c>
      <c r="O106" s="158">
        <f t="shared" si="0"/>
        <v>0</v>
      </c>
      <c r="P106" s="158">
        <f t="shared" si="0"/>
        <v>0.46</v>
      </c>
      <c r="Q106" s="158">
        <f t="shared" si="0"/>
        <v>9.26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32.869999999999997</v>
      </c>
      <c r="C107" s="157">
        <f t="shared" ref="C107:Q107" si="1">MAX(C9:C104)</f>
        <v>20.54</v>
      </c>
      <c r="D107" s="157">
        <f t="shared" si="1"/>
        <v>36.979999999999997</v>
      </c>
      <c r="E107" s="157">
        <f t="shared" si="1"/>
        <v>7.83</v>
      </c>
      <c r="F107" s="157">
        <f t="shared" si="1"/>
        <v>5.41</v>
      </c>
      <c r="G107" s="157">
        <f t="shared" si="1"/>
        <v>356.56</v>
      </c>
      <c r="H107" s="157">
        <f t="shared" si="1"/>
        <v>164.56</v>
      </c>
      <c r="I107" s="157">
        <f t="shared" si="1"/>
        <v>17.64</v>
      </c>
      <c r="J107" s="157">
        <f t="shared" si="1"/>
        <v>1.58</v>
      </c>
      <c r="K107" s="157">
        <f t="shared" si="1"/>
        <v>230.75</v>
      </c>
      <c r="L107" s="157">
        <f t="shared" si="1"/>
        <v>31.11</v>
      </c>
      <c r="M107" s="157">
        <f t="shared" si="1"/>
        <v>89.61</v>
      </c>
      <c r="N107" s="157">
        <f t="shared" si="1"/>
        <v>684.3</v>
      </c>
      <c r="O107" s="157">
        <f t="shared" si="1"/>
        <v>0</v>
      </c>
      <c r="P107" s="157">
        <f t="shared" si="1"/>
        <v>1.1200000000000001</v>
      </c>
      <c r="Q107" s="157">
        <f t="shared" si="1"/>
        <v>9.57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11.786041666666664</v>
      </c>
      <c r="C108" s="158">
        <f t="shared" ref="C108:Q108" si="2">AVERAGE(C9:C104)</f>
        <v>17.01125</v>
      </c>
      <c r="D108" s="158">
        <f t="shared" si="2"/>
        <v>18.338958333333334</v>
      </c>
      <c r="E108" s="158">
        <f t="shared" si="2"/>
        <v>5.5919791666666674</v>
      </c>
      <c r="F108" s="158">
        <f t="shared" si="2"/>
        <v>0.86312500000000025</v>
      </c>
      <c r="G108" s="158">
        <f t="shared" si="2"/>
        <v>91.872604166666747</v>
      </c>
      <c r="H108" s="158">
        <f t="shared" si="2"/>
        <v>42.213333333333324</v>
      </c>
      <c r="I108" s="158">
        <f t="shared" si="2"/>
        <v>14.287395833333333</v>
      </c>
      <c r="J108" s="158">
        <f t="shared" si="2"/>
        <v>0.40552083333333316</v>
      </c>
      <c r="K108" s="158">
        <f t="shared" si="2"/>
        <v>129.74614583333337</v>
      </c>
      <c r="L108" s="158">
        <f t="shared" si="2"/>
        <v>21.708750000000006</v>
      </c>
      <c r="M108" s="158">
        <f t="shared" si="2"/>
        <v>55.207812499999996</v>
      </c>
      <c r="N108" s="158">
        <f t="shared" si="2"/>
        <v>133.53750000000005</v>
      </c>
      <c r="O108" s="158">
        <f t="shared" si="2"/>
        <v>0</v>
      </c>
      <c r="P108" s="158">
        <f t="shared" si="2"/>
        <v>0.7794791666666665</v>
      </c>
      <c r="Q108" s="158">
        <f t="shared" si="2"/>
        <v>9.3480208333333383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6.1670997157098766</v>
      </c>
      <c r="C109" s="158">
        <f t="shared" ref="C109:Q109" si="3">STDEV(C9:C104)</f>
        <v>2.1077971788975454</v>
      </c>
      <c r="D109" s="158">
        <f t="shared" si="3"/>
        <v>5.0173655236832735</v>
      </c>
      <c r="E109" s="158">
        <f t="shared" si="3"/>
        <v>0.91984394533633607</v>
      </c>
      <c r="F109" s="158">
        <f t="shared" si="3"/>
        <v>1.4400579758066032</v>
      </c>
      <c r="G109" s="158">
        <f t="shared" si="3"/>
        <v>55.845206612277536</v>
      </c>
      <c r="H109" s="158">
        <f t="shared" si="3"/>
        <v>28.522351518420614</v>
      </c>
      <c r="I109" s="158">
        <f t="shared" si="3"/>
        <v>2.5227846956516018</v>
      </c>
      <c r="J109" s="158">
        <f t="shared" si="3"/>
        <v>0.38728982698712777</v>
      </c>
      <c r="K109" s="158">
        <f t="shared" si="3"/>
        <v>66.103238703518059</v>
      </c>
      <c r="L109" s="158">
        <f t="shared" si="3"/>
        <v>6.0370842125543938</v>
      </c>
      <c r="M109" s="158">
        <f t="shared" si="3"/>
        <v>28.856465122654924</v>
      </c>
      <c r="N109" s="158">
        <f t="shared" si="3"/>
        <v>205.8577241177687</v>
      </c>
      <c r="O109" s="158">
        <f t="shared" si="3"/>
        <v>0</v>
      </c>
      <c r="P109" s="158">
        <f t="shared" si="3"/>
        <v>0.17234829968267437</v>
      </c>
      <c r="Q109" s="158">
        <f t="shared" si="3"/>
        <v>6.267073171772522E-2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H108" sqref="H10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1111</v>
      </c>
      <c r="B9" s="100">
        <v>36.24</v>
      </c>
      <c r="C9" s="100">
        <v>19.72</v>
      </c>
      <c r="D9" s="100">
        <v>39.369999999999997</v>
      </c>
      <c r="E9" s="100">
        <v>4.8899999999999997</v>
      </c>
      <c r="F9" s="100">
        <v>0.06</v>
      </c>
      <c r="G9" s="100">
        <v>115.17</v>
      </c>
      <c r="H9" s="100">
        <v>53.85</v>
      </c>
      <c r="I9" s="100">
        <v>17.96</v>
      </c>
      <c r="J9" s="100">
        <v>0.14000000000000001</v>
      </c>
      <c r="K9" s="100">
        <v>199.34</v>
      </c>
      <c r="L9" s="100">
        <v>17.38</v>
      </c>
      <c r="M9" s="100">
        <v>82.74</v>
      </c>
      <c r="N9" s="100">
        <v>27.9</v>
      </c>
      <c r="O9" s="100">
        <v>0</v>
      </c>
      <c r="P9" s="100">
        <v>1.1399999999999999</v>
      </c>
      <c r="Q9" s="100">
        <v>9.35</v>
      </c>
      <c r="R9" s="6"/>
      <c r="S9" s="6"/>
      <c r="T9" s="156"/>
      <c r="U9" s="6"/>
    </row>
    <row r="10" spans="1:21" customFormat="1">
      <c r="A10" s="163" t="s">
        <v>1112</v>
      </c>
      <c r="B10" s="100">
        <v>37.869999999999997</v>
      </c>
      <c r="C10" s="100">
        <v>20.440000000000001</v>
      </c>
      <c r="D10" s="100">
        <v>41.05</v>
      </c>
      <c r="E10" s="100">
        <v>5.27</v>
      </c>
      <c r="F10" s="100">
        <v>0.02</v>
      </c>
      <c r="G10" s="100">
        <v>115.17</v>
      </c>
      <c r="H10" s="100">
        <v>53.85</v>
      </c>
      <c r="I10" s="100">
        <v>18.27</v>
      </c>
      <c r="J10" s="100">
        <v>0.2</v>
      </c>
      <c r="K10" s="100">
        <v>168.97</v>
      </c>
      <c r="L10" s="100">
        <v>17.27</v>
      </c>
      <c r="M10" s="100">
        <v>79.78</v>
      </c>
      <c r="N10" s="100">
        <v>27.9</v>
      </c>
      <c r="O10" s="100">
        <v>0</v>
      </c>
      <c r="P10" s="100">
        <v>1.17</v>
      </c>
      <c r="Q10" s="100">
        <v>9.42</v>
      </c>
      <c r="R10" s="6"/>
      <c r="S10" s="6"/>
      <c r="T10" s="156"/>
      <c r="U10" s="6"/>
    </row>
    <row r="11" spans="1:21" customFormat="1">
      <c r="A11" s="163" t="s">
        <v>1113</v>
      </c>
      <c r="B11" s="100">
        <v>39.94</v>
      </c>
      <c r="C11" s="100">
        <v>20.92</v>
      </c>
      <c r="D11" s="100">
        <v>42.96</v>
      </c>
      <c r="E11" s="100">
        <v>5.0999999999999996</v>
      </c>
      <c r="F11" s="100">
        <v>0.01</v>
      </c>
      <c r="G11" s="100">
        <v>146.07</v>
      </c>
      <c r="H11" s="100">
        <v>55.12</v>
      </c>
      <c r="I11" s="100">
        <v>18.579999999999998</v>
      </c>
      <c r="J11" s="100">
        <v>0.21</v>
      </c>
      <c r="K11" s="100">
        <v>162.25</v>
      </c>
      <c r="L11" s="100">
        <v>17.329999999999998</v>
      </c>
      <c r="M11" s="100">
        <v>81.12</v>
      </c>
      <c r="N11" s="100">
        <v>27.9</v>
      </c>
      <c r="O11" s="100">
        <v>0</v>
      </c>
      <c r="P11" s="100">
        <v>1.19</v>
      </c>
      <c r="Q11" s="100">
        <v>9.5</v>
      </c>
      <c r="R11" s="6"/>
      <c r="S11" s="6"/>
      <c r="T11" s="156"/>
      <c r="U11" s="6"/>
    </row>
    <row r="12" spans="1:21" customFormat="1">
      <c r="A12" s="163" t="s">
        <v>1114</v>
      </c>
      <c r="B12" s="100">
        <v>41.16</v>
      </c>
      <c r="C12" s="100">
        <v>21.09</v>
      </c>
      <c r="D12" s="100">
        <v>44.03</v>
      </c>
      <c r="E12" s="100">
        <v>5.42</v>
      </c>
      <c r="F12" s="100">
        <v>0.02</v>
      </c>
      <c r="G12" s="100">
        <v>146.77000000000001</v>
      </c>
      <c r="H12" s="100">
        <v>55.12</v>
      </c>
      <c r="I12" s="100">
        <v>18.93</v>
      </c>
      <c r="J12" s="100">
        <v>0.18</v>
      </c>
      <c r="K12" s="100">
        <v>158.63</v>
      </c>
      <c r="L12" s="100">
        <v>17.11</v>
      </c>
      <c r="M12" s="100">
        <v>82.57</v>
      </c>
      <c r="N12" s="100">
        <v>28</v>
      </c>
      <c r="O12" s="100">
        <v>0</v>
      </c>
      <c r="P12" s="100">
        <v>1.21</v>
      </c>
      <c r="Q12" s="100">
        <v>9.43</v>
      </c>
      <c r="R12" s="6"/>
      <c r="S12" s="6"/>
      <c r="T12" s="156"/>
      <c r="U12" s="6"/>
    </row>
    <row r="13" spans="1:21" customFormat="1">
      <c r="A13" s="163" t="s">
        <v>1115</v>
      </c>
      <c r="B13" s="100">
        <v>42.44</v>
      </c>
      <c r="C13" s="100">
        <v>21.12</v>
      </c>
      <c r="D13" s="100">
        <v>45.07</v>
      </c>
      <c r="E13" s="100">
        <v>4.88</v>
      </c>
      <c r="F13" s="100">
        <v>0.01</v>
      </c>
      <c r="G13" s="100">
        <v>146.77000000000001</v>
      </c>
      <c r="H13" s="100">
        <v>55.12</v>
      </c>
      <c r="I13" s="100">
        <v>19.27</v>
      </c>
      <c r="J13" s="100">
        <v>0.18</v>
      </c>
      <c r="K13" s="100">
        <v>210.87</v>
      </c>
      <c r="L13" s="100">
        <v>17.09</v>
      </c>
      <c r="M13" s="100">
        <v>78.069999999999993</v>
      </c>
      <c r="N13" s="100">
        <v>27.9</v>
      </c>
      <c r="O13" s="100">
        <v>0</v>
      </c>
      <c r="P13" s="100">
        <v>1.23</v>
      </c>
      <c r="Q13" s="100">
        <v>9.43</v>
      </c>
      <c r="R13" s="6"/>
      <c r="S13" s="6"/>
      <c r="T13" s="156"/>
      <c r="U13" s="6"/>
    </row>
    <row r="14" spans="1:21" customFormat="1">
      <c r="A14" s="163" t="s">
        <v>1116</v>
      </c>
      <c r="B14" s="100">
        <v>43.48</v>
      </c>
      <c r="C14" s="100">
        <v>21.16</v>
      </c>
      <c r="D14" s="100">
        <v>45.92</v>
      </c>
      <c r="E14" s="100">
        <v>5.33</v>
      </c>
      <c r="F14" s="100">
        <v>0.01</v>
      </c>
      <c r="G14" s="100">
        <v>146.77000000000001</v>
      </c>
      <c r="H14" s="100">
        <v>55.12</v>
      </c>
      <c r="I14" s="100">
        <v>17.86</v>
      </c>
      <c r="J14" s="100">
        <v>0.22</v>
      </c>
      <c r="K14" s="100">
        <v>198.27</v>
      </c>
      <c r="L14" s="100">
        <v>16.829999999999998</v>
      </c>
      <c r="M14" s="100">
        <v>82.26</v>
      </c>
      <c r="N14" s="100">
        <v>28.2</v>
      </c>
      <c r="O14" s="100">
        <v>0</v>
      </c>
      <c r="P14" s="100">
        <v>1.25</v>
      </c>
      <c r="Q14" s="100">
        <v>9.3699999999999992</v>
      </c>
      <c r="R14" s="6"/>
      <c r="S14" s="6"/>
      <c r="T14" s="156"/>
      <c r="U14" s="6"/>
    </row>
    <row r="15" spans="1:21" customFormat="1">
      <c r="A15" s="163" t="s">
        <v>1117</v>
      </c>
      <c r="B15" s="100">
        <v>43.34</v>
      </c>
      <c r="C15" s="100">
        <v>20.87</v>
      </c>
      <c r="D15" s="100">
        <v>45.66</v>
      </c>
      <c r="E15" s="100">
        <v>4.97</v>
      </c>
      <c r="F15" s="100">
        <v>0.05</v>
      </c>
      <c r="G15" s="100">
        <v>124.31</v>
      </c>
      <c r="H15" s="100">
        <v>59.35</v>
      </c>
      <c r="I15" s="100">
        <v>16.25</v>
      </c>
      <c r="J15" s="100">
        <v>0.18</v>
      </c>
      <c r="K15" s="100">
        <v>154.9</v>
      </c>
      <c r="L15" s="100">
        <v>16.25</v>
      </c>
      <c r="M15" s="100">
        <v>83.24</v>
      </c>
      <c r="N15" s="100">
        <v>28.4</v>
      </c>
      <c r="O15" s="100">
        <v>0</v>
      </c>
      <c r="P15" s="100">
        <v>1.25</v>
      </c>
      <c r="Q15" s="100">
        <v>9.52</v>
      </c>
      <c r="R15" s="6"/>
      <c r="S15" s="6"/>
      <c r="T15" s="156"/>
      <c r="U15" s="6"/>
    </row>
    <row r="16" spans="1:21" customFormat="1">
      <c r="A16" s="163" t="s">
        <v>1118</v>
      </c>
      <c r="B16" s="100">
        <v>42.54</v>
      </c>
      <c r="C16" s="100">
        <v>20.62</v>
      </c>
      <c r="D16" s="100">
        <v>44.89</v>
      </c>
      <c r="E16" s="100">
        <v>4.96</v>
      </c>
      <c r="F16" s="100">
        <v>0.01</v>
      </c>
      <c r="G16" s="100">
        <v>123.8</v>
      </c>
      <c r="H16" s="100">
        <v>59.35</v>
      </c>
      <c r="I16" s="100">
        <v>16.46</v>
      </c>
      <c r="J16" s="100">
        <v>0.15</v>
      </c>
      <c r="K16" s="100">
        <v>181.48</v>
      </c>
      <c r="L16" s="100">
        <v>16.309999999999999</v>
      </c>
      <c r="M16" s="100">
        <v>82.85</v>
      </c>
      <c r="N16" s="100">
        <v>28.2</v>
      </c>
      <c r="O16" s="100">
        <v>0</v>
      </c>
      <c r="P16" s="100">
        <v>1.25</v>
      </c>
      <c r="Q16" s="100">
        <v>9.5500000000000007</v>
      </c>
      <c r="R16" s="6"/>
      <c r="S16" s="6"/>
      <c r="T16" s="156"/>
      <c r="U16" s="6"/>
    </row>
    <row r="17" spans="1:21" customFormat="1">
      <c r="A17" s="163" t="s">
        <v>1119</v>
      </c>
      <c r="B17" s="100">
        <v>41.97</v>
      </c>
      <c r="C17" s="100">
        <v>20.37</v>
      </c>
      <c r="D17" s="100">
        <v>44.3</v>
      </c>
      <c r="E17" s="100">
        <v>4.5</v>
      </c>
      <c r="F17" s="100">
        <v>0.01</v>
      </c>
      <c r="G17" s="100">
        <v>123.8</v>
      </c>
      <c r="H17" s="100">
        <v>59.35</v>
      </c>
      <c r="I17" s="100">
        <v>16.579999999999998</v>
      </c>
      <c r="J17" s="100">
        <v>0.17</v>
      </c>
      <c r="K17" s="100">
        <v>218.47</v>
      </c>
      <c r="L17" s="100">
        <v>16.190000000000001</v>
      </c>
      <c r="M17" s="100">
        <v>85.21</v>
      </c>
      <c r="N17" s="100">
        <v>28.4</v>
      </c>
      <c r="O17" s="100">
        <v>0</v>
      </c>
      <c r="P17" s="100">
        <v>1.26</v>
      </c>
      <c r="Q17" s="100">
        <v>9.48</v>
      </c>
      <c r="R17" s="6"/>
      <c r="S17" s="6"/>
      <c r="T17" s="156"/>
      <c r="U17" s="6"/>
    </row>
    <row r="18" spans="1:21" customFormat="1">
      <c r="A18" s="163" t="s">
        <v>1120</v>
      </c>
      <c r="B18" s="100">
        <v>41.3</v>
      </c>
      <c r="C18" s="100">
        <v>20.149999999999999</v>
      </c>
      <c r="D18" s="100">
        <v>43.65</v>
      </c>
      <c r="E18" s="100">
        <v>5.77</v>
      </c>
      <c r="F18" s="100">
        <v>0.04</v>
      </c>
      <c r="G18" s="100">
        <v>123.8</v>
      </c>
      <c r="H18" s="100">
        <v>59.35</v>
      </c>
      <c r="I18" s="100">
        <v>16.670000000000002</v>
      </c>
      <c r="J18" s="100">
        <v>0.14000000000000001</v>
      </c>
      <c r="K18" s="100">
        <v>169.21</v>
      </c>
      <c r="L18" s="100">
        <v>15.87</v>
      </c>
      <c r="M18" s="100">
        <v>85.62</v>
      </c>
      <c r="N18" s="100">
        <v>28.7</v>
      </c>
      <c r="O18" s="100">
        <v>0</v>
      </c>
      <c r="P18" s="100">
        <v>1.25</v>
      </c>
      <c r="Q18" s="100">
        <v>9.4700000000000006</v>
      </c>
      <c r="R18" s="6"/>
      <c r="S18" s="6"/>
      <c r="T18" s="156"/>
      <c r="U18" s="6"/>
    </row>
    <row r="19" spans="1:21" customFormat="1">
      <c r="A19" s="163" t="s">
        <v>1121</v>
      </c>
      <c r="B19" s="100">
        <v>40.89</v>
      </c>
      <c r="C19" s="100">
        <v>19.89</v>
      </c>
      <c r="D19" s="100">
        <v>43.18</v>
      </c>
      <c r="E19" s="100">
        <v>4.8899999999999997</v>
      </c>
      <c r="F19" s="100">
        <v>0.06</v>
      </c>
      <c r="G19" s="100">
        <v>107.28</v>
      </c>
      <c r="H19" s="100">
        <v>44.97</v>
      </c>
      <c r="I19" s="100">
        <v>16.72</v>
      </c>
      <c r="J19" s="100">
        <v>0.1</v>
      </c>
      <c r="K19" s="100">
        <v>152.88999999999999</v>
      </c>
      <c r="L19" s="100">
        <v>15.7</v>
      </c>
      <c r="M19" s="100">
        <v>85.07</v>
      </c>
      <c r="N19" s="100">
        <v>28.8</v>
      </c>
      <c r="O19" s="100">
        <v>0</v>
      </c>
      <c r="P19" s="100">
        <v>1.25</v>
      </c>
      <c r="Q19" s="100">
        <v>9.43</v>
      </c>
      <c r="R19" s="6"/>
      <c r="S19" s="6"/>
      <c r="T19" s="156"/>
      <c r="U19" s="6"/>
    </row>
    <row r="20" spans="1:21" customFormat="1">
      <c r="A20" s="163" t="s">
        <v>1122</v>
      </c>
      <c r="B20" s="100">
        <v>42.06</v>
      </c>
      <c r="C20" s="100">
        <v>19.86</v>
      </c>
      <c r="D20" s="100">
        <v>44.11</v>
      </c>
      <c r="E20" s="100">
        <v>5.8</v>
      </c>
      <c r="F20" s="100">
        <v>0.04</v>
      </c>
      <c r="G20" s="100">
        <v>106.9</v>
      </c>
      <c r="H20" s="100">
        <v>44.97</v>
      </c>
      <c r="I20" s="100">
        <v>16.71</v>
      </c>
      <c r="J20" s="100">
        <v>0.13</v>
      </c>
      <c r="K20" s="100">
        <v>136.36000000000001</v>
      </c>
      <c r="L20" s="100">
        <v>15.92</v>
      </c>
      <c r="M20" s="100">
        <v>81.8</v>
      </c>
      <c r="N20" s="100">
        <v>29.1</v>
      </c>
      <c r="O20" s="100">
        <v>0</v>
      </c>
      <c r="P20" s="100">
        <v>1.25</v>
      </c>
      <c r="Q20" s="100">
        <v>9.52</v>
      </c>
      <c r="R20" s="6"/>
      <c r="S20" s="6"/>
      <c r="T20" s="156"/>
      <c r="U20" s="6"/>
    </row>
    <row r="21" spans="1:21" customFormat="1">
      <c r="A21" s="163" t="s">
        <v>1123</v>
      </c>
      <c r="B21" s="100">
        <v>43.9</v>
      </c>
      <c r="C21" s="100">
        <v>20.170000000000002</v>
      </c>
      <c r="D21" s="100">
        <v>45.74</v>
      </c>
      <c r="E21" s="100">
        <v>6.1</v>
      </c>
      <c r="F21" s="100">
        <v>0.04</v>
      </c>
      <c r="G21" s="100">
        <v>106.9</v>
      </c>
      <c r="H21" s="100">
        <v>44.97</v>
      </c>
      <c r="I21" s="100">
        <v>16.670000000000002</v>
      </c>
      <c r="J21" s="100">
        <v>0.12</v>
      </c>
      <c r="K21" s="100">
        <v>133.69</v>
      </c>
      <c r="L21" s="100">
        <v>16.11</v>
      </c>
      <c r="M21" s="100">
        <v>77.03</v>
      </c>
      <c r="N21" s="100">
        <v>29.7</v>
      </c>
      <c r="O21" s="100">
        <v>0</v>
      </c>
      <c r="P21" s="100">
        <v>1.25</v>
      </c>
      <c r="Q21" s="100">
        <v>9.4600000000000009</v>
      </c>
      <c r="R21" s="6"/>
      <c r="S21" s="6"/>
      <c r="T21" s="156"/>
      <c r="U21" s="6"/>
    </row>
    <row r="22" spans="1:21" customFormat="1">
      <c r="A22" s="163" t="s">
        <v>1124</v>
      </c>
      <c r="B22" s="100">
        <v>45.19</v>
      </c>
      <c r="C22" s="100">
        <v>20.48</v>
      </c>
      <c r="D22" s="100">
        <v>46.94</v>
      </c>
      <c r="E22" s="100">
        <v>5.86</v>
      </c>
      <c r="F22" s="100">
        <v>0.04</v>
      </c>
      <c r="G22" s="100">
        <v>106.9</v>
      </c>
      <c r="H22" s="100">
        <v>44.97</v>
      </c>
      <c r="I22" s="100">
        <v>16.68</v>
      </c>
      <c r="J22" s="100">
        <v>0.16</v>
      </c>
      <c r="K22" s="100">
        <v>165.76</v>
      </c>
      <c r="L22" s="100">
        <v>16.03</v>
      </c>
      <c r="M22" s="100">
        <v>78.91</v>
      </c>
      <c r="N22" s="100">
        <v>29.9</v>
      </c>
      <c r="O22" s="100">
        <v>0</v>
      </c>
      <c r="P22" s="100">
        <v>1.24</v>
      </c>
      <c r="Q22" s="100">
        <v>9.57</v>
      </c>
      <c r="R22" s="6"/>
      <c r="S22" s="6"/>
      <c r="T22" s="156"/>
      <c r="U22" s="6"/>
    </row>
    <row r="23" spans="1:21" customFormat="1">
      <c r="A23" s="163" t="s">
        <v>1125</v>
      </c>
      <c r="B23" s="100">
        <v>45.31</v>
      </c>
      <c r="C23" s="100">
        <v>20.39</v>
      </c>
      <c r="D23" s="100">
        <v>46.99</v>
      </c>
      <c r="E23" s="100">
        <v>5.79</v>
      </c>
      <c r="F23" s="100">
        <v>0.06</v>
      </c>
      <c r="G23" s="100">
        <v>109.4</v>
      </c>
      <c r="H23" s="100">
        <v>47.97</v>
      </c>
      <c r="I23" s="100">
        <v>16.71</v>
      </c>
      <c r="J23" s="100">
        <v>0.16</v>
      </c>
      <c r="K23" s="100">
        <v>154.91</v>
      </c>
      <c r="L23" s="100">
        <v>15.73</v>
      </c>
      <c r="M23" s="100">
        <v>85.06</v>
      </c>
      <c r="N23" s="100">
        <v>30.3</v>
      </c>
      <c r="O23" s="100">
        <v>0</v>
      </c>
      <c r="P23" s="100">
        <v>1.22</v>
      </c>
      <c r="Q23" s="100">
        <v>9.44</v>
      </c>
      <c r="R23" s="6"/>
      <c r="S23" s="6"/>
      <c r="T23" s="156"/>
      <c r="U23" s="6"/>
    </row>
    <row r="24" spans="1:21" customFormat="1">
      <c r="A24" s="163" t="s">
        <v>1126</v>
      </c>
      <c r="B24" s="100">
        <v>44.33</v>
      </c>
      <c r="C24" s="100">
        <v>20.04</v>
      </c>
      <c r="D24" s="100">
        <v>46.01</v>
      </c>
      <c r="E24" s="100">
        <v>6.06</v>
      </c>
      <c r="F24" s="100">
        <v>0.01</v>
      </c>
      <c r="G24" s="100">
        <v>109.45</v>
      </c>
      <c r="H24" s="100">
        <v>47.97</v>
      </c>
      <c r="I24" s="100">
        <v>16.66</v>
      </c>
      <c r="J24" s="100">
        <v>0.18</v>
      </c>
      <c r="K24" s="100">
        <v>233.31</v>
      </c>
      <c r="L24" s="100">
        <v>15.53</v>
      </c>
      <c r="M24" s="100">
        <v>85.39</v>
      </c>
      <c r="N24" s="100">
        <v>30.7</v>
      </c>
      <c r="O24" s="100">
        <v>0</v>
      </c>
      <c r="P24" s="100">
        <v>1.2</v>
      </c>
      <c r="Q24" s="100">
        <v>9.4600000000000009</v>
      </c>
      <c r="R24" s="6"/>
      <c r="S24" s="6"/>
      <c r="T24" s="156"/>
      <c r="U24" s="6"/>
    </row>
    <row r="25" spans="1:21" customFormat="1">
      <c r="A25" s="163" t="s">
        <v>1127</v>
      </c>
      <c r="B25" s="100">
        <v>43.43</v>
      </c>
      <c r="C25" s="100">
        <v>19.73</v>
      </c>
      <c r="D25" s="100">
        <v>45.14</v>
      </c>
      <c r="E25" s="100">
        <v>5.8</v>
      </c>
      <c r="F25" s="100">
        <v>0.04</v>
      </c>
      <c r="G25" s="100">
        <v>109.45</v>
      </c>
      <c r="H25" s="100">
        <v>47.97</v>
      </c>
      <c r="I25" s="100">
        <v>16.53</v>
      </c>
      <c r="J25" s="100">
        <v>0.1</v>
      </c>
      <c r="K25" s="100">
        <v>180.41</v>
      </c>
      <c r="L25" s="100">
        <v>15.26</v>
      </c>
      <c r="M25" s="100">
        <v>84.86</v>
      </c>
      <c r="N25" s="100">
        <v>31.5</v>
      </c>
      <c r="O25" s="100">
        <v>0</v>
      </c>
      <c r="P25" s="100">
        <v>1.18</v>
      </c>
      <c r="Q25" s="100">
        <v>9.34</v>
      </c>
      <c r="R25" s="6"/>
      <c r="S25" s="6"/>
      <c r="T25" s="156"/>
      <c r="U25" s="6"/>
    </row>
    <row r="26" spans="1:21" customFormat="1">
      <c r="A26" s="163" t="s">
        <v>1128</v>
      </c>
      <c r="B26" s="100">
        <v>43.18</v>
      </c>
      <c r="C26" s="100">
        <v>19.63</v>
      </c>
      <c r="D26" s="100">
        <v>44.88</v>
      </c>
      <c r="E26" s="100">
        <v>5.72</v>
      </c>
      <c r="F26" s="100">
        <v>0.06</v>
      </c>
      <c r="G26" s="100">
        <v>109.45</v>
      </c>
      <c r="H26" s="100">
        <v>47.97</v>
      </c>
      <c r="I26" s="100">
        <v>16.34</v>
      </c>
      <c r="J26" s="100">
        <v>0.13</v>
      </c>
      <c r="K26" s="100">
        <v>170.79</v>
      </c>
      <c r="L26" s="100">
        <v>15.25</v>
      </c>
      <c r="M26" s="100">
        <v>83.62</v>
      </c>
      <c r="N26" s="100">
        <v>32.299999999999997</v>
      </c>
      <c r="O26" s="100">
        <v>0</v>
      </c>
      <c r="P26" s="100">
        <v>1.17</v>
      </c>
      <c r="Q26" s="100">
        <v>9.42</v>
      </c>
      <c r="R26" s="6"/>
      <c r="S26" s="6"/>
      <c r="T26" s="156"/>
      <c r="U26" s="6"/>
    </row>
    <row r="27" spans="1:21" customFormat="1">
      <c r="A27" s="163" t="s">
        <v>1129</v>
      </c>
      <c r="B27" s="100">
        <v>43.5</v>
      </c>
      <c r="C27" s="100">
        <v>19.62</v>
      </c>
      <c r="D27" s="100">
        <v>45.13</v>
      </c>
      <c r="E27" s="100">
        <v>5.43</v>
      </c>
      <c r="F27" s="100">
        <v>0.03</v>
      </c>
      <c r="G27" s="100">
        <v>88.28</v>
      </c>
      <c r="H27" s="100">
        <v>39.270000000000003</v>
      </c>
      <c r="I27" s="100">
        <v>16.13</v>
      </c>
      <c r="J27" s="100">
        <v>0.14000000000000001</v>
      </c>
      <c r="K27" s="100">
        <v>224.99</v>
      </c>
      <c r="L27" s="100">
        <v>15.29</v>
      </c>
      <c r="M27" s="100">
        <v>85.03</v>
      </c>
      <c r="N27" s="100">
        <v>33.1</v>
      </c>
      <c r="O27" s="100">
        <v>0</v>
      </c>
      <c r="P27" s="100">
        <v>1.1499999999999999</v>
      </c>
      <c r="Q27" s="100">
        <v>9.59</v>
      </c>
      <c r="R27" s="6"/>
      <c r="S27" s="6"/>
      <c r="T27" s="156"/>
      <c r="U27" s="6"/>
    </row>
    <row r="28" spans="1:21" customFormat="1">
      <c r="A28" s="163" t="s">
        <v>1130</v>
      </c>
      <c r="B28" s="100">
        <v>42.9</v>
      </c>
      <c r="C28" s="100">
        <v>19.41</v>
      </c>
      <c r="D28" s="100">
        <v>44.55</v>
      </c>
      <c r="E28" s="100">
        <v>5.63</v>
      </c>
      <c r="F28" s="100">
        <v>0.03</v>
      </c>
      <c r="G28" s="100">
        <v>87.8</v>
      </c>
      <c r="H28" s="100">
        <v>39.270000000000003</v>
      </c>
      <c r="I28" s="100">
        <v>15.95</v>
      </c>
      <c r="J28" s="100">
        <v>0.23</v>
      </c>
      <c r="K28" s="100">
        <v>240.58</v>
      </c>
      <c r="L28" s="100">
        <v>15.13</v>
      </c>
      <c r="M28" s="100">
        <v>86.43</v>
      </c>
      <c r="N28" s="100">
        <v>34</v>
      </c>
      <c r="O28" s="100">
        <v>0</v>
      </c>
      <c r="P28" s="100">
        <v>1.1299999999999999</v>
      </c>
      <c r="Q28" s="100">
        <v>9.5500000000000007</v>
      </c>
      <c r="R28" s="6"/>
      <c r="S28" s="6"/>
      <c r="T28" s="156"/>
      <c r="U28" s="6"/>
    </row>
    <row r="29" spans="1:21" customFormat="1">
      <c r="A29" s="163" t="s">
        <v>1131</v>
      </c>
      <c r="B29" s="100">
        <v>41.96</v>
      </c>
      <c r="C29" s="100">
        <v>18.93</v>
      </c>
      <c r="D29" s="100">
        <v>43.54</v>
      </c>
      <c r="E29" s="100">
        <v>5.41</v>
      </c>
      <c r="F29" s="100">
        <v>0.01</v>
      </c>
      <c r="G29" s="100">
        <v>87.8</v>
      </c>
      <c r="H29" s="100">
        <v>39.270000000000003</v>
      </c>
      <c r="I29" s="100">
        <v>15.76</v>
      </c>
      <c r="J29" s="100">
        <v>0.17</v>
      </c>
      <c r="K29" s="100">
        <v>209.54</v>
      </c>
      <c r="L29" s="100">
        <v>14.9</v>
      </c>
      <c r="M29" s="100">
        <v>88.62</v>
      </c>
      <c r="N29" s="100">
        <v>35.4</v>
      </c>
      <c r="O29" s="100">
        <v>0</v>
      </c>
      <c r="P29" s="100">
        <v>1.1200000000000001</v>
      </c>
      <c r="Q29" s="100">
        <v>9.4700000000000006</v>
      </c>
      <c r="R29" s="6"/>
      <c r="S29" s="6"/>
      <c r="T29" s="156"/>
      <c r="U29" s="6"/>
    </row>
    <row r="30" spans="1:21" customFormat="1">
      <c r="A30" s="163" t="s">
        <v>1132</v>
      </c>
      <c r="B30" s="100">
        <v>40.74</v>
      </c>
      <c r="C30" s="100">
        <v>18.579999999999998</v>
      </c>
      <c r="D30" s="100">
        <v>42.38</v>
      </c>
      <c r="E30" s="100">
        <v>5.78</v>
      </c>
      <c r="F30" s="100">
        <v>0.01</v>
      </c>
      <c r="G30" s="100">
        <v>87.8</v>
      </c>
      <c r="H30" s="100">
        <v>39.270000000000003</v>
      </c>
      <c r="I30" s="100">
        <v>15.59</v>
      </c>
      <c r="J30" s="100">
        <v>0.19</v>
      </c>
      <c r="K30" s="100">
        <v>220.27</v>
      </c>
      <c r="L30" s="100">
        <v>14.53</v>
      </c>
      <c r="M30" s="100">
        <v>90.43</v>
      </c>
      <c r="N30" s="100">
        <v>37.200000000000003</v>
      </c>
      <c r="O30" s="100">
        <v>0</v>
      </c>
      <c r="P30" s="100">
        <v>1.1000000000000001</v>
      </c>
      <c r="Q30" s="100">
        <v>9.51</v>
      </c>
      <c r="R30" s="6"/>
      <c r="S30" s="6"/>
      <c r="T30" s="156"/>
      <c r="U30" s="6"/>
    </row>
    <row r="31" spans="1:21" customFormat="1">
      <c r="A31" s="163" t="s">
        <v>1133</v>
      </c>
      <c r="B31" s="100">
        <v>39.619999999999997</v>
      </c>
      <c r="C31" s="100">
        <v>18.29</v>
      </c>
      <c r="D31" s="100">
        <v>41.32</v>
      </c>
      <c r="E31" s="100">
        <v>5.59</v>
      </c>
      <c r="F31" s="100">
        <v>0.01</v>
      </c>
      <c r="G31" s="100">
        <v>66.34</v>
      </c>
      <c r="H31" s="100">
        <v>36.369999999999997</v>
      </c>
      <c r="I31" s="100">
        <v>15.44</v>
      </c>
      <c r="J31" s="100">
        <v>0.19</v>
      </c>
      <c r="K31" s="100">
        <v>225.38</v>
      </c>
      <c r="L31" s="100">
        <v>14.28</v>
      </c>
      <c r="M31" s="100">
        <v>91</v>
      </c>
      <c r="N31" s="100">
        <v>39.1</v>
      </c>
      <c r="O31" s="100">
        <v>0</v>
      </c>
      <c r="P31" s="100">
        <v>1.0900000000000001</v>
      </c>
      <c r="Q31" s="100">
        <v>9.51</v>
      </c>
      <c r="R31" s="6"/>
      <c r="S31" s="6"/>
      <c r="T31" s="156"/>
      <c r="U31" s="6"/>
    </row>
    <row r="32" spans="1:21" customFormat="1">
      <c r="A32" s="163" t="s">
        <v>1134</v>
      </c>
      <c r="B32" s="100">
        <v>38.19</v>
      </c>
      <c r="C32" s="100">
        <v>17.78</v>
      </c>
      <c r="D32" s="100">
        <v>39.909999999999997</v>
      </c>
      <c r="E32" s="100">
        <v>5.34</v>
      </c>
      <c r="F32" s="100">
        <v>0.01</v>
      </c>
      <c r="G32" s="100">
        <v>65.86</v>
      </c>
      <c r="H32" s="100">
        <v>36.369999999999997</v>
      </c>
      <c r="I32" s="100">
        <v>15.35</v>
      </c>
      <c r="J32" s="100">
        <v>0.13</v>
      </c>
      <c r="K32" s="100">
        <v>196.37</v>
      </c>
      <c r="L32" s="100">
        <v>14.31</v>
      </c>
      <c r="M32" s="100">
        <v>91.6</v>
      </c>
      <c r="N32" s="100">
        <v>40.6</v>
      </c>
      <c r="O32" s="100">
        <v>0</v>
      </c>
      <c r="P32" s="100">
        <v>1.08</v>
      </c>
      <c r="Q32" s="100">
        <v>9.5</v>
      </c>
      <c r="R32" s="6"/>
      <c r="S32" s="6"/>
      <c r="T32" s="156"/>
      <c r="U32" s="6"/>
    </row>
    <row r="33" spans="1:21" customFormat="1">
      <c r="A33" s="163" t="s">
        <v>1135</v>
      </c>
      <c r="B33" s="100">
        <v>37</v>
      </c>
      <c r="C33" s="100">
        <v>17.579999999999998</v>
      </c>
      <c r="D33" s="100">
        <v>38.85</v>
      </c>
      <c r="E33" s="100">
        <v>5.48</v>
      </c>
      <c r="F33" s="100">
        <v>0.01</v>
      </c>
      <c r="G33" s="100">
        <v>65.86</v>
      </c>
      <c r="H33" s="100">
        <v>36.369999999999997</v>
      </c>
      <c r="I33" s="100">
        <v>15.34</v>
      </c>
      <c r="J33" s="100">
        <v>0.08</v>
      </c>
      <c r="K33" s="100">
        <v>175.71</v>
      </c>
      <c r="L33" s="100">
        <v>13.93</v>
      </c>
      <c r="M33" s="100">
        <v>91.32</v>
      </c>
      <c r="N33" s="100">
        <v>41.9</v>
      </c>
      <c r="O33" s="100">
        <v>0</v>
      </c>
      <c r="P33" s="100">
        <v>1.07</v>
      </c>
      <c r="Q33" s="100">
        <v>9.5399999999999991</v>
      </c>
      <c r="R33" s="6"/>
      <c r="S33" s="6"/>
      <c r="T33" s="156"/>
      <c r="U33" s="6"/>
    </row>
    <row r="34" spans="1:21" customFormat="1">
      <c r="A34" s="163" t="s">
        <v>1136</v>
      </c>
      <c r="B34" s="100">
        <v>35.630000000000003</v>
      </c>
      <c r="C34" s="100">
        <v>17.059999999999999</v>
      </c>
      <c r="D34" s="100">
        <v>37.49</v>
      </c>
      <c r="E34" s="100">
        <v>5.68</v>
      </c>
      <c r="F34" s="100">
        <v>0.01</v>
      </c>
      <c r="G34" s="100">
        <v>65.86</v>
      </c>
      <c r="H34" s="100">
        <v>36.369999999999997</v>
      </c>
      <c r="I34" s="100">
        <v>15.27</v>
      </c>
      <c r="J34" s="100">
        <v>0.06</v>
      </c>
      <c r="K34" s="100">
        <v>154.71</v>
      </c>
      <c r="L34" s="100">
        <v>13.75</v>
      </c>
      <c r="M34" s="100">
        <v>91.72</v>
      </c>
      <c r="N34" s="100">
        <v>44.5</v>
      </c>
      <c r="O34" s="100">
        <v>0</v>
      </c>
      <c r="P34" s="100">
        <v>1.07</v>
      </c>
      <c r="Q34" s="100">
        <v>9.5299999999999994</v>
      </c>
      <c r="R34" s="6"/>
      <c r="S34" s="6"/>
      <c r="T34" s="156"/>
      <c r="U34" s="6"/>
    </row>
    <row r="35" spans="1:21" customFormat="1">
      <c r="A35" s="163" t="s">
        <v>1137</v>
      </c>
      <c r="B35" s="100">
        <v>34.25</v>
      </c>
      <c r="C35" s="100">
        <v>16.77</v>
      </c>
      <c r="D35" s="100">
        <v>36.229999999999997</v>
      </c>
      <c r="E35" s="100">
        <v>5.41</v>
      </c>
      <c r="F35" s="100">
        <v>0.01</v>
      </c>
      <c r="G35" s="100">
        <v>69.17</v>
      </c>
      <c r="H35" s="100">
        <v>40.44</v>
      </c>
      <c r="I35" s="100">
        <v>15.22</v>
      </c>
      <c r="J35" s="100">
        <v>0.1</v>
      </c>
      <c r="K35" s="100">
        <v>-7.0000000000000007E-2</v>
      </c>
      <c r="L35" s="100">
        <v>13.8</v>
      </c>
      <c r="M35" s="100">
        <v>91.33</v>
      </c>
      <c r="N35" s="100">
        <v>51.2</v>
      </c>
      <c r="O35" s="100">
        <v>0</v>
      </c>
      <c r="P35" s="100">
        <v>1.06</v>
      </c>
      <c r="Q35" s="100">
        <v>9.3699999999999992</v>
      </c>
      <c r="R35" s="6"/>
      <c r="S35" s="6"/>
      <c r="T35" s="156"/>
      <c r="U35" s="6"/>
    </row>
    <row r="36" spans="1:21" customFormat="1">
      <c r="A36" s="163" t="s">
        <v>1138</v>
      </c>
      <c r="B36" s="100">
        <v>32.700000000000003</v>
      </c>
      <c r="C36" s="100">
        <v>16.579999999999998</v>
      </c>
      <c r="D36" s="100">
        <v>34.89</v>
      </c>
      <c r="E36" s="100">
        <v>5.0999999999999996</v>
      </c>
      <c r="F36" s="100">
        <v>0.01</v>
      </c>
      <c r="G36" s="100">
        <v>69.25</v>
      </c>
      <c r="H36" s="100">
        <v>40.44</v>
      </c>
      <c r="I36" s="100">
        <v>15.14</v>
      </c>
      <c r="J36" s="100">
        <v>0.03</v>
      </c>
      <c r="K36" s="100">
        <v>162.09</v>
      </c>
      <c r="L36" s="100">
        <v>13.79</v>
      </c>
      <c r="M36" s="100">
        <v>91.93</v>
      </c>
      <c r="N36" s="100">
        <v>62.6</v>
      </c>
      <c r="O36" s="100">
        <v>0</v>
      </c>
      <c r="P36" s="100">
        <v>1.04</v>
      </c>
      <c r="Q36" s="100">
        <v>9.32</v>
      </c>
      <c r="R36" s="6"/>
      <c r="S36" s="6"/>
      <c r="T36" s="156"/>
      <c r="U36" s="6"/>
    </row>
    <row r="37" spans="1:21" customFormat="1">
      <c r="A37" s="163" t="s">
        <v>1139</v>
      </c>
      <c r="B37" s="100">
        <v>31.43</v>
      </c>
      <c r="C37" s="100">
        <v>16.399999999999999</v>
      </c>
      <c r="D37" s="100">
        <v>33.770000000000003</v>
      </c>
      <c r="E37" s="100">
        <v>5.42</v>
      </c>
      <c r="F37" s="100">
        <v>0.01</v>
      </c>
      <c r="G37" s="100">
        <v>69.25</v>
      </c>
      <c r="H37" s="100">
        <v>40.44</v>
      </c>
      <c r="I37" s="100">
        <v>15.17</v>
      </c>
      <c r="J37" s="100">
        <v>0.05</v>
      </c>
      <c r="K37" s="100">
        <v>154.28</v>
      </c>
      <c r="L37" s="100">
        <v>14.17</v>
      </c>
      <c r="M37" s="100">
        <v>92.9</v>
      </c>
      <c r="N37" s="100">
        <v>76.400000000000006</v>
      </c>
      <c r="O37" s="100">
        <v>0</v>
      </c>
      <c r="P37" s="100">
        <v>1.04</v>
      </c>
      <c r="Q37" s="100">
        <v>9.33</v>
      </c>
      <c r="R37" s="6"/>
      <c r="S37" s="6"/>
      <c r="T37" s="156"/>
      <c r="U37" s="6"/>
    </row>
    <row r="38" spans="1:21" customFormat="1">
      <c r="A38" s="163" t="s">
        <v>1140</v>
      </c>
      <c r="B38" s="100">
        <v>30.38</v>
      </c>
      <c r="C38" s="100">
        <v>15.9</v>
      </c>
      <c r="D38" s="100">
        <v>32.67</v>
      </c>
      <c r="E38" s="100">
        <v>4.9400000000000004</v>
      </c>
      <c r="F38" s="100">
        <v>0.06</v>
      </c>
      <c r="G38" s="100">
        <v>69.25</v>
      </c>
      <c r="H38" s="100">
        <v>40.44</v>
      </c>
      <c r="I38" s="100">
        <v>15.08</v>
      </c>
      <c r="J38" s="100">
        <v>0.06</v>
      </c>
      <c r="K38" s="100">
        <v>174.82</v>
      </c>
      <c r="L38" s="100">
        <v>14.86</v>
      </c>
      <c r="M38" s="100">
        <v>92.27</v>
      </c>
      <c r="N38" s="100">
        <v>88</v>
      </c>
      <c r="O38" s="100">
        <v>0</v>
      </c>
      <c r="P38" s="100">
        <v>1.03</v>
      </c>
      <c r="Q38" s="100">
        <v>9.39</v>
      </c>
      <c r="R38" s="6"/>
      <c r="S38" s="6"/>
      <c r="T38" s="156"/>
      <c r="U38" s="6"/>
    </row>
    <row r="39" spans="1:21" customFormat="1">
      <c r="A39" s="163" t="s">
        <v>1141</v>
      </c>
      <c r="B39" s="100">
        <v>29.39</v>
      </c>
      <c r="C39" s="100">
        <v>15.88</v>
      </c>
      <c r="D39" s="100">
        <v>31.86</v>
      </c>
      <c r="E39" s="100">
        <v>5.08</v>
      </c>
      <c r="F39" s="100">
        <v>0.02</v>
      </c>
      <c r="G39" s="100">
        <v>77.150000000000006</v>
      </c>
      <c r="H39" s="100">
        <v>45</v>
      </c>
      <c r="I39" s="100">
        <v>14.91</v>
      </c>
      <c r="J39" s="100">
        <v>7.0000000000000007E-2</v>
      </c>
      <c r="K39" s="100">
        <v>177.81</v>
      </c>
      <c r="L39" s="100">
        <v>15.64</v>
      </c>
      <c r="M39" s="100">
        <v>89.14</v>
      </c>
      <c r="N39" s="100">
        <v>100.3</v>
      </c>
      <c r="O39" s="100">
        <v>0</v>
      </c>
      <c r="P39" s="100">
        <v>1.03</v>
      </c>
      <c r="Q39" s="100">
        <v>9.4700000000000006</v>
      </c>
      <c r="R39" s="6"/>
      <c r="S39" s="6"/>
      <c r="T39" s="156"/>
      <c r="U39" s="6"/>
    </row>
    <row r="40" spans="1:21" customFormat="1">
      <c r="A40" s="163" t="s">
        <v>1142</v>
      </c>
      <c r="B40" s="100">
        <v>28.46</v>
      </c>
      <c r="C40" s="100">
        <v>16.010000000000002</v>
      </c>
      <c r="D40" s="100">
        <v>31.19</v>
      </c>
      <c r="E40" s="100">
        <v>5.3</v>
      </c>
      <c r="F40" s="100">
        <v>0.02</v>
      </c>
      <c r="G40" s="100">
        <v>77.33</v>
      </c>
      <c r="H40" s="100">
        <v>45</v>
      </c>
      <c r="I40" s="100">
        <v>14.96</v>
      </c>
      <c r="J40" s="100">
        <v>0.08</v>
      </c>
      <c r="K40" s="100">
        <v>158.91999999999999</v>
      </c>
      <c r="L40" s="100">
        <v>16.75</v>
      </c>
      <c r="M40" s="100">
        <v>85.53</v>
      </c>
      <c r="N40" s="100">
        <v>117.5</v>
      </c>
      <c r="O40" s="100">
        <v>0</v>
      </c>
      <c r="P40" s="100">
        <v>1.03</v>
      </c>
      <c r="Q40" s="100">
        <v>9.3800000000000008</v>
      </c>
      <c r="R40" s="6"/>
      <c r="S40" s="6"/>
      <c r="T40" s="156"/>
      <c r="U40" s="6"/>
    </row>
    <row r="41" spans="1:21" customFormat="1">
      <c r="A41" s="163" t="s">
        <v>1143</v>
      </c>
      <c r="B41" s="100">
        <v>27.53</v>
      </c>
      <c r="C41" s="100">
        <v>16.350000000000001</v>
      </c>
      <c r="D41" s="100">
        <v>30.62</v>
      </c>
      <c r="E41" s="100">
        <v>5.32</v>
      </c>
      <c r="F41" s="100">
        <v>0.09</v>
      </c>
      <c r="G41" s="100">
        <v>77.33</v>
      </c>
      <c r="H41" s="100">
        <v>45</v>
      </c>
      <c r="I41" s="100">
        <v>15.12</v>
      </c>
      <c r="J41" s="100">
        <v>0.24</v>
      </c>
      <c r="K41" s="100">
        <v>161.25</v>
      </c>
      <c r="L41" s="100">
        <v>18.78</v>
      </c>
      <c r="M41" s="100">
        <v>71.739999999999995</v>
      </c>
      <c r="N41" s="100">
        <v>273.39999999999998</v>
      </c>
      <c r="O41" s="100">
        <v>0</v>
      </c>
      <c r="P41" s="100">
        <v>1.04</v>
      </c>
      <c r="Q41" s="100">
        <v>9.4600000000000009</v>
      </c>
      <c r="R41" s="6"/>
      <c r="S41" s="6"/>
      <c r="T41" s="156"/>
      <c r="U41" s="6"/>
    </row>
    <row r="42" spans="1:21" customFormat="1">
      <c r="A42" s="163" t="s">
        <v>1144</v>
      </c>
      <c r="B42" s="100">
        <v>26.48</v>
      </c>
      <c r="C42" s="100">
        <v>17.25</v>
      </c>
      <c r="D42" s="100">
        <v>30.25</v>
      </c>
      <c r="E42" s="100">
        <v>5.34</v>
      </c>
      <c r="F42" s="100">
        <v>0.12</v>
      </c>
      <c r="G42" s="100">
        <v>77.33</v>
      </c>
      <c r="H42" s="100">
        <v>45</v>
      </c>
      <c r="I42" s="100">
        <v>15.33</v>
      </c>
      <c r="J42" s="100">
        <v>0.05</v>
      </c>
      <c r="K42" s="100">
        <v>179.08</v>
      </c>
      <c r="L42" s="100">
        <v>21.12</v>
      </c>
      <c r="M42" s="100">
        <v>57.45</v>
      </c>
      <c r="N42" s="100">
        <v>336.1</v>
      </c>
      <c r="O42" s="100">
        <v>0</v>
      </c>
      <c r="P42" s="100">
        <v>1.05</v>
      </c>
      <c r="Q42" s="100">
        <v>9.43</v>
      </c>
      <c r="R42" s="6"/>
      <c r="S42" s="6"/>
      <c r="T42" s="156"/>
      <c r="U42" s="6"/>
    </row>
    <row r="43" spans="1:21" customFormat="1">
      <c r="A43" s="163" t="s">
        <v>1145</v>
      </c>
      <c r="B43" s="100">
        <v>25.6</v>
      </c>
      <c r="C43" s="100">
        <v>18.010000000000002</v>
      </c>
      <c r="D43" s="100">
        <v>29.94</v>
      </c>
      <c r="E43" s="100">
        <v>5.36</v>
      </c>
      <c r="F43" s="100">
        <v>0.04</v>
      </c>
      <c r="G43" s="100">
        <v>94.94</v>
      </c>
      <c r="H43" s="100">
        <v>51.18</v>
      </c>
      <c r="I43" s="100">
        <v>15.54</v>
      </c>
      <c r="J43" s="100">
        <v>0.53</v>
      </c>
      <c r="K43" s="100">
        <v>59.37</v>
      </c>
      <c r="L43" s="100">
        <v>21.96</v>
      </c>
      <c r="M43" s="100">
        <v>44.03</v>
      </c>
      <c r="N43" s="100">
        <v>371.1</v>
      </c>
      <c r="O43" s="100">
        <v>0</v>
      </c>
      <c r="P43" s="100">
        <v>1.05</v>
      </c>
      <c r="Q43" s="100">
        <v>9.35</v>
      </c>
      <c r="R43" s="6"/>
      <c r="S43" s="6"/>
      <c r="T43" s="156"/>
      <c r="U43" s="6"/>
    </row>
    <row r="44" spans="1:21" customFormat="1">
      <c r="A44" s="163" t="s">
        <v>1146</v>
      </c>
      <c r="B44" s="100">
        <v>24.83</v>
      </c>
      <c r="C44" s="100">
        <v>18.600000000000001</v>
      </c>
      <c r="D44" s="100">
        <v>29.63</v>
      </c>
      <c r="E44" s="100">
        <v>5.49</v>
      </c>
      <c r="F44" s="100">
        <v>0.03</v>
      </c>
      <c r="G44" s="100">
        <v>95.35</v>
      </c>
      <c r="H44" s="100">
        <v>51.18</v>
      </c>
      <c r="I44" s="100">
        <v>15.66</v>
      </c>
      <c r="J44" s="100">
        <v>0.52</v>
      </c>
      <c r="K44" s="100">
        <v>53.25</v>
      </c>
      <c r="L44" s="100">
        <v>23.08</v>
      </c>
      <c r="M44" s="100">
        <v>41.94</v>
      </c>
      <c r="N44" s="100">
        <v>372.7</v>
      </c>
      <c r="O44" s="100">
        <v>0</v>
      </c>
      <c r="P44" s="100">
        <v>1.02</v>
      </c>
      <c r="Q44" s="100">
        <v>9.39</v>
      </c>
      <c r="R44" s="6"/>
      <c r="S44" s="6"/>
      <c r="T44" s="156"/>
      <c r="U44" s="6"/>
    </row>
    <row r="45" spans="1:21" customFormat="1">
      <c r="A45" s="163" t="s">
        <v>1147</v>
      </c>
      <c r="B45" s="100">
        <v>23.83</v>
      </c>
      <c r="C45" s="100">
        <v>19.18</v>
      </c>
      <c r="D45" s="100">
        <v>29.13</v>
      </c>
      <c r="E45" s="100">
        <v>5.57</v>
      </c>
      <c r="F45" s="100">
        <v>0.1</v>
      </c>
      <c r="G45" s="100">
        <v>95.35</v>
      </c>
      <c r="H45" s="100">
        <v>51.18</v>
      </c>
      <c r="I45" s="100">
        <v>15.56</v>
      </c>
      <c r="J45" s="100">
        <v>0.81</v>
      </c>
      <c r="K45" s="100">
        <v>46.14</v>
      </c>
      <c r="L45" s="100">
        <v>23.23</v>
      </c>
      <c r="M45" s="100">
        <v>41.37</v>
      </c>
      <c r="N45" s="100">
        <v>217.6</v>
      </c>
      <c r="O45" s="100">
        <v>0</v>
      </c>
      <c r="P45" s="100">
        <v>1.01</v>
      </c>
      <c r="Q45" s="100">
        <v>9.34</v>
      </c>
      <c r="R45" s="6"/>
      <c r="S45" s="6"/>
      <c r="T45" s="156"/>
      <c r="U45" s="6"/>
    </row>
    <row r="46" spans="1:21" customFormat="1">
      <c r="A46" s="163" t="s">
        <v>1148</v>
      </c>
      <c r="B46" s="100">
        <v>22.69</v>
      </c>
      <c r="C46" s="100">
        <v>19.87</v>
      </c>
      <c r="D46" s="100">
        <v>28.58</v>
      </c>
      <c r="E46" s="100">
        <v>5.42</v>
      </c>
      <c r="F46" s="100">
        <v>0.17</v>
      </c>
      <c r="G46" s="100">
        <v>95.35</v>
      </c>
      <c r="H46" s="100">
        <v>51.18</v>
      </c>
      <c r="I46" s="100">
        <v>15.33</v>
      </c>
      <c r="J46" s="100">
        <v>0.75</v>
      </c>
      <c r="K46" s="100">
        <v>47.04</v>
      </c>
      <c r="L46" s="100">
        <v>24.34</v>
      </c>
      <c r="M46" s="100">
        <v>37.67</v>
      </c>
      <c r="N46" s="100">
        <v>186.4</v>
      </c>
      <c r="O46" s="100">
        <v>0</v>
      </c>
      <c r="P46" s="100">
        <v>0.99</v>
      </c>
      <c r="Q46" s="100">
        <v>9.32</v>
      </c>
      <c r="R46" s="6"/>
      <c r="S46" s="6"/>
      <c r="T46" s="156"/>
      <c r="U46" s="6"/>
    </row>
    <row r="47" spans="1:21" customFormat="1">
      <c r="A47" s="163" t="s">
        <v>1149</v>
      </c>
      <c r="B47" s="100">
        <v>21.91</v>
      </c>
      <c r="C47" s="100">
        <v>20.45</v>
      </c>
      <c r="D47" s="100">
        <v>28.25</v>
      </c>
      <c r="E47" s="100">
        <v>5.58</v>
      </c>
      <c r="F47" s="100">
        <v>0.11</v>
      </c>
      <c r="G47" s="100">
        <v>85.17</v>
      </c>
      <c r="H47" s="100">
        <v>38.81</v>
      </c>
      <c r="I47" s="100">
        <v>15.04</v>
      </c>
      <c r="J47" s="100">
        <v>1.1299999999999999</v>
      </c>
      <c r="K47" s="100">
        <v>44.23</v>
      </c>
      <c r="L47" s="100">
        <v>25.05</v>
      </c>
      <c r="M47" s="100">
        <v>33.33</v>
      </c>
      <c r="N47" s="100">
        <v>186.9</v>
      </c>
      <c r="O47" s="100">
        <v>0</v>
      </c>
      <c r="P47" s="100">
        <v>0.97</v>
      </c>
      <c r="Q47" s="100">
        <v>9.32</v>
      </c>
      <c r="R47" s="6"/>
      <c r="S47" s="6"/>
      <c r="T47" s="156"/>
      <c r="U47" s="6"/>
    </row>
    <row r="48" spans="1:21" customFormat="1">
      <c r="A48" s="163" t="s">
        <v>1150</v>
      </c>
      <c r="B48" s="100">
        <v>21.47</v>
      </c>
      <c r="C48" s="100">
        <v>21.42</v>
      </c>
      <c r="D48" s="100">
        <v>28.41</v>
      </c>
      <c r="E48" s="100">
        <v>5.49</v>
      </c>
      <c r="F48" s="100">
        <v>0.08</v>
      </c>
      <c r="G48" s="100">
        <v>84.93</v>
      </c>
      <c r="H48" s="100">
        <v>38.81</v>
      </c>
      <c r="I48" s="100">
        <v>14.74</v>
      </c>
      <c r="J48" s="100">
        <v>0.83</v>
      </c>
      <c r="K48" s="100">
        <v>45.07</v>
      </c>
      <c r="L48" s="100">
        <v>25.75</v>
      </c>
      <c r="M48" s="100">
        <v>30.28</v>
      </c>
      <c r="N48" s="100">
        <v>330.2</v>
      </c>
      <c r="O48" s="100">
        <v>0</v>
      </c>
      <c r="P48" s="100">
        <v>0.94</v>
      </c>
      <c r="Q48" s="100">
        <v>9.32</v>
      </c>
      <c r="R48" s="6"/>
      <c r="S48" s="6"/>
      <c r="T48" s="156"/>
      <c r="U48" s="6"/>
    </row>
    <row r="49" spans="1:21" customFormat="1">
      <c r="A49" s="163" t="s">
        <v>1151</v>
      </c>
      <c r="B49" s="100">
        <v>20.61</v>
      </c>
      <c r="C49" s="100">
        <v>22.12</v>
      </c>
      <c r="D49" s="100">
        <v>28.09</v>
      </c>
      <c r="E49" s="100">
        <v>4.08</v>
      </c>
      <c r="F49" s="100">
        <v>0.2</v>
      </c>
      <c r="G49" s="100">
        <v>84.93</v>
      </c>
      <c r="H49" s="100">
        <v>38.81</v>
      </c>
      <c r="I49" s="100">
        <v>14.38</v>
      </c>
      <c r="J49" s="100">
        <v>0.47</v>
      </c>
      <c r="K49" s="100">
        <v>59.85</v>
      </c>
      <c r="L49" s="100">
        <v>27.04</v>
      </c>
      <c r="M49" s="100">
        <v>27.75</v>
      </c>
      <c r="N49" s="100">
        <v>566.4</v>
      </c>
      <c r="O49" s="100">
        <v>0</v>
      </c>
      <c r="P49" s="100">
        <v>0.91</v>
      </c>
      <c r="Q49" s="100">
        <v>9.32</v>
      </c>
      <c r="R49" s="6"/>
      <c r="S49" s="6"/>
      <c r="T49" s="156"/>
      <c r="U49" s="6"/>
    </row>
    <row r="50" spans="1:21" customFormat="1">
      <c r="A50" s="163" t="s">
        <v>1152</v>
      </c>
      <c r="B50" s="100">
        <v>19.72</v>
      </c>
      <c r="C50" s="100">
        <v>22.79</v>
      </c>
      <c r="D50" s="100">
        <v>27.73</v>
      </c>
      <c r="E50" s="100">
        <v>5.3</v>
      </c>
      <c r="F50" s="100">
        <v>0.28999999999999998</v>
      </c>
      <c r="G50" s="100">
        <v>84.93</v>
      </c>
      <c r="H50" s="100">
        <v>38.81</v>
      </c>
      <c r="I50" s="100">
        <v>13.95</v>
      </c>
      <c r="J50" s="100">
        <v>1.05</v>
      </c>
      <c r="K50" s="100">
        <v>34.68</v>
      </c>
      <c r="L50" s="100">
        <v>27.3</v>
      </c>
      <c r="M50" s="100">
        <v>25.59</v>
      </c>
      <c r="N50" s="100">
        <v>565</v>
      </c>
      <c r="O50" s="100">
        <v>0</v>
      </c>
      <c r="P50" s="100">
        <v>0.88</v>
      </c>
      <c r="Q50" s="100">
        <v>9.3000000000000007</v>
      </c>
      <c r="R50" s="6"/>
      <c r="S50" s="6"/>
      <c r="T50" s="156"/>
      <c r="U50" s="6"/>
    </row>
    <row r="51" spans="1:21" customFormat="1">
      <c r="A51" s="163" t="s">
        <v>1153</v>
      </c>
      <c r="B51" s="100">
        <v>18.989999999999998</v>
      </c>
      <c r="C51" s="100">
        <v>23.69</v>
      </c>
      <c r="D51" s="100">
        <v>27.61</v>
      </c>
      <c r="E51" s="100">
        <v>6.13</v>
      </c>
      <c r="F51" s="100">
        <v>0.36</v>
      </c>
      <c r="G51" s="100">
        <v>68.38</v>
      </c>
      <c r="H51" s="100">
        <v>24.78</v>
      </c>
      <c r="I51" s="100">
        <v>13.54</v>
      </c>
      <c r="J51" s="100">
        <v>0.99</v>
      </c>
      <c r="K51" s="100">
        <v>11.9</v>
      </c>
      <c r="L51" s="100">
        <v>27.48</v>
      </c>
      <c r="M51" s="100">
        <v>22.47</v>
      </c>
      <c r="N51" s="100">
        <v>575.79999999999995</v>
      </c>
      <c r="O51" s="100">
        <v>0</v>
      </c>
      <c r="P51" s="100">
        <v>0.85</v>
      </c>
      <c r="Q51" s="100">
        <v>9.31</v>
      </c>
      <c r="R51" s="6"/>
      <c r="S51" s="6"/>
      <c r="T51" s="156"/>
      <c r="U51" s="6"/>
    </row>
    <row r="52" spans="1:21" customFormat="1">
      <c r="A52" s="163" t="s">
        <v>1154</v>
      </c>
      <c r="B52" s="100">
        <v>18.350000000000001</v>
      </c>
      <c r="C52" s="100">
        <v>25.02</v>
      </c>
      <c r="D52" s="100">
        <v>27.79</v>
      </c>
      <c r="E52" s="100">
        <v>7.32</v>
      </c>
      <c r="F52" s="100">
        <v>1.6</v>
      </c>
      <c r="G52" s="100">
        <v>68.010000000000005</v>
      </c>
      <c r="H52" s="100">
        <v>24.78</v>
      </c>
      <c r="I52" s="100">
        <v>13.17</v>
      </c>
      <c r="J52" s="100">
        <v>1.01</v>
      </c>
      <c r="K52" s="100">
        <v>31.32</v>
      </c>
      <c r="L52" s="100">
        <v>27.82</v>
      </c>
      <c r="M52" s="100">
        <v>22.18</v>
      </c>
      <c r="N52" s="100">
        <v>589.9</v>
      </c>
      <c r="O52" s="100">
        <v>0</v>
      </c>
      <c r="P52" s="100">
        <v>0.81</v>
      </c>
      <c r="Q52" s="100">
        <v>9.34</v>
      </c>
      <c r="R52" s="6"/>
      <c r="S52" s="6"/>
      <c r="T52" s="156"/>
      <c r="U52" s="6"/>
    </row>
    <row r="53" spans="1:21" customFormat="1">
      <c r="A53" s="163" t="s">
        <v>1155</v>
      </c>
      <c r="B53" s="100">
        <v>17.37</v>
      </c>
      <c r="C53" s="100">
        <v>26.76</v>
      </c>
      <c r="D53" s="100">
        <v>27.91</v>
      </c>
      <c r="E53" s="100">
        <v>8.06</v>
      </c>
      <c r="F53" s="100">
        <v>2.38</v>
      </c>
      <c r="G53" s="100">
        <v>68.010000000000005</v>
      </c>
      <c r="H53" s="100">
        <v>24.78</v>
      </c>
      <c r="I53" s="100">
        <v>12.74</v>
      </c>
      <c r="J53" s="100">
        <v>1.01</v>
      </c>
      <c r="K53" s="100">
        <v>47.57</v>
      </c>
      <c r="L53" s="100">
        <v>28.3</v>
      </c>
      <c r="M53" s="100">
        <v>20.53</v>
      </c>
      <c r="N53" s="100">
        <v>556.79999999999995</v>
      </c>
      <c r="O53" s="100">
        <v>0</v>
      </c>
      <c r="P53" s="100">
        <v>0.76</v>
      </c>
      <c r="Q53" s="100">
        <v>9.43</v>
      </c>
      <c r="R53" s="6"/>
      <c r="S53" s="6"/>
      <c r="T53" s="156"/>
      <c r="U53" s="6"/>
    </row>
    <row r="54" spans="1:21" customFormat="1">
      <c r="A54" s="163" t="s">
        <v>1156</v>
      </c>
      <c r="B54" s="100">
        <v>15.18</v>
      </c>
      <c r="C54" s="100">
        <v>27.9</v>
      </c>
      <c r="D54" s="100">
        <v>26.76</v>
      </c>
      <c r="E54" s="100">
        <v>6.42</v>
      </c>
      <c r="F54" s="100">
        <v>2.85</v>
      </c>
      <c r="G54" s="100">
        <v>68.010000000000005</v>
      </c>
      <c r="H54" s="100">
        <v>24.78</v>
      </c>
      <c r="I54" s="100">
        <v>13.44</v>
      </c>
      <c r="J54" s="100">
        <v>0.68</v>
      </c>
      <c r="K54" s="100">
        <v>46.3</v>
      </c>
      <c r="L54" s="100">
        <v>28.77</v>
      </c>
      <c r="M54" s="100">
        <v>19.34</v>
      </c>
      <c r="N54" s="100">
        <v>625.29999999999995</v>
      </c>
      <c r="O54" s="100">
        <v>0</v>
      </c>
      <c r="P54" s="100">
        <v>0.72</v>
      </c>
      <c r="Q54" s="100">
        <v>9.4600000000000009</v>
      </c>
      <c r="R54" s="6"/>
      <c r="S54" s="6"/>
      <c r="T54" s="156"/>
      <c r="U54" s="6"/>
    </row>
    <row r="55" spans="1:21" customFormat="1">
      <c r="A55" s="163" t="s">
        <v>1157</v>
      </c>
      <c r="B55" s="100">
        <v>12.28</v>
      </c>
      <c r="C55" s="100">
        <v>28.23</v>
      </c>
      <c r="D55" s="100">
        <v>24.6</v>
      </c>
      <c r="E55" s="100">
        <v>5.79</v>
      </c>
      <c r="F55" s="100">
        <v>2.72</v>
      </c>
      <c r="G55" s="100">
        <v>59.55</v>
      </c>
      <c r="H55" s="100">
        <v>26.4</v>
      </c>
      <c r="I55" s="100">
        <v>14.03</v>
      </c>
      <c r="J55" s="100">
        <v>0.59</v>
      </c>
      <c r="K55" s="100">
        <v>58.45</v>
      </c>
      <c r="L55" s="100">
        <v>29.17</v>
      </c>
      <c r="M55" s="100">
        <v>17.48</v>
      </c>
      <c r="N55" s="100">
        <v>623.70000000000005</v>
      </c>
      <c r="O55" s="100">
        <v>0</v>
      </c>
      <c r="P55" s="100">
        <v>0.67</v>
      </c>
      <c r="Q55" s="100">
        <v>9.42</v>
      </c>
      <c r="R55" s="6"/>
      <c r="S55" s="6"/>
      <c r="T55" s="156"/>
      <c r="U55" s="6"/>
    </row>
    <row r="56" spans="1:21" customFormat="1">
      <c r="A56" s="163" t="s">
        <v>1158</v>
      </c>
      <c r="B56" s="100">
        <v>10.62</v>
      </c>
      <c r="C56" s="100">
        <v>27.71</v>
      </c>
      <c r="D56" s="100">
        <v>22.99</v>
      </c>
      <c r="E56" s="100">
        <v>5.22</v>
      </c>
      <c r="F56" s="100">
        <v>2.39</v>
      </c>
      <c r="G56" s="100">
        <v>59.36</v>
      </c>
      <c r="H56" s="100">
        <v>26.4</v>
      </c>
      <c r="I56" s="100">
        <v>13.16</v>
      </c>
      <c r="J56" s="100">
        <v>0.69</v>
      </c>
      <c r="K56" s="100">
        <v>53.52</v>
      </c>
      <c r="L56" s="100">
        <v>29.7</v>
      </c>
      <c r="M56" s="100">
        <v>14.88</v>
      </c>
      <c r="N56" s="100">
        <v>634.29999999999995</v>
      </c>
      <c r="O56" s="100">
        <v>0</v>
      </c>
      <c r="P56" s="100">
        <v>0.65</v>
      </c>
      <c r="Q56" s="100">
        <v>9.41</v>
      </c>
      <c r="R56" s="6"/>
      <c r="S56" s="6"/>
      <c r="T56" s="156"/>
      <c r="U56" s="6"/>
    </row>
    <row r="57" spans="1:21" customFormat="1">
      <c r="A57" s="163" t="s">
        <v>1159</v>
      </c>
      <c r="B57" s="100">
        <v>9.26</v>
      </c>
      <c r="C57" s="100">
        <v>27.16</v>
      </c>
      <c r="D57" s="100">
        <v>21.62</v>
      </c>
      <c r="E57" s="100">
        <v>5.69</v>
      </c>
      <c r="F57" s="100">
        <v>2.4</v>
      </c>
      <c r="G57" s="100">
        <v>59.36</v>
      </c>
      <c r="H57" s="100">
        <v>26.4</v>
      </c>
      <c r="I57" s="100">
        <v>12.59</v>
      </c>
      <c r="J57" s="100">
        <v>0.43</v>
      </c>
      <c r="K57" s="100">
        <v>55.56</v>
      </c>
      <c r="L57" s="100">
        <v>30.17</v>
      </c>
      <c r="M57" s="100">
        <v>14.41</v>
      </c>
      <c r="N57" s="100">
        <v>628.29999999999995</v>
      </c>
      <c r="O57" s="100">
        <v>0</v>
      </c>
      <c r="P57" s="100">
        <v>0.61</v>
      </c>
      <c r="Q57" s="100">
        <v>9.42</v>
      </c>
      <c r="R57" s="6"/>
      <c r="S57" s="6"/>
      <c r="T57" s="156"/>
      <c r="U57" s="6"/>
    </row>
    <row r="58" spans="1:21" customFormat="1">
      <c r="A58" s="163" t="s">
        <v>1160</v>
      </c>
      <c r="B58" s="100">
        <v>7.53</v>
      </c>
      <c r="C58" s="100">
        <v>26.59</v>
      </c>
      <c r="D58" s="100">
        <v>19.93</v>
      </c>
      <c r="E58" s="100">
        <v>5.3</v>
      </c>
      <c r="F58" s="100">
        <v>3.45</v>
      </c>
      <c r="G58" s="100">
        <v>59.36</v>
      </c>
      <c r="H58" s="100">
        <v>26.4</v>
      </c>
      <c r="I58" s="100">
        <v>12.15</v>
      </c>
      <c r="J58" s="100">
        <v>0.76</v>
      </c>
      <c r="K58" s="100">
        <v>26.03</v>
      </c>
      <c r="L58" s="100">
        <v>29.84</v>
      </c>
      <c r="M58" s="100">
        <v>12.83</v>
      </c>
      <c r="N58" s="100">
        <v>620.9</v>
      </c>
      <c r="O58" s="100">
        <v>0</v>
      </c>
      <c r="P58" s="100">
        <v>0.57999999999999996</v>
      </c>
      <c r="Q58" s="100">
        <v>9.5299999999999994</v>
      </c>
      <c r="R58" s="6"/>
      <c r="S58" s="6"/>
      <c r="T58" s="156"/>
      <c r="U58" s="6"/>
    </row>
    <row r="59" spans="1:21" customFormat="1">
      <c r="A59" s="163" t="s">
        <v>1161</v>
      </c>
      <c r="B59" s="100">
        <v>5.81</v>
      </c>
      <c r="C59" s="100">
        <v>26.19</v>
      </c>
      <c r="D59" s="100">
        <v>18.34</v>
      </c>
      <c r="E59" s="100">
        <v>6.11</v>
      </c>
      <c r="F59" s="100">
        <v>5.34</v>
      </c>
      <c r="G59" s="100">
        <v>47.94</v>
      </c>
      <c r="H59" s="100">
        <v>20.59</v>
      </c>
      <c r="I59" s="100">
        <v>11.61</v>
      </c>
      <c r="J59" s="100">
        <v>1.02</v>
      </c>
      <c r="K59" s="100">
        <v>42.84</v>
      </c>
      <c r="L59" s="100">
        <v>29.89</v>
      </c>
      <c r="M59" s="100">
        <v>12.46</v>
      </c>
      <c r="N59" s="100">
        <v>612.20000000000005</v>
      </c>
      <c r="O59" s="100">
        <v>0</v>
      </c>
      <c r="P59" s="100">
        <v>0.55000000000000004</v>
      </c>
      <c r="Q59" s="100">
        <v>9.5500000000000007</v>
      </c>
      <c r="R59" s="6"/>
      <c r="S59" s="6"/>
      <c r="T59" s="156"/>
      <c r="U59" s="6"/>
    </row>
    <row r="60" spans="1:21" customFormat="1">
      <c r="A60" s="163" t="s">
        <v>1162</v>
      </c>
      <c r="B60" s="100">
        <v>4.42</v>
      </c>
      <c r="C60" s="100">
        <v>25.76</v>
      </c>
      <c r="D60" s="100">
        <v>17</v>
      </c>
      <c r="E60" s="100">
        <v>6.43</v>
      </c>
      <c r="F60" s="100">
        <v>8.1999999999999993</v>
      </c>
      <c r="G60" s="100">
        <v>47.68</v>
      </c>
      <c r="H60" s="100">
        <v>20.59</v>
      </c>
      <c r="I60" s="100">
        <v>10.91</v>
      </c>
      <c r="J60" s="100">
        <v>0.97</v>
      </c>
      <c r="K60" s="100">
        <v>21.93</v>
      </c>
      <c r="L60" s="100">
        <v>30.09</v>
      </c>
      <c r="M60" s="100">
        <v>11.01</v>
      </c>
      <c r="N60" s="100">
        <v>573</v>
      </c>
      <c r="O60" s="100">
        <v>0</v>
      </c>
      <c r="P60" s="100">
        <v>0.51</v>
      </c>
      <c r="Q60" s="100">
        <v>9.69</v>
      </c>
      <c r="R60" s="6"/>
      <c r="S60" s="6"/>
      <c r="T60" s="156"/>
      <c r="U60" s="6"/>
    </row>
    <row r="61" spans="1:21" customFormat="1">
      <c r="A61" s="163" t="s">
        <v>1163</v>
      </c>
      <c r="B61" s="100">
        <v>3.76</v>
      </c>
      <c r="C61" s="100">
        <v>24.54</v>
      </c>
      <c r="D61" s="100">
        <v>15.84</v>
      </c>
      <c r="E61" s="100">
        <v>6.9</v>
      </c>
      <c r="F61" s="100">
        <v>12.28</v>
      </c>
      <c r="G61" s="100">
        <v>47.68</v>
      </c>
      <c r="H61" s="100">
        <v>20.59</v>
      </c>
      <c r="I61" s="100">
        <v>10.050000000000001</v>
      </c>
      <c r="J61" s="100">
        <v>0.92</v>
      </c>
      <c r="K61" s="100">
        <v>50.84</v>
      </c>
      <c r="L61" s="100">
        <v>30.05</v>
      </c>
      <c r="M61" s="100">
        <v>9.48</v>
      </c>
      <c r="N61" s="100">
        <v>517.79999999999995</v>
      </c>
      <c r="O61" s="100">
        <v>0</v>
      </c>
      <c r="P61" s="100">
        <v>0.47</v>
      </c>
      <c r="Q61" s="100">
        <v>9.59</v>
      </c>
      <c r="R61" s="6"/>
      <c r="S61" s="6"/>
      <c r="T61" s="156"/>
      <c r="U61" s="6"/>
    </row>
    <row r="62" spans="1:21" customFormat="1">
      <c r="A62" s="163" t="s">
        <v>1164</v>
      </c>
      <c r="B62" s="100">
        <v>3.69</v>
      </c>
      <c r="C62" s="100">
        <v>24.24</v>
      </c>
      <c r="D62" s="100">
        <v>15.62</v>
      </c>
      <c r="E62" s="100">
        <v>7.16</v>
      </c>
      <c r="F62" s="100">
        <v>13.36</v>
      </c>
      <c r="G62" s="100">
        <v>47.68</v>
      </c>
      <c r="H62" s="100">
        <v>20.59</v>
      </c>
      <c r="I62" s="100">
        <v>9.2200000000000006</v>
      </c>
      <c r="J62" s="100">
        <v>0.59</v>
      </c>
      <c r="K62" s="100">
        <v>47.15</v>
      </c>
      <c r="L62" s="100">
        <v>30.02</v>
      </c>
      <c r="M62" s="100">
        <v>11.38</v>
      </c>
      <c r="N62" s="100">
        <v>179.3</v>
      </c>
      <c r="O62" s="100">
        <v>0</v>
      </c>
      <c r="P62" s="100">
        <v>0.43</v>
      </c>
      <c r="Q62" s="100">
        <v>9.58</v>
      </c>
      <c r="R62" s="6"/>
      <c r="S62" s="6"/>
      <c r="T62" s="156"/>
      <c r="U62" s="6"/>
    </row>
    <row r="63" spans="1:21" customFormat="1">
      <c r="A63" s="163" t="s">
        <v>1165</v>
      </c>
      <c r="B63" s="100">
        <v>3.79</v>
      </c>
      <c r="C63" s="100">
        <v>25.33</v>
      </c>
      <c r="D63" s="100">
        <v>16.27</v>
      </c>
      <c r="E63" s="100">
        <v>7.87</v>
      </c>
      <c r="F63" s="100">
        <v>20.190000000000001</v>
      </c>
      <c r="G63" s="135" t="s">
        <v>12</v>
      </c>
      <c r="H63" s="135" t="s">
        <v>12</v>
      </c>
      <c r="I63" s="100">
        <v>8.49</v>
      </c>
      <c r="J63" s="100">
        <v>0.57999999999999996</v>
      </c>
      <c r="K63" s="100">
        <v>36.270000000000003</v>
      </c>
      <c r="L63" s="100">
        <v>29.75</v>
      </c>
      <c r="M63" s="100">
        <v>11.53</v>
      </c>
      <c r="N63" s="100">
        <v>120.9</v>
      </c>
      <c r="O63" s="100">
        <v>0</v>
      </c>
      <c r="P63" s="100">
        <v>0.4</v>
      </c>
      <c r="Q63" s="100">
        <v>9.5</v>
      </c>
      <c r="R63" s="6"/>
      <c r="S63" s="6"/>
      <c r="T63" s="156"/>
      <c r="U63" s="6"/>
    </row>
    <row r="64" spans="1:21" customFormat="1">
      <c r="A64" s="163" t="s">
        <v>1166</v>
      </c>
      <c r="B64" s="100">
        <v>3.23</v>
      </c>
      <c r="C64" s="100">
        <v>23.45</v>
      </c>
      <c r="D64" s="100">
        <v>14.84</v>
      </c>
      <c r="E64" s="100">
        <v>4.68</v>
      </c>
      <c r="F64" s="100">
        <v>18.829999999999998</v>
      </c>
      <c r="G64" s="135" t="s">
        <v>12</v>
      </c>
      <c r="H64" s="135" t="s">
        <v>12</v>
      </c>
      <c r="I64" s="100">
        <v>7.08</v>
      </c>
      <c r="J64" s="100">
        <v>1.07</v>
      </c>
      <c r="K64" s="100">
        <v>32.64</v>
      </c>
      <c r="L64" s="100">
        <v>29.63</v>
      </c>
      <c r="M64" s="100">
        <v>11.56</v>
      </c>
      <c r="N64" s="100">
        <v>91.3</v>
      </c>
      <c r="O64" s="100">
        <v>0</v>
      </c>
      <c r="P64" s="100">
        <v>0.4</v>
      </c>
      <c r="Q64" s="100">
        <v>9.36</v>
      </c>
      <c r="R64" s="6"/>
      <c r="S64" s="6"/>
      <c r="T64" s="156"/>
      <c r="U64" s="6"/>
    </row>
    <row r="65" spans="1:21" customFormat="1">
      <c r="A65" s="163" t="s">
        <v>1167</v>
      </c>
      <c r="B65" s="100">
        <v>3.24</v>
      </c>
      <c r="C65" s="100">
        <v>22.44</v>
      </c>
      <c r="D65" s="100">
        <v>14.32</v>
      </c>
      <c r="E65" s="100">
        <v>3.93</v>
      </c>
      <c r="F65" s="100">
        <v>19.899999999999999</v>
      </c>
      <c r="G65" s="135" t="s">
        <v>12</v>
      </c>
      <c r="H65" s="135" t="s">
        <v>12</v>
      </c>
      <c r="I65" s="100">
        <v>6.77</v>
      </c>
      <c r="J65" s="100">
        <v>0.83</v>
      </c>
      <c r="K65" s="100">
        <v>19.559999999999999</v>
      </c>
      <c r="L65" s="100">
        <v>29.52</v>
      </c>
      <c r="M65" s="100">
        <v>10.199999999999999</v>
      </c>
      <c r="N65" s="100">
        <v>80.3</v>
      </c>
      <c r="O65" s="100">
        <v>0</v>
      </c>
      <c r="P65" s="100">
        <v>0.38</v>
      </c>
      <c r="Q65" s="100">
        <v>9.3699999999999992</v>
      </c>
      <c r="R65" s="6"/>
      <c r="S65" s="6"/>
      <c r="T65" s="156"/>
      <c r="U65" s="6"/>
    </row>
    <row r="66" spans="1:21" customFormat="1">
      <c r="A66" s="163" t="s">
        <v>1168</v>
      </c>
      <c r="B66" s="100">
        <v>3.07</v>
      </c>
      <c r="C66" s="100">
        <v>20.64</v>
      </c>
      <c r="D66" s="100">
        <v>13.25</v>
      </c>
      <c r="E66" s="100">
        <v>4.16</v>
      </c>
      <c r="F66" s="100">
        <v>24.98</v>
      </c>
      <c r="G66" s="135" t="s">
        <v>12</v>
      </c>
      <c r="H66" s="135" t="s">
        <v>12</v>
      </c>
      <c r="I66" s="100">
        <v>7.52</v>
      </c>
      <c r="J66" s="100">
        <v>0.8</v>
      </c>
      <c r="K66" s="100">
        <v>38.58</v>
      </c>
      <c r="L66" s="100">
        <v>29.59</v>
      </c>
      <c r="M66" s="100">
        <v>9.68</v>
      </c>
      <c r="N66" s="100">
        <v>81.7</v>
      </c>
      <c r="O66" s="100">
        <v>0</v>
      </c>
      <c r="P66" s="100">
        <v>0.39</v>
      </c>
      <c r="Q66" s="100">
        <v>9.2799999999999994</v>
      </c>
      <c r="R66" s="6"/>
      <c r="S66" s="6"/>
      <c r="T66" s="156"/>
      <c r="U66" s="6"/>
    </row>
    <row r="67" spans="1:21" customFormat="1">
      <c r="A67" s="163" t="s">
        <v>1169</v>
      </c>
      <c r="B67" s="100">
        <v>3.36</v>
      </c>
      <c r="C67" s="100">
        <v>21.6</v>
      </c>
      <c r="D67" s="100">
        <v>13.98</v>
      </c>
      <c r="E67" s="100">
        <v>4.05</v>
      </c>
      <c r="F67" s="100">
        <v>23.39</v>
      </c>
      <c r="G67" s="100">
        <v>18.809999999999999</v>
      </c>
      <c r="H67" s="100">
        <v>10.97</v>
      </c>
      <c r="I67" s="100">
        <v>7.22</v>
      </c>
      <c r="J67" s="100">
        <v>0.8</v>
      </c>
      <c r="K67" s="100">
        <v>30.92</v>
      </c>
      <c r="L67" s="100">
        <v>29.66</v>
      </c>
      <c r="M67" s="100">
        <v>8.58</v>
      </c>
      <c r="N67" s="100">
        <v>83.6</v>
      </c>
      <c r="O67" s="100">
        <v>0</v>
      </c>
      <c r="P67" s="100">
        <v>0.39</v>
      </c>
      <c r="Q67" s="100">
        <v>9.2899999999999991</v>
      </c>
      <c r="R67" s="6"/>
      <c r="S67" s="6"/>
      <c r="T67" s="156"/>
      <c r="U67" s="6"/>
    </row>
    <row r="68" spans="1:21" customFormat="1">
      <c r="A68" s="163" t="s">
        <v>1170</v>
      </c>
      <c r="B68" s="100">
        <v>3.37</v>
      </c>
      <c r="C68" s="100">
        <v>21.51</v>
      </c>
      <c r="D68" s="100">
        <v>13.94</v>
      </c>
      <c r="E68" s="100">
        <v>5.07</v>
      </c>
      <c r="F68" s="100">
        <v>24.44</v>
      </c>
      <c r="G68" s="100">
        <v>26.87</v>
      </c>
      <c r="H68" s="100">
        <v>11.67</v>
      </c>
      <c r="I68" s="100">
        <v>6.88</v>
      </c>
      <c r="J68" s="100">
        <v>0.94</v>
      </c>
      <c r="K68" s="100">
        <v>26.03</v>
      </c>
      <c r="L68" s="100">
        <v>29.68</v>
      </c>
      <c r="M68" s="100">
        <v>9.41</v>
      </c>
      <c r="N68" s="100">
        <v>71.400000000000006</v>
      </c>
      <c r="O68" s="100">
        <v>0</v>
      </c>
      <c r="P68" s="100">
        <v>0.42</v>
      </c>
      <c r="Q68" s="100">
        <v>9.36</v>
      </c>
      <c r="R68" s="6"/>
      <c r="S68" s="6"/>
      <c r="T68" s="156"/>
      <c r="U68" s="6"/>
    </row>
    <row r="69" spans="1:21" customFormat="1">
      <c r="A69" s="163" t="s">
        <v>1171</v>
      </c>
      <c r="B69" s="100">
        <v>3.65</v>
      </c>
      <c r="C69" s="100">
        <v>24.44</v>
      </c>
      <c r="D69" s="100">
        <v>15.7</v>
      </c>
      <c r="E69" s="100">
        <v>5.29</v>
      </c>
      <c r="F69" s="100">
        <v>25.35</v>
      </c>
      <c r="G69" s="100">
        <v>26.87</v>
      </c>
      <c r="H69" s="100">
        <v>11.67</v>
      </c>
      <c r="I69" s="100">
        <v>6.69</v>
      </c>
      <c r="J69" s="100">
        <v>0.75</v>
      </c>
      <c r="K69" s="100">
        <v>22.02</v>
      </c>
      <c r="L69" s="100">
        <v>29.69</v>
      </c>
      <c r="M69" s="100">
        <v>10.029999999999999</v>
      </c>
      <c r="N69" s="100">
        <v>68.7</v>
      </c>
      <c r="O69" s="100">
        <v>0</v>
      </c>
      <c r="P69" s="100">
        <v>0.43</v>
      </c>
      <c r="Q69" s="100">
        <v>9.32</v>
      </c>
      <c r="R69" s="6"/>
      <c r="S69" s="6"/>
      <c r="T69" s="156"/>
      <c r="U69" s="6"/>
    </row>
    <row r="70" spans="1:21" customFormat="1">
      <c r="A70" s="163" t="s">
        <v>1172</v>
      </c>
      <c r="B70" s="100">
        <v>3.36</v>
      </c>
      <c r="C70" s="100">
        <v>23.98</v>
      </c>
      <c r="D70" s="100">
        <v>15.22</v>
      </c>
      <c r="E70" s="100">
        <v>4.16</v>
      </c>
      <c r="F70" s="100">
        <v>19.079999999999998</v>
      </c>
      <c r="G70" s="100">
        <v>26.87</v>
      </c>
      <c r="H70" s="100">
        <v>11.67</v>
      </c>
      <c r="I70" s="100">
        <v>6.62</v>
      </c>
      <c r="J70" s="100">
        <v>0.74</v>
      </c>
      <c r="K70" s="100">
        <v>29.59</v>
      </c>
      <c r="L70" s="100">
        <v>29.59</v>
      </c>
      <c r="M70" s="100">
        <v>10.94</v>
      </c>
      <c r="N70" s="100">
        <v>71.3</v>
      </c>
      <c r="O70" s="100">
        <v>0</v>
      </c>
      <c r="P70" s="100">
        <v>0.45</v>
      </c>
      <c r="Q70" s="100">
        <v>9.32</v>
      </c>
      <c r="R70" s="6"/>
      <c r="S70" s="6"/>
      <c r="T70" s="156"/>
      <c r="U70" s="6"/>
    </row>
    <row r="71" spans="1:21" customFormat="1">
      <c r="A71" s="163" t="s">
        <v>1173</v>
      </c>
      <c r="B71" s="100">
        <v>3.1</v>
      </c>
      <c r="C71" s="100">
        <v>22.93</v>
      </c>
      <c r="D71" s="100">
        <v>14.46</v>
      </c>
      <c r="E71" s="100">
        <v>4.32</v>
      </c>
      <c r="F71" s="100">
        <v>19.36</v>
      </c>
      <c r="G71" s="100">
        <v>29.36</v>
      </c>
      <c r="H71" s="100">
        <v>14.54</v>
      </c>
      <c r="I71" s="100">
        <v>6.66</v>
      </c>
      <c r="J71" s="100">
        <v>0.91</v>
      </c>
      <c r="K71" s="100">
        <v>44.17</v>
      </c>
      <c r="L71" s="100">
        <v>29.43</v>
      </c>
      <c r="M71" s="100">
        <v>11.51</v>
      </c>
      <c r="N71" s="100">
        <v>57.8</v>
      </c>
      <c r="O71" s="100">
        <v>0</v>
      </c>
      <c r="P71" s="100">
        <v>0.47</v>
      </c>
      <c r="Q71" s="100">
        <v>9.3699999999999992</v>
      </c>
      <c r="R71" s="6"/>
      <c r="S71" s="6"/>
      <c r="T71" s="156"/>
      <c r="U71" s="6"/>
    </row>
    <row r="72" spans="1:21" customFormat="1">
      <c r="A72" s="163" t="s">
        <v>1174</v>
      </c>
      <c r="B72" s="100">
        <v>3.09</v>
      </c>
      <c r="C72" s="100">
        <v>23.57</v>
      </c>
      <c r="D72" s="100">
        <v>14.79</v>
      </c>
      <c r="E72" s="100">
        <v>4.8899999999999997</v>
      </c>
      <c r="F72" s="100">
        <v>19</v>
      </c>
      <c r="G72" s="100">
        <v>30.42</v>
      </c>
      <c r="H72" s="100">
        <v>14.73</v>
      </c>
      <c r="I72" s="100">
        <v>6.82</v>
      </c>
      <c r="J72" s="100">
        <v>0.67</v>
      </c>
      <c r="K72" s="100">
        <v>36.17</v>
      </c>
      <c r="L72" s="100">
        <v>29.24</v>
      </c>
      <c r="M72" s="100">
        <v>11.85</v>
      </c>
      <c r="N72" s="100">
        <v>50.2</v>
      </c>
      <c r="O72" s="100">
        <v>0</v>
      </c>
      <c r="P72" s="100">
        <v>0.47</v>
      </c>
      <c r="Q72" s="100">
        <v>9.43</v>
      </c>
      <c r="R72" s="6"/>
      <c r="S72" s="6"/>
      <c r="T72" s="156"/>
      <c r="U72" s="6"/>
    </row>
    <row r="73" spans="1:21" customFormat="1">
      <c r="A73" s="163" t="s">
        <v>1175</v>
      </c>
      <c r="B73" s="100">
        <v>3.2</v>
      </c>
      <c r="C73" s="100">
        <v>27.34</v>
      </c>
      <c r="D73" s="100">
        <v>16.850000000000001</v>
      </c>
      <c r="E73" s="100">
        <v>8.1</v>
      </c>
      <c r="F73" s="100">
        <v>28.05</v>
      </c>
      <c r="G73" s="100">
        <v>30.42</v>
      </c>
      <c r="H73" s="100">
        <v>14.73</v>
      </c>
      <c r="I73" s="100">
        <v>6.94</v>
      </c>
      <c r="J73" s="100">
        <v>0.42</v>
      </c>
      <c r="K73" s="100">
        <v>36.58</v>
      </c>
      <c r="L73" s="100">
        <v>28.89</v>
      </c>
      <c r="M73" s="100">
        <v>13.2</v>
      </c>
      <c r="N73" s="100">
        <v>42.6</v>
      </c>
      <c r="O73" s="100">
        <v>0</v>
      </c>
      <c r="P73" s="100">
        <v>0.49</v>
      </c>
      <c r="Q73" s="100">
        <v>9.32</v>
      </c>
      <c r="R73" s="6"/>
      <c r="S73" s="6"/>
      <c r="T73" s="156"/>
      <c r="U73" s="6"/>
    </row>
    <row r="74" spans="1:21" customFormat="1">
      <c r="A74" s="163" t="s">
        <v>1176</v>
      </c>
      <c r="B74" s="100">
        <v>3.16</v>
      </c>
      <c r="C74" s="100">
        <v>29.41</v>
      </c>
      <c r="D74" s="100">
        <v>17.899999999999999</v>
      </c>
      <c r="E74" s="100">
        <v>5.58</v>
      </c>
      <c r="F74" s="100">
        <v>16.559999999999999</v>
      </c>
      <c r="G74" s="100">
        <v>30.42</v>
      </c>
      <c r="H74" s="100">
        <v>14.73</v>
      </c>
      <c r="I74" s="100">
        <v>6.98</v>
      </c>
      <c r="J74" s="100">
        <v>0.27</v>
      </c>
      <c r="K74" s="100">
        <v>41.33</v>
      </c>
      <c r="L74" s="100">
        <v>28.5</v>
      </c>
      <c r="M74" s="100">
        <v>15.47</v>
      </c>
      <c r="N74" s="100">
        <v>39.1</v>
      </c>
      <c r="O74" s="100">
        <v>0</v>
      </c>
      <c r="P74" s="100">
        <v>0.52</v>
      </c>
      <c r="Q74" s="100">
        <v>9.33</v>
      </c>
      <c r="R74" s="6"/>
      <c r="S74" s="6"/>
      <c r="T74" s="156"/>
      <c r="U74" s="6"/>
    </row>
    <row r="75" spans="1:21" customFormat="1">
      <c r="A75" s="163" t="s">
        <v>1177</v>
      </c>
      <c r="B75" s="100">
        <v>3.15</v>
      </c>
      <c r="C75" s="100">
        <v>30.07</v>
      </c>
      <c r="D75" s="100">
        <v>18.23</v>
      </c>
      <c r="E75" s="100">
        <v>3.9</v>
      </c>
      <c r="F75" s="100">
        <v>10.19</v>
      </c>
      <c r="G75" s="100">
        <v>38.840000000000003</v>
      </c>
      <c r="H75" s="100">
        <v>20.88</v>
      </c>
      <c r="I75" s="100">
        <v>7.03</v>
      </c>
      <c r="J75" s="100">
        <v>0.06</v>
      </c>
      <c r="K75" s="100">
        <v>179.14</v>
      </c>
      <c r="L75" s="100">
        <v>27.39</v>
      </c>
      <c r="M75" s="100">
        <v>21.14</v>
      </c>
      <c r="N75" s="100">
        <v>29.8</v>
      </c>
      <c r="O75" s="100">
        <v>0</v>
      </c>
      <c r="P75" s="100">
        <v>0.53</v>
      </c>
      <c r="Q75" s="100">
        <v>9.33</v>
      </c>
      <c r="R75" s="6"/>
      <c r="S75" s="6"/>
      <c r="T75" s="156"/>
      <c r="U75" s="6"/>
    </row>
    <row r="76" spans="1:21" customFormat="1">
      <c r="A76" s="163" t="s">
        <v>1178</v>
      </c>
      <c r="B76" s="100">
        <v>3.1</v>
      </c>
      <c r="C76" s="100">
        <v>29.07</v>
      </c>
      <c r="D76" s="100">
        <v>17.68</v>
      </c>
      <c r="E76" s="100">
        <v>2.93</v>
      </c>
      <c r="F76" s="100">
        <v>7.89</v>
      </c>
      <c r="G76" s="100">
        <v>42.45</v>
      </c>
      <c r="H76" s="100">
        <v>21.27</v>
      </c>
      <c r="I76" s="100">
        <v>7.2</v>
      </c>
      <c r="J76" s="100">
        <v>0.12</v>
      </c>
      <c r="K76" s="100">
        <v>152.97</v>
      </c>
      <c r="L76" s="100">
        <v>26.13</v>
      </c>
      <c r="M76" s="100">
        <v>24.01</v>
      </c>
      <c r="N76" s="100">
        <v>21.7</v>
      </c>
      <c r="O76" s="100">
        <v>0</v>
      </c>
      <c r="P76" s="100">
        <v>0.55000000000000004</v>
      </c>
      <c r="Q76" s="100">
        <v>9.32</v>
      </c>
      <c r="R76" s="6"/>
      <c r="S76" s="6"/>
      <c r="T76" s="156"/>
      <c r="U76" s="6"/>
    </row>
    <row r="77" spans="1:21" customFormat="1">
      <c r="A77" s="163" t="s">
        <v>1179</v>
      </c>
      <c r="B77" s="100">
        <v>3.1</v>
      </c>
      <c r="C77" s="100">
        <v>29.09</v>
      </c>
      <c r="D77" s="100">
        <v>17.690000000000001</v>
      </c>
      <c r="E77" s="100">
        <v>2.5499999999999998</v>
      </c>
      <c r="F77" s="100">
        <v>6.13</v>
      </c>
      <c r="G77" s="100">
        <v>42.45</v>
      </c>
      <c r="H77" s="100">
        <v>21.27</v>
      </c>
      <c r="I77" s="100">
        <v>7.42</v>
      </c>
      <c r="J77" s="100">
        <v>0.33</v>
      </c>
      <c r="K77" s="100">
        <v>162.66</v>
      </c>
      <c r="L77" s="100">
        <v>24.89</v>
      </c>
      <c r="M77" s="100">
        <v>28.32</v>
      </c>
      <c r="N77" s="100">
        <v>15.3</v>
      </c>
      <c r="O77" s="100">
        <v>0</v>
      </c>
      <c r="P77" s="100">
        <v>0.57999999999999996</v>
      </c>
      <c r="Q77" s="100">
        <v>9.32</v>
      </c>
      <c r="R77" s="6"/>
      <c r="S77" s="6"/>
      <c r="T77" s="156"/>
      <c r="U77" s="6"/>
    </row>
    <row r="78" spans="1:21" customFormat="1">
      <c r="A78" s="163" t="s">
        <v>1180</v>
      </c>
      <c r="B78" s="100">
        <v>3.16</v>
      </c>
      <c r="C78" s="100">
        <v>27.91</v>
      </c>
      <c r="D78" s="100">
        <v>17.12</v>
      </c>
      <c r="E78" s="100">
        <v>2.27</v>
      </c>
      <c r="F78" s="100">
        <v>3.31</v>
      </c>
      <c r="G78" s="100">
        <v>42.45</v>
      </c>
      <c r="H78" s="100">
        <v>21.27</v>
      </c>
      <c r="I78" s="100">
        <v>7.84</v>
      </c>
      <c r="J78" s="100">
        <v>0.27</v>
      </c>
      <c r="K78" s="100">
        <v>172.26</v>
      </c>
      <c r="L78" s="100">
        <v>23.86</v>
      </c>
      <c r="M78" s="100">
        <v>33.049999999999997</v>
      </c>
      <c r="N78" s="100">
        <v>11.1</v>
      </c>
      <c r="O78" s="100">
        <v>0</v>
      </c>
      <c r="P78" s="100">
        <v>0.61</v>
      </c>
      <c r="Q78" s="100">
        <v>9.32</v>
      </c>
      <c r="R78" s="6"/>
      <c r="S78" s="6"/>
      <c r="T78" s="156"/>
      <c r="U78" s="6"/>
    </row>
    <row r="79" spans="1:21" customFormat="1">
      <c r="A79" s="163" t="s">
        <v>1181</v>
      </c>
      <c r="B79" s="100">
        <v>3.47</v>
      </c>
      <c r="C79" s="100">
        <v>26.74</v>
      </c>
      <c r="D79" s="100">
        <v>16.760000000000002</v>
      </c>
      <c r="E79" s="100">
        <v>2.0299999999999998</v>
      </c>
      <c r="F79" s="100">
        <v>2.0099999999999998</v>
      </c>
      <c r="G79" s="100">
        <v>53.67</v>
      </c>
      <c r="H79" s="100">
        <v>25</v>
      </c>
      <c r="I79" s="100">
        <v>8.3000000000000007</v>
      </c>
      <c r="J79" s="100">
        <v>0.3</v>
      </c>
      <c r="K79" s="100">
        <v>165.54</v>
      </c>
      <c r="L79" s="100">
        <v>23.09</v>
      </c>
      <c r="M79" s="100">
        <v>36.65</v>
      </c>
      <c r="N79" s="100">
        <v>9.5</v>
      </c>
      <c r="O79" s="100">
        <v>0</v>
      </c>
      <c r="P79" s="100">
        <v>0.63</v>
      </c>
      <c r="Q79" s="100">
        <v>9.32</v>
      </c>
      <c r="R79" s="6"/>
      <c r="S79" s="6"/>
      <c r="T79" s="156"/>
      <c r="U79" s="6"/>
    </row>
    <row r="80" spans="1:21" customFormat="1">
      <c r="A80" s="163" t="s">
        <v>1182</v>
      </c>
      <c r="B80" s="100">
        <v>3.79</v>
      </c>
      <c r="C80" s="100">
        <v>25.54</v>
      </c>
      <c r="D80" s="100">
        <v>16.38</v>
      </c>
      <c r="E80" s="100">
        <v>2.37</v>
      </c>
      <c r="F80" s="100">
        <v>1.53</v>
      </c>
      <c r="G80" s="100">
        <v>61.35</v>
      </c>
      <c r="H80" s="100">
        <v>25.23</v>
      </c>
      <c r="I80" s="100">
        <v>8.6199999999999992</v>
      </c>
      <c r="J80" s="100">
        <v>0.31</v>
      </c>
      <c r="K80" s="100">
        <v>162.1</v>
      </c>
      <c r="L80" s="100">
        <v>22.29</v>
      </c>
      <c r="M80" s="100">
        <v>44.48</v>
      </c>
      <c r="N80" s="100">
        <v>9.1999999999999993</v>
      </c>
      <c r="O80" s="100">
        <v>0</v>
      </c>
      <c r="P80" s="100">
        <v>0.64</v>
      </c>
      <c r="Q80" s="100">
        <v>9.32</v>
      </c>
      <c r="R80" s="6"/>
      <c r="S80" s="6"/>
      <c r="T80" s="156"/>
      <c r="U80" s="6"/>
    </row>
    <row r="81" spans="1:21" customFormat="1">
      <c r="A81" s="163" t="s">
        <v>1183</v>
      </c>
      <c r="B81" s="100">
        <v>4.16</v>
      </c>
      <c r="C81" s="100">
        <v>24.64</v>
      </c>
      <c r="D81" s="100">
        <v>16.21</v>
      </c>
      <c r="E81" s="100">
        <v>2.83</v>
      </c>
      <c r="F81" s="100">
        <v>1.38</v>
      </c>
      <c r="G81" s="100">
        <v>61.35</v>
      </c>
      <c r="H81" s="100">
        <v>25.23</v>
      </c>
      <c r="I81" s="100">
        <v>9.06</v>
      </c>
      <c r="J81" s="100">
        <v>0.31</v>
      </c>
      <c r="K81" s="100">
        <v>162.88</v>
      </c>
      <c r="L81" s="100">
        <v>21.79</v>
      </c>
      <c r="M81" s="100">
        <v>49.51</v>
      </c>
      <c r="N81" s="100">
        <v>9.1</v>
      </c>
      <c r="O81" s="100">
        <v>0</v>
      </c>
      <c r="P81" s="100">
        <v>0.66</v>
      </c>
      <c r="Q81" s="100">
        <v>9.33</v>
      </c>
      <c r="R81" s="6"/>
      <c r="S81" s="6"/>
      <c r="T81" s="156"/>
      <c r="U81" s="6"/>
    </row>
    <row r="82" spans="1:21" customFormat="1">
      <c r="A82" s="163" t="s">
        <v>1184</v>
      </c>
      <c r="B82" s="100">
        <v>4.55</v>
      </c>
      <c r="C82" s="100">
        <v>23.77</v>
      </c>
      <c r="D82" s="100">
        <v>16.07</v>
      </c>
      <c r="E82" s="100">
        <v>3.49</v>
      </c>
      <c r="F82" s="100">
        <v>1.3</v>
      </c>
      <c r="G82" s="100">
        <v>61.35</v>
      </c>
      <c r="H82" s="100">
        <v>25.23</v>
      </c>
      <c r="I82" s="100">
        <v>9.61</v>
      </c>
      <c r="J82" s="100">
        <v>0.27</v>
      </c>
      <c r="K82" s="100">
        <v>163.46</v>
      </c>
      <c r="L82" s="100">
        <v>21.23</v>
      </c>
      <c r="M82" s="100">
        <v>55.65</v>
      </c>
      <c r="N82" s="100">
        <v>9</v>
      </c>
      <c r="O82" s="100">
        <v>0</v>
      </c>
      <c r="P82" s="100">
        <v>0.68</v>
      </c>
      <c r="Q82" s="100">
        <v>9.43</v>
      </c>
      <c r="R82" s="6"/>
      <c r="S82" s="6"/>
      <c r="T82" s="156"/>
      <c r="U82" s="6"/>
    </row>
    <row r="83" spans="1:21" customFormat="1">
      <c r="A83" s="163" t="s">
        <v>1185</v>
      </c>
      <c r="B83" s="100">
        <v>4.84</v>
      </c>
      <c r="C83" s="100">
        <v>23.1</v>
      </c>
      <c r="D83" s="100">
        <v>15.95</v>
      </c>
      <c r="E83" s="100">
        <v>3.23</v>
      </c>
      <c r="F83" s="100">
        <v>1.34</v>
      </c>
      <c r="G83" s="100">
        <v>80.83</v>
      </c>
      <c r="H83" s="100">
        <v>33.15</v>
      </c>
      <c r="I83" s="100">
        <v>8.94</v>
      </c>
      <c r="J83" s="100">
        <v>0.25</v>
      </c>
      <c r="K83" s="100">
        <v>173.79</v>
      </c>
      <c r="L83" s="100">
        <v>20.86</v>
      </c>
      <c r="M83" s="100">
        <v>58.93</v>
      </c>
      <c r="N83" s="100">
        <v>8.9</v>
      </c>
      <c r="O83" s="100">
        <v>0</v>
      </c>
      <c r="P83" s="100">
        <v>0.7</v>
      </c>
      <c r="Q83" s="100">
        <v>9.34</v>
      </c>
      <c r="R83" s="6"/>
      <c r="S83" s="6"/>
      <c r="T83" s="156"/>
      <c r="U83" s="6"/>
    </row>
    <row r="84" spans="1:21" customFormat="1">
      <c r="A84" s="163" t="s">
        <v>1186</v>
      </c>
      <c r="B84" s="100">
        <v>5.15</v>
      </c>
      <c r="C84" s="100">
        <v>22.58</v>
      </c>
      <c r="D84" s="100">
        <v>15.93</v>
      </c>
      <c r="E84" s="100">
        <v>3.4</v>
      </c>
      <c r="F84" s="100">
        <v>1.35</v>
      </c>
      <c r="G84" s="100">
        <v>88.75</v>
      </c>
      <c r="H84" s="100">
        <v>33.520000000000003</v>
      </c>
      <c r="I84" s="100">
        <v>8.09</v>
      </c>
      <c r="J84" s="100">
        <v>0.19</v>
      </c>
      <c r="K84" s="100">
        <v>199.04</v>
      </c>
      <c r="L84" s="100">
        <v>20.3</v>
      </c>
      <c r="M84" s="100">
        <v>60.55</v>
      </c>
      <c r="N84" s="100">
        <v>9</v>
      </c>
      <c r="O84" s="100">
        <v>0</v>
      </c>
      <c r="P84" s="100">
        <v>0.73</v>
      </c>
      <c r="Q84" s="100">
        <v>9.32</v>
      </c>
      <c r="R84" s="6"/>
      <c r="S84" s="6"/>
      <c r="T84" s="156"/>
      <c r="U84" s="6"/>
    </row>
    <row r="85" spans="1:21" customFormat="1">
      <c r="A85" s="163" t="s">
        <v>1187</v>
      </c>
      <c r="B85" s="100">
        <v>5.38</v>
      </c>
      <c r="C85" s="100">
        <v>22.18</v>
      </c>
      <c r="D85" s="100">
        <v>15.9</v>
      </c>
      <c r="E85" s="100">
        <v>3.33</v>
      </c>
      <c r="F85" s="100">
        <v>1.4</v>
      </c>
      <c r="G85" s="100">
        <v>88.75</v>
      </c>
      <c r="H85" s="100">
        <v>33.520000000000003</v>
      </c>
      <c r="I85" s="100">
        <v>8.5399999999999991</v>
      </c>
      <c r="J85" s="100">
        <v>0.19</v>
      </c>
      <c r="K85" s="100">
        <v>201.27</v>
      </c>
      <c r="L85" s="100">
        <v>19.899999999999999</v>
      </c>
      <c r="M85" s="100">
        <v>59.44</v>
      </c>
      <c r="N85" s="100">
        <v>9</v>
      </c>
      <c r="O85" s="100">
        <v>0</v>
      </c>
      <c r="P85" s="100">
        <v>0.75</v>
      </c>
      <c r="Q85" s="100">
        <v>9.44</v>
      </c>
      <c r="R85" s="6"/>
      <c r="S85" s="6"/>
      <c r="T85" s="156"/>
      <c r="U85" s="6"/>
    </row>
    <row r="86" spans="1:21" customFormat="1">
      <c r="A86" s="163" t="s">
        <v>1188</v>
      </c>
      <c r="B86" s="100">
        <v>5.57</v>
      </c>
      <c r="C86" s="100">
        <v>21.75</v>
      </c>
      <c r="D86" s="100">
        <v>15.83</v>
      </c>
      <c r="E86" s="100">
        <v>3.6</v>
      </c>
      <c r="F86" s="100">
        <v>1.27</v>
      </c>
      <c r="G86" s="100">
        <v>88.75</v>
      </c>
      <c r="H86" s="100">
        <v>33.520000000000003</v>
      </c>
      <c r="I86" s="100">
        <v>9.02</v>
      </c>
      <c r="J86" s="100">
        <v>0.21</v>
      </c>
      <c r="K86" s="100">
        <v>202.54</v>
      </c>
      <c r="L86" s="100">
        <v>19.239999999999998</v>
      </c>
      <c r="M86" s="100">
        <v>65.5</v>
      </c>
      <c r="N86" s="100">
        <v>9</v>
      </c>
      <c r="O86" s="100">
        <v>0</v>
      </c>
      <c r="P86" s="100">
        <v>0.77</v>
      </c>
      <c r="Q86" s="100">
        <v>9.6</v>
      </c>
      <c r="R86" s="6"/>
      <c r="S86" s="6"/>
      <c r="T86" s="156"/>
      <c r="U86" s="6"/>
    </row>
    <row r="87" spans="1:21" customFormat="1">
      <c r="A87" s="163" t="s">
        <v>1189</v>
      </c>
      <c r="B87" s="100">
        <v>5.68</v>
      </c>
      <c r="C87" s="100">
        <v>21.18</v>
      </c>
      <c r="D87" s="100">
        <v>15.62</v>
      </c>
      <c r="E87" s="100">
        <v>3.88</v>
      </c>
      <c r="F87" s="100">
        <v>1.25</v>
      </c>
      <c r="G87" s="100">
        <v>86.33</v>
      </c>
      <c r="H87" s="100">
        <v>34.770000000000003</v>
      </c>
      <c r="I87" s="100">
        <v>9.41</v>
      </c>
      <c r="J87" s="100">
        <v>0.18</v>
      </c>
      <c r="K87" s="100">
        <v>168.91</v>
      </c>
      <c r="L87" s="100">
        <v>18.940000000000001</v>
      </c>
      <c r="M87" s="100">
        <v>64.86</v>
      </c>
      <c r="N87" s="100">
        <v>9</v>
      </c>
      <c r="O87" s="100">
        <v>0</v>
      </c>
      <c r="P87" s="100">
        <v>0.78</v>
      </c>
      <c r="Q87" s="100">
        <v>9.65</v>
      </c>
      <c r="R87" s="6"/>
      <c r="S87" s="6"/>
      <c r="T87" s="156"/>
      <c r="U87" s="6"/>
    </row>
    <row r="88" spans="1:21" customFormat="1">
      <c r="A88" s="163" t="s">
        <v>1190</v>
      </c>
      <c r="B88" s="100">
        <v>5.69</v>
      </c>
      <c r="C88" s="100">
        <v>20.55</v>
      </c>
      <c r="D88" s="100">
        <v>15.3</v>
      </c>
      <c r="E88" s="100">
        <v>3.97</v>
      </c>
      <c r="F88" s="100">
        <v>1.27</v>
      </c>
      <c r="G88" s="100">
        <v>85.35</v>
      </c>
      <c r="H88" s="100">
        <v>35.020000000000003</v>
      </c>
      <c r="I88" s="100">
        <v>9.6</v>
      </c>
      <c r="J88" s="100">
        <v>0.12</v>
      </c>
      <c r="K88" s="100">
        <v>189.91</v>
      </c>
      <c r="L88" s="100">
        <v>18.64</v>
      </c>
      <c r="M88" s="100">
        <v>61.71</v>
      </c>
      <c r="N88" s="100">
        <v>8.8000000000000007</v>
      </c>
      <c r="O88" s="100">
        <v>0</v>
      </c>
      <c r="P88" s="100">
        <v>0.77</v>
      </c>
      <c r="Q88" s="100">
        <v>9.5299999999999994</v>
      </c>
      <c r="R88" s="6"/>
      <c r="S88" s="6"/>
      <c r="T88" s="156"/>
      <c r="U88" s="6"/>
    </row>
    <row r="89" spans="1:21" customFormat="1">
      <c r="A89" s="163" t="s">
        <v>1191</v>
      </c>
      <c r="B89" s="100">
        <v>5.68</v>
      </c>
      <c r="C89" s="100">
        <v>19.95</v>
      </c>
      <c r="D89" s="100">
        <v>14.98</v>
      </c>
      <c r="E89" s="100">
        <v>3.69</v>
      </c>
      <c r="F89" s="100">
        <v>1.3</v>
      </c>
      <c r="G89" s="100">
        <v>85.35</v>
      </c>
      <c r="H89" s="100">
        <v>35.020000000000003</v>
      </c>
      <c r="I89" s="100">
        <v>9.65</v>
      </c>
      <c r="J89" s="100">
        <v>0.17</v>
      </c>
      <c r="K89" s="100">
        <v>199.29</v>
      </c>
      <c r="L89" s="100">
        <v>18.57</v>
      </c>
      <c r="M89" s="100">
        <v>65</v>
      </c>
      <c r="N89" s="100">
        <v>8.6</v>
      </c>
      <c r="O89" s="100">
        <v>0</v>
      </c>
      <c r="P89" s="100">
        <v>0.77</v>
      </c>
      <c r="Q89" s="100">
        <v>9.48</v>
      </c>
      <c r="R89" s="6"/>
      <c r="S89" s="6"/>
      <c r="T89" s="156"/>
      <c r="U89" s="6"/>
    </row>
    <row r="90" spans="1:21" customFormat="1">
      <c r="A90" s="163" t="s">
        <v>1192</v>
      </c>
      <c r="B90" s="100">
        <v>5.69</v>
      </c>
      <c r="C90" s="100">
        <v>19.309999999999999</v>
      </c>
      <c r="D90" s="100">
        <v>14.65</v>
      </c>
      <c r="E90" s="100">
        <v>4.04</v>
      </c>
      <c r="F90" s="100">
        <v>1.37</v>
      </c>
      <c r="G90" s="100">
        <v>85.35</v>
      </c>
      <c r="H90" s="100">
        <v>35.020000000000003</v>
      </c>
      <c r="I90" s="100">
        <v>10.81</v>
      </c>
      <c r="J90" s="100">
        <v>0.19</v>
      </c>
      <c r="K90" s="100">
        <v>204.99</v>
      </c>
      <c r="L90" s="100">
        <v>18.309999999999999</v>
      </c>
      <c r="M90" s="100">
        <v>68.02</v>
      </c>
      <c r="N90" s="100">
        <v>8.6999999999999993</v>
      </c>
      <c r="O90" s="100">
        <v>0</v>
      </c>
      <c r="P90" s="100">
        <v>0.77</v>
      </c>
      <c r="Q90" s="100">
        <v>9.42</v>
      </c>
      <c r="R90" s="6"/>
      <c r="S90" s="6"/>
      <c r="T90" s="156"/>
      <c r="U90" s="6"/>
    </row>
    <row r="91" spans="1:21" customFormat="1">
      <c r="A91" s="163" t="s">
        <v>1193</v>
      </c>
      <c r="B91" s="100">
        <v>5.79</v>
      </c>
      <c r="C91" s="100">
        <v>18.690000000000001</v>
      </c>
      <c r="D91" s="100">
        <v>14.41</v>
      </c>
      <c r="E91" s="100">
        <v>3.84</v>
      </c>
      <c r="F91" s="100">
        <v>1.33</v>
      </c>
      <c r="G91" s="100">
        <v>85.22</v>
      </c>
      <c r="H91" s="100">
        <v>34.200000000000003</v>
      </c>
      <c r="I91" s="100">
        <v>12.1</v>
      </c>
      <c r="J91" s="100">
        <v>0.18</v>
      </c>
      <c r="K91" s="100">
        <v>165.55</v>
      </c>
      <c r="L91" s="100">
        <v>17.920000000000002</v>
      </c>
      <c r="M91" s="100">
        <v>68.930000000000007</v>
      </c>
      <c r="N91" s="100">
        <v>8.9</v>
      </c>
      <c r="O91" s="100">
        <v>0</v>
      </c>
      <c r="P91" s="100">
        <v>0.78</v>
      </c>
      <c r="Q91" s="100">
        <v>9.44</v>
      </c>
      <c r="R91" s="6"/>
      <c r="S91" s="6"/>
      <c r="T91" s="156"/>
      <c r="U91" s="6"/>
    </row>
    <row r="92" spans="1:21" customFormat="1">
      <c r="A92" s="163" t="s">
        <v>1194</v>
      </c>
      <c r="B92" s="100">
        <v>5.9</v>
      </c>
      <c r="C92" s="100">
        <v>18.16</v>
      </c>
      <c r="D92" s="100">
        <v>14.22</v>
      </c>
      <c r="E92" s="100">
        <v>4.4000000000000004</v>
      </c>
      <c r="F92" s="100">
        <v>1.45</v>
      </c>
      <c r="G92" s="100">
        <v>85.17</v>
      </c>
      <c r="H92" s="100">
        <v>34.15</v>
      </c>
      <c r="I92" s="100">
        <v>12.16</v>
      </c>
      <c r="J92" s="100">
        <v>0.17</v>
      </c>
      <c r="K92" s="100">
        <v>204.53</v>
      </c>
      <c r="L92" s="100">
        <v>17.84</v>
      </c>
      <c r="M92" s="100">
        <v>71.13</v>
      </c>
      <c r="N92" s="100">
        <v>8.6999999999999993</v>
      </c>
      <c r="O92" s="100">
        <v>0</v>
      </c>
      <c r="P92" s="100">
        <v>0.79</v>
      </c>
      <c r="Q92" s="100">
        <v>9.3800000000000008</v>
      </c>
      <c r="R92" s="6"/>
      <c r="S92" s="6"/>
      <c r="T92" s="156"/>
      <c r="U92" s="6"/>
    </row>
    <row r="93" spans="1:21" customFormat="1">
      <c r="A93" s="163" t="s">
        <v>1195</v>
      </c>
      <c r="B93" s="100">
        <v>6.01</v>
      </c>
      <c r="C93" s="100">
        <v>17.8</v>
      </c>
      <c r="D93" s="100">
        <v>14.12</v>
      </c>
      <c r="E93" s="100">
        <v>4.1100000000000003</v>
      </c>
      <c r="F93" s="100">
        <v>1.35</v>
      </c>
      <c r="G93" s="100">
        <v>85.17</v>
      </c>
      <c r="H93" s="100">
        <v>34.15</v>
      </c>
      <c r="I93" s="100">
        <v>12.24</v>
      </c>
      <c r="J93" s="100">
        <v>0.2</v>
      </c>
      <c r="K93" s="100">
        <v>156.84</v>
      </c>
      <c r="L93" s="100">
        <v>17.5</v>
      </c>
      <c r="M93" s="100">
        <v>74.44</v>
      </c>
      <c r="N93" s="100">
        <v>8.9</v>
      </c>
      <c r="O93" s="100">
        <v>0</v>
      </c>
      <c r="P93" s="100">
        <v>0.8</v>
      </c>
      <c r="Q93" s="100">
        <v>9.3000000000000007</v>
      </c>
      <c r="R93" s="6"/>
      <c r="S93" s="6"/>
      <c r="T93" s="156"/>
      <c r="U93" s="6"/>
    </row>
    <row r="94" spans="1:21" customFormat="1">
      <c r="A94" s="163" t="s">
        <v>1196</v>
      </c>
      <c r="B94" s="100">
        <v>6.16</v>
      </c>
      <c r="C94" s="100">
        <v>17.47</v>
      </c>
      <c r="D94" s="100">
        <v>14.07</v>
      </c>
      <c r="E94" s="100">
        <v>4.32</v>
      </c>
      <c r="F94" s="100">
        <v>1.27</v>
      </c>
      <c r="G94" s="100">
        <v>85.17</v>
      </c>
      <c r="H94" s="100">
        <v>34.15</v>
      </c>
      <c r="I94" s="100">
        <v>12.42</v>
      </c>
      <c r="J94" s="100">
        <v>0.2</v>
      </c>
      <c r="K94" s="100">
        <v>232.7</v>
      </c>
      <c r="L94" s="100">
        <v>17.54</v>
      </c>
      <c r="M94" s="100">
        <v>75.319999999999993</v>
      </c>
      <c r="N94" s="100">
        <v>8.6</v>
      </c>
      <c r="O94" s="100">
        <v>0</v>
      </c>
      <c r="P94" s="100">
        <v>0.82</v>
      </c>
      <c r="Q94" s="100">
        <v>9.33</v>
      </c>
      <c r="R94" s="6"/>
      <c r="S94" s="6"/>
      <c r="T94" s="156"/>
      <c r="U94" s="6"/>
    </row>
    <row r="95" spans="1:21" customFormat="1">
      <c r="A95" s="163" t="s">
        <v>1197</v>
      </c>
      <c r="B95" s="100">
        <v>6.3</v>
      </c>
      <c r="C95" s="100">
        <v>17.309999999999999</v>
      </c>
      <c r="D95" s="100">
        <v>14.09</v>
      </c>
      <c r="E95" s="100">
        <v>3.64</v>
      </c>
      <c r="F95" s="100">
        <v>1.27</v>
      </c>
      <c r="G95" s="100">
        <v>85.33</v>
      </c>
      <c r="H95" s="100">
        <v>37.11</v>
      </c>
      <c r="I95" s="100">
        <v>12.6</v>
      </c>
      <c r="J95" s="100">
        <v>0.16</v>
      </c>
      <c r="K95" s="100">
        <v>222.88</v>
      </c>
      <c r="L95" s="100">
        <v>17.09</v>
      </c>
      <c r="M95" s="100">
        <v>68.489999999999995</v>
      </c>
      <c r="N95" s="100">
        <v>8.9</v>
      </c>
      <c r="O95" s="100">
        <v>0</v>
      </c>
      <c r="P95" s="100">
        <v>0.83</v>
      </c>
      <c r="Q95" s="100">
        <v>9.33</v>
      </c>
      <c r="R95" s="6"/>
      <c r="S95" s="6"/>
      <c r="T95" s="156"/>
      <c r="U95" s="6"/>
    </row>
    <row r="96" spans="1:21" customFormat="1">
      <c r="A96" s="163" t="s">
        <v>1198</v>
      </c>
      <c r="B96" s="100">
        <v>6.81</v>
      </c>
      <c r="C96" s="100">
        <v>17.260000000000002</v>
      </c>
      <c r="D96" s="100">
        <v>14.48</v>
      </c>
      <c r="E96" s="100">
        <v>4.4800000000000004</v>
      </c>
      <c r="F96" s="100">
        <v>1.24</v>
      </c>
      <c r="G96" s="100">
        <v>85.4</v>
      </c>
      <c r="H96" s="100">
        <v>37.299999999999997</v>
      </c>
      <c r="I96" s="100">
        <v>12.81</v>
      </c>
      <c r="J96" s="100">
        <v>0.19</v>
      </c>
      <c r="K96" s="100">
        <v>229.11</v>
      </c>
      <c r="L96" s="100">
        <v>17.260000000000002</v>
      </c>
      <c r="M96" s="100">
        <v>65.489999999999995</v>
      </c>
      <c r="N96" s="100">
        <v>8.6</v>
      </c>
      <c r="O96" s="100">
        <v>0</v>
      </c>
      <c r="P96" s="100">
        <v>0.85</v>
      </c>
      <c r="Q96" s="100">
        <v>9.35</v>
      </c>
      <c r="R96" s="6"/>
      <c r="S96" s="6"/>
      <c r="T96" s="156"/>
      <c r="U96" s="6"/>
    </row>
    <row r="97" spans="1:28" customFormat="1">
      <c r="A97" s="163" t="s">
        <v>1199</v>
      </c>
      <c r="B97" s="100">
        <v>9.5500000000000007</v>
      </c>
      <c r="C97" s="100">
        <v>17.93</v>
      </c>
      <c r="D97" s="100">
        <v>17.03</v>
      </c>
      <c r="E97" s="100">
        <v>4.34</v>
      </c>
      <c r="F97" s="100">
        <v>1.2</v>
      </c>
      <c r="G97" s="100">
        <v>85.4</v>
      </c>
      <c r="H97" s="100">
        <v>37.299999999999997</v>
      </c>
      <c r="I97" s="100">
        <v>13.08</v>
      </c>
      <c r="J97" s="100">
        <v>0.27</v>
      </c>
      <c r="K97" s="100">
        <v>158.68</v>
      </c>
      <c r="L97" s="100">
        <v>17.47</v>
      </c>
      <c r="M97" s="100">
        <v>64.8</v>
      </c>
      <c r="N97" s="100">
        <v>8.6</v>
      </c>
      <c r="O97" s="100">
        <v>0</v>
      </c>
      <c r="P97" s="100">
        <v>0.89</v>
      </c>
      <c r="Q97" s="100">
        <v>9.41</v>
      </c>
      <c r="R97" s="6"/>
      <c r="S97" s="6"/>
      <c r="T97" s="156"/>
      <c r="U97" s="6"/>
    </row>
    <row r="98" spans="1:28" customFormat="1">
      <c r="A98" s="163" t="s">
        <v>1200</v>
      </c>
      <c r="B98" s="100">
        <v>12.43</v>
      </c>
      <c r="C98" s="100">
        <v>18.739999999999998</v>
      </c>
      <c r="D98" s="100">
        <v>19.760000000000002</v>
      </c>
      <c r="E98" s="100">
        <v>4.6100000000000003</v>
      </c>
      <c r="F98" s="100">
        <v>1.31</v>
      </c>
      <c r="G98" s="100">
        <v>85.4</v>
      </c>
      <c r="H98" s="100">
        <v>37.299999999999997</v>
      </c>
      <c r="I98" s="100">
        <v>13.37</v>
      </c>
      <c r="J98" s="100">
        <v>0.23</v>
      </c>
      <c r="K98" s="100">
        <v>168.83</v>
      </c>
      <c r="L98" s="100">
        <v>17.34</v>
      </c>
      <c r="M98" s="100">
        <v>67.58</v>
      </c>
      <c r="N98" s="100">
        <v>8.6999999999999993</v>
      </c>
      <c r="O98" s="100">
        <v>0</v>
      </c>
      <c r="P98" s="100">
        <v>0.94</v>
      </c>
      <c r="Q98" s="100">
        <v>9.4700000000000006</v>
      </c>
      <c r="R98" s="6"/>
      <c r="S98" s="6"/>
      <c r="T98" s="156"/>
      <c r="U98" s="6"/>
    </row>
    <row r="99" spans="1:28" customFormat="1">
      <c r="A99" s="163" t="s">
        <v>1201</v>
      </c>
      <c r="B99" s="100">
        <v>13.74</v>
      </c>
      <c r="C99" s="100">
        <v>18.940000000000001</v>
      </c>
      <c r="D99" s="100">
        <v>20.92</v>
      </c>
      <c r="E99" s="100">
        <v>4.7300000000000004</v>
      </c>
      <c r="F99" s="100">
        <v>1.5</v>
      </c>
      <c r="G99" s="100">
        <v>94.95</v>
      </c>
      <c r="H99" s="100">
        <v>47.8</v>
      </c>
      <c r="I99" s="100">
        <v>13.83</v>
      </c>
      <c r="J99" s="100">
        <v>0.19</v>
      </c>
      <c r="K99" s="100">
        <v>206.55</v>
      </c>
      <c r="L99" s="100">
        <v>17</v>
      </c>
      <c r="M99" s="100">
        <v>76.959999999999994</v>
      </c>
      <c r="N99" s="100">
        <v>8.8000000000000007</v>
      </c>
      <c r="O99" s="100">
        <v>0</v>
      </c>
      <c r="P99" s="100">
        <v>0.97</v>
      </c>
      <c r="Q99" s="100">
        <v>9.4499999999999993</v>
      </c>
      <c r="R99" s="6"/>
      <c r="S99" s="6"/>
      <c r="T99" s="156"/>
      <c r="U99" s="6"/>
    </row>
    <row r="100" spans="1:28" customFormat="1">
      <c r="A100" s="163" t="s">
        <v>1202</v>
      </c>
      <c r="B100" s="100">
        <v>14.2</v>
      </c>
      <c r="C100" s="100">
        <v>18.78</v>
      </c>
      <c r="D100" s="100">
        <v>21.2</v>
      </c>
      <c r="E100" s="100">
        <v>4.7300000000000004</v>
      </c>
      <c r="F100" s="100">
        <v>1.33</v>
      </c>
      <c r="G100" s="100">
        <v>98.83</v>
      </c>
      <c r="H100" s="100">
        <v>48.47</v>
      </c>
      <c r="I100" s="100">
        <v>14.37</v>
      </c>
      <c r="J100" s="100">
        <v>0.12</v>
      </c>
      <c r="K100" s="100">
        <v>196.19</v>
      </c>
      <c r="L100" s="100">
        <v>16.45</v>
      </c>
      <c r="M100" s="100">
        <v>78.95</v>
      </c>
      <c r="N100" s="100">
        <v>9</v>
      </c>
      <c r="O100" s="100">
        <v>0</v>
      </c>
      <c r="P100" s="100">
        <v>0.98</v>
      </c>
      <c r="Q100" s="100">
        <v>9.3699999999999992</v>
      </c>
      <c r="R100" s="6"/>
      <c r="S100" s="6"/>
      <c r="T100" s="156"/>
      <c r="U100" s="6"/>
      <c r="AB100" s="161"/>
    </row>
    <row r="101" spans="1:28" customFormat="1">
      <c r="A101" s="163" t="s">
        <v>1203</v>
      </c>
      <c r="B101" s="100">
        <v>14.17</v>
      </c>
      <c r="C101" s="100">
        <v>18.62</v>
      </c>
      <c r="D101" s="100">
        <v>21.09</v>
      </c>
      <c r="E101" s="100">
        <v>4.87</v>
      </c>
      <c r="F101" s="100">
        <v>1.19</v>
      </c>
      <c r="G101" s="100">
        <v>98.83</v>
      </c>
      <c r="H101" s="100">
        <v>48.47</v>
      </c>
      <c r="I101" s="100">
        <v>14.67</v>
      </c>
      <c r="J101" s="100">
        <v>0.18</v>
      </c>
      <c r="K101" s="100">
        <v>162.87</v>
      </c>
      <c r="L101" s="100">
        <v>16.3</v>
      </c>
      <c r="M101" s="100">
        <v>74.88</v>
      </c>
      <c r="N101" s="100">
        <v>8.8000000000000007</v>
      </c>
      <c r="O101" s="100">
        <v>0</v>
      </c>
      <c r="P101" s="100">
        <v>0.98</v>
      </c>
      <c r="Q101" s="100">
        <v>9.3800000000000008</v>
      </c>
      <c r="R101" s="6"/>
      <c r="S101" s="6"/>
      <c r="T101" s="156"/>
      <c r="U101" s="6"/>
    </row>
    <row r="102" spans="1:28" customFormat="1">
      <c r="A102" s="163" t="s">
        <v>1204</v>
      </c>
      <c r="B102" s="100">
        <v>13.88</v>
      </c>
      <c r="C102" s="100">
        <v>18.329999999999998</v>
      </c>
      <c r="D102" s="100">
        <v>20.71</v>
      </c>
      <c r="E102" s="100">
        <v>4.66</v>
      </c>
      <c r="F102" s="100">
        <v>1.25</v>
      </c>
      <c r="G102" s="100">
        <v>98.83</v>
      </c>
      <c r="H102" s="100">
        <v>48.47</v>
      </c>
      <c r="I102" s="100">
        <v>14.85</v>
      </c>
      <c r="J102" s="100">
        <v>0.17</v>
      </c>
      <c r="K102" s="100">
        <v>154.32</v>
      </c>
      <c r="L102" s="100">
        <v>16.350000000000001</v>
      </c>
      <c r="M102" s="100">
        <v>78.31</v>
      </c>
      <c r="N102" s="100">
        <v>8.6999999999999993</v>
      </c>
      <c r="O102" s="100">
        <v>0</v>
      </c>
      <c r="P102" s="100">
        <v>0.99</v>
      </c>
      <c r="Q102" s="100">
        <v>9.5</v>
      </c>
      <c r="R102" s="6"/>
      <c r="S102" s="6"/>
      <c r="T102" s="156"/>
      <c r="U102" s="6"/>
    </row>
    <row r="103" spans="1:28" customFormat="1">
      <c r="A103" s="163" t="s">
        <v>1205</v>
      </c>
      <c r="B103" s="100">
        <v>13.62</v>
      </c>
      <c r="C103" s="100">
        <v>18.010000000000002</v>
      </c>
      <c r="D103" s="100">
        <v>20.34</v>
      </c>
      <c r="E103" s="100">
        <v>4.84</v>
      </c>
      <c r="F103" s="100">
        <v>1.29</v>
      </c>
      <c r="G103" s="100">
        <v>92.96</v>
      </c>
      <c r="H103" s="100">
        <v>46.72</v>
      </c>
      <c r="I103" s="100">
        <v>14.96</v>
      </c>
      <c r="J103" s="100">
        <v>0.16</v>
      </c>
      <c r="K103" s="100">
        <v>175.09</v>
      </c>
      <c r="L103" s="100">
        <v>16.27</v>
      </c>
      <c r="M103" s="100">
        <v>73.69</v>
      </c>
      <c r="N103" s="100">
        <v>8.6999999999999993</v>
      </c>
      <c r="O103" s="100">
        <v>0</v>
      </c>
      <c r="P103" s="100">
        <v>0.99</v>
      </c>
      <c r="Q103" s="100">
        <v>9.3800000000000008</v>
      </c>
      <c r="R103" s="6"/>
      <c r="S103" s="6"/>
      <c r="T103" s="156"/>
      <c r="U103" s="6"/>
    </row>
    <row r="104" spans="1:28" customFormat="1">
      <c r="A104" s="163" t="s">
        <v>1206</v>
      </c>
      <c r="B104" s="100">
        <v>13.35</v>
      </c>
      <c r="C104" s="100">
        <v>17.82</v>
      </c>
      <c r="D104" s="100">
        <v>20.010000000000002</v>
      </c>
      <c r="E104" s="100">
        <v>4.53</v>
      </c>
      <c r="F104" s="100">
        <v>1.23</v>
      </c>
      <c r="G104" s="100">
        <v>90.58</v>
      </c>
      <c r="H104" s="100">
        <v>46.61</v>
      </c>
      <c r="I104" s="100">
        <v>15.02</v>
      </c>
      <c r="J104" s="100">
        <v>0.12</v>
      </c>
      <c r="K104" s="100">
        <v>172.23</v>
      </c>
      <c r="L104" s="100">
        <v>16.3</v>
      </c>
      <c r="M104" s="100">
        <v>80.209999999999994</v>
      </c>
      <c r="N104" s="100">
        <v>8.8000000000000007</v>
      </c>
      <c r="O104" s="100">
        <v>0</v>
      </c>
      <c r="P104" s="100">
        <v>0.99</v>
      </c>
      <c r="Q104" s="100">
        <v>9.3699999999999992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3.07</v>
      </c>
      <c r="C106" s="158">
        <f>MIN(C9:C104)</f>
        <v>15.88</v>
      </c>
      <c r="D106" s="158">
        <f t="shared" ref="D106:Q106" si="0">MIN(D9:D104)</f>
        <v>13.25</v>
      </c>
      <c r="E106" s="158">
        <f t="shared" si="0"/>
        <v>2.0299999999999998</v>
      </c>
      <c r="F106" s="158">
        <f t="shared" si="0"/>
        <v>0.01</v>
      </c>
      <c r="G106" s="158">
        <f t="shared" si="0"/>
        <v>18.809999999999999</v>
      </c>
      <c r="H106" s="158">
        <f t="shared" si="0"/>
        <v>10.97</v>
      </c>
      <c r="I106" s="158">
        <f t="shared" si="0"/>
        <v>6.62</v>
      </c>
      <c r="J106" s="158">
        <f t="shared" si="0"/>
        <v>0.03</v>
      </c>
      <c r="K106" s="158">
        <f t="shared" si="0"/>
        <v>-7.0000000000000007E-2</v>
      </c>
      <c r="L106" s="158">
        <f t="shared" si="0"/>
        <v>13.75</v>
      </c>
      <c r="M106" s="158">
        <f t="shared" si="0"/>
        <v>8.58</v>
      </c>
      <c r="N106" s="158">
        <f t="shared" si="0"/>
        <v>8.6</v>
      </c>
      <c r="O106" s="158">
        <f t="shared" si="0"/>
        <v>0</v>
      </c>
      <c r="P106" s="158">
        <f t="shared" si="0"/>
        <v>0.38</v>
      </c>
      <c r="Q106" s="158">
        <f t="shared" si="0"/>
        <v>9.2799999999999994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45.31</v>
      </c>
      <c r="C107" s="157">
        <f t="shared" ref="C107:Q107" si="1">MAX(C9:C104)</f>
        <v>30.07</v>
      </c>
      <c r="D107" s="157">
        <f t="shared" si="1"/>
        <v>46.99</v>
      </c>
      <c r="E107" s="157">
        <f t="shared" si="1"/>
        <v>8.1</v>
      </c>
      <c r="F107" s="157">
        <f t="shared" si="1"/>
        <v>28.05</v>
      </c>
      <c r="G107" s="157">
        <f t="shared" si="1"/>
        <v>146.77000000000001</v>
      </c>
      <c r="H107" s="157">
        <f t="shared" si="1"/>
        <v>59.35</v>
      </c>
      <c r="I107" s="157">
        <f t="shared" si="1"/>
        <v>19.27</v>
      </c>
      <c r="J107" s="157">
        <f t="shared" si="1"/>
        <v>1.1299999999999999</v>
      </c>
      <c r="K107" s="157">
        <f t="shared" si="1"/>
        <v>240.58</v>
      </c>
      <c r="L107" s="157">
        <f t="shared" si="1"/>
        <v>30.17</v>
      </c>
      <c r="M107" s="157">
        <f t="shared" si="1"/>
        <v>92.9</v>
      </c>
      <c r="N107" s="157">
        <f t="shared" si="1"/>
        <v>634.29999999999995</v>
      </c>
      <c r="O107" s="157">
        <f t="shared" si="1"/>
        <v>0</v>
      </c>
      <c r="P107" s="157">
        <f t="shared" si="1"/>
        <v>1.26</v>
      </c>
      <c r="Q107" s="157">
        <f t="shared" si="1"/>
        <v>9.69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19.586874999999999</v>
      </c>
      <c r="C108" s="158">
        <f t="shared" ref="C108:Q108" si="2">AVERAGE(C9:C104)</f>
        <v>21.345833333333331</v>
      </c>
      <c r="D108" s="158">
        <f t="shared" si="2"/>
        <v>26.860208333333336</v>
      </c>
      <c r="E108" s="158">
        <f t="shared" si="2"/>
        <v>4.9780208333333347</v>
      </c>
      <c r="F108" s="158">
        <f t="shared" si="2"/>
        <v>3.9690624999999993</v>
      </c>
      <c r="G108" s="158">
        <f t="shared" si="2"/>
        <v>80.135217391304366</v>
      </c>
      <c r="H108" s="158">
        <f t="shared" si="2"/>
        <v>36.57097826086958</v>
      </c>
      <c r="I108" s="158">
        <f t="shared" si="2"/>
        <v>12.861562499999996</v>
      </c>
      <c r="J108" s="158">
        <f t="shared" si="2"/>
        <v>0.36729166666666657</v>
      </c>
      <c r="K108" s="158">
        <f t="shared" si="2"/>
        <v>132.39854166666672</v>
      </c>
      <c r="L108" s="158">
        <f t="shared" si="2"/>
        <v>21.088229166666665</v>
      </c>
      <c r="M108" s="158">
        <f t="shared" si="2"/>
        <v>55.145937500000002</v>
      </c>
      <c r="N108" s="158">
        <f t="shared" si="2"/>
        <v>131.62499999999997</v>
      </c>
      <c r="O108" s="158">
        <f t="shared" si="2"/>
        <v>0</v>
      </c>
      <c r="P108" s="158">
        <f t="shared" si="2"/>
        <v>0.86666666666666625</v>
      </c>
      <c r="Q108" s="158">
        <f t="shared" si="2"/>
        <v>9.4175000000000058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15.647538922849986</v>
      </c>
      <c r="C109" s="158">
        <f t="shared" ref="C109:Q109" si="3">STDEV(C9:C104)</f>
        <v>3.6061802700850922</v>
      </c>
      <c r="D109" s="158">
        <f t="shared" si="3"/>
        <v>11.739312718981253</v>
      </c>
      <c r="E109" s="158">
        <f t="shared" si="3"/>
        <v>1.16382094823963</v>
      </c>
      <c r="F109" s="158">
        <f t="shared" si="3"/>
        <v>7.2203328510715599</v>
      </c>
      <c r="G109" s="158">
        <f t="shared" si="3"/>
        <v>28.757437699300482</v>
      </c>
      <c r="H109" s="158">
        <f t="shared" si="3"/>
        <v>12.761377260387626</v>
      </c>
      <c r="I109" s="158">
        <f t="shared" si="3"/>
        <v>3.6285074002883668</v>
      </c>
      <c r="J109" s="158">
        <f t="shared" si="3"/>
        <v>0.31474126104390704</v>
      </c>
      <c r="K109" s="158">
        <f t="shared" si="3"/>
        <v>71.802019176697783</v>
      </c>
      <c r="L109" s="158">
        <f t="shared" si="3"/>
        <v>5.7653403596595592</v>
      </c>
      <c r="M109" s="158">
        <f t="shared" si="3"/>
        <v>30.029636013642257</v>
      </c>
      <c r="N109" s="158">
        <f t="shared" si="3"/>
        <v>199.07038480211759</v>
      </c>
      <c r="O109" s="158">
        <f t="shared" si="3"/>
        <v>0</v>
      </c>
      <c r="P109" s="158">
        <f t="shared" si="3"/>
        <v>0.27033182987878918</v>
      </c>
      <c r="Q109" s="158">
        <f t="shared" si="3"/>
        <v>9.1190950612899127E-2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COUNT(H9:H104)+4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H111" sqref="H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1207</v>
      </c>
      <c r="B9" s="100">
        <v>13.68</v>
      </c>
      <c r="C9" s="100">
        <v>17.420000000000002</v>
      </c>
      <c r="D9" s="100">
        <v>20.07</v>
      </c>
      <c r="E9" s="100">
        <v>4.72</v>
      </c>
      <c r="F9" s="100">
        <v>1.17</v>
      </c>
      <c r="G9" s="100">
        <v>90.58</v>
      </c>
      <c r="H9" s="100">
        <v>46.61</v>
      </c>
      <c r="I9" s="100">
        <v>13.74</v>
      </c>
      <c r="J9" s="100">
        <v>0.11</v>
      </c>
      <c r="K9" s="100">
        <v>181.23</v>
      </c>
      <c r="L9" s="100">
        <v>16.079999999999998</v>
      </c>
      <c r="M9" s="100">
        <v>72.81</v>
      </c>
      <c r="N9" s="100">
        <v>8.8000000000000007</v>
      </c>
      <c r="O9" s="100">
        <v>0</v>
      </c>
      <c r="P9" s="100">
        <v>1.01</v>
      </c>
      <c r="Q9" s="100">
        <v>9.32</v>
      </c>
      <c r="R9" s="6"/>
      <c r="S9" s="6"/>
      <c r="T9" s="156"/>
      <c r="U9" s="6"/>
    </row>
    <row r="10" spans="1:21" customFormat="1">
      <c r="A10" s="163" t="s">
        <v>1208</v>
      </c>
      <c r="B10" s="100">
        <v>16.07</v>
      </c>
      <c r="C10" s="100">
        <v>18.149999999999999</v>
      </c>
      <c r="D10" s="100">
        <v>22.36</v>
      </c>
      <c r="E10" s="100">
        <v>4.4800000000000004</v>
      </c>
      <c r="F10" s="100">
        <v>1.22</v>
      </c>
      <c r="G10" s="100">
        <v>90.58</v>
      </c>
      <c r="H10" s="100">
        <v>46.61</v>
      </c>
      <c r="I10" s="100">
        <v>13.74</v>
      </c>
      <c r="J10" s="100">
        <v>0.1</v>
      </c>
      <c r="K10" s="100">
        <v>180.82</v>
      </c>
      <c r="L10" s="100">
        <v>16.170000000000002</v>
      </c>
      <c r="M10" s="100">
        <v>71.7</v>
      </c>
      <c r="N10" s="100">
        <v>8.6999999999999993</v>
      </c>
      <c r="O10" s="100">
        <v>0</v>
      </c>
      <c r="P10" s="100">
        <v>1.02</v>
      </c>
      <c r="Q10" s="100">
        <v>9.36</v>
      </c>
      <c r="R10" s="6"/>
      <c r="S10" s="6"/>
      <c r="T10" s="156"/>
      <c r="U10" s="6"/>
    </row>
    <row r="11" spans="1:21" customFormat="1">
      <c r="A11" s="163" t="s">
        <v>1209</v>
      </c>
      <c r="B11" s="100">
        <v>19.61</v>
      </c>
      <c r="C11" s="100">
        <v>18.98</v>
      </c>
      <c r="D11" s="100">
        <v>25.64</v>
      </c>
      <c r="E11" s="100">
        <v>4.8600000000000003</v>
      </c>
      <c r="F11" s="100">
        <v>1.27</v>
      </c>
      <c r="G11" s="100">
        <v>91.34</v>
      </c>
      <c r="H11" s="100">
        <v>49.85</v>
      </c>
      <c r="I11" s="100">
        <v>13.98</v>
      </c>
      <c r="J11" s="100">
        <v>0.13</v>
      </c>
      <c r="K11" s="100">
        <v>227.09</v>
      </c>
      <c r="L11" s="100">
        <v>16.170000000000002</v>
      </c>
      <c r="M11" s="100">
        <v>70.11</v>
      </c>
      <c r="N11" s="100">
        <v>8.6999999999999993</v>
      </c>
      <c r="O11" s="100">
        <v>0</v>
      </c>
      <c r="P11" s="100">
        <v>1.04</v>
      </c>
      <c r="Q11" s="100">
        <v>9.36</v>
      </c>
      <c r="R11" s="6"/>
      <c r="S11" s="6"/>
      <c r="T11" s="156"/>
      <c r="U11" s="6"/>
    </row>
    <row r="12" spans="1:21" customFormat="1">
      <c r="A12" s="163" t="s">
        <v>1210</v>
      </c>
      <c r="B12" s="100">
        <v>23.54</v>
      </c>
      <c r="C12" s="100">
        <v>19.79</v>
      </c>
      <c r="D12" s="100">
        <v>29.22</v>
      </c>
      <c r="E12" s="100">
        <v>4.8899999999999997</v>
      </c>
      <c r="F12" s="100">
        <v>1.31</v>
      </c>
      <c r="G12" s="100">
        <v>91.65</v>
      </c>
      <c r="H12" s="100">
        <v>50</v>
      </c>
      <c r="I12" s="100">
        <v>12.6</v>
      </c>
      <c r="J12" s="100">
        <v>0.13</v>
      </c>
      <c r="K12" s="100">
        <v>176.27</v>
      </c>
      <c r="L12" s="100">
        <v>16.3</v>
      </c>
      <c r="M12" s="100">
        <v>69.19</v>
      </c>
      <c r="N12" s="100">
        <v>8.6999999999999993</v>
      </c>
      <c r="O12" s="100">
        <v>0</v>
      </c>
      <c r="P12" s="100">
        <v>1.07</v>
      </c>
      <c r="Q12" s="100">
        <v>9.31</v>
      </c>
      <c r="R12" s="6"/>
      <c r="S12" s="6"/>
      <c r="T12" s="156"/>
      <c r="U12" s="6"/>
    </row>
    <row r="13" spans="1:21" customFormat="1">
      <c r="A13" s="163" t="s">
        <v>1211</v>
      </c>
      <c r="B13" s="100">
        <v>26.98</v>
      </c>
      <c r="C13" s="100">
        <v>20.62</v>
      </c>
      <c r="D13" s="100">
        <v>32.409999999999997</v>
      </c>
      <c r="E13" s="100">
        <v>5.22</v>
      </c>
      <c r="F13" s="100">
        <v>1.39</v>
      </c>
      <c r="G13" s="100">
        <v>91.65</v>
      </c>
      <c r="H13" s="100">
        <v>50</v>
      </c>
      <c r="I13" s="100">
        <v>12.83</v>
      </c>
      <c r="J13" s="100">
        <v>0.13</v>
      </c>
      <c r="K13" s="100">
        <v>171.48</v>
      </c>
      <c r="L13" s="100">
        <v>16.25</v>
      </c>
      <c r="M13" s="100">
        <v>68.47</v>
      </c>
      <c r="N13" s="100">
        <v>8.9</v>
      </c>
      <c r="O13" s="100">
        <v>0</v>
      </c>
      <c r="P13" s="100">
        <v>1.1000000000000001</v>
      </c>
      <c r="Q13" s="100">
        <v>9.32</v>
      </c>
      <c r="R13" s="6"/>
      <c r="S13" s="6"/>
      <c r="T13" s="156"/>
      <c r="U13" s="6"/>
    </row>
    <row r="14" spans="1:21" customFormat="1">
      <c r="A14" s="163" t="s">
        <v>1212</v>
      </c>
      <c r="B14" s="100">
        <v>29.35</v>
      </c>
      <c r="C14" s="100">
        <v>21.18</v>
      </c>
      <c r="D14" s="100">
        <v>34.6</v>
      </c>
      <c r="E14" s="100">
        <v>5</v>
      </c>
      <c r="F14" s="100">
        <v>1.36</v>
      </c>
      <c r="G14" s="100">
        <v>91.65</v>
      </c>
      <c r="H14" s="100">
        <v>50</v>
      </c>
      <c r="I14" s="100">
        <v>13.23</v>
      </c>
      <c r="J14" s="100">
        <v>0.23</v>
      </c>
      <c r="K14" s="100">
        <v>156.77000000000001</v>
      </c>
      <c r="L14" s="100">
        <v>16.21</v>
      </c>
      <c r="M14" s="100">
        <v>67.790000000000006</v>
      </c>
      <c r="N14" s="100">
        <v>8.9</v>
      </c>
      <c r="O14" s="100">
        <v>0</v>
      </c>
      <c r="P14" s="100">
        <v>1.1499999999999999</v>
      </c>
      <c r="Q14" s="100">
        <v>9.33</v>
      </c>
      <c r="R14" s="6"/>
      <c r="S14" s="6"/>
      <c r="T14" s="156"/>
      <c r="U14" s="6"/>
    </row>
    <row r="15" spans="1:21" customFormat="1">
      <c r="A15" s="163" t="s">
        <v>1213</v>
      </c>
      <c r="B15" s="100">
        <v>31.02</v>
      </c>
      <c r="C15" s="100">
        <v>21.5</v>
      </c>
      <c r="D15" s="100">
        <v>36.1</v>
      </c>
      <c r="E15" s="100">
        <v>5.08</v>
      </c>
      <c r="F15" s="100">
        <v>1.35</v>
      </c>
      <c r="G15" s="100">
        <v>100.8</v>
      </c>
      <c r="H15" s="100">
        <v>56.82</v>
      </c>
      <c r="I15" s="100">
        <v>13.76</v>
      </c>
      <c r="J15" s="100">
        <v>0.1</v>
      </c>
      <c r="K15" s="100">
        <v>134.16999999999999</v>
      </c>
      <c r="L15" s="100">
        <v>16.12</v>
      </c>
      <c r="M15" s="100">
        <v>68.989999999999995</v>
      </c>
      <c r="N15" s="100">
        <v>8.9</v>
      </c>
      <c r="O15" s="100">
        <v>0</v>
      </c>
      <c r="P15" s="100">
        <v>1.18</v>
      </c>
      <c r="Q15" s="100">
        <v>9.31</v>
      </c>
      <c r="R15" s="6"/>
      <c r="S15" s="6"/>
      <c r="T15" s="156"/>
      <c r="U15" s="6"/>
    </row>
    <row r="16" spans="1:21" customFormat="1">
      <c r="A16" s="163" t="s">
        <v>1214</v>
      </c>
      <c r="B16" s="100">
        <v>32.42</v>
      </c>
      <c r="C16" s="100">
        <v>21.56</v>
      </c>
      <c r="D16" s="100">
        <v>37.26</v>
      </c>
      <c r="E16" s="100">
        <v>5.04</v>
      </c>
      <c r="F16" s="100">
        <v>1.3</v>
      </c>
      <c r="G16" s="100">
        <v>104.72</v>
      </c>
      <c r="H16" s="100">
        <v>58.34</v>
      </c>
      <c r="I16" s="100">
        <v>14.36</v>
      </c>
      <c r="J16" s="100">
        <v>0.1</v>
      </c>
      <c r="K16" s="100">
        <v>145.1</v>
      </c>
      <c r="L16" s="100">
        <v>16.05</v>
      </c>
      <c r="M16" s="100">
        <v>65.45</v>
      </c>
      <c r="N16" s="100">
        <v>8.9</v>
      </c>
      <c r="O16" s="100">
        <v>0</v>
      </c>
      <c r="P16" s="100">
        <v>1.21</v>
      </c>
      <c r="Q16" s="100">
        <v>9.32</v>
      </c>
      <c r="R16" s="6"/>
      <c r="S16" s="6"/>
      <c r="T16" s="156"/>
      <c r="U16" s="6"/>
    </row>
    <row r="17" spans="1:21" customFormat="1">
      <c r="A17" s="163" t="s">
        <v>1215</v>
      </c>
      <c r="B17" s="100">
        <v>33.4</v>
      </c>
      <c r="C17" s="100">
        <v>21.65</v>
      </c>
      <c r="D17" s="100">
        <v>38.090000000000003</v>
      </c>
      <c r="E17" s="100">
        <v>4.1399999999999997</v>
      </c>
      <c r="F17" s="100">
        <v>1.17</v>
      </c>
      <c r="G17" s="100">
        <v>104.72</v>
      </c>
      <c r="H17" s="100">
        <v>58.34</v>
      </c>
      <c r="I17" s="100">
        <v>14.91</v>
      </c>
      <c r="J17" s="100">
        <v>0.15</v>
      </c>
      <c r="K17" s="100">
        <v>165.07</v>
      </c>
      <c r="L17" s="100">
        <v>15.82</v>
      </c>
      <c r="M17" s="100">
        <v>68.31</v>
      </c>
      <c r="N17" s="100">
        <v>9</v>
      </c>
      <c r="O17" s="100">
        <v>0</v>
      </c>
      <c r="P17" s="100">
        <v>1.24</v>
      </c>
      <c r="Q17" s="100">
        <v>9.32</v>
      </c>
      <c r="R17" s="6"/>
      <c r="S17" s="6"/>
      <c r="T17" s="156"/>
      <c r="U17" s="6"/>
    </row>
    <row r="18" spans="1:21" customFormat="1">
      <c r="A18" s="163" t="s">
        <v>1216</v>
      </c>
      <c r="B18" s="100">
        <v>34.03</v>
      </c>
      <c r="C18" s="100">
        <v>21.57</v>
      </c>
      <c r="D18" s="100">
        <v>38.56</v>
      </c>
      <c r="E18" s="100">
        <v>5.33</v>
      </c>
      <c r="F18" s="100">
        <v>1.31</v>
      </c>
      <c r="G18" s="100">
        <v>104.72</v>
      </c>
      <c r="H18" s="100">
        <v>58.34</v>
      </c>
      <c r="I18" s="100">
        <v>15.39</v>
      </c>
      <c r="J18" s="100">
        <v>0.15</v>
      </c>
      <c r="K18" s="100">
        <v>149.97999999999999</v>
      </c>
      <c r="L18" s="100">
        <v>15.57</v>
      </c>
      <c r="M18" s="100">
        <v>71.2</v>
      </c>
      <c r="N18" s="100">
        <v>9</v>
      </c>
      <c r="O18" s="100">
        <v>0</v>
      </c>
      <c r="P18" s="100">
        <v>1.28</v>
      </c>
      <c r="Q18" s="100">
        <v>9.32</v>
      </c>
      <c r="R18" s="6"/>
      <c r="S18" s="6"/>
      <c r="T18" s="156"/>
      <c r="U18" s="6"/>
    </row>
    <row r="19" spans="1:21" customFormat="1">
      <c r="A19" s="163" t="s">
        <v>1217</v>
      </c>
      <c r="B19" s="100">
        <v>34.51</v>
      </c>
      <c r="C19" s="100">
        <v>21.36</v>
      </c>
      <c r="D19" s="100">
        <v>38.840000000000003</v>
      </c>
      <c r="E19" s="100">
        <v>5.5</v>
      </c>
      <c r="F19" s="100">
        <v>1.39</v>
      </c>
      <c r="G19" s="100">
        <v>116.27</v>
      </c>
      <c r="H19" s="100">
        <v>66.599999999999994</v>
      </c>
      <c r="I19" s="100">
        <v>15.86</v>
      </c>
      <c r="J19" s="100">
        <v>0.15</v>
      </c>
      <c r="K19" s="100">
        <v>148.59</v>
      </c>
      <c r="L19" s="100">
        <v>15.28</v>
      </c>
      <c r="M19" s="100">
        <v>75.56</v>
      </c>
      <c r="N19" s="100">
        <v>9</v>
      </c>
      <c r="O19" s="100">
        <v>0</v>
      </c>
      <c r="P19" s="100">
        <v>1.3</v>
      </c>
      <c r="Q19" s="100">
        <v>9.32</v>
      </c>
      <c r="R19" s="6"/>
      <c r="S19" s="6"/>
      <c r="T19" s="156"/>
      <c r="U19" s="6"/>
    </row>
    <row r="20" spans="1:21" customFormat="1">
      <c r="A20" s="163" t="s">
        <v>1218</v>
      </c>
      <c r="B20" s="100">
        <v>34.78</v>
      </c>
      <c r="C20" s="100">
        <v>21.06</v>
      </c>
      <c r="D20" s="100">
        <v>38.89</v>
      </c>
      <c r="E20" s="100">
        <v>5.47</v>
      </c>
      <c r="F20" s="100">
        <v>1.3</v>
      </c>
      <c r="G20" s="100">
        <v>121.22</v>
      </c>
      <c r="H20" s="100">
        <v>67.12</v>
      </c>
      <c r="I20" s="100">
        <v>16.27</v>
      </c>
      <c r="J20" s="100">
        <v>0.19</v>
      </c>
      <c r="K20" s="100">
        <v>188.56</v>
      </c>
      <c r="L20" s="100">
        <v>15.31</v>
      </c>
      <c r="M20" s="100">
        <v>79.23</v>
      </c>
      <c r="N20" s="100">
        <v>8.8000000000000007</v>
      </c>
      <c r="O20" s="100">
        <v>0</v>
      </c>
      <c r="P20" s="100">
        <v>1.33</v>
      </c>
      <c r="Q20" s="100">
        <v>9.32</v>
      </c>
      <c r="R20" s="6"/>
      <c r="S20" s="6"/>
      <c r="T20" s="156"/>
      <c r="U20" s="6"/>
    </row>
    <row r="21" spans="1:21" customFormat="1">
      <c r="A21" s="163" t="s">
        <v>1219</v>
      </c>
      <c r="B21" s="100">
        <v>34.64</v>
      </c>
      <c r="C21" s="100">
        <v>20.83</v>
      </c>
      <c r="D21" s="100">
        <v>38.659999999999997</v>
      </c>
      <c r="E21" s="100">
        <v>5.4</v>
      </c>
      <c r="F21" s="100">
        <v>1.25</v>
      </c>
      <c r="G21" s="100">
        <v>121.22</v>
      </c>
      <c r="H21" s="100">
        <v>67.12</v>
      </c>
      <c r="I21" s="100">
        <v>16.64</v>
      </c>
      <c r="J21" s="100">
        <v>0.22</v>
      </c>
      <c r="K21" s="100">
        <v>235.6</v>
      </c>
      <c r="L21" s="100">
        <v>14.66</v>
      </c>
      <c r="M21" s="100">
        <v>84.56</v>
      </c>
      <c r="N21" s="100">
        <v>9.1999999999999993</v>
      </c>
      <c r="O21" s="100">
        <v>0</v>
      </c>
      <c r="P21" s="100">
        <v>1.34</v>
      </c>
      <c r="Q21" s="100">
        <v>9.32</v>
      </c>
      <c r="R21" s="6"/>
      <c r="S21" s="6"/>
      <c r="T21" s="156"/>
      <c r="U21" s="6"/>
    </row>
    <row r="22" spans="1:21" customFormat="1">
      <c r="A22" s="163" t="s">
        <v>1220</v>
      </c>
      <c r="B22" s="100">
        <v>34.06</v>
      </c>
      <c r="C22" s="100">
        <v>20.309999999999999</v>
      </c>
      <c r="D22" s="100">
        <v>37.92</v>
      </c>
      <c r="E22" s="100">
        <v>5.05</v>
      </c>
      <c r="F22" s="100">
        <v>1.28</v>
      </c>
      <c r="G22" s="100">
        <v>121.22</v>
      </c>
      <c r="H22" s="100">
        <v>67.12</v>
      </c>
      <c r="I22" s="100">
        <v>16.96</v>
      </c>
      <c r="J22" s="100">
        <v>0.08</v>
      </c>
      <c r="K22" s="100">
        <v>187.69</v>
      </c>
      <c r="L22" s="100">
        <v>14.42</v>
      </c>
      <c r="M22" s="100">
        <v>85.49</v>
      </c>
      <c r="N22" s="100">
        <v>9</v>
      </c>
      <c r="O22" s="100">
        <v>0</v>
      </c>
      <c r="P22" s="100">
        <v>1.35</v>
      </c>
      <c r="Q22" s="100">
        <v>9.32</v>
      </c>
      <c r="R22" s="6"/>
      <c r="S22" s="6"/>
      <c r="T22" s="156"/>
      <c r="U22" s="6"/>
    </row>
    <row r="23" spans="1:21" customFormat="1">
      <c r="A23" s="163" t="s">
        <v>1221</v>
      </c>
      <c r="B23" s="100">
        <v>33.64</v>
      </c>
      <c r="C23" s="100">
        <v>19.739999999999998</v>
      </c>
      <c r="D23" s="100">
        <v>37.29</v>
      </c>
      <c r="E23" s="100">
        <v>4.93</v>
      </c>
      <c r="F23" s="100">
        <v>1.1499999999999999</v>
      </c>
      <c r="G23" s="100">
        <v>122.52</v>
      </c>
      <c r="H23" s="100">
        <v>66.08</v>
      </c>
      <c r="I23" s="100">
        <v>17.14</v>
      </c>
      <c r="J23" s="100">
        <v>0.12</v>
      </c>
      <c r="K23" s="100">
        <v>215.85</v>
      </c>
      <c r="L23" s="100">
        <v>14.2</v>
      </c>
      <c r="M23" s="100">
        <v>85.22</v>
      </c>
      <c r="N23" s="100">
        <v>8.9</v>
      </c>
      <c r="O23" s="100">
        <v>0</v>
      </c>
      <c r="P23" s="100">
        <v>1.36</v>
      </c>
      <c r="Q23" s="100">
        <v>9.32</v>
      </c>
      <c r="R23" s="6"/>
      <c r="S23" s="6"/>
      <c r="T23" s="156"/>
      <c r="U23" s="6"/>
    </row>
    <row r="24" spans="1:21" customFormat="1">
      <c r="A24" s="163" t="s">
        <v>1222</v>
      </c>
      <c r="B24" s="100">
        <v>33.21</v>
      </c>
      <c r="C24" s="100">
        <v>19.510000000000002</v>
      </c>
      <c r="D24" s="100">
        <v>36.82</v>
      </c>
      <c r="E24" s="100">
        <v>5.08</v>
      </c>
      <c r="F24" s="100">
        <v>1.08</v>
      </c>
      <c r="G24" s="100">
        <v>123.05</v>
      </c>
      <c r="H24" s="100">
        <v>66.02</v>
      </c>
      <c r="I24" s="100">
        <v>17.14</v>
      </c>
      <c r="J24" s="100">
        <v>0.2</v>
      </c>
      <c r="K24" s="100">
        <v>244.47</v>
      </c>
      <c r="L24" s="100">
        <v>14.25</v>
      </c>
      <c r="M24" s="100">
        <v>85.09</v>
      </c>
      <c r="N24" s="100">
        <v>8.8000000000000007</v>
      </c>
      <c r="O24" s="100">
        <v>0</v>
      </c>
      <c r="P24" s="100">
        <v>1.37</v>
      </c>
      <c r="Q24" s="100">
        <v>9.33</v>
      </c>
      <c r="R24" s="6"/>
      <c r="S24" s="6"/>
      <c r="T24" s="156"/>
      <c r="U24" s="6"/>
    </row>
    <row r="25" spans="1:21" customFormat="1">
      <c r="A25" s="163" t="s">
        <v>1223</v>
      </c>
      <c r="B25" s="100">
        <v>32.92</v>
      </c>
      <c r="C25" s="100">
        <v>19.190000000000001</v>
      </c>
      <c r="D25" s="100">
        <v>36.43</v>
      </c>
      <c r="E25" s="100">
        <v>5.04</v>
      </c>
      <c r="F25" s="100">
        <v>1.25</v>
      </c>
      <c r="G25" s="100">
        <v>123.05</v>
      </c>
      <c r="H25" s="100">
        <v>66.02</v>
      </c>
      <c r="I25" s="100">
        <v>19.43</v>
      </c>
      <c r="J25" s="100">
        <v>0.22</v>
      </c>
      <c r="K25" s="100">
        <v>155.09</v>
      </c>
      <c r="L25" s="100">
        <v>14.5</v>
      </c>
      <c r="M25" s="100">
        <v>83.94</v>
      </c>
      <c r="N25" s="100">
        <v>8.9</v>
      </c>
      <c r="O25" s="100">
        <v>0</v>
      </c>
      <c r="P25" s="100">
        <v>1.38</v>
      </c>
      <c r="Q25" s="100">
        <v>9.32</v>
      </c>
      <c r="R25" s="6"/>
      <c r="S25" s="6"/>
      <c r="T25" s="156"/>
      <c r="U25" s="6"/>
    </row>
    <row r="26" spans="1:21" customFormat="1">
      <c r="A26" s="163" t="s">
        <v>1224</v>
      </c>
      <c r="B26" s="100">
        <v>32.590000000000003</v>
      </c>
      <c r="C26" s="100">
        <v>18.91</v>
      </c>
      <c r="D26" s="100">
        <v>36.01</v>
      </c>
      <c r="E26" s="100">
        <v>5.17</v>
      </c>
      <c r="F26" s="100">
        <v>1.3</v>
      </c>
      <c r="G26" s="100">
        <v>123.05</v>
      </c>
      <c r="H26" s="100">
        <v>66.02</v>
      </c>
      <c r="I26" s="100">
        <v>21.98</v>
      </c>
      <c r="J26" s="100">
        <v>0.25</v>
      </c>
      <c r="K26" s="100">
        <v>153.97</v>
      </c>
      <c r="L26" s="100">
        <v>14.44</v>
      </c>
      <c r="M26" s="100">
        <v>85.69</v>
      </c>
      <c r="N26" s="100">
        <v>8.8000000000000007</v>
      </c>
      <c r="O26" s="100">
        <v>0</v>
      </c>
      <c r="P26" s="100">
        <v>1.39</v>
      </c>
      <c r="Q26" s="100">
        <v>9.33</v>
      </c>
      <c r="R26" s="6"/>
      <c r="S26" s="6"/>
      <c r="T26" s="156"/>
      <c r="U26" s="6"/>
    </row>
    <row r="27" spans="1:21" customFormat="1">
      <c r="A27" s="163" t="s">
        <v>1225</v>
      </c>
      <c r="B27" s="100">
        <v>32.35</v>
      </c>
      <c r="C27" s="100">
        <v>18.739999999999998</v>
      </c>
      <c r="D27" s="100">
        <v>35.729999999999997</v>
      </c>
      <c r="E27" s="100">
        <v>5.17</v>
      </c>
      <c r="F27" s="100">
        <v>1.23</v>
      </c>
      <c r="G27" s="100">
        <v>115.12</v>
      </c>
      <c r="H27" s="100">
        <v>65.37</v>
      </c>
      <c r="I27" s="100">
        <v>22.08</v>
      </c>
      <c r="J27" s="100">
        <v>0.15</v>
      </c>
      <c r="K27" s="100">
        <v>176.05</v>
      </c>
      <c r="L27" s="100">
        <v>14.24</v>
      </c>
      <c r="M27" s="100">
        <v>86.02</v>
      </c>
      <c r="N27" s="100">
        <v>8.9</v>
      </c>
      <c r="O27" s="100">
        <v>0</v>
      </c>
      <c r="P27" s="100">
        <v>1.4</v>
      </c>
      <c r="Q27" s="100">
        <v>9.32</v>
      </c>
      <c r="R27" s="6"/>
      <c r="S27" s="6"/>
      <c r="T27" s="156"/>
      <c r="U27" s="6"/>
    </row>
    <row r="28" spans="1:21" customFormat="1">
      <c r="A28" s="163" t="s">
        <v>1226</v>
      </c>
      <c r="B28" s="100">
        <v>31.8</v>
      </c>
      <c r="C28" s="100">
        <v>18.37</v>
      </c>
      <c r="D28" s="100">
        <v>35.1</v>
      </c>
      <c r="E28" s="100">
        <v>5.25</v>
      </c>
      <c r="F28" s="100">
        <v>1.27</v>
      </c>
      <c r="G28" s="100">
        <v>111.72</v>
      </c>
      <c r="H28" s="100">
        <v>65.33</v>
      </c>
      <c r="I28" s="100">
        <v>22.17</v>
      </c>
      <c r="J28" s="100">
        <v>0.18</v>
      </c>
      <c r="K28" s="100">
        <v>230.49</v>
      </c>
      <c r="L28" s="100">
        <v>13.98</v>
      </c>
      <c r="M28" s="100">
        <v>86.5</v>
      </c>
      <c r="N28" s="100">
        <v>8.9</v>
      </c>
      <c r="O28" s="100">
        <v>0</v>
      </c>
      <c r="P28" s="100">
        <v>1.39</v>
      </c>
      <c r="Q28" s="100">
        <v>9.32</v>
      </c>
      <c r="R28" s="6"/>
      <c r="S28" s="6"/>
      <c r="T28" s="156"/>
      <c r="U28" s="6"/>
    </row>
    <row r="29" spans="1:21" customFormat="1">
      <c r="A29" s="163" t="s">
        <v>1227</v>
      </c>
      <c r="B29" s="100">
        <v>31</v>
      </c>
      <c r="C29" s="100">
        <v>18.170000000000002</v>
      </c>
      <c r="D29" s="100">
        <v>34.35</v>
      </c>
      <c r="E29" s="100">
        <v>5.32</v>
      </c>
      <c r="F29" s="100">
        <v>1.1499999999999999</v>
      </c>
      <c r="G29" s="100">
        <v>111.72</v>
      </c>
      <c r="H29" s="100">
        <v>65.33</v>
      </c>
      <c r="I29" s="100">
        <v>22.2</v>
      </c>
      <c r="J29" s="100">
        <v>0.16</v>
      </c>
      <c r="K29" s="100">
        <v>236.91</v>
      </c>
      <c r="L29" s="100">
        <v>13.67</v>
      </c>
      <c r="M29" s="100">
        <v>86.49</v>
      </c>
      <c r="N29" s="100">
        <v>8.9</v>
      </c>
      <c r="O29" s="100">
        <v>0</v>
      </c>
      <c r="P29" s="100">
        <v>1.39</v>
      </c>
      <c r="Q29" s="100">
        <v>9.32</v>
      </c>
      <c r="R29" s="6"/>
      <c r="S29" s="6"/>
      <c r="T29" s="156"/>
      <c r="U29" s="6"/>
    </row>
    <row r="30" spans="1:21" customFormat="1">
      <c r="A30" s="163" t="s">
        <v>1228</v>
      </c>
      <c r="B30" s="100">
        <v>30.04</v>
      </c>
      <c r="C30" s="100">
        <v>17.77</v>
      </c>
      <c r="D30" s="100">
        <v>33.369999999999997</v>
      </c>
      <c r="E30" s="100">
        <v>5.41</v>
      </c>
      <c r="F30" s="100">
        <v>1.1499999999999999</v>
      </c>
      <c r="G30" s="100">
        <v>111.72</v>
      </c>
      <c r="H30" s="100">
        <v>65.33</v>
      </c>
      <c r="I30" s="100">
        <v>19.899999999999999</v>
      </c>
      <c r="J30" s="100">
        <v>0.28000000000000003</v>
      </c>
      <c r="K30" s="100">
        <v>245.12</v>
      </c>
      <c r="L30" s="100">
        <v>13.49</v>
      </c>
      <c r="M30" s="100">
        <v>86.72</v>
      </c>
      <c r="N30" s="100">
        <v>9</v>
      </c>
      <c r="O30" s="100">
        <v>0</v>
      </c>
      <c r="P30" s="100">
        <v>1.38</v>
      </c>
      <c r="Q30" s="100">
        <v>9.32</v>
      </c>
      <c r="R30" s="6"/>
      <c r="S30" s="6"/>
      <c r="T30" s="156"/>
      <c r="U30" s="6"/>
    </row>
    <row r="31" spans="1:21" customFormat="1">
      <c r="A31" s="163" t="s">
        <v>1229</v>
      </c>
      <c r="B31" s="100">
        <v>29.17</v>
      </c>
      <c r="C31" s="100">
        <v>17.46</v>
      </c>
      <c r="D31" s="100">
        <v>32.51</v>
      </c>
      <c r="E31" s="100">
        <v>5.25</v>
      </c>
      <c r="F31" s="100">
        <v>1.03</v>
      </c>
      <c r="G31" s="100">
        <v>106</v>
      </c>
      <c r="H31" s="100">
        <v>58.54</v>
      </c>
      <c r="I31" s="100">
        <v>19.54</v>
      </c>
      <c r="J31" s="100">
        <v>0.13</v>
      </c>
      <c r="K31" s="100">
        <v>192.03</v>
      </c>
      <c r="L31" s="100">
        <v>13.16</v>
      </c>
      <c r="M31" s="100">
        <v>85.71</v>
      </c>
      <c r="N31" s="100">
        <v>9</v>
      </c>
      <c r="O31" s="100">
        <v>0</v>
      </c>
      <c r="P31" s="100">
        <v>1.36</v>
      </c>
      <c r="Q31" s="100">
        <v>9.32</v>
      </c>
      <c r="R31" s="6"/>
      <c r="S31" s="6"/>
      <c r="T31" s="156"/>
      <c r="U31" s="6"/>
    </row>
    <row r="32" spans="1:21" customFormat="1">
      <c r="A32" s="163" t="s">
        <v>1230</v>
      </c>
      <c r="B32" s="100">
        <v>28.17</v>
      </c>
      <c r="C32" s="100">
        <v>17.100000000000001</v>
      </c>
      <c r="D32" s="100">
        <v>31.52</v>
      </c>
      <c r="E32" s="100">
        <v>5.14</v>
      </c>
      <c r="F32" s="100">
        <v>1.04</v>
      </c>
      <c r="G32" s="100">
        <v>101.01</v>
      </c>
      <c r="H32" s="100">
        <v>58.11</v>
      </c>
      <c r="I32" s="100">
        <v>19.600000000000001</v>
      </c>
      <c r="J32" s="100">
        <v>0.11</v>
      </c>
      <c r="K32" s="100">
        <v>174.75</v>
      </c>
      <c r="L32" s="100">
        <v>13.19</v>
      </c>
      <c r="M32" s="100">
        <v>85.78</v>
      </c>
      <c r="N32" s="100">
        <v>8.8000000000000007</v>
      </c>
      <c r="O32" s="100">
        <v>0</v>
      </c>
      <c r="P32" s="100">
        <v>1.35</v>
      </c>
      <c r="Q32" s="100">
        <v>9.32</v>
      </c>
      <c r="R32" s="6"/>
      <c r="S32" s="6"/>
      <c r="T32" s="156"/>
      <c r="U32" s="6"/>
    </row>
    <row r="33" spans="1:21" customFormat="1">
      <c r="A33" s="163" t="s">
        <v>1231</v>
      </c>
      <c r="B33" s="100">
        <v>27.29</v>
      </c>
      <c r="C33" s="100">
        <v>16.87</v>
      </c>
      <c r="D33" s="100">
        <v>30.7</v>
      </c>
      <c r="E33" s="100">
        <v>5.1100000000000003</v>
      </c>
      <c r="F33" s="100">
        <v>0.98</v>
      </c>
      <c r="G33" s="100">
        <v>101.01</v>
      </c>
      <c r="H33" s="100">
        <v>58.11</v>
      </c>
      <c r="I33" s="100">
        <v>16.940000000000001</v>
      </c>
      <c r="J33" s="100">
        <v>0.09</v>
      </c>
      <c r="K33" s="100">
        <v>190.79</v>
      </c>
      <c r="L33" s="100">
        <v>13.29</v>
      </c>
      <c r="M33" s="100">
        <v>87.75</v>
      </c>
      <c r="N33" s="100">
        <v>9</v>
      </c>
      <c r="O33" s="100">
        <v>0</v>
      </c>
      <c r="P33" s="100">
        <v>1.34</v>
      </c>
      <c r="Q33" s="100">
        <v>9.25</v>
      </c>
      <c r="R33" s="6"/>
      <c r="S33" s="6"/>
      <c r="T33" s="156"/>
      <c r="U33" s="6"/>
    </row>
    <row r="34" spans="1:21" customFormat="1">
      <c r="A34" s="163" t="s">
        <v>1232</v>
      </c>
      <c r="B34" s="100">
        <v>26.36</v>
      </c>
      <c r="C34" s="100">
        <v>16.64</v>
      </c>
      <c r="D34" s="100">
        <v>29.83</v>
      </c>
      <c r="E34" s="100">
        <v>5</v>
      </c>
      <c r="F34" s="100">
        <v>1.1299999999999999</v>
      </c>
      <c r="G34" s="100">
        <v>101.01</v>
      </c>
      <c r="H34" s="100">
        <v>58.11</v>
      </c>
      <c r="I34" s="100">
        <v>16.760000000000002</v>
      </c>
      <c r="J34" s="100">
        <v>0.17</v>
      </c>
      <c r="K34" s="100">
        <v>164.12</v>
      </c>
      <c r="L34" s="100">
        <v>13.37</v>
      </c>
      <c r="M34" s="100">
        <v>86.5</v>
      </c>
      <c r="N34" s="100">
        <v>10.5</v>
      </c>
      <c r="O34" s="100">
        <v>0</v>
      </c>
      <c r="P34" s="100">
        <v>1.33</v>
      </c>
      <c r="Q34" s="100">
        <v>9.3699999999999992</v>
      </c>
      <c r="R34" s="6"/>
      <c r="S34" s="6"/>
      <c r="T34" s="156"/>
      <c r="U34" s="6"/>
    </row>
    <row r="35" spans="1:21" customFormat="1">
      <c r="A35" s="163" t="s">
        <v>1233</v>
      </c>
      <c r="B35" s="100">
        <v>26.15</v>
      </c>
      <c r="C35" s="100">
        <v>16.670000000000002</v>
      </c>
      <c r="D35" s="100">
        <v>29.68</v>
      </c>
      <c r="E35" s="100">
        <v>4.8499999999999996</v>
      </c>
      <c r="F35" s="100">
        <v>1.23</v>
      </c>
      <c r="G35" s="100">
        <v>94.49</v>
      </c>
      <c r="H35" s="100">
        <v>56.68</v>
      </c>
      <c r="I35" s="100">
        <v>16.59</v>
      </c>
      <c r="J35" s="100">
        <v>0.13</v>
      </c>
      <c r="K35" s="100">
        <v>199.21</v>
      </c>
      <c r="L35" s="100">
        <v>13.52</v>
      </c>
      <c r="M35" s="100">
        <v>84.6</v>
      </c>
      <c r="N35" s="100">
        <v>15.4</v>
      </c>
      <c r="O35" s="100">
        <v>0</v>
      </c>
      <c r="P35" s="100">
        <v>1.31</v>
      </c>
      <c r="Q35" s="100">
        <v>9.33</v>
      </c>
      <c r="R35" s="6"/>
      <c r="S35" s="6"/>
      <c r="T35" s="156"/>
      <c r="U35" s="6"/>
    </row>
    <row r="36" spans="1:21" customFormat="1">
      <c r="A36" s="163" t="s">
        <v>1234</v>
      </c>
      <c r="B36" s="100">
        <v>25.73</v>
      </c>
      <c r="C36" s="100">
        <v>16.600000000000001</v>
      </c>
      <c r="D36" s="100">
        <v>29.31</v>
      </c>
      <c r="E36" s="100">
        <v>5.05</v>
      </c>
      <c r="F36" s="100">
        <v>1.1599999999999999</v>
      </c>
      <c r="G36" s="100">
        <v>87.97</v>
      </c>
      <c r="H36" s="100">
        <v>55.87</v>
      </c>
      <c r="I36" s="100">
        <v>16.43</v>
      </c>
      <c r="J36" s="100">
        <v>0.2</v>
      </c>
      <c r="K36" s="100">
        <v>159.72999999999999</v>
      </c>
      <c r="L36" s="100">
        <v>14</v>
      </c>
      <c r="M36" s="100">
        <v>88.63</v>
      </c>
      <c r="N36" s="100">
        <v>23</v>
      </c>
      <c r="O36" s="100">
        <v>0</v>
      </c>
      <c r="P36" s="100">
        <v>1.3</v>
      </c>
      <c r="Q36" s="100">
        <v>9.32</v>
      </c>
      <c r="R36" s="6"/>
      <c r="S36" s="6"/>
      <c r="T36" s="156"/>
      <c r="U36" s="6"/>
    </row>
    <row r="37" spans="1:21" customFormat="1">
      <c r="A37" s="163" t="s">
        <v>1235</v>
      </c>
      <c r="B37" s="100">
        <v>25.12</v>
      </c>
      <c r="C37" s="100">
        <v>16.38</v>
      </c>
      <c r="D37" s="100">
        <v>28.7</v>
      </c>
      <c r="E37" s="100">
        <v>4.8899999999999997</v>
      </c>
      <c r="F37" s="100">
        <v>1.1499999999999999</v>
      </c>
      <c r="G37" s="100">
        <v>87.97</v>
      </c>
      <c r="H37" s="100">
        <v>55.87</v>
      </c>
      <c r="I37" s="100">
        <v>16.29</v>
      </c>
      <c r="J37" s="100">
        <v>0.14000000000000001</v>
      </c>
      <c r="K37" s="100">
        <v>145.25</v>
      </c>
      <c r="L37" s="100">
        <v>14.07</v>
      </c>
      <c r="M37" s="100">
        <v>88.33</v>
      </c>
      <c r="N37" s="100">
        <v>33.1</v>
      </c>
      <c r="O37" s="100">
        <v>0</v>
      </c>
      <c r="P37" s="100">
        <v>1.29</v>
      </c>
      <c r="Q37" s="100">
        <v>9.34</v>
      </c>
      <c r="R37" s="6"/>
      <c r="S37" s="6"/>
      <c r="T37" s="156"/>
      <c r="U37" s="6"/>
    </row>
    <row r="38" spans="1:21" customFormat="1">
      <c r="A38" s="163" t="s">
        <v>1236</v>
      </c>
      <c r="B38" s="100">
        <v>24.45</v>
      </c>
      <c r="C38" s="100">
        <v>16.12</v>
      </c>
      <c r="D38" s="100">
        <v>28.03</v>
      </c>
      <c r="E38" s="100">
        <v>5.15</v>
      </c>
      <c r="F38" s="100">
        <v>1.29</v>
      </c>
      <c r="G38" s="100">
        <v>87.97</v>
      </c>
      <c r="H38" s="100">
        <v>55.87</v>
      </c>
      <c r="I38" s="100">
        <v>16.25</v>
      </c>
      <c r="J38" s="100">
        <v>0.14000000000000001</v>
      </c>
      <c r="K38" s="100">
        <v>178.51</v>
      </c>
      <c r="L38" s="100">
        <v>14.56</v>
      </c>
      <c r="M38" s="100">
        <v>87.91</v>
      </c>
      <c r="N38" s="100">
        <v>42.7</v>
      </c>
      <c r="O38" s="100">
        <v>0</v>
      </c>
      <c r="P38" s="100">
        <v>1.3</v>
      </c>
      <c r="Q38" s="100">
        <v>9.32</v>
      </c>
      <c r="R38" s="6"/>
      <c r="S38" s="6"/>
      <c r="T38" s="156"/>
      <c r="U38" s="6"/>
    </row>
    <row r="39" spans="1:21" customFormat="1">
      <c r="A39" s="163" t="s">
        <v>1237</v>
      </c>
      <c r="B39" s="100">
        <v>23.9</v>
      </c>
      <c r="C39" s="100">
        <v>15.94</v>
      </c>
      <c r="D39" s="100">
        <v>27.49</v>
      </c>
      <c r="E39" s="100">
        <v>5.46</v>
      </c>
      <c r="F39" s="100">
        <v>1.08</v>
      </c>
      <c r="G39" s="100">
        <v>86.36</v>
      </c>
      <c r="H39" s="100">
        <v>56.55</v>
      </c>
      <c r="I39" s="100">
        <v>18.5</v>
      </c>
      <c r="J39" s="100">
        <v>0.16</v>
      </c>
      <c r="K39" s="100">
        <v>234.92</v>
      </c>
      <c r="L39" s="100">
        <v>15.36</v>
      </c>
      <c r="M39" s="100">
        <v>83.24</v>
      </c>
      <c r="N39" s="100">
        <v>52.2</v>
      </c>
      <c r="O39" s="100">
        <v>0</v>
      </c>
      <c r="P39" s="100">
        <v>1.29</v>
      </c>
      <c r="Q39" s="100">
        <v>9.3000000000000007</v>
      </c>
      <c r="R39" s="6"/>
      <c r="S39" s="6"/>
      <c r="T39" s="156"/>
      <c r="U39" s="6"/>
    </row>
    <row r="40" spans="1:21" customFormat="1">
      <c r="A40" s="163" t="s">
        <v>1238</v>
      </c>
      <c r="B40" s="100">
        <v>23.16</v>
      </c>
      <c r="C40" s="100">
        <v>16.04</v>
      </c>
      <c r="D40" s="100">
        <v>26.96</v>
      </c>
      <c r="E40" s="100">
        <v>5.05</v>
      </c>
      <c r="F40" s="100">
        <v>1.1299999999999999</v>
      </c>
      <c r="G40" s="100">
        <v>85.67</v>
      </c>
      <c r="H40" s="100">
        <v>56.7</v>
      </c>
      <c r="I40" s="100">
        <v>18.73</v>
      </c>
      <c r="J40" s="100">
        <v>0.17</v>
      </c>
      <c r="K40" s="100">
        <v>169.99</v>
      </c>
      <c r="L40" s="100">
        <v>16.309999999999999</v>
      </c>
      <c r="M40" s="100">
        <v>77.239999999999995</v>
      </c>
      <c r="N40" s="100">
        <v>65.400000000000006</v>
      </c>
      <c r="O40" s="100">
        <v>0</v>
      </c>
      <c r="P40" s="100">
        <v>1.29</v>
      </c>
      <c r="Q40" s="100">
        <v>9.3800000000000008</v>
      </c>
      <c r="R40" s="6"/>
      <c r="S40" s="6"/>
      <c r="T40" s="156"/>
      <c r="U40" s="6"/>
    </row>
    <row r="41" spans="1:21" customFormat="1">
      <c r="A41" s="163" t="s">
        <v>1239</v>
      </c>
      <c r="B41" s="100">
        <v>22.45</v>
      </c>
      <c r="C41" s="100">
        <v>16.36</v>
      </c>
      <c r="D41" s="100">
        <v>26.55</v>
      </c>
      <c r="E41" s="100">
        <v>5.35</v>
      </c>
      <c r="F41" s="100">
        <v>1.24</v>
      </c>
      <c r="G41" s="100">
        <v>85.67</v>
      </c>
      <c r="H41" s="100">
        <v>56.7</v>
      </c>
      <c r="I41" s="100">
        <v>16.29</v>
      </c>
      <c r="J41" s="100">
        <v>0.09</v>
      </c>
      <c r="K41" s="100">
        <v>154.34</v>
      </c>
      <c r="L41" s="100">
        <v>18.37</v>
      </c>
      <c r="M41" s="100">
        <v>64.8</v>
      </c>
      <c r="N41" s="100">
        <v>203.1</v>
      </c>
      <c r="O41" s="100">
        <v>0</v>
      </c>
      <c r="P41" s="100">
        <v>1.29</v>
      </c>
      <c r="Q41" s="100">
        <v>9.4</v>
      </c>
      <c r="R41" s="6"/>
      <c r="S41" s="6"/>
      <c r="T41" s="156"/>
      <c r="U41" s="6"/>
    </row>
    <row r="42" spans="1:21" customFormat="1">
      <c r="A42" s="163" t="s">
        <v>1240</v>
      </c>
      <c r="B42" s="100">
        <v>21.77</v>
      </c>
      <c r="C42" s="100">
        <v>17.170000000000002</v>
      </c>
      <c r="D42" s="100">
        <v>26.43</v>
      </c>
      <c r="E42" s="100">
        <v>5.36</v>
      </c>
      <c r="F42" s="100">
        <v>1.36</v>
      </c>
      <c r="G42" s="100">
        <v>85.67</v>
      </c>
      <c r="H42" s="100">
        <v>56.7</v>
      </c>
      <c r="I42" s="100">
        <v>18.399999999999999</v>
      </c>
      <c r="J42" s="100">
        <v>0.22</v>
      </c>
      <c r="K42" s="100">
        <v>58.07</v>
      </c>
      <c r="L42" s="100">
        <v>19.97</v>
      </c>
      <c r="M42" s="100">
        <v>52.22</v>
      </c>
      <c r="N42" s="100">
        <v>245.8</v>
      </c>
      <c r="O42" s="100">
        <v>0</v>
      </c>
      <c r="P42" s="100">
        <v>1.3</v>
      </c>
      <c r="Q42" s="100">
        <v>9.3000000000000007</v>
      </c>
      <c r="R42" s="6"/>
      <c r="S42" s="6"/>
      <c r="T42" s="156"/>
      <c r="U42" s="6"/>
    </row>
    <row r="43" spans="1:21" customFormat="1">
      <c r="A43" s="163" t="s">
        <v>1241</v>
      </c>
      <c r="B43" s="100">
        <v>21.25</v>
      </c>
      <c r="C43" s="100">
        <v>17.75</v>
      </c>
      <c r="D43" s="100">
        <v>26.31</v>
      </c>
      <c r="E43" s="100">
        <v>5.42</v>
      </c>
      <c r="F43" s="100">
        <v>1.39</v>
      </c>
      <c r="G43" s="100">
        <v>85.16</v>
      </c>
      <c r="H43" s="100">
        <v>57.36</v>
      </c>
      <c r="I43" s="100">
        <v>18.670000000000002</v>
      </c>
      <c r="J43" s="100">
        <v>0.32</v>
      </c>
      <c r="K43" s="100">
        <v>54.38</v>
      </c>
      <c r="L43" s="100">
        <v>21.27</v>
      </c>
      <c r="M43" s="100">
        <v>45.02</v>
      </c>
      <c r="N43" s="100">
        <v>289.60000000000002</v>
      </c>
      <c r="O43" s="100">
        <v>0</v>
      </c>
      <c r="P43" s="100">
        <v>1.28</v>
      </c>
      <c r="Q43" s="100">
        <v>9.42</v>
      </c>
      <c r="R43" s="6"/>
      <c r="S43" s="6"/>
      <c r="T43" s="156"/>
      <c r="U43" s="6"/>
    </row>
    <row r="44" spans="1:21" customFormat="1">
      <c r="A44" s="163" t="s">
        <v>1242</v>
      </c>
      <c r="B44" s="100">
        <v>20.51</v>
      </c>
      <c r="C44" s="100">
        <v>18.350000000000001</v>
      </c>
      <c r="D44" s="100">
        <v>26.04</v>
      </c>
      <c r="E44" s="100">
        <v>5.98</v>
      </c>
      <c r="F44" s="100">
        <v>1.34</v>
      </c>
      <c r="G44" s="100">
        <v>84.96</v>
      </c>
      <c r="H44" s="100">
        <v>57.4</v>
      </c>
      <c r="I44" s="100">
        <v>16.41</v>
      </c>
      <c r="J44" s="100">
        <v>0.27</v>
      </c>
      <c r="K44" s="100">
        <v>100.11</v>
      </c>
      <c r="L44" s="100">
        <v>22.62</v>
      </c>
      <c r="M44" s="100">
        <v>39.119999999999997</v>
      </c>
      <c r="N44" s="100">
        <v>306.2</v>
      </c>
      <c r="O44" s="100">
        <v>0</v>
      </c>
      <c r="P44" s="100">
        <v>1.26</v>
      </c>
      <c r="Q44" s="100">
        <v>9.39</v>
      </c>
      <c r="R44" s="6"/>
      <c r="S44" s="6"/>
      <c r="T44" s="156"/>
      <c r="U44" s="6"/>
    </row>
    <row r="45" spans="1:21" customFormat="1">
      <c r="A45" s="163" t="s">
        <v>1243</v>
      </c>
      <c r="B45" s="100">
        <v>19.420000000000002</v>
      </c>
      <c r="C45" s="100">
        <v>18.93</v>
      </c>
      <c r="D45" s="100">
        <v>25.46</v>
      </c>
      <c r="E45" s="100">
        <v>5.95</v>
      </c>
      <c r="F45" s="100">
        <v>1.47</v>
      </c>
      <c r="G45" s="100">
        <v>84.96</v>
      </c>
      <c r="H45" s="100">
        <v>57.4</v>
      </c>
      <c r="I45" s="100">
        <v>16.420000000000002</v>
      </c>
      <c r="J45" s="100">
        <v>0.33</v>
      </c>
      <c r="K45" s="100">
        <v>84.42</v>
      </c>
      <c r="L45" s="100">
        <v>23.69</v>
      </c>
      <c r="M45" s="100">
        <v>36.380000000000003</v>
      </c>
      <c r="N45" s="100">
        <v>140.5</v>
      </c>
      <c r="O45" s="100">
        <v>0</v>
      </c>
      <c r="P45" s="100">
        <v>1.24</v>
      </c>
      <c r="Q45" s="100">
        <v>9.33</v>
      </c>
      <c r="R45" s="6"/>
      <c r="S45" s="6"/>
      <c r="T45" s="156"/>
      <c r="U45" s="6"/>
    </row>
    <row r="46" spans="1:21" customFormat="1">
      <c r="A46" s="163" t="s">
        <v>1244</v>
      </c>
      <c r="B46" s="100">
        <v>18.27</v>
      </c>
      <c r="C46" s="100">
        <v>18.82</v>
      </c>
      <c r="D46" s="100">
        <v>24.48</v>
      </c>
      <c r="E46" s="100">
        <v>6.03</v>
      </c>
      <c r="F46" s="100">
        <v>1.46</v>
      </c>
      <c r="G46" s="100">
        <v>84.96</v>
      </c>
      <c r="H46" s="100">
        <v>57.4</v>
      </c>
      <c r="I46" s="100">
        <v>16.32</v>
      </c>
      <c r="J46" s="100">
        <v>0.37</v>
      </c>
      <c r="K46" s="100">
        <v>76.17</v>
      </c>
      <c r="L46" s="100">
        <v>24.08</v>
      </c>
      <c r="M46" s="100">
        <v>36.4</v>
      </c>
      <c r="N46" s="100">
        <v>113.6</v>
      </c>
      <c r="O46" s="100">
        <v>0</v>
      </c>
      <c r="P46" s="100">
        <v>1.22</v>
      </c>
      <c r="Q46" s="100">
        <v>9.42</v>
      </c>
      <c r="R46" s="6"/>
      <c r="S46" s="6"/>
      <c r="T46" s="156"/>
      <c r="U46" s="6"/>
    </row>
    <row r="47" spans="1:21" customFormat="1">
      <c r="A47" s="163" t="s">
        <v>1245</v>
      </c>
      <c r="B47" s="100">
        <v>17.420000000000002</v>
      </c>
      <c r="C47" s="100">
        <v>18.89</v>
      </c>
      <c r="D47" s="100">
        <v>23.84</v>
      </c>
      <c r="E47" s="100">
        <v>5.87</v>
      </c>
      <c r="F47" s="100">
        <v>1.43</v>
      </c>
      <c r="G47" s="100">
        <v>83.13</v>
      </c>
      <c r="H47" s="100">
        <v>51.32</v>
      </c>
      <c r="I47" s="100">
        <v>16.11</v>
      </c>
      <c r="J47" s="100">
        <v>0.39</v>
      </c>
      <c r="K47" s="100">
        <v>83.64</v>
      </c>
      <c r="L47" s="100">
        <v>25.02</v>
      </c>
      <c r="M47" s="100">
        <v>32.56</v>
      </c>
      <c r="N47" s="100">
        <v>112.3</v>
      </c>
      <c r="O47" s="100">
        <v>0</v>
      </c>
      <c r="P47" s="100">
        <v>1.2</v>
      </c>
      <c r="Q47" s="100">
        <v>9.3699999999999992</v>
      </c>
      <c r="R47" s="6"/>
      <c r="S47" s="6"/>
      <c r="T47" s="156"/>
      <c r="U47" s="6"/>
    </row>
    <row r="48" spans="1:21" customFormat="1">
      <c r="A48" s="163" t="s">
        <v>1246</v>
      </c>
      <c r="B48" s="100">
        <v>16.88</v>
      </c>
      <c r="C48" s="100">
        <v>19.07</v>
      </c>
      <c r="D48" s="100">
        <v>23.5</v>
      </c>
      <c r="E48" s="100">
        <v>5.7</v>
      </c>
      <c r="F48" s="100">
        <v>1.41</v>
      </c>
      <c r="G48" s="100">
        <v>82.38</v>
      </c>
      <c r="H48" s="100">
        <v>50.93</v>
      </c>
      <c r="I48" s="100">
        <v>15.87</v>
      </c>
      <c r="J48" s="100">
        <v>0.74</v>
      </c>
      <c r="K48" s="100">
        <v>25.11</v>
      </c>
      <c r="L48" s="100">
        <v>25.37</v>
      </c>
      <c r="M48" s="100">
        <v>28.52</v>
      </c>
      <c r="N48" s="100">
        <v>219.2</v>
      </c>
      <c r="O48" s="100">
        <v>0</v>
      </c>
      <c r="P48" s="100">
        <v>1.17</v>
      </c>
      <c r="Q48" s="100">
        <v>9.36</v>
      </c>
      <c r="R48" s="6"/>
      <c r="S48" s="6"/>
      <c r="T48" s="156"/>
      <c r="U48" s="6"/>
    </row>
    <row r="49" spans="1:21" customFormat="1">
      <c r="A49" s="163" t="s">
        <v>1247</v>
      </c>
      <c r="B49" s="100">
        <v>16.510000000000002</v>
      </c>
      <c r="C49" s="100">
        <v>19.329999999999998</v>
      </c>
      <c r="D49" s="100">
        <v>23.34</v>
      </c>
      <c r="E49" s="100">
        <v>4.8899999999999997</v>
      </c>
      <c r="F49" s="100">
        <v>1.58</v>
      </c>
      <c r="G49" s="100">
        <v>82.38</v>
      </c>
      <c r="H49" s="100">
        <v>50.93</v>
      </c>
      <c r="I49" s="100">
        <v>15.65</v>
      </c>
      <c r="J49" s="100">
        <v>0.8</v>
      </c>
      <c r="K49" s="100">
        <v>41.72</v>
      </c>
      <c r="L49" s="100">
        <v>25.83</v>
      </c>
      <c r="M49" s="100">
        <v>26.61</v>
      </c>
      <c r="N49" s="100">
        <v>497.8</v>
      </c>
      <c r="O49" s="100">
        <v>0</v>
      </c>
      <c r="P49" s="100">
        <v>1.1499999999999999</v>
      </c>
      <c r="Q49" s="100">
        <v>9.34</v>
      </c>
      <c r="R49" s="6"/>
      <c r="S49" s="6"/>
      <c r="T49" s="156"/>
      <c r="U49" s="6"/>
    </row>
    <row r="50" spans="1:21" customFormat="1">
      <c r="A50" s="163" t="s">
        <v>1248</v>
      </c>
      <c r="B50" s="100">
        <v>15.96</v>
      </c>
      <c r="C50" s="100">
        <v>19.440000000000001</v>
      </c>
      <c r="D50" s="100">
        <v>22.95</v>
      </c>
      <c r="E50" s="100">
        <v>5.88</v>
      </c>
      <c r="F50" s="100">
        <v>1.69</v>
      </c>
      <c r="G50" s="100">
        <v>82.38</v>
      </c>
      <c r="H50" s="100">
        <v>50.93</v>
      </c>
      <c r="I50" s="100">
        <v>15.36</v>
      </c>
      <c r="J50" s="100">
        <v>0.8</v>
      </c>
      <c r="K50" s="100">
        <v>51.89</v>
      </c>
      <c r="L50" s="100">
        <v>26.33</v>
      </c>
      <c r="M50" s="100">
        <v>25.99</v>
      </c>
      <c r="N50" s="100">
        <v>530.1</v>
      </c>
      <c r="O50" s="100">
        <v>0</v>
      </c>
      <c r="P50" s="100">
        <v>1.1100000000000001</v>
      </c>
      <c r="Q50" s="100">
        <v>9.32</v>
      </c>
      <c r="R50" s="6"/>
      <c r="S50" s="6"/>
      <c r="T50" s="156"/>
      <c r="U50" s="6"/>
    </row>
    <row r="51" spans="1:21" customFormat="1">
      <c r="A51" s="163" t="s">
        <v>1249</v>
      </c>
      <c r="B51" s="100">
        <v>15.47</v>
      </c>
      <c r="C51" s="100">
        <v>19.510000000000002</v>
      </c>
      <c r="D51" s="100">
        <v>22.6</v>
      </c>
      <c r="E51" s="100">
        <v>6.16</v>
      </c>
      <c r="F51" s="100">
        <v>1.52</v>
      </c>
      <c r="G51" s="100">
        <v>80.17</v>
      </c>
      <c r="H51" s="100">
        <v>41.28</v>
      </c>
      <c r="I51" s="100">
        <v>15.03</v>
      </c>
      <c r="J51" s="100">
        <v>0.78</v>
      </c>
      <c r="K51" s="100">
        <v>40.75</v>
      </c>
      <c r="L51" s="100">
        <v>26.83</v>
      </c>
      <c r="M51" s="100">
        <v>24.06</v>
      </c>
      <c r="N51" s="100">
        <v>541.4</v>
      </c>
      <c r="O51" s="100">
        <v>0</v>
      </c>
      <c r="P51" s="100">
        <v>1.0900000000000001</v>
      </c>
      <c r="Q51" s="100">
        <v>9.34</v>
      </c>
      <c r="R51" s="6"/>
      <c r="S51" s="6"/>
      <c r="T51" s="156"/>
      <c r="U51" s="6"/>
    </row>
    <row r="52" spans="1:21" customFormat="1">
      <c r="A52" s="163" t="s">
        <v>1250</v>
      </c>
      <c r="B52" s="100">
        <v>14.94</v>
      </c>
      <c r="C52" s="100">
        <v>19.75</v>
      </c>
      <c r="D52" s="100">
        <v>22.3</v>
      </c>
      <c r="E52" s="100">
        <v>6.49</v>
      </c>
      <c r="F52" s="100">
        <v>2.0099999999999998</v>
      </c>
      <c r="G52" s="100">
        <v>79.28</v>
      </c>
      <c r="H52" s="100">
        <v>40.67</v>
      </c>
      <c r="I52" s="100">
        <v>14.71</v>
      </c>
      <c r="J52" s="100">
        <v>1.56</v>
      </c>
      <c r="K52" s="100">
        <v>33.86</v>
      </c>
      <c r="L52" s="100">
        <v>27.07</v>
      </c>
      <c r="M52" s="100">
        <v>22.6</v>
      </c>
      <c r="N52" s="100">
        <v>565.4</v>
      </c>
      <c r="O52" s="100">
        <v>0</v>
      </c>
      <c r="P52" s="100">
        <v>1.06</v>
      </c>
      <c r="Q52" s="100">
        <v>9.34</v>
      </c>
      <c r="R52" s="6"/>
      <c r="S52" s="6"/>
      <c r="T52" s="156"/>
      <c r="U52" s="6"/>
    </row>
    <row r="53" spans="1:21" customFormat="1">
      <c r="A53" s="163" t="s">
        <v>1251</v>
      </c>
      <c r="B53" s="100">
        <v>14.38</v>
      </c>
      <c r="C53" s="100">
        <v>19.89</v>
      </c>
      <c r="D53" s="100">
        <v>21.93</v>
      </c>
      <c r="E53" s="100">
        <v>6.39</v>
      </c>
      <c r="F53" s="100">
        <v>2.39</v>
      </c>
      <c r="G53" s="100">
        <v>79.28</v>
      </c>
      <c r="H53" s="100">
        <v>40.67</v>
      </c>
      <c r="I53" s="100">
        <v>14.36</v>
      </c>
      <c r="J53" s="100">
        <v>0.89</v>
      </c>
      <c r="K53" s="100">
        <v>42.48</v>
      </c>
      <c r="L53" s="100">
        <v>27.43</v>
      </c>
      <c r="M53" s="100">
        <v>23.2</v>
      </c>
      <c r="N53" s="100">
        <v>529.20000000000005</v>
      </c>
      <c r="O53" s="100">
        <v>0</v>
      </c>
      <c r="P53" s="100">
        <v>1.03</v>
      </c>
      <c r="Q53" s="100">
        <v>9.35</v>
      </c>
      <c r="R53" s="6"/>
      <c r="S53" s="6"/>
      <c r="T53" s="156"/>
      <c r="U53" s="6"/>
    </row>
    <row r="54" spans="1:21" customFormat="1">
      <c r="A54" s="163" t="s">
        <v>1252</v>
      </c>
      <c r="B54" s="100">
        <v>13.65</v>
      </c>
      <c r="C54" s="100">
        <v>19.88</v>
      </c>
      <c r="D54" s="100">
        <v>21.33</v>
      </c>
      <c r="E54" s="100">
        <v>6.09</v>
      </c>
      <c r="F54" s="100">
        <v>2.27</v>
      </c>
      <c r="G54" s="100">
        <v>79.28</v>
      </c>
      <c r="H54" s="100">
        <v>40.67</v>
      </c>
      <c r="I54" s="100">
        <v>13.96</v>
      </c>
      <c r="J54" s="100">
        <v>0.59</v>
      </c>
      <c r="K54" s="100">
        <v>60.33</v>
      </c>
      <c r="L54" s="100">
        <v>28.07</v>
      </c>
      <c r="M54" s="100">
        <v>23.1</v>
      </c>
      <c r="N54" s="100">
        <v>579.4</v>
      </c>
      <c r="O54" s="100">
        <v>0</v>
      </c>
      <c r="P54" s="100">
        <v>1</v>
      </c>
      <c r="Q54" s="100">
        <v>9.33</v>
      </c>
      <c r="R54" s="6"/>
      <c r="S54" s="6"/>
      <c r="T54" s="156"/>
      <c r="U54" s="6"/>
    </row>
    <row r="55" spans="1:21" customFormat="1">
      <c r="A55" s="163" t="s">
        <v>1253</v>
      </c>
      <c r="B55" s="100">
        <v>12.72</v>
      </c>
      <c r="C55" s="100">
        <v>19.920000000000002</v>
      </c>
      <c r="D55" s="100">
        <v>20.61</v>
      </c>
      <c r="E55" s="100">
        <v>6.09</v>
      </c>
      <c r="F55" s="100">
        <v>2.23</v>
      </c>
      <c r="G55" s="100">
        <v>71.22</v>
      </c>
      <c r="H55" s="100">
        <v>31.78</v>
      </c>
      <c r="I55" s="100">
        <v>15.14</v>
      </c>
      <c r="J55" s="100">
        <v>0.78</v>
      </c>
      <c r="K55" s="100">
        <v>39.1</v>
      </c>
      <c r="L55" s="100">
        <v>28.08</v>
      </c>
      <c r="M55" s="100">
        <v>22.9</v>
      </c>
      <c r="N55" s="100">
        <v>588.29999999999995</v>
      </c>
      <c r="O55" s="100">
        <v>0</v>
      </c>
      <c r="P55" s="100">
        <v>0.98</v>
      </c>
      <c r="Q55" s="100">
        <v>9.3000000000000007</v>
      </c>
      <c r="R55" s="6"/>
      <c r="S55" s="6"/>
      <c r="T55" s="156"/>
      <c r="U55" s="6"/>
    </row>
    <row r="56" spans="1:21" customFormat="1">
      <c r="A56" s="163" t="s">
        <v>1254</v>
      </c>
      <c r="B56" s="100">
        <v>11.78</v>
      </c>
      <c r="C56" s="100">
        <v>19.97</v>
      </c>
      <c r="D56" s="100">
        <v>19.88</v>
      </c>
      <c r="E56" s="100">
        <v>5.98</v>
      </c>
      <c r="F56" s="100">
        <v>1.92</v>
      </c>
      <c r="G56" s="100">
        <v>67.95</v>
      </c>
      <c r="H56" s="100">
        <v>31.22</v>
      </c>
      <c r="I56" s="100">
        <v>16.54</v>
      </c>
      <c r="J56" s="100">
        <v>0.43</v>
      </c>
      <c r="K56" s="100">
        <v>66.61</v>
      </c>
      <c r="L56" s="100">
        <v>28.74</v>
      </c>
      <c r="M56" s="100">
        <v>21.23</v>
      </c>
      <c r="N56" s="100">
        <v>596.1</v>
      </c>
      <c r="O56" s="100">
        <v>0</v>
      </c>
      <c r="P56" s="100">
        <v>0.95</v>
      </c>
      <c r="Q56" s="100">
        <v>9.3000000000000007</v>
      </c>
      <c r="R56" s="6"/>
      <c r="S56" s="6"/>
      <c r="T56" s="156"/>
      <c r="U56" s="6"/>
    </row>
    <row r="57" spans="1:21" customFormat="1">
      <c r="A57" s="163" t="s">
        <v>1255</v>
      </c>
      <c r="B57" s="100">
        <v>10.85</v>
      </c>
      <c r="C57" s="100">
        <v>19.91</v>
      </c>
      <c r="D57" s="100">
        <v>19.100000000000001</v>
      </c>
      <c r="E57" s="100">
        <v>6.1</v>
      </c>
      <c r="F57" s="100">
        <v>3.11</v>
      </c>
      <c r="G57" s="100">
        <v>67.95</v>
      </c>
      <c r="H57" s="100">
        <v>31.22</v>
      </c>
      <c r="I57" s="100">
        <v>16.190000000000001</v>
      </c>
      <c r="J57" s="100">
        <v>0.44</v>
      </c>
      <c r="K57" s="100">
        <v>85.41</v>
      </c>
      <c r="L57" s="100">
        <v>28.86</v>
      </c>
      <c r="M57" s="100">
        <v>19.97</v>
      </c>
      <c r="N57" s="100">
        <v>595.6</v>
      </c>
      <c r="O57" s="100">
        <v>0</v>
      </c>
      <c r="P57" s="100">
        <v>0.93</v>
      </c>
      <c r="Q57" s="100">
        <v>9.32</v>
      </c>
      <c r="R57" s="6"/>
      <c r="S57" s="6"/>
      <c r="T57" s="156"/>
      <c r="U57" s="6"/>
    </row>
    <row r="58" spans="1:21" customFormat="1">
      <c r="A58" s="163" t="s">
        <v>1256</v>
      </c>
      <c r="B58" s="100">
        <v>9.93</v>
      </c>
      <c r="C58" s="100">
        <v>19.68</v>
      </c>
      <c r="D58" s="100">
        <v>18.25</v>
      </c>
      <c r="E58" s="100">
        <v>5.69</v>
      </c>
      <c r="F58" s="100">
        <v>2.27</v>
      </c>
      <c r="G58" s="100">
        <v>67.95</v>
      </c>
      <c r="H58" s="100">
        <v>31.22</v>
      </c>
      <c r="I58" s="100">
        <v>15.83</v>
      </c>
      <c r="J58" s="100">
        <v>0.66</v>
      </c>
      <c r="K58" s="100">
        <v>30.07</v>
      </c>
      <c r="L58" s="100">
        <v>29.35</v>
      </c>
      <c r="M58" s="100">
        <v>18.54</v>
      </c>
      <c r="N58" s="100">
        <v>591.29999999999995</v>
      </c>
      <c r="O58" s="100">
        <v>0</v>
      </c>
      <c r="P58" s="100">
        <v>0.9</v>
      </c>
      <c r="Q58" s="100">
        <v>9.32</v>
      </c>
      <c r="R58" s="6"/>
      <c r="S58" s="6"/>
      <c r="T58" s="156"/>
      <c r="U58" s="6"/>
    </row>
    <row r="59" spans="1:21" customFormat="1">
      <c r="A59" s="163" t="s">
        <v>1257</v>
      </c>
      <c r="B59" s="100">
        <v>9.16</v>
      </c>
      <c r="C59" s="100">
        <v>19.5</v>
      </c>
      <c r="D59" s="100">
        <v>17.53</v>
      </c>
      <c r="E59" s="100">
        <v>5.74</v>
      </c>
      <c r="F59" s="100">
        <v>2.0099999999999998</v>
      </c>
      <c r="G59" s="100">
        <v>60.74</v>
      </c>
      <c r="H59" s="100">
        <v>27.44</v>
      </c>
      <c r="I59" s="100">
        <v>15.49</v>
      </c>
      <c r="J59" s="100">
        <v>0.39</v>
      </c>
      <c r="K59" s="100">
        <v>25.12</v>
      </c>
      <c r="L59" s="100">
        <v>29.57</v>
      </c>
      <c r="M59" s="100">
        <v>18.600000000000001</v>
      </c>
      <c r="N59" s="100">
        <v>574.79999999999995</v>
      </c>
      <c r="O59" s="100">
        <v>0</v>
      </c>
      <c r="P59" s="100">
        <v>0.88</v>
      </c>
      <c r="Q59" s="100">
        <v>9.32</v>
      </c>
      <c r="R59" s="6"/>
      <c r="S59" s="6"/>
      <c r="T59" s="156"/>
      <c r="U59" s="6"/>
    </row>
    <row r="60" spans="1:21" customFormat="1">
      <c r="A60" s="163" t="s">
        <v>1258</v>
      </c>
      <c r="B60" s="100">
        <v>8.5500000000000007</v>
      </c>
      <c r="C60" s="100">
        <v>19.47</v>
      </c>
      <c r="D60" s="100">
        <v>17.03</v>
      </c>
      <c r="E60" s="100">
        <v>5.89</v>
      </c>
      <c r="F60" s="100">
        <v>1.88</v>
      </c>
      <c r="G60" s="100">
        <v>57.81</v>
      </c>
      <c r="H60" s="100">
        <v>27.2</v>
      </c>
      <c r="I60" s="100">
        <v>15.18</v>
      </c>
      <c r="J60" s="100">
        <v>0.22</v>
      </c>
      <c r="K60" s="100">
        <v>27.14</v>
      </c>
      <c r="L60" s="100">
        <v>29.6</v>
      </c>
      <c r="M60" s="100">
        <v>17.88</v>
      </c>
      <c r="N60" s="100">
        <v>538.1</v>
      </c>
      <c r="O60" s="100">
        <v>0</v>
      </c>
      <c r="P60" s="100">
        <v>0.86</v>
      </c>
      <c r="Q60" s="100">
        <v>9.31</v>
      </c>
      <c r="R60" s="6"/>
      <c r="S60" s="6"/>
      <c r="T60" s="156"/>
      <c r="U60" s="6"/>
    </row>
    <row r="61" spans="1:21" customFormat="1">
      <c r="A61" s="163" t="s">
        <v>1259</v>
      </c>
      <c r="B61" s="100">
        <v>7.79</v>
      </c>
      <c r="C61" s="100">
        <v>19.690000000000001</v>
      </c>
      <c r="D61" s="100">
        <v>16.54</v>
      </c>
      <c r="E61" s="100">
        <v>5.76</v>
      </c>
      <c r="F61" s="100">
        <v>1.88</v>
      </c>
      <c r="G61" s="100">
        <v>57.81</v>
      </c>
      <c r="H61" s="100">
        <v>27.2</v>
      </c>
      <c r="I61" s="100">
        <v>14.67</v>
      </c>
      <c r="J61" s="100">
        <v>0.54</v>
      </c>
      <c r="K61" s="100">
        <v>52.9</v>
      </c>
      <c r="L61" s="100">
        <v>29.76</v>
      </c>
      <c r="M61" s="100">
        <v>14.99</v>
      </c>
      <c r="N61" s="100">
        <v>473</v>
      </c>
      <c r="O61" s="100">
        <v>0</v>
      </c>
      <c r="P61" s="100">
        <v>0.83</v>
      </c>
      <c r="Q61" s="100">
        <v>9.32</v>
      </c>
      <c r="R61" s="6"/>
      <c r="S61" s="6"/>
      <c r="T61" s="156"/>
      <c r="U61" s="6"/>
    </row>
    <row r="62" spans="1:21" customFormat="1">
      <c r="A62" s="163" t="s">
        <v>1260</v>
      </c>
      <c r="B62" s="100">
        <v>6.96</v>
      </c>
      <c r="C62" s="100">
        <v>19.940000000000001</v>
      </c>
      <c r="D62" s="100">
        <v>16</v>
      </c>
      <c r="E62" s="100">
        <v>5.82</v>
      </c>
      <c r="F62" s="100">
        <v>2.58</v>
      </c>
      <c r="G62" s="100">
        <v>57.81</v>
      </c>
      <c r="H62" s="100">
        <v>27.2</v>
      </c>
      <c r="I62" s="100">
        <v>14.12</v>
      </c>
      <c r="J62" s="100">
        <v>0.57999999999999996</v>
      </c>
      <c r="K62" s="100">
        <v>30.21</v>
      </c>
      <c r="L62" s="100">
        <v>29.48</v>
      </c>
      <c r="M62" s="100">
        <v>14.96</v>
      </c>
      <c r="N62" s="100">
        <v>163.4</v>
      </c>
      <c r="O62" s="100">
        <v>0</v>
      </c>
      <c r="P62" s="100">
        <v>0.81</v>
      </c>
      <c r="Q62" s="100">
        <v>9.2799999999999994</v>
      </c>
      <c r="R62" s="6"/>
      <c r="S62" s="6"/>
      <c r="T62" s="156"/>
      <c r="U62" s="6"/>
    </row>
    <row r="63" spans="1:21" customFormat="1">
      <c r="A63" s="163" t="s">
        <v>1261</v>
      </c>
      <c r="B63" s="100">
        <v>6.06</v>
      </c>
      <c r="C63" s="100">
        <v>20.059999999999999</v>
      </c>
      <c r="D63" s="100">
        <v>15.34</v>
      </c>
      <c r="E63" s="100">
        <v>5.68</v>
      </c>
      <c r="F63" s="100">
        <v>5.32</v>
      </c>
      <c r="G63" s="100">
        <v>58.33</v>
      </c>
      <c r="H63" s="100">
        <v>26.66</v>
      </c>
      <c r="I63" s="100">
        <v>13.91</v>
      </c>
      <c r="J63" s="100">
        <v>0.73</v>
      </c>
      <c r="K63" s="100">
        <v>25.31</v>
      </c>
      <c r="L63" s="100">
        <v>29.26</v>
      </c>
      <c r="M63" s="100">
        <v>14.13</v>
      </c>
      <c r="N63" s="100">
        <v>127.6</v>
      </c>
      <c r="O63" s="100">
        <v>0</v>
      </c>
      <c r="P63" s="100">
        <v>0.77</v>
      </c>
      <c r="Q63" s="100">
        <v>9.35</v>
      </c>
      <c r="R63" s="6"/>
      <c r="S63" s="6"/>
      <c r="T63" s="156"/>
      <c r="U63" s="6"/>
    </row>
    <row r="64" spans="1:21" customFormat="1">
      <c r="A64" s="163" t="s">
        <v>1262</v>
      </c>
      <c r="B64" s="100">
        <v>5.23</v>
      </c>
      <c r="C64" s="100">
        <v>19.899999999999999</v>
      </c>
      <c r="D64" s="100">
        <v>14.59</v>
      </c>
      <c r="E64" s="100">
        <v>5.3</v>
      </c>
      <c r="F64" s="100">
        <v>4.0999999999999996</v>
      </c>
      <c r="G64" s="100">
        <v>58.54</v>
      </c>
      <c r="H64" s="100">
        <v>26.56</v>
      </c>
      <c r="I64" s="100">
        <v>13.46</v>
      </c>
      <c r="J64" s="100">
        <v>0.49</v>
      </c>
      <c r="K64" s="100">
        <v>335.27</v>
      </c>
      <c r="L64" s="100">
        <v>29.2</v>
      </c>
      <c r="M64" s="100">
        <v>13.91</v>
      </c>
      <c r="N64" s="100">
        <v>93</v>
      </c>
      <c r="O64" s="100">
        <v>0</v>
      </c>
      <c r="P64" s="100">
        <v>0.76</v>
      </c>
      <c r="Q64" s="100">
        <v>9.36</v>
      </c>
      <c r="R64" s="6"/>
      <c r="S64" s="6"/>
      <c r="T64" s="156"/>
      <c r="U64" s="6"/>
    </row>
    <row r="65" spans="1:21" customFormat="1">
      <c r="A65" s="163" t="s">
        <v>1263</v>
      </c>
      <c r="B65" s="100">
        <v>4.5</v>
      </c>
      <c r="C65" s="100">
        <v>19.86</v>
      </c>
      <c r="D65" s="100">
        <v>13.99</v>
      </c>
      <c r="E65" s="100">
        <v>5.7</v>
      </c>
      <c r="F65" s="100">
        <v>4.49</v>
      </c>
      <c r="G65" s="100">
        <v>58.54</v>
      </c>
      <c r="H65" s="100">
        <v>26.56</v>
      </c>
      <c r="I65" s="100">
        <v>12.8</v>
      </c>
      <c r="J65" s="100">
        <v>0.78</v>
      </c>
      <c r="K65" s="100">
        <v>14.84</v>
      </c>
      <c r="L65" s="100">
        <v>29.46</v>
      </c>
      <c r="M65" s="100">
        <v>12.27</v>
      </c>
      <c r="N65" s="100">
        <v>85.4</v>
      </c>
      <c r="O65" s="100">
        <v>0</v>
      </c>
      <c r="P65" s="100">
        <v>0.59</v>
      </c>
      <c r="Q65" s="100">
        <v>9.3000000000000007</v>
      </c>
      <c r="R65" s="6"/>
      <c r="S65" s="6"/>
      <c r="T65" s="156"/>
      <c r="U65" s="6"/>
    </row>
    <row r="66" spans="1:21" customFormat="1">
      <c r="A66" s="163" t="s">
        <v>1264</v>
      </c>
      <c r="B66" s="100">
        <v>4.01</v>
      </c>
      <c r="C66" s="100">
        <v>19.73</v>
      </c>
      <c r="D66" s="100">
        <v>13.52</v>
      </c>
      <c r="E66" s="100">
        <v>5.69</v>
      </c>
      <c r="F66" s="100">
        <v>4.32</v>
      </c>
      <c r="G66" s="100">
        <v>58.54</v>
      </c>
      <c r="H66" s="100">
        <v>26.56</v>
      </c>
      <c r="I66" s="100">
        <v>12.44</v>
      </c>
      <c r="J66" s="100">
        <v>0.14000000000000001</v>
      </c>
      <c r="K66" s="100">
        <v>37.79</v>
      </c>
      <c r="L66" s="100">
        <v>29.34</v>
      </c>
      <c r="M66" s="100">
        <v>13.48</v>
      </c>
      <c r="N66" s="100">
        <v>92</v>
      </c>
      <c r="O66" s="100">
        <v>0</v>
      </c>
      <c r="P66" s="100">
        <v>0.61</v>
      </c>
      <c r="Q66" s="100">
        <v>9.44</v>
      </c>
      <c r="R66" s="6"/>
      <c r="S66" s="6"/>
      <c r="T66" s="156"/>
      <c r="U66" s="6"/>
    </row>
    <row r="67" spans="1:21" customFormat="1">
      <c r="A67" s="163" t="s">
        <v>1265</v>
      </c>
      <c r="B67" s="100">
        <v>3.65</v>
      </c>
      <c r="C67" s="100">
        <v>19.3</v>
      </c>
      <c r="D67" s="100">
        <v>13.01</v>
      </c>
      <c r="E67" s="100">
        <v>5.61</v>
      </c>
      <c r="F67" s="100">
        <v>4.84</v>
      </c>
      <c r="G67" s="100">
        <v>49.98</v>
      </c>
      <c r="H67" s="100">
        <v>23.49</v>
      </c>
      <c r="I67" s="100">
        <v>12.17</v>
      </c>
      <c r="J67" s="100">
        <v>0.16</v>
      </c>
      <c r="K67" s="100">
        <v>333.16</v>
      </c>
      <c r="L67" s="100">
        <v>29.25</v>
      </c>
      <c r="M67" s="100">
        <v>15.04</v>
      </c>
      <c r="N67" s="100">
        <v>87.4</v>
      </c>
      <c r="O67" s="100">
        <v>0</v>
      </c>
      <c r="P67" s="100">
        <v>0.59</v>
      </c>
      <c r="Q67" s="100">
        <v>9.3800000000000008</v>
      </c>
      <c r="R67" s="6"/>
      <c r="S67" s="6"/>
      <c r="T67" s="156"/>
      <c r="U67" s="6"/>
    </row>
    <row r="68" spans="1:21" customFormat="1">
      <c r="A68" s="163" t="s">
        <v>1266</v>
      </c>
      <c r="B68" s="100">
        <v>3.53</v>
      </c>
      <c r="C68" s="100">
        <v>19.170000000000002</v>
      </c>
      <c r="D68" s="100">
        <v>12.85</v>
      </c>
      <c r="E68" s="100">
        <v>6.24</v>
      </c>
      <c r="F68" s="100">
        <v>5.46</v>
      </c>
      <c r="G68" s="100">
        <v>46.5</v>
      </c>
      <c r="H68" s="100">
        <v>23.29</v>
      </c>
      <c r="I68" s="100">
        <v>11.93</v>
      </c>
      <c r="J68" s="100">
        <v>0.44</v>
      </c>
      <c r="K68" s="100">
        <v>42.15</v>
      </c>
      <c r="L68" s="100">
        <v>29.38</v>
      </c>
      <c r="M68" s="100">
        <v>13.71</v>
      </c>
      <c r="N68" s="100">
        <v>73.5</v>
      </c>
      <c r="O68" s="100">
        <v>0</v>
      </c>
      <c r="P68" s="100">
        <v>0.57999999999999996</v>
      </c>
      <c r="Q68" s="100">
        <v>9.33</v>
      </c>
      <c r="R68" s="6"/>
      <c r="S68" s="6"/>
      <c r="T68" s="156"/>
      <c r="U68" s="6"/>
    </row>
    <row r="69" spans="1:21" customFormat="1">
      <c r="A69" s="163" t="s">
        <v>1267</v>
      </c>
      <c r="B69" s="100">
        <v>3.46</v>
      </c>
      <c r="C69" s="100">
        <v>18.96</v>
      </c>
      <c r="D69" s="100">
        <v>12.68</v>
      </c>
      <c r="E69" s="100">
        <v>6.26</v>
      </c>
      <c r="F69" s="100">
        <v>4.3899999999999997</v>
      </c>
      <c r="G69" s="100">
        <v>46.5</v>
      </c>
      <c r="H69" s="100">
        <v>23.29</v>
      </c>
      <c r="I69" s="100">
        <v>11.65</v>
      </c>
      <c r="J69" s="100">
        <v>0.33</v>
      </c>
      <c r="K69" s="100">
        <v>26.11</v>
      </c>
      <c r="L69" s="100">
        <v>29.36</v>
      </c>
      <c r="M69" s="100">
        <v>13.94</v>
      </c>
      <c r="N69" s="100">
        <v>70.099999999999994</v>
      </c>
      <c r="O69" s="100">
        <v>0</v>
      </c>
      <c r="P69" s="100">
        <v>0.56000000000000005</v>
      </c>
      <c r="Q69" s="100">
        <v>9.36</v>
      </c>
      <c r="R69" s="6"/>
      <c r="S69" s="6"/>
      <c r="T69" s="156"/>
      <c r="U69" s="6"/>
    </row>
    <row r="70" spans="1:21" customFormat="1">
      <c r="A70" s="163" t="s">
        <v>1268</v>
      </c>
      <c r="B70" s="100">
        <v>3.41</v>
      </c>
      <c r="C70" s="100">
        <v>18.73</v>
      </c>
      <c r="D70" s="100">
        <v>12.52</v>
      </c>
      <c r="E70" s="100">
        <v>6.01</v>
      </c>
      <c r="F70" s="100">
        <v>3.86</v>
      </c>
      <c r="G70" s="100">
        <v>46.5</v>
      </c>
      <c r="H70" s="100">
        <v>23.29</v>
      </c>
      <c r="I70" s="100">
        <v>11.38</v>
      </c>
      <c r="J70" s="100">
        <v>0.25</v>
      </c>
      <c r="K70" s="100">
        <v>123.15</v>
      </c>
      <c r="L70" s="100">
        <v>29.32</v>
      </c>
      <c r="M70" s="100">
        <v>15.79</v>
      </c>
      <c r="N70" s="100">
        <v>70.400000000000006</v>
      </c>
      <c r="O70" s="100">
        <v>0</v>
      </c>
      <c r="P70" s="100">
        <v>0.55000000000000004</v>
      </c>
      <c r="Q70" s="100">
        <v>9.42</v>
      </c>
      <c r="R70" s="6"/>
      <c r="S70" s="6"/>
      <c r="T70" s="156"/>
      <c r="U70" s="6"/>
    </row>
    <row r="71" spans="1:21" customFormat="1">
      <c r="A71" s="163" t="s">
        <v>1269</v>
      </c>
      <c r="B71" s="100">
        <v>3.34</v>
      </c>
      <c r="C71" s="100">
        <v>18.16</v>
      </c>
      <c r="D71" s="100">
        <v>12.16</v>
      </c>
      <c r="E71" s="100">
        <v>5.49</v>
      </c>
      <c r="F71" s="100">
        <v>5.05</v>
      </c>
      <c r="G71" s="100">
        <v>45.18</v>
      </c>
      <c r="H71" s="100">
        <v>19.739999999999998</v>
      </c>
      <c r="I71" s="100">
        <v>11.12</v>
      </c>
      <c r="J71" s="100">
        <v>0.25</v>
      </c>
      <c r="K71" s="100">
        <v>175.2</v>
      </c>
      <c r="L71" s="100">
        <v>28.87</v>
      </c>
      <c r="M71" s="100">
        <v>17.98</v>
      </c>
      <c r="N71" s="100">
        <v>55.3</v>
      </c>
      <c r="O71" s="100">
        <v>0</v>
      </c>
      <c r="P71" s="100">
        <v>0.53</v>
      </c>
      <c r="Q71" s="100">
        <v>9.33</v>
      </c>
      <c r="R71" s="6"/>
      <c r="S71" s="6"/>
      <c r="T71" s="156"/>
      <c r="U71" s="6"/>
    </row>
    <row r="72" spans="1:21" customFormat="1">
      <c r="A72" s="163" t="s">
        <v>1270</v>
      </c>
      <c r="B72" s="100">
        <v>3.28</v>
      </c>
      <c r="C72" s="100">
        <v>17.46</v>
      </c>
      <c r="D72" s="100">
        <v>11.75</v>
      </c>
      <c r="E72" s="100">
        <v>5.47</v>
      </c>
      <c r="F72" s="100">
        <v>3.74</v>
      </c>
      <c r="G72" s="100">
        <v>44.65</v>
      </c>
      <c r="H72" s="100">
        <v>19.510000000000002</v>
      </c>
      <c r="I72" s="100">
        <v>10.97</v>
      </c>
      <c r="J72" s="100">
        <v>0.17</v>
      </c>
      <c r="K72" s="100">
        <v>169.2</v>
      </c>
      <c r="L72" s="100">
        <v>28.45</v>
      </c>
      <c r="M72" s="100">
        <v>19.350000000000001</v>
      </c>
      <c r="N72" s="100">
        <v>49.8</v>
      </c>
      <c r="O72" s="100">
        <v>0</v>
      </c>
      <c r="P72" s="100">
        <v>0.52</v>
      </c>
      <c r="Q72" s="100">
        <v>9.36</v>
      </c>
      <c r="R72" s="6"/>
      <c r="S72" s="6"/>
      <c r="T72" s="156"/>
      <c r="U72" s="6"/>
    </row>
    <row r="73" spans="1:21" customFormat="1">
      <c r="A73" s="163" t="s">
        <v>1271</v>
      </c>
      <c r="B73" s="100">
        <v>3.25</v>
      </c>
      <c r="C73" s="100">
        <v>17.010000000000002</v>
      </c>
      <c r="D73" s="100">
        <v>11.49</v>
      </c>
      <c r="E73" s="100">
        <v>5.39</v>
      </c>
      <c r="F73" s="100">
        <v>3.46</v>
      </c>
      <c r="G73" s="100">
        <v>44.65</v>
      </c>
      <c r="H73" s="100">
        <v>19.510000000000002</v>
      </c>
      <c r="I73" s="100">
        <v>10.86</v>
      </c>
      <c r="J73" s="100">
        <v>0.26</v>
      </c>
      <c r="K73" s="100">
        <v>177.18</v>
      </c>
      <c r="L73" s="100">
        <v>28.04</v>
      </c>
      <c r="M73" s="100">
        <v>19.66</v>
      </c>
      <c r="N73" s="100">
        <v>43.9</v>
      </c>
      <c r="O73" s="100">
        <v>0</v>
      </c>
      <c r="P73" s="100">
        <v>0.5</v>
      </c>
      <c r="Q73" s="100">
        <v>9.36</v>
      </c>
      <c r="R73" s="6"/>
      <c r="S73" s="6"/>
      <c r="T73" s="156"/>
      <c r="U73" s="6"/>
    </row>
    <row r="74" spans="1:21" customFormat="1">
      <c r="A74" s="163" t="s">
        <v>1272</v>
      </c>
      <c r="B74" s="100">
        <v>3.27</v>
      </c>
      <c r="C74" s="100">
        <v>16.399999999999999</v>
      </c>
      <c r="D74" s="100">
        <v>11.19</v>
      </c>
      <c r="E74" s="100">
        <v>5.49</v>
      </c>
      <c r="F74" s="100">
        <v>3.22</v>
      </c>
      <c r="G74" s="100">
        <v>44.65</v>
      </c>
      <c r="H74" s="100">
        <v>19.510000000000002</v>
      </c>
      <c r="I74" s="100">
        <v>10.55</v>
      </c>
      <c r="J74" s="100">
        <v>0.23</v>
      </c>
      <c r="K74" s="100">
        <v>173.84</v>
      </c>
      <c r="L74" s="100">
        <v>27.41</v>
      </c>
      <c r="M74" s="100">
        <v>23.52</v>
      </c>
      <c r="N74" s="100">
        <v>41.7</v>
      </c>
      <c r="O74" s="100">
        <v>0</v>
      </c>
      <c r="P74" s="100">
        <v>0.48</v>
      </c>
      <c r="Q74" s="100">
        <v>9.31</v>
      </c>
      <c r="R74" s="6"/>
      <c r="S74" s="6"/>
      <c r="T74" s="156"/>
      <c r="U74" s="6"/>
    </row>
    <row r="75" spans="1:21" customFormat="1">
      <c r="A75" s="163" t="s">
        <v>1273</v>
      </c>
      <c r="B75" s="100">
        <v>3.28</v>
      </c>
      <c r="C75" s="100">
        <v>15.89</v>
      </c>
      <c r="D75" s="100">
        <v>10.93</v>
      </c>
      <c r="E75" s="100">
        <v>4.21</v>
      </c>
      <c r="F75" s="100">
        <v>2.94</v>
      </c>
      <c r="G75" s="100">
        <v>41.48</v>
      </c>
      <c r="H75" s="100">
        <v>20.05</v>
      </c>
      <c r="I75" s="100">
        <v>10.29</v>
      </c>
      <c r="J75" s="100">
        <v>0.23</v>
      </c>
      <c r="K75" s="100">
        <v>172.49</v>
      </c>
      <c r="L75" s="100">
        <v>26.71</v>
      </c>
      <c r="M75" s="100">
        <v>24.72</v>
      </c>
      <c r="N75" s="100">
        <v>29.8</v>
      </c>
      <c r="O75" s="100">
        <v>0</v>
      </c>
      <c r="P75" s="100">
        <v>0.47</v>
      </c>
      <c r="Q75" s="100">
        <v>9.2899999999999991</v>
      </c>
      <c r="R75" s="6"/>
      <c r="S75" s="6"/>
      <c r="T75" s="156"/>
      <c r="U75" s="6"/>
    </row>
    <row r="76" spans="1:21" customFormat="1">
      <c r="A76" s="163" t="s">
        <v>1274</v>
      </c>
      <c r="B76" s="100">
        <v>3.38</v>
      </c>
      <c r="C76" s="100">
        <v>15.5</v>
      </c>
      <c r="D76" s="100">
        <v>10.81</v>
      </c>
      <c r="E76" s="100">
        <v>5.27</v>
      </c>
      <c r="F76" s="100">
        <v>2.61</v>
      </c>
      <c r="G76" s="100">
        <v>40.19</v>
      </c>
      <c r="H76" s="100">
        <v>20.079999999999998</v>
      </c>
      <c r="I76" s="100">
        <v>10.16</v>
      </c>
      <c r="J76" s="100">
        <v>0.28999999999999998</v>
      </c>
      <c r="K76" s="100">
        <v>163.93</v>
      </c>
      <c r="L76" s="100">
        <v>25.77</v>
      </c>
      <c r="M76" s="100">
        <v>30.2</v>
      </c>
      <c r="N76" s="100">
        <v>22.2</v>
      </c>
      <c r="O76" s="100">
        <v>0</v>
      </c>
      <c r="P76" s="100">
        <v>0.45</v>
      </c>
      <c r="Q76" s="100">
        <v>9.36</v>
      </c>
      <c r="R76" s="6"/>
      <c r="S76" s="6"/>
      <c r="T76" s="156"/>
      <c r="U76" s="6"/>
    </row>
    <row r="77" spans="1:21" customFormat="1">
      <c r="A77" s="163" t="s">
        <v>1275</v>
      </c>
      <c r="B77" s="100">
        <v>3.5</v>
      </c>
      <c r="C77" s="100">
        <v>15.61</v>
      </c>
      <c r="D77" s="100">
        <v>10.96</v>
      </c>
      <c r="E77" s="100">
        <v>5.38</v>
      </c>
      <c r="F77" s="100">
        <v>2.08</v>
      </c>
      <c r="G77" s="100">
        <v>40.19</v>
      </c>
      <c r="H77" s="100">
        <v>20.079999999999998</v>
      </c>
      <c r="I77" s="100">
        <v>9.9600000000000009</v>
      </c>
      <c r="J77" s="100">
        <v>0.36</v>
      </c>
      <c r="K77" s="100">
        <v>160.22999999999999</v>
      </c>
      <c r="L77" s="100">
        <v>24.75</v>
      </c>
      <c r="M77" s="100">
        <v>34.58</v>
      </c>
      <c r="N77" s="100">
        <v>15.6</v>
      </c>
      <c r="O77" s="100">
        <v>0</v>
      </c>
      <c r="P77" s="100">
        <v>0.45</v>
      </c>
      <c r="Q77" s="100">
        <v>9.42</v>
      </c>
      <c r="R77" s="6"/>
      <c r="S77" s="6"/>
      <c r="T77" s="156"/>
      <c r="U77" s="6"/>
    </row>
    <row r="78" spans="1:21" customFormat="1">
      <c r="A78" s="163" t="s">
        <v>1276</v>
      </c>
      <c r="B78" s="100">
        <v>3.81</v>
      </c>
      <c r="C78" s="100">
        <v>16.489999999999998</v>
      </c>
      <c r="D78" s="100">
        <v>11.67</v>
      </c>
      <c r="E78" s="100">
        <v>5.53</v>
      </c>
      <c r="F78" s="100">
        <v>2.13</v>
      </c>
      <c r="G78" s="100">
        <v>40.19</v>
      </c>
      <c r="H78" s="100">
        <v>20.079999999999998</v>
      </c>
      <c r="I78" s="100">
        <v>9.7899999999999991</v>
      </c>
      <c r="J78" s="100">
        <v>0.27</v>
      </c>
      <c r="K78" s="100">
        <v>153.9</v>
      </c>
      <c r="L78" s="100">
        <v>24.07</v>
      </c>
      <c r="M78" s="100">
        <v>36.75</v>
      </c>
      <c r="N78" s="100">
        <v>11.3</v>
      </c>
      <c r="O78" s="100">
        <v>0</v>
      </c>
      <c r="P78" s="100">
        <v>0.45</v>
      </c>
      <c r="Q78" s="100">
        <v>9.36</v>
      </c>
      <c r="R78" s="6"/>
      <c r="S78" s="6"/>
      <c r="T78" s="156"/>
      <c r="U78" s="6"/>
    </row>
    <row r="79" spans="1:21" customFormat="1">
      <c r="A79" s="163" t="s">
        <v>1277</v>
      </c>
      <c r="B79" s="100">
        <v>4.87</v>
      </c>
      <c r="C79" s="100">
        <v>19.13</v>
      </c>
      <c r="D79" s="100">
        <v>13.9</v>
      </c>
      <c r="E79" s="100">
        <v>5.49</v>
      </c>
      <c r="F79" s="100">
        <v>1.76</v>
      </c>
      <c r="G79" s="100">
        <v>40.19</v>
      </c>
      <c r="H79" s="100">
        <v>26.92</v>
      </c>
      <c r="I79" s="100">
        <v>9.6300000000000008</v>
      </c>
      <c r="J79" s="100">
        <v>0.28000000000000003</v>
      </c>
      <c r="K79" s="100">
        <v>168.84</v>
      </c>
      <c r="L79" s="100">
        <v>23.42</v>
      </c>
      <c r="M79" s="100">
        <v>40.799999999999997</v>
      </c>
      <c r="N79" s="100">
        <v>10.1</v>
      </c>
      <c r="O79" s="100">
        <v>0</v>
      </c>
      <c r="P79" s="100">
        <v>0.47</v>
      </c>
      <c r="Q79" s="100">
        <v>9.35</v>
      </c>
      <c r="R79" s="6"/>
      <c r="S79" s="6"/>
      <c r="T79" s="156"/>
      <c r="U79" s="6"/>
    </row>
    <row r="80" spans="1:21" customFormat="1">
      <c r="A80" s="163" t="s">
        <v>1278</v>
      </c>
      <c r="B80" s="100">
        <v>7.32</v>
      </c>
      <c r="C80" s="100">
        <v>21.8</v>
      </c>
      <c r="D80" s="100">
        <v>17.260000000000002</v>
      </c>
      <c r="E80" s="100">
        <v>4.66</v>
      </c>
      <c r="F80" s="100">
        <v>1.45</v>
      </c>
      <c r="G80" s="100">
        <v>40.19</v>
      </c>
      <c r="H80" s="100">
        <v>27.24</v>
      </c>
      <c r="I80" s="100">
        <v>9.4</v>
      </c>
      <c r="J80" s="100">
        <v>0.19</v>
      </c>
      <c r="K80" s="100">
        <v>200.64</v>
      </c>
      <c r="L80" s="100">
        <v>22.39</v>
      </c>
      <c r="M80" s="100">
        <v>51.95</v>
      </c>
      <c r="N80" s="100">
        <v>10</v>
      </c>
      <c r="O80" s="100">
        <v>0</v>
      </c>
      <c r="P80" s="100">
        <v>0.51</v>
      </c>
      <c r="Q80" s="100">
        <v>9.3000000000000007</v>
      </c>
      <c r="R80" s="6"/>
      <c r="S80" s="6"/>
      <c r="T80" s="156"/>
      <c r="U80" s="6"/>
    </row>
    <row r="81" spans="1:21" customFormat="1">
      <c r="A81" s="163" t="s">
        <v>1279</v>
      </c>
      <c r="B81" s="100">
        <v>9.83</v>
      </c>
      <c r="C81" s="100">
        <v>23.57</v>
      </c>
      <c r="D81" s="100">
        <v>20.190000000000001</v>
      </c>
      <c r="E81" s="100">
        <v>3.56</v>
      </c>
      <c r="F81" s="100">
        <v>1.28</v>
      </c>
      <c r="G81" s="100">
        <v>40.19</v>
      </c>
      <c r="H81" s="100">
        <v>27.24</v>
      </c>
      <c r="I81" s="100">
        <v>9.5299999999999994</v>
      </c>
      <c r="J81" s="100">
        <v>0.22</v>
      </c>
      <c r="K81" s="100">
        <v>175.6</v>
      </c>
      <c r="L81" s="100">
        <v>21.71</v>
      </c>
      <c r="M81" s="100">
        <v>52.12</v>
      </c>
      <c r="N81" s="100">
        <v>9.6999999999999993</v>
      </c>
      <c r="O81" s="100">
        <v>0</v>
      </c>
      <c r="P81" s="100">
        <v>0.55000000000000004</v>
      </c>
      <c r="Q81" s="100">
        <v>9.69</v>
      </c>
      <c r="R81" s="6"/>
      <c r="S81" s="6"/>
      <c r="T81" s="156"/>
      <c r="U81" s="6"/>
    </row>
    <row r="82" spans="1:21" customFormat="1">
      <c r="A82" s="163" t="s">
        <v>1280</v>
      </c>
      <c r="B82" s="100">
        <v>10.97</v>
      </c>
      <c r="C82" s="100">
        <v>23.97</v>
      </c>
      <c r="D82" s="100">
        <v>21.32</v>
      </c>
      <c r="E82" s="100">
        <v>4.07</v>
      </c>
      <c r="F82" s="100">
        <v>1.22</v>
      </c>
      <c r="G82" s="100">
        <v>40.19</v>
      </c>
      <c r="H82" s="100">
        <v>27.24</v>
      </c>
      <c r="I82" s="100">
        <v>10.23</v>
      </c>
      <c r="J82" s="100">
        <v>0.18</v>
      </c>
      <c r="K82" s="100">
        <v>174.66</v>
      </c>
      <c r="L82" s="100">
        <v>21.22</v>
      </c>
      <c r="M82" s="100">
        <v>53.53</v>
      </c>
      <c r="N82" s="100">
        <v>9.5</v>
      </c>
      <c r="O82" s="100">
        <v>0</v>
      </c>
      <c r="P82" s="100">
        <v>0.55000000000000004</v>
      </c>
      <c r="Q82" s="100">
        <v>9.49</v>
      </c>
      <c r="R82" s="6"/>
      <c r="S82" s="6"/>
      <c r="T82" s="156"/>
      <c r="U82" s="6"/>
    </row>
    <row r="83" spans="1:21" customFormat="1">
      <c r="A83" s="163" t="s">
        <v>1281</v>
      </c>
      <c r="B83" s="100">
        <v>11.88</v>
      </c>
      <c r="C83" s="100">
        <v>23.35</v>
      </c>
      <c r="D83" s="100">
        <v>21.73</v>
      </c>
      <c r="E83" s="100">
        <v>4.37</v>
      </c>
      <c r="F83" s="100">
        <v>1.2</v>
      </c>
      <c r="G83" s="100">
        <v>40.19</v>
      </c>
      <c r="H83" s="100">
        <v>32.68</v>
      </c>
      <c r="I83" s="100">
        <v>10.73</v>
      </c>
      <c r="J83" s="100">
        <v>0.23</v>
      </c>
      <c r="K83" s="100">
        <v>177.69</v>
      </c>
      <c r="L83" s="100">
        <v>21.11</v>
      </c>
      <c r="M83" s="100">
        <v>57.87</v>
      </c>
      <c r="N83" s="100">
        <v>9.4</v>
      </c>
      <c r="O83" s="100">
        <v>0</v>
      </c>
      <c r="P83" s="100">
        <v>0.55000000000000004</v>
      </c>
      <c r="Q83" s="100">
        <v>9.3800000000000008</v>
      </c>
      <c r="R83" s="6"/>
      <c r="S83" s="6"/>
      <c r="T83" s="156"/>
      <c r="U83" s="6"/>
    </row>
    <row r="84" spans="1:21" customFormat="1">
      <c r="A84" s="163" t="s">
        <v>1282</v>
      </c>
      <c r="B84" s="100">
        <v>12.73</v>
      </c>
      <c r="C84" s="100">
        <v>22.55</v>
      </c>
      <c r="D84" s="100">
        <v>21.99</v>
      </c>
      <c r="E84" s="100">
        <v>4.5</v>
      </c>
      <c r="F84" s="100">
        <v>1.35</v>
      </c>
      <c r="G84" s="100">
        <v>40.19</v>
      </c>
      <c r="H84" s="100">
        <v>32.94</v>
      </c>
      <c r="I84" s="100">
        <v>10.87</v>
      </c>
      <c r="J84" s="100">
        <v>0.19</v>
      </c>
      <c r="K84" s="100">
        <v>183.81</v>
      </c>
      <c r="L84" s="100">
        <v>20.399999999999999</v>
      </c>
      <c r="M84" s="100">
        <v>69.760000000000005</v>
      </c>
      <c r="N84" s="100">
        <v>9.6</v>
      </c>
      <c r="O84" s="100">
        <v>0</v>
      </c>
      <c r="P84" s="100">
        <v>0.56999999999999995</v>
      </c>
      <c r="Q84" s="100">
        <v>9.44</v>
      </c>
      <c r="R84" s="6"/>
      <c r="S84" s="6"/>
      <c r="T84" s="156"/>
      <c r="U84" s="6"/>
    </row>
    <row r="85" spans="1:21" customFormat="1">
      <c r="A85" s="163" t="s">
        <v>1283</v>
      </c>
      <c r="B85" s="100">
        <v>13.02</v>
      </c>
      <c r="C85" s="100">
        <v>21.89</v>
      </c>
      <c r="D85" s="100">
        <v>21.88</v>
      </c>
      <c r="E85" s="100">
        <v>4.5599999999999996</v>
      </c>
      <c r="F85" s="100">
        <v>1.29</v>
      </c>
      <c r="G85" s="135" t="s">
        <v>12</v>
      </c>
      <c r="H85" s="100">
        <v>2.5</v>
      </c>
      <c r="I85" s="100">
        <v>10.91</v>
      </c>
      <c r="J85" s="100">
        <v>0.16</v>
      </c>
      <c r="K85" s="100">
        <v>176.01</v>
      </c>
      <c r="L85" s="100">
        <v>19.87</v>
      </c>
      <c r="M85" s="100">
        <v>67.209999999999994</v>
      </c>
      <c r="N85" s="100">
        <v>9.5</v>
      </c>
      <c r="O85" s="100">
        <v>0</v>
      </c>
      <c r="P85" s="100">
        <v>0.56999999999999995</v>
      </c>
      <c r="Q85" s="100">
        <v>9.39</v>
      </c>
      <c r="R85" s="6"/>
      <c r="S85" s="6"/>
      <c r="T85" s="156"/>
      <c r="U85" s="6"/>
    </row>
    <row r="86" spans="1:21" customFormat="1">
      <c r="A86" s="163" t="s">
        <v>1284</v>
      </c>
      <c r="B86" s="100">
        <v>13.04</v>
      </c>
      <c r="C86" s="100">
        <v>21.49</v>
      </c>
      <c r="D86" s="100">
        <v>21.69</v>
      </c>
      <c r="E86" s="100">
        <v>4.5999999999999996</v>
      </c>
      <c r="F86" s="100">
        <v>1.2</v>
      </c>
      <c r="G86" s="135" t="s">
        <v>12</v>
      </c>
      <c r="H86" s="135" t="s">
        <v>12</v>
      </c>
      <c r="I86" s="100">
        <v>10.95</v>
      </c>
      <c r="J86" s="100">
        <v>0.22</v>
      </c>
      <c r="K86" s="100">
        <v>151.41999999999999</v>
      </c>
      <c r="L86" s="100">
        <v>19.63</v>
      </c>
      <c r="M86" s="100">
        <v>65.84</v>
      </c>
      <c r="N86" s="100">
        <v>9.4</v>
      </c>
      <c r="O86" s="100">
        <v>0</v>
      </c>
      <c r="P86" s="100">
        <v>0.59</v>
      </c>
      <c r="Q86" s="100">
        <v>9.4499999999999993</v>
      </c>
      <c r="R86" s="6"/>
      <c r="S86" s="6"/>
      <c r="T86" s="156"/>
      <c r="U86" s="6"/>
    </row>
    <row r="87" spans="1:21" customFormat="1">
      <c r="A87" s="163" t="s">
        <v>1285</v>
      </c>
      <c r="B87" s="100">
        <v>13.1</v>
      </c>
      <c r="C87" s="100">
        <v>21.33</v>
      </c>
      <c r="D87" s="100">
        <v>21.65</v>
      </c>
      <c r="E87" s="100">
        <v>4.67</v>
      </c>
      <c r="F87" s="100">
        <v>1.06</v>
      </c>
      <c r="G87" s="135" t="s">
        <v>12</v>
      </c>
      <c r="H87" s="135" t="s">
        <v>12</v>
      </c>
      <c r="I87" s="100">
        <v>11.01</v>
      </c>
      <c r="J87" s="100">
        <v>0.19</v>
      </c>
      <c r="K87" s="100">
        <v>183.88</v>
      </c>
      <c r="L87" s="100">
        <v>19.46</v>
      </c>
      <c r="M87" s="100">
        <v>66.53</v>
      </c>
      <c r="N87" s="100">
        <v>9.1</v>
      </c>
      <c r="O87" s="100">
        <v>0</v>
      </c>
      <c r="P87" s="100">
        <v>0.59</v>
      </c>
      <c r="Q87" s="100">
        <v>9.34</v>
      </c>
      <c r="R87" s="6"/>
      <c r="S87" s="6"/>
      <c r="T87" s="156"/>
      <c r="U87" s="6"/>
    </row>
    <row r="88" spans="1:21" customFormat="1">
      <c r="A88" s="163" t="s">
        <v>1286</v>
      </c>
      <c r="B88" s="100">
        <v>13.15</v>
      </c>
      <c r="C88" s="100">
        <v>21.1</v>
      </c>
      <c r="D88" s="100">
        <v>21.57</v>
      </c>
      <c r="E88" s="100">
        <v>4.63</v>
      </c>
      <c r="F88" s="100">
        <v>1.08</v>
      </c>
      <c r="G88" s="135" t="s">
        <v>12</v>
      </c>
      <c r="H88" s="135" t="s">
        <v>12</v>
      </c>
      <c r="I88" s="100">
        <v>11.13</v>
      </c>
      <c r="J88" s="100">
        <v>0.19</v>
      </c>
      <c r="K88" s="100">
        <v>130.38</v>
      </c>
      <c r="L88" s="100">
        <v>19.16</v>
      </c>
      <c r="M88" s="100">
        <v>68.78</v>
      </c>
      <c r="N88" s="100">
        <v>9.4</v>
      </c>
      <c r="O88" s="100">
        <v>0</v>
      </c>
      <c r="P88" s="100">
        <v>0.61</v>
      </c>
      <c r="Q88" s="100">
        <v>9.3800000000000008</v>
      </c>
      <c r="R88" s="6"/>
      <c r="S88" s="6"/>
      <c r="T88" s="156"/>
      <c r="U88" s="6"/>
    </row>
    <row r="89" spans="1:21" customFormat="1">
      <c r="A89" s="163" t="s">
        <v>1287</v>
      </c>
      <c r="B89" s="100">
        <v>13.22</v>
      </c>
      <c r="C89" s="100">
        <v>20.72</v>
      </c>
      <c r="D89" s="100">
        <v>21.43</v>
      </c>
      <c r="E89" s="100">
        <v>4.99</v>
      </c>
      <c r="F89" s="100">
        <v>1.1499999999999999</v>
      </c>
      <c r="G89" s="100">
        <v>61.82</v>
      </c>
      <c r="H89" s="100">
        <v>38.67</v>
      </c>
      <c r="I89" s="100">
        <v>11.31</v>
      </c>
      <c r="J89" s="100">
        <v>0.16</v>
      </c>
      <c r="K89" s="100">
        <v>201.83</v>
      </c>
      <c r="L89" s="100">
        <v>18.95</v>
      </c>
      <c r="M89" s="100">
        <v>64.989999999999995</v>
      </c>
      <c r="N89" s="100">
        <v>9.1</v>
      </c>
      <c r="O89" s="100">
        <v>0</v>
      </c>
      <c r="P89" s="100">
        <v>0.62</v>
      </c>
      <c r="Q89" s="100">
        <v>9.3699999999999992</v>
      </c>
      <c r="R89" s="6"/>
      <c r="S89" s="6"/>
      <c r="T89" s="156"/>
      <c r="U89" s="6"/>
    </row>
    <row r="90" spans="1:21" customFormat="1">
      <c r="A90" s="163" t="s">
        <v>1288</v>
      </c>
      <c r="B90" s="100">
        <v>13.28</v>
      </c>
      <c r="C90" s="100">
        <v>20.399999999999999</v>
      </c>
      <c r="D90" s="100">
        <v>21.31</v>
      </c>
      <c r="E90" s="100">
        <v>5.2</v>
      </c>
      <c r="F90" s="100">
        <v>1.1399999999999999</v>
      </c>
      <c r="G90" s="100">
        <v>65.45</v>
      </c>
      <c r="H90" s="100">
        <v>38.67</v>
      </c>
      <c r="I90" s="100">
        <v>11.54</v>
      </c>
      <c r="J90" s="100">
        <v>0.26</v>
      </c>
      <c r="K90" s="100">
        <v>239.15</v>
      </c>
      <c r="L90" s="100">
        <v>18.760000000000002</v>
      </c>
      <c r="M90" s="100">
        <v>64.709999999999994</v>
      </c>
      <c r="N90" s="100">
        <v>9.3000000000000007</v>
      </c>
      <c r="O90" s="100">
        <v>0</v>
      </c>
      <c r="P90" s="100">
        <v>0.63</v>
      </c>
      <c r="Q90" s="100">
        <v>9.32</v>
      </c>
      <c r="R90" s="6"/>
      <c r="S90" s="6"/>
      <c r="T90" s="156"/>
      <c r="U90" s="6"/>
    </row>
    <row r="91" spans="1:21" customFormat="1">
      <c r="A91" s="163" t="s">
        <v>1289</v>
      </c>
      <c r="B91" s="100">
        <v>13.37</v>
      </c>
      <c r="C91" s="100">
        <v>20.12</v>
      </c>
      <c r="D91" s="100">
        <v>21.23</v>
      </c>
      <c r="E91" s="100">
        <v>4.58</v>
      </c>
      <c r="F91" s="100">
        <v>1.05</v>
      </c>
      <c r="G91" s="100">
        <v>65.45</v>
      </c>
      <c r="H91" s="100">
        <v>38.67</v>
      </c>
      <c r="I91" s="100">
        <v>11.78</v>
      </c>
      <c r="J91" s="100">
        <v>0.17</v>
      </c>
      <c r="K91" s="100">
        <v>179.81</v>
      </c>
      <c r="L91" s="100">
        <v>18.47</v>
      </c>
      <c r="M91" s="100">
        <v>66.42</v>
      </c>
      <c r="N91" s="100">
        <v>9.1999999999999993</v>
      </c>
      <c r="O91" s="100">
        <v>0</v>
      </c>
      <c r="P91" s="100">
        <v>0.62</v>
      </c>
      <c r="Q91" s="100">
        <v>9.35</v>
      </c>
      <c r="R91" s="6"/>
      <c r="S91" s="6"/>
      <c r="T91" s="156"/>
      <c r="U91" s="6"/>
    </row>
    <row r="92" spans="1:21" customFormat="1">
      <c r="A92" s="163" t="s">
        <v>1290</v>
      </c>
      <c r="B92" s="100">
        <v>13.47</v>
      </c>
      <c r="C92" s="100">
        <v>19.88</v>
      </c>
      <c r="D92" s="100">
        <v>21.18</v>
      </c>
      <c r="E92" s="100">
        <v>4.7300000000000004</v>
      </c>
      <c r="F92" s="100">
        <v>1.17</v>
      </c>
      <c r="G92" s="100">
        <v>65.45</v>
      </c>
      <c r="H92" s="100">
        <v>38.67</v>
      </c>
      <c r="I92" s="100">
        <v>11.96</v>
      </c>
      <c r="J92" s="100">
        <v>0.19</v>
      </c>
      <c r="K92" s="100">
        <v>158.66</v>
      </c>
      <c r="L92" s="100">
        <v>18.38</v>
      </c>
      <c r="M92" s="100">
        <v>74.739999999999995</v>
      </c>
      <c r="N92" s="100">
        <v>9.3000000000000007</v>
      </c>
      <c r="O92" s="100">
        <v>0</v>
      </c>
      <c r="P92" s="100">
        <v>0.62</v>
      </c>
      <c r="Q92" s="100">
        <v>9.42</v>
      </c>
      <c r="R92" s="6"/>
      <c r="S92" s="6"/>
      <c r="T92" s="156"/>
      <c r="U92" s="6"/>
    </row>
    <row r="93" spans="1:21" customFormat="1">
      <c r="A93" s="163" t="s">
        <v>1291</v>
      </c>
      <c r="B93" s="100">
        <v>13.74</v>
      </c>
      <c r="C93" s="100">
        <v>19.559999999999999</v>
      </c>
      <c r="D93" s="100">
        <v>21.24</v>
      </c>
      <c r="E93" s="100">
        <v>4.91</v>
      </c>
      <c r="F93" s="100">
        <v>1.24</v>
      </c>
      <c r="G93" s="100">
        <v>79.28</v>
      </c>
      <c r="H93" s="100">
        <v>37.1</v>
      </c>
      <c r="I93" s="100">
        <v>12.11</v>
      </c>
      <c r="J93" s="100">
        <v>0.13</v>
      </c>
      <c r="K93" s="100">
        <v>215.65</v>
      </c>
      <c r="L93" s="100">
        <v>18.170000000000002</v>
      </c>
      <c r="M93" s="100">
        <v>75</v>
      </c>
      <c r="N93" s="100">
        <v>9.1999999999999993</v>
      </c>
      <c r="O93" s="100">
        <v>0</v>
      </c>
      <c r="P93" s="100">
        <v>0.63</v>
      </c>
      <c r="Q93" s="100">
        <v>9.4</v>
      </c>
      <c r="R93" s="6"/>
      <c r="S93" s="6"/>
      <c r="T93" s="156"/>
      <c r="U93" s="6"/>
    </row>
    <row r="94" spans="1:21" customFormat="1">
      <c r="A94" s="163" t="s">
        <v>1292</v>
      </c>
      <c r="B94" s="100">
        <v>14.11</v>
      </c>
      <c r="C94" s="100">
        <v>19.29</v>
      </c>
      <c r="D94" s="100">
        <v>21.39</v>
      </c>
      <c r="E94" s="100">
        <v>4.91</v>
      </c>
      <c r="F94" s="100">
        <v>1.17</v>
      </c>
      <c r="G94" s="100">
        <v>80.09</v>
      </c>
      <c r="H94" s="100">
        <v>37.1</v>
      </c>
      <c r="I94" s="100">
        <v>12.31</v>
      </c>
      <c r="J94" s="100">
        <v>0.17</v>
      </c>
      <c r="K94" s="100">
        <v>215.63</v>
      </c>
      <c r="L94" s="100">
        <v>18.02</v>
      </c>
      <c r="M94" s="100">
        <v>71.569999999999993</v>
      </c>
      <c r="N94" s="100">
        <v>9.3000000000000007</v>
      </c>
      <c r="O94" s="100">
        <v>0</v>
      </c>
      <c r="P94" s="100">
        <v>0.63</v>
      </c>
      <c r="Q94" s="100">
        <v>9.36</v>
      </c>
      <c r="R94" s="6"/>
      <c r="S94" s="6"/>
      <c r="T94" s="156"/>
      <c r="U94" s="6"/>
    </row>
    <row r="95" spans="1:21" customFormat="1">
      <c r="A95" s="163" t="s">
        <v>1293</v>
      </c>
      <c r="B95" s="100">
        <v>14.5</v>
      </c>
      <c r="C95" s="100">
        <v>19.13</v>
      </c>
      <c r="D95" s="100">
        <v>21.62</v>
      </c>
      <c r="E95" s="100">
        <v>4.4400000000000004</v>
      </c>
      <c r="F95" s="100">
        <v>1.17</v>
      </c>
      <c r="G95" s="100">
        <v>80.09</v>
      </c>
      <c r="H95" s="100">
        <v>37.1</v>
      </c>
      <c r="I95" s="100">
        <v>12.51</v>
      </c>
      <c r="J95" s="100">
        <v>0.13</v>
      </c>
      <c r="K95" s="100">
        <v>188.43</v>
      </c>
      <c r="L95" s="100">
        <v>17.899999999999999</v>
      </c>
      <c r="M95" s="100">
        <v>73.150000000000006</v>
      </c>
      <c r="N95" s="100">
        <v>9.3000000000000007</v>
      </c>
      <c r="O95" s="100">
        <v>0</v>
      </c>
      <c r="P95" s="100">
        <v>0.63</v>
      </c>
      <c r="Q95" s="100">
        <v>9.35</v>
      </c>
      <c r="R95" s="6"/>
      <c r="S95" s="6"/>
      <c r="T95" s="156"/>
      <c r="U95" s="6"/>
    </row>
    <row r="96" spans="1:21" customFormat="1">
      <c r="A96" s="163" t="s">
        <v>1294</v>
      </c>
      <c r="B96" s="100">
        <v>14.81</v>
      </c>
      <c r="C96" s="100">
        <v>18.91</v>
      </c>
      <c r="D96" s="100">
        <v>21.76</v>
      </c>
      <c r="E96" s="100">
        <v>4.7699999999999996</v>
      </c>
      <c r="F96" s="100">
        <v>1.1599999999999999</v>
      </c>
      <c r="G96" s="100">
        <v>80.09</v>
      </c>
      <c r="H96" s="100">
        <v>37.1</v>
      </c>
      <c r="I96" s="100">
        <v>12.66</v>
      </c>
      <c r="J96" s="100">
        <v>0.12</v>
      </c>
      <c r="K96" s="100">
        <v>181.32</v>
      </c>
      <c r="L96" s="100">
        <v>17.670000000000002</v>
      </c>
      <c r="M96" s="100">
        <v>76.55</v>
      </c>
      <c r="N96" s="100">
        <v>9.3000000000000007</v>
      </c>
      <c r="O96" s="100">
        <v>0</v>
      </c>
      <c r="P96" s="100">
        <v>0.64</v>
      </c>
      <c r="Q96" s="100">
        <v>9.27</v>
      </c>
      <c r="R96" s="6"/>
      <c r="S96" s="6"/>
      <c r="T96" s="156"/>
      <c r="U96" s="6"/>
    </row>
    <row r="97" spans="1:28" customFormat="1">
      <c r="A97" s="163" t="s">
        <v>1295</v>
      </c>
      <c r="B97" s="100">
        <v>15.13</v>
      </c>
      <c r="C97" s="100">
        <v>18.7</v>
      </c>
      <c r="D97" s="100">
        <v>21.9</v>
      </c>
      <c r="E97" s="100">
        <v>4.8499999999999996</v>
      </c>
      <c r="F97" s="100">
        <v>1.37</v>
      </c>
      <c r="G97" s="100">
        <v>81.8</v>
      </c>
      <c r="H97" s="100">
        <v>37.299999999999997</v>
      </c>
      <c r="I97" s="100">
        <v>12.8</v>
      </c>
      <c r="J97" s="100">
        <v>0.2</v>
      </c>
      <c r="K97" s="100">
        <v>166.31</v>
      </c>
      <c r="L97" s="100">
        <v>17.62</v>
      </c>
      <c r="M97" s="100">
        <v>77.180000000000007</v>
      </c>
      <c r="N97" s="100">
        <v>9.1999999999999993</v>
      </c>
      <c r="O97" s="100">
        <v>0</v>
      </c>
      <c r="P97" s="100">
        <v>0.64</v>
      </c>
      <c r="Q97" s="100">
        <v>9.32</v>
      </c>
      <c r="R97" s="6"/>
      <c r="S97" s="6"/>
      <c r="T97" s="156"/>
      <c r="U97" s="6"/>
    </row>
    <row r="98" spans="1:28" customFormat="1">
      <c r="A98" s="163" t="s">
        <v>1296</v>
      </c>
      <c r="B98" s="100">
        <v>15.43</v>
      </c>
      <c r="C98" s="100">
        <v>18.559999999999999</v>
      </c>
      <c r="D98" s="100">
        <v>22.07</v>
      </c>
      <c r="E98" s="100">
        <v>4.66</v>
      </c>
      <c r="F98" s="100">
        <v>1.27</v>
      </c>
      <c r="G98" s="100">
        <v>81.900000000000006</v>
      </c>
      <c r="H98" s="100">
        <v>37.299999999999997</v>
      </c>
      <c r="I98" s="100">
        <v>12.99</v>
      </c>
      <c r="J98" s="100">
        <v>0.16</v>
      </c>
      <c r="K98" s="100">
        <v>184.91</v>
      </c>
      <c r="L98" s="100">
        <v>17.54</v>
      </c>
      <c r="M98" s="100">
        <v>78.010000000000005</v>
      </c>
      <c r="N98" s="100">
        <v>9.3000000000000007</v>
      </c>
      <c r="O98" s="100">
        <v>0</v>
      </c>
      <c r="P98" s="100">
        <v>0.64</v>
      </c>
      <c r="Q98" s="100">
        <v>9.35</v>
      </c>
      <c r="R98" s="6"/>
      <c r="S98" s="6"/>
      <c r="T98" s="156"/>
      <c r="U98" s="6"/>
    </row>
    <row r="99" spans="1:28" customFormat="1">
      <c r="A99" s="163" t="s">
        <v>1297</v>
      </c>
      <c r="B99" s="100">
        <v>15.79</v>
      </c>
      <c r="C99" s="100">
        <v>18.46</v>
      </c>
      <c r="D99" s="100">
        <v>22.3</v>
      </c>
      <c r="E99" s="100">
        <v>4.67</v>
      </c>
      <c r="F99" s="100">
        <v>1.18</v>
      </c>
      <c r="G99" s="100">
        <v>81.900000000000006</v>
      </c>
      <c r="H99" s="100">
        <v>37.299999999999997</v>
      </c>
      <c r="I99" s="100">
        <v>13.13</v>
      </c>
      <c r="J99" s="100">
        <v>0.13</v>
      </c>
      <c r="K99" s="100">
        <v>170.97</v>
      </c>
      <c r="L99" s="100">
        <v>17.39</v>
      </c>
      <c r="M99" s="100">
        <v>78.14</v>
      </c>
      <c r="N99" s="100">
        <v>9.1999999999999993</v>
      </c>
      <c r="O99" s="100">
        <v>0</v>
      </c>
      <c r="P99" s="100">
        <v>0.65</v>
      </c>
      <c r="Q99" s="100">
        <v>9.39</v>
      </c>
      <c r="R99" s="6"/>
      <c r="S99" s="6"/>
      <c r="T99" s="156"/>
      <c r="U99" s="6"/>
    </row>
    <row r="100" spans="1:28" customFormat="1">
      <c r="A100" s="163" t="s">
        <v>1298</v>
      </c>
      <c r="B100" s="100">
        <v>16.05</v>
      </c>
      <c r="C100" s="100">
        <v>18.329999999999998</v>
      </c>
      <c r="D100" s="100">
        <v>22.44</v>
      </c>
      <c r="E100" s="100">
        <v>5.01</v>
      </c>
      <c r="F100" s="100">
        <v>1.17</v>
      </c>
      <c r="G100" s="100">
        <v>81.900000000000006</v>
      </c>
      <c r="H100" s="100">
        <v>37.299999999999997</v>
      </c>
      <c r="I100" s="100">
        <v>13.26</v>
      </c>
      <c r="J100" s="100">
        <v>0.17</v>
      </c>
      <c r="K100" s="100">
        <v>179.5</v>
      </c>
      <c r="L100" s="100">
        <v>17.329999999999998</v>
      </c>
      <c r="M100" s="100">
        <v>79.87</v>
      </c>
      <c r="N100" s="100">
        <v>9.1999999999999993</v>
      </c>
      <c r="O100" s="100">
        <v>0</v>
      </c>
      <c r="P100" s="100">
        <v>0.64</v>
      </c>
      <c r="Q100" s="100">
        <v>9.44</v>
      </c>
      <c r="R100" s="6"/>
      <c r="S100" s="6"/>
      <c r="T100" s="156"/>
      <c r="U100" s="6"/>
      <c r="AB100" s="161"/>
    </row>
    <row r="101" spans="1:28" customFormat="1">
      <c r="A101" s="163" t="s">
        <v>1299</v>
      </c>
      <c r="B101" s="100">
        <v>16.25</v>
      </c>
      <c r="C101" s="100">
        <v>18.21</v>
      </c>
      <c r="D101" s="100">
        <v>22.54</v>
      </c>
      <c r="E101" s="100">
        <v>4.99</v>
      </c>
      <c r="F101" s="100">
        <v>1.1000000000000001</v>
      </c>
      <c r="G101" s="100">
        <v>78.52</v>
      </c>
      <c r="H101" s="100">
        <v>36.22</v>
      </c>
      <c r="I101" s="100">
        <v>13.45</v>
      </c>
      <c r="J101" s="100">
        <v>0.15</v>
      </c>
      <c r="K101" s="100">
        <v>190.84</v>
      </c>
      <c r="L101" s="100">
        <v>17.260000000000002</v>
      </c>
      <c r="M101" s="100">
        <v>79.19</v>
      </c>
      <c r="N101" s="100">
        <v>9.1999999999999993</v>
      </c>
      <c r="O101" s="100">
        <v>0</v>
      </c>
      <c r="P101" s="100">
        <v>0.64</v>
      </c>
      <c r="Q101" s="100">
        <v>9.49</v>
      </c>
      <c r="R101" s="6"/>
      <c r="S101" s="6"/>
      <c r="T101" s="156"/>
      <c r="U101" s="6"/>
    </row>
    <row r="102" spans="1:28" customFormat="1">
      <c r="A102" s="163" t="s">
        <v>1300</v>
      </c>
      <c r="B102" s="100">
        <v>16.420000000000002</v>
      </c>
      <c r="C102" s="100">
        <v>18.059999999999999</v>
      </c>
      <c r="D102" s="100">
        <v>22.6</v>
      </c>
      <c r="E102" s="100">
        <v>5.3</v>
      </c>
      <c r="F102" s="100">
        <v>1.1100000000000001</v>
      </c>
      <c r="G102" s="100">
        <v>78.33</v>
      </c>
      <c r="H102" s="100">
        <v>36.22</v>
      </c>
      <c r="I102" s="100">
        <v>13.66</v>
      </c>
      <c r="J102" s="100">
        <v>0.18</v>
      </c>
      <c r="K102" s="100">
        <v>197.65</v>
      </c>
      <c r="L102" s="100">
        <v>17.07</v>
      </c>
      <c r="M102" s="100">
        <v>79.709999999999994</v>
      </c>
      <c r="N102" s="100">
        <v>9.3000000000000007</v>
      </c>
      <c r="O102" s="100">
        <v>0</v>
      </c>
      <c r="P102" s="100">
        <v>0.65</v>
      </c>
      <c r="Q102" s="100">
        <v>9.57</v>
      </c>
      <c r="R102" s="6"/>
      <c r="S102" s="6"/>
      <c r="T102" s="156"/>
      <c r="U102" s="6"/>
    </row>
    <row r="103" spans="1:28" customFormat="1">
      <c r="A103" s="163" t="s">
        <v>1301</v>
      </c>
      <c r="B103" s="100">
        <v>16.54</v>
      </c>
      <c r="C103" s="100">
        <v>17.88</v>
      </c>
      <c r="D103" s="100">
        <v>22.61</v>
      </c>
      <c r="E103" s="100">
        <v>5.08</v>
      </c>
      <c r="F103" s="100">
        <v>1.24</v>
      </c>
      <c r="G103" s="100">
        <v>78.33</v>
      </c>
      <c r="H103" s="100">
        <v>36.22</v>
      </c>
      <c r="I103" s="100">
        <v>13.87</v>
      </c>
      <c r="J103" s="100">
        <v>0.17</v>
      </c>
      <c r="K103" s="100">
        <v>215.54</v>
      </c>
      <c r="L103" s="100">
        <v>17.05</v>
      </c>
      <c r="M103" s="100">
        <v>77.61</v>
      </c>
      <c r="N103" s="100">
        <v>9.1999999999999993</v>
      </c>
      <c r="O103" s="100">
        <v>0</v>
      </c>
      <c r="P103" s="100">
        <v>0.67</v>
      </c>
      <c r="Q103" s="100">
        <v>9.5399999999999991</v>
      </c>
      <c r="R103" s="6"/>
      <c r="S103" s="6"/>
      <c r="T103" s="156"/>
      <c r="U103" s="6"/>
    </row>
    <row r="104" spans="1:28" customFormat="1">
      <c r="A104" s="163" t="s">
        <v>1302</v>
      </c>
      <c r="B104" s="100">
        <v>16.7</v>
      </c>
      <c r="C104" s="100">
        <v>17.75</v>
      </c>
      <c r="D104" s="100">
        <v>22.67</v>
      </c>
      <c r="E104" s="100">
        <v>5.03</v>
      </c>
      <c r="F104" s="100">
        <v>1.1499999999999999</v>
      </c>
      <c r="G104" s="100">
        <v>78.33</v>
      </c>
      <c r="H104" s="100">
        <v>36.22</v>
      </c>
      <c r="I104" s="100">
        <v>14.09</v>
      </c>
      <c r="J104" s="100">
        <v>0.14000000000000001</v>
      </c>
      <c r="K104" s="100">
        <v>206.93</v>
      </c>
      <c r="L104" s="100">
        <v>16.829999999999998</v>
      </c>
      <c r="M104" s="100">
        <v>81.69</v>
      </c>
      <c r="N104" s="100">
        <v>9.4</v>
      </c>
      <c r="O104" s="100">
        <v>0</v>
      </c>
      <c r="P104" s="100">
        <v>0.68</v>
      </c>
      <c r="Q104" s="100">
        <v>9.4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3.25</v>
      </c>
      <c r="C106" s="158">
        <f>MIN(C9:C104)</f>
        <v>15.5</v>
      </c>
      <c r="D106" s="158">
        <f t="shared" ref="D106:Q106" si="0">MIN(D9:D104)</f>
        <v>10.81</v>
      </c>
      <c r="E106" s="158">
        <f t="shared" si="0"/>
        <v>3.56</v>
      </c>
      <c r="F106" s="158">
        <f t="shared" si="0"/>
        <v>0.98</v>
      </c>
      <c r="G106" s="158">
        <f t="shared" si="0"/>
        <v>40.19</v>
      </c>
      <c r="H106" s="158">
        <f t="shared" si="0"/>
        <v>2.5</v>
      </c>
      <c r="I106" s="158">
        <f t="shared" si="0"/>
        <v>9.4</v>
      </c>
      <c r="J106" s="158">
        <f t="shared" si="0"/>
        <v>0.08</v>
      </c>
      <c r="K106" s="158">
        <f t="shared" si="0"/>
        <v>14.84</v>
      </c>
      <c r="L106" s="158">
        <f t="shared" si="0"/>
        <v>13.16</v>
      </c>
      <c r="M106" s="158">
        <f t="shared" si="0"/>
        <v>12.27</v>
      </c>
      <c r="N106" s="158">
        <f t="shared" si="0"/>
        <v>8.6999999999999993</v>
      </c>
      <c r="O106" s="158">
        <f t="shared" si="0"/>
        <v>0</v>
      </c>
      <c r="P106" s="158">
        <f t="shared" si="0"/>
        <v>0.45</v>
      </c>
      <c r="Q106" s="158">
        <f t="shared" si="0"/>
        <v>9.25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34.78</v>
      </c>
      <c r="C107" s="157">
        <f t="shared" ref="C107:Q107" si="1">MAX(C9:C104)</f>
        <v>23.97</v>
      </c>
      <c r="D107" s="157">
        <f t="shared" si="1"/>
        <v>38.89</v>
      </c>
      <c r="E107" s="157">
        <f t="shared" si="1"/>
        <v>6.49</v>
      </c>
      <c r="F107" s="157">
        <f t="shared" si="1"/>
        <v>5.46</v>
      </c>
      <c r="G107" s="157">
        <f t="shared" si="1"/>
        <v>123.05</v>
      </c>
      <c r="H107" s="157">
        <f t="shared" si="1"/>
        <v>67.12</v>
      </c>
      <c r="I107" s="157">
        <f t="shared" si="1"/>
        <v>22.2</v>
      </c>
      <c r="J107" s="157">
        <f t="shared" si="1"/>
        <v>1.56</v>
      </c>
      <c r="K107" s="157">
        <f t="shared" si="1"/>
        <v>335.27</v>
      </c>
      <c r="L107" s="157">
        <f t="shared" si="1"/>
        <v>29.76</v>
      </c>
      <c r="M107" s="157">
        <f t="shared" si="1"/>
        <v>88.63</v>
      </c>
      <c r="N107" s="157">
        <f t="shared" si="1"/>
        <v>596.1</v>
      </c>
      <c r="O107" s="157">
        <f t="shared" si="1"/>
        <v>0</v>
      </c>
      <c r="P107" s="157">
        <f t="shared" si="1"/>
        <v>1.4</v>
      </c>
      <c r="Q107" s="157">
        <f t="shared" si="1"/>
        <v>9.69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17.202500000000001</v>
      </c>
      <c r="C108" s="158">
        <f t="shared" ref="C108:Q108" si="2">AVERAGE(C9:C104)</f>
        <v>19.122812500000006</v>
      </c>
      <c r="D108" s="158">
        <f t="shared" si="2"/>
        <v>23.78520833333334</v>
      </c>
      <c r="E108" s="158">
        <f t="shared" si="2"/>
        <v>5.2404166666666674</v>
      </c>
      <c r="F108" s="158">
        <f t="shared" si="2"/>
        <v>1.8026041666666661</v>
      </c>
      <c r="G108" s="158">
        <f t="shared" si="2"/>
        <v>78.447065217391227</v>
      </c>
      <c r="H108" s="158">
        <f t="shared" si="2"/>
        <v>42.643010752688149</v>
      </c>
      <c r="I108" s="158">
        <f t="shared" si="2"/>
        <v>14.374166666666667</v>
      </c>
      <c r="J108" s="158">
        <f t="shared" si="2"/>
        <v>0.28354166666666675</v>
      </c>
      <c r="K108" s="158">
        <f t="shared" si="2"/>
        <v>148.74281249999993</v>
      </c>
      <c r="L108" s="158">
        <f t="shared" si="2"/>
        <v>20.737708333333341</v>
      </c>
      <c r="M108" s="158">
        <f t="shared" si="2"/>
        <v>55.227291666666638</v>
      </c>
      <c r="N108" s="158">
        <f t="shared" si="2"/>
        <v>111.16249999999998</v>
      </c>
      <c r="O108" s="158">
        <f t="shared" si="2"/>
        <v>0</v>
      </c>
      <c r="P108" s="158">
        <f t="shared" si="2"/>
        <v>0.92739583333333353</v>
      </c>
      <c r="Q108" s="158">
        <f t="shared" si="2"/>
        <v>9.3556250000000016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9.7913096806891904</v>
      </c>
      <c r="C109" s="158">
        <f t="shared" ref="C109:Q109" si="3">STDEV(C9:C104)</f>
        <v>1.8183478348996398</v>
      </c>
      <c r="D109" s="158">
        <f t="shared" si="3"/>
        <v>7.949083625327872</v>
      </c>
      <c r="E109" s="158">
        <f t="shared" si="3"/>
        <v>0.55446497049747567</v>
      </c>
      <c r="F109" s="158">
        <f t="shared" si="3"/>
        <v>1.0840006261327262</v>
      </c>
      <c r="G109" s="158">
        <f t="shared" si="3"/>
        <v>24.288111257058887</v>
      </c>
      <c r="H109" s="158">
        <f t="shared" si="3"/>
        <v>15.750977732588316</v>
      </c>
      <c r="I109" s="158">
        <f t="shared" si="3"/>
        <v>3.0785624350769174</v>
      </c>
      <c r="J109" s="158">
        <f t="shared" si="3"/>
        <v>0.2348794950458265</v>
      </c>
      <c r="K109" s="158">
        <f t="shared" si="3"/>
        <v>70.395977856141684</v>
      </c>
      <c r="L109" s="158">
        <f t="shared" si="3"/>
        <v>5.7130860826456002</v>
      </c>
      <c r="M109" s="158">
        <f t="shared" si="3"/>
        <v>26.951012381303919</v>
      </c>
      <c r="N109" s="158">
        <f t="shared" si="3"/>
        <v>186.64561649793635</v>
      </c>
      <c r="O109" s="158">
        <f t="shared" si="3"/>
        <v>0</v>
      </c>
      <c r="P109" s="158">
        <f t="shared" si="3"/>
        <v>0.33121227027762057</v>
      </c>
      <c r="Q109" s="158">
        <f t="shared" si="3"/>
        <v>6.3789332551519973E-2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COUNT(H9:H104)+3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F19" sqref="F1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1303</v>
      </c>
      <c r="B9" s="100">
        <v>16.579999999999998</v>
      </c>
      <c r="C9" s="100">
        <v>17.18</v>
      </c>
      <c r="D9" s="100">
        <v>22.27</v>
      </c>
      <c r="E9" s="100">
        <v>5.44</v>
      </c>
      <c r="F9" s="100">
        <v>1.1000000000000001</v>
      </c>
      <c r="G9" s="100">
        <v>78.33</v>
      </c>
      <c r="H9" s="100">
        <v>34.659999999999997</v>
      </c>
      <c r="I9" s="100">
        <v>14.33</v>
      </c>
      <c r="J9" s="100">
        <v>0.13</v>
      </c>
      <c r="K9" s="100">
        <v>172.37</v>
      </c>
      <c r="L9" s="100">
        <v>16.579999999999998</v>
      </c>
      <c r="M9" s="100">
        <v>83.21</v>
      </c>
      <c r="N9" s="100">
        <v>9.3000000000000007</v>
      </c>
      <c r="O9" s="100">
        <v>0</v>
      </c>
      <c r="P9" s="100">
        <v>0.69</v>
      </c>
      <c r="Q9" s="100">
        <v>9.35</v>
      </c>
      <c r="R9" s="6"/>
      <c r="S9" s="6"/>
      <c r="T9" s="156"/>
      <c r="U9" s="6"/>
    </row>
    <row r="10" spans="1:21" customFormat="1">
      <c r="A10" s="163" t="s">
        <v>1304</v>
      </c>
      <c r="B10" s="100">
        <v>16.899999999999999</v>
      </c>
      <c r="C10" s="100">
        <v>17.149999999999999</v>
      </c>
      <c r="D10" s="100">
        <v>22.51</v>
      </c>
      <c r="E10" s="100">
        <v>5.41</v>
      </c>
      <c r="F10" s="100">
        <v>1.19</v>
      </c>
      <c r="G10" s="100">
        <v>78.33</v>
      </c>
      <c r="H10" s="100">
        <v>34.659999999999997</v>
      </c>
      <c r="I10" s="100">
        <v>14.57</v>
      </c>
      <c r="J10" s="100">
        <v>0.14000000000000001</v>
      </c>
      <c r="K10" s="100">
        <v>169.32</v>
      </c>
      <c r="L10" s="100">
        <v>16.55</v>
      </c>
      <c r="M10" s="100">
        <v>84.87</v>
      </c>
      <c r="N10" s="100">
        <v>9.3000000000000007</v>
      </c>
      <c r="O10" s="100">
        <v>0</v>
      </c>
      <c r="P10" s="100">
        <v>0.71</v>
      </c>
      <c r="Q10" s="100">
        <v>9.33</v>
      </c>
      <c r="R10" s="6"/>
      <c r="S10" s="6"/>
      <c r="T10" s="156"/>
      <c r="U10" s="6"/>
    </row>
    <row r="11" spans="1:21" customFormat="1">
      <c r="A11" s="163" t="s">
        <v>1305</v>
      </c>
      <c r="B11" s="100">
        <v>17.13</v>
      </c>
      <c r="C11" s="100">
        <v>17</v>
      </c>
      <c r="D11" s="100">
        <v>22.62</v>
      </c>
      <c r="E11" s="100">
        <v>5.42</v>
      </c>
      <c r="F11" s="100">
        <v>1.1399999999999999</v>
      </c>
      <c r="G11" s="100">
        <v>78.33</v>
      </c>
      <c r="H11" s="100">
        <v>34.659999999999997</v>
      </c>
      <c r="I11" s="100">
        <v>14.79</v>
      </c>
      <c r="J11" s="100">
        <v>0.15</v>
      </c>
      <c r="K11" s="100">
        <v>187.95</v>
      </c>
      <c r="L11" s="100">
        <v>16.48</v>
      </c>
      <c r="M11" s="100">
        <v>84.58</v>
      </c>
      <c r="N11" s="100">
        <v>9.1</v>
      </c>
      <c r="O11" s="100">
        <v>0</v>
      </c>
      <c r="P11" s="100">
        <v>0.72</v>
      </c>
      <c r="Q11" s="100">
        <v>9.3699999999999992</v>
      </c>
      <c r="R11" s="6"/>
      <c r="S11" s="6"/>
      <c r="T11" s="156"/>
      <c r="U11" s="6"/>
    </row>
    <row r="12" spans="1:21" customFormat="1">
      <c r="A12" s="163" t="s">
        <v>1306</v>
      </c>
      <c r="B12" s="100">
        <v>17.399999999999999</v>
      </c>
      <c r="C12" s="100">
        <v>16.899999999999999</v>
      </c>
      <c r="D12" s="100">
        <v>22.79</v>
      </c>
      <c r="E12" s="100">
        <v>5.45</v>
      </c>
      <c r="F12" s="100">
        <v>1.2</v>
      </c>
      <c r="G12" s="100">
        <v>78.33</v>
      </c>
      <c r="H12" s="100">
        <v>34.659999999999997</v>
      </c>
      <c r="I12" s="100">
        <v>15.07</v>
      </c>
      <c r="J12" s="100">
        <v>0.14000000000000001</v>
      </c>
      <c r="K12" s="100">
        <v>179.67</v>
      </c>
      <c r="L12" s="100">
        <v>16.36</v>
      </c>
      <c r="M12" s="100">
        <v>81.260000000000005</v>
      </c>
      <c r="N12" s="100">
        <v>9.3000000000000007</v>
      </c>
      <c r="O12" s="100">
        <v>0</v>
      </c>
      <c r="P12" s="100">
        <v>0.74</v>
      </c>
      <c r="Q12" s="100">
        <v>9.3000000000000007</v>
      </c>
      <c r="R12" s="6"/>
      <c r="S12" s="6"/>
      <c r="T12" s="156"/>
      <c r="U12" s="6"/>
    </row>
    <row r="13" spans="1:21" customFormat="1">
      <c r="A13" s="163" t="s">
        <v>1307</v>
      </c>
      <c r="B13" s="100">
        <v>17.899999999999999</v>
      </c>
      <c r="C13" s="100">
        <v>16.940000000000001</v>
      </c>
      <c r="D13" s="100">
        <v>23.21</v>
      </c>
      <c r="E13" s="100">
        <v>5.22</v>
      </c>
      <c r="F13" s="100">
        <v>1.1499999999999999</v>
      </c>
      <c r="G13" s="100">
        <v>75.849999999999994</v>
      </c>
      <c r="H13" s="100">
        <v>36.36</v>
      </c>
      <c r="I13" s="100">
        <v>15.39</v>
      </c>
      <c r="J13" s="100">
        <v>0.15</v>
      </c>
      <c r="K13" s="100">
        <v>159.08000000000001</v>
      </c>
      <c r="L13" s="100">
        <v>16.36</v>
      </c>
      <c r="M13" s="100">
        <v>77.209999999999994</v>
      </c>
      <c r="N13" s="100">
        <v>9.3000000000000007</v>
      </c>
      <c r="O13" s="100">
        <v>0</v>
      </c>
      <c r="P13" s="100">
        <v>0.76</v>
      </c>
      <c r="Q13" s="100">
        <v>9.32</v>
      </c>
      <c r="R13" s="6"/>
      <c r="S13" s="6"/>
      <c r="T13" s="156"/>
      <c r="U13" s="6"/>
    </row>
    <row r="14" spans="1:21" customFormat="1">
      <c r="A14" s="163" t="s">
        <v>1308</v>
      </c>
      <c r="B14" s="100">
        <v>18.420000000000002</v>
      </c>
      <c r="C14" s="100">
        <v>17.05</v>
      </c>
      <c r="D14" s="100">
        <v>23.67</v>
      </c>
      <c r="E14" s="100">
        <v>5.13</v>
      </c>
      <c r="F14" s="100">
        <v>1.34</v>
      </c>
      <c r="G14" s="100">
        <v>75.7</v>
      </c>
      <c r="H14" s="100">
        <v>36.36</v>
      </c>
      <c r="I14" s="100">
        <v>15.75</v>
      </c>
      <c r="J14" s="100">
        <v>0.17</v>
      </c>
      <c r="K14" s="100">
        <v>154.99</v>
      </c>
      <c r="L14" s="100">
        <v>16.489999999999998</v>
      </c>
      <c r="M14" s="100">
        <v>76.319999999999993</v>
      </c>
      <c r="N14" s="100">
        <v>9.1999999999999993</v>
      </c>
      <c r="O14" s="100">
        <v>0</v>
      </c>
      <c r="P14" s="100">
        <v>0.78</v>
      </c>
      <c r="Q14" s="100">
        <v>9.32</v>
      </c>
      <c r="R14" s="6"/>
      <c r="S14" s="6"/>
      <c r="T14" s="156"/>
      <c r="U14" s="6"/>
    </row>
    <row r="15" spans="1:21" customFormat="1">
      <c r="A15" s="163" t="s">
        <v>1309</v>
      </c>
      <c r="B15" s="100">
        <v>18.79</v>
      </c>
      <c r="C15" s="100">
        <v>17.11</v>
      </c>
      <c r="D15" s="100">
        <v>24.01</v>
      </c>
      <c r="E15" s="100">
        <v>5.51</v>
      </c>
      <c r="F15" s="100">
        <v>1.32</v>
      </c>
      <c r="G15" s="100">
        <v>75.7</v>
      </c>
      <c r="H15" s="100">
        <v>36.36</v>
      </c>
      <c r="I15" s="100">
        <v>16.18</v>
      </c>
      <c r="J15" s="100">
        <v>0.13</v>
      </c>
      <c r="K15" s="100">
        <v>136.36000000000001</v>
      </c>
      <c r="L15" s="100">
        <v>16.43</v>
      </c>
      <c r="M15" s="100">
        <v>81.040000000000006</v>
      </c>
      <c r="N15" s="100">
        <v>9.1999999999999993</v>
      </c>
      <c r="O15" s="100">
        <v>0</v>
      </c>
      <c r="P15" s="100">
        <v>0.81</v>
      </c>
      <c r="Q15" s="100">
        <v>9.33</v>
      </c>
      <c r="R15" s="6"/>
      <c r="S15" s="6"/>
      <c r="T15" s="156"/>
      <c r="U15" s="6"/>
    </row>
    <row r="16" spans="1:21" customFormat="1">
      <c r="A16" s="163" t="s">
        <v>1310</v>
      </c>
      <c r="B16" s="100">
        <v>19.64</v>
      </c>
      <c r="C16" s="100">
        <v>17.170000000000002</v>
      </c>
      <c r="D16" s="100">
        <v>24.72</v>
      </c>
      <c r="E16" s="100">
        <v>5.61</v>
      </c>
      <c r="F16" s="100">
        <v>1.22</v>
      </c>
      <c r="G16" s="100">
        <v>75.7</v>
      </c>
      <c r="H16" s="100">
        <v>36.36</v>
      </c>
      <c r="I16" s="100">
        <v>15.07</v>
      </c>
      <c r="J16" s="100">
        <v>0.16</v>
      </c>
      <c r="K16" s="100">
        <v>125.78</v>
      </c>
      <c r="L16" s="100">
        <v>16.77</v>
      </c>
      <c r="M16" s="100">
        <v>71.56</v>
      </c>
      <c r="N16" s="100">
        <v>9.1999999999999993</v>
      </c>
      <c r="O16" s="100">
        <v>0</v>
      </c>
      <c r="P16" s="100">
        <v>0.82</v>
      </c>
      <c r="Q16" s="100">
        <v>9.36</v>
      </c>
      <c r="R16" s="6"/>
      <c r="S16" s="6"/>
      <c r="T16" s="156"/>
      <c r="U16" s="6"/>
    </row>
    <row r="17" spans="1:21" customFormat="1">
      <c r="A17" s="163" t="s">
        <v>1311</v>
      </c>
      <c r="B17" s="100">
        <v>21.65</v>
      </c>
      <c r="C17" s="100">
        <v>17.649999999999999</v>
      </c>
      <c r="D17" s="100">
        <v>26.59</v>
      </c>
      <c r="E17" s="100">
        <v>4.38</v>
      </c>
      <c r="F17" s="100">
        <v>1.17</v>
      </c>
      <c r="G17" s="100">
        <v>76.66</v>
      </c>
      <c r="H17" s="100">
        <v>39.299999999999997</v>
      </c>
      <c r="I17" s="100">
        <v>13.77</v>
      </c>
      <c r="J17" s="100">
        <v>0.25</v>
      </c>
      <c r="K17" s="100">
        <v>163.19</v>
      </c>
      <c r="L17" s="100">
        <v>16.510000000000002</v>
      </c>
      <c r="M17" s="100">
        <v>70.849999999999994</v>
      </c>
      <c r="N17" s="100">
        <v>9.1999999999999993</v>
      </c>
      <c r="O17" s="100">
        <v>0</v>
      </c>
      <c r="P17" s="100">
        <v>0.85</v>
      </c>
      <c r="Q17" s="100">
        <v>9.35</v>
      </c>
      <c r="R17" s="6"/>
      <c r="S17" s="6"/>
      <c r="T17" s="156"/>
      <c r="U17" s="6"/>
    </row>
    <row r="18" spans="1:21" customFormat="1">
      <c r="A18" s="163" t="s">
        <v>1312</v>
      </c>
      <c r="B18" s="100">
        <v>23.12</v>
      </c>
      <c r="C18" s="100">
        <v>18.18</v>
      </c>
      <c r="D18" s="100">
        <v>28.04</v>
      </c>
      <c r="E18" s="100">
        <v>5.03</v>
      </c>
      <c r="F18" s="100">
        <v>1.27</v>
      </c>
      <c r="G18" s="100">
        <v>76.72</v>
      </c>
      <c r="H18" s="100">
        <v>39.299999999999997</v>
      </c>
      <c r="I18" s="100">
        <v>14.08</v>
      </c>
      <c r="J18" s="100">
        <v>0.2</v>
      </c>
      <c r="K18" s="100">
        <v>163.54</v>
      </c>
      <c r="L18" s="100">
        <v>16.16</v>
      </c>
      <c r="M18" s="100">
        <v>76.86</v>
      </c>
      <c r="N18" s="100">
        <v>9.4</v>
      </c>
      <c r="O18" s="100">
        <v>0</v>
      </c>
      <c r="P18" s="100">
        <v>0.86</v>
      </c>
      <c r="Q18" s="100">
        <v>9.35</v>
      </c>
      <c r="R18" s="6"/>
      <c r="S18" s="6"/>
      <c r="T18" s="156"/>
      <c r="U18" s="6"/>
    </row>
    <row r="19" spans="1:21" customFormat="1">
      <c r="A19" s="163" t="s">
        <v>1313</v>
      </c>
      <c r="B19" s="100">
        <v>23.39</v>
      </c>
      <c r="C19" s="100">
        <v>18.350000000000001</v>
      </c>
      <c r="D19" s="100">
        <v>28.34</v>
      </c>
      <c r="E19" s="100">
        <v>5.24</v>
      </c>
      <c r="F19" s="100">
        <v>1.24</v>
      </c>
      <c r="G19" s="100">
        <v>76.72</v>
      </c>
      <c r="H19" s="100">
        <v>39.299999999999997</v>
      </c>
      <c r="I19" s="100">
        <v>14.37</v>
      </c>
      <c r="J19" s="100">
        <v>0.11</v>
      </c>
      <c r="K19" s="100">
        <v>203.79</v>
      </c>
      <c r="L19" s="100">
        <v>15.74</v>
      </c>
      <c r="M19" s="100">
        <v>80.23</v>
      </c>
      <c r="N19" s="100">
        <v>9.5</v>
      </c>
      <c r="O19" s="100">
        <v>0</v>
      </c>
      <c r="P19" s="100">
        <v>0.88</v>
      </c>
      <c r="Q19" s="100">
        <v>9.4600000000000009</v>
      </c>
      <c r="R19" s="6"/>
      <c r="S19" s="6"/>
      <c r="T19" s="156"/>
      <c r="U19" s="6"/>
    </row>
    <row r="20" spans="1:21" customFormat="1">
      <c r="A20" s="163" t="s">
        <v>1314</v>
      </c>
      <c r="B20" s="100">
        <v>23.37</v>
      </c>
      <c r="C20" s="100">
        <v>18.25</v>
      </c>
      <c r="D20" s="100">
        <v>28.28</v>
      </c>
      <c r="E20" s="100">
        <v>5.0999999999999996</v>
      </c>
      <c r="F20" s="100">
        <v>1.18</v>
      </c>
      <c r="G20" s="100">
        <v>76.72</v>
      </c>
      <c r="H20" s="100">
        <v>39.299999999999997</v>
      </c>
      <c r="I20" s="100">
        <v>14.62</v>
      </c>
      <c r="J20" s="100">
        <v>0.13</v>
      </c>
      <c r="K20" s="100">
        <v>195.89</v>
      </c>
      <c r="L20" s="100">
        <v>15.5</v>
      </c>
      <c r="M20" s="100">
        <v>79.62</v>
      </c>
      <c r="N20" s="100">
        <v>9.1999999999999993</v>
      </c>
      <c r="O20" s="100">
        <v>0</v>
      </c>
      <c r="P20" s="100">
        <v>0.87</v>
      </c>
      <c r="Q20" s="100">
        <v>9.39</v>
      </c>
      <c r="R20" s="6"/>
      <c r="S20" s="6"/>
      <c r="T20" s="156"/>
      <c r="U20" s="6"/>
    </row>
    <row r="21" spans="1:21" customFormat="1">
      <c r="A21" s="163" t="s">
        <v>1315</v>
      </c>
      <c r="B21" s="100">
        <v>23.93</v>
      </c>
      <c r="C21" s="100">
        <v>18.37</v>
      </c>
      <c r="D21" s="100">
        <v>28.79</v>
      </c>
      <c r="E21" s="100">
        <v>5.12</v>
      </c>
      <c r="F21" s="100">
        <v>1.21</v>
      </c>
      <c r="G21" s="100">
        <v>76.040000000000006</v>
      </c>
      <c r="H21" s="100">
        <v>41.58</v>
      </c>
      <c r="I21" s="100">
        <v>14.78</v>
      </c>
      <c r="J21" s="100">
        <v>0.15</v>
      </c>
      <c r="K21" s="100">
        <v>188.05</v>
      </c>
      <c r="L21" s="100">
        <v>15.6</v>
      </c>
      <c r="M21" s="100">
        <v>79.92</v>
      </c>
      <c r="N21" s="100">
        <v>9.1999999999999993</v>
      </c>
      <c r="O21" s="100">
        <v>0</v>
      </c>
      <c r="P21" s="100">
        <v>0.89</v>
      </c>
      <c r="Q21" s="100">
        <v>9.42</v>
      </c>
      <c r="R21" s="6"/>
      <c r="S21" s="6"/>
      <c r="T21" s="156"/>
      <c r="U21" s="6"/>
    </row>
    <row r="22" spans="1:21" customFormat="1">
      <c r="A22" s="163" t="s">
        <v>1316</v>
      </c>
      <c r="B22" s="100">
        <v>24.32</v>
      </c>
      <c r="C22" s="100">
        <v>18.43</v>
      </c>
      <c r="D22" s="100">
        <v>29.13</v>
      </c>
      <c r="E22" s="100">
        <v>4.95</v>
      </c>
      <c r="F22" s="100">
        <v>1.29</v>
      </c>
      <c r="G22" s="100">
        <v>76</v>
      </c>
      <c r="H22" s="100">
        <v>41.58</v>
      </c>
      <c r="I22" s="100">
        <v>14.88</v>
      </c>
      <c r="J22" s="100">
        <v>0.16</v>
      </c>
      <c r="K22" s="100">
        <v>197.59</v>
      </c>
      <c r="L22" s="100">
        <v>15.57</v>
      </c>
      <c r="M22" s="100">
        <v>84.75</v>
      </c>
      <c r="N22" s="100">
        <v>9.1999999999999993</v>
      </c>
      <c r="O22" s="100">
        <v>0</v>
      </c>
      <c r="P22" s="100">
        <v>0.89</v>
      </c>
      <c r="Q22" s="100">
        <v>9.36</v>
      </c>
      <c r="R22" s="6"/>
      <c r="S22" s="6"/>
      <c r="T22" s="156"/>
      <c r="U22" s="6"/>
    </row>
    <row r="23" spans="1:21" customFormat="1">
      <c r="A23" s="163" t="s">
        <v>1317</v>
      </c>
      <c r="B23" s="100">
        <v>24.29</v>
      </c>
      <c r="C23" s="100">
        <v>18.329999999999998</v>
      </c>
      <c r="D23" s="100">
        <v>29.06</v>
      </c>
      <c r="E23" s="100">
        <v>5.42</v>
      </c>
      <c r="F23" s="100">
        <v>1.26</v>
      </c>
      <c r="G23" s="100">
        <v>76</v>
      </c>
      <c r="H23" s="100">
        <v>41.58</v>
      </c>
      <c r="I23" s="100">
        <v>15.02</v>
      </c>
      <c r="J23" s="100">
        <v>0.15</v>
      </c>
      <c r="K23" s="100">
        <v>171.44</v>
      </c>
      <c r="L23" s="100">
        <v>15.42</v>
      </c>
      <c r="M23" s="100">
        <v>83.96</v>
      </c>
      <c r="N23" s="100">
        <v>9.3000000000000007</v>
      </c>
      <c r="O23" s="100">
        <v>0</v>
      </c>
      <c r="P23" s="100">
        <v>0.89</v>
      </c>
      <c r="Q23" s="100">
        <v>9.43</v>
      </c>
      <c r="R23" s="6"/>
      <c r="S23" s="6"/>
      <c r="T23" s="156"/>
      <c r="U23" s="6"/>
    </row>
    <row r="24" spans="1:21" customFormat="1">
      <c r="A24" s="163" t="s">
        <v>1318</v>
      </c>
      <c r="B24" s="100">
        <v>24.21</v>
      </c>
      <c r="C24" s="100">
        <v>18.07</v>
      </c>
      <c r="D24" s="100">
        <v>28.85</v>
      </c>
      <c r="E24" s="100">
        <v>4.95</v>
      </c>
      <c r="F24" s="100">
        <v>1.29</v>
      </c>
      <c r="G24" s="100">
        <v>76</v>
      </c>
      <c r="H24" s="100">
        <v>41.58</v>
      </c>
      <c r="I24" s="100">
        <v>15.11</v>
      </c>
      <c r="J24" s="100">
        <v>0.3</v>
      </c>
      <c r="K24" s="100">
        <v>230.89</v>
      </c>
      <c r="L24" s="100">
        <v>15.32</v>
      </c>
      <c r="M24" s="100">
        <v>85.73</v>
      </c>
      <c r="N24" s="100">
        <v>9.1999999999999993</v>
      </c>
      <c r="O24" s="100">
        <v>0</v>
      </c>
      <c r="P24" s="100">
        <v>0.92</v>
      </c>
      <c r="Q24" s="100">
        <v>9.42</v>
      </c>
      <c r="R24" s="6"/>
      <c r="S24" s="6"/>
      <c r="T24" s="156"/>
      <c r="U24" s="6"/>
    </row>
    <row r="25" spans="1:21" customFormat="1">
      <c r="A25" s="163" t="s">
        <v>1319</v>
      </c>
      <c r="B25" s="100">
        <v>24.19</v>
      </c>
      <c r="C25" s="100">
        <v>17.86</v>
      </c>
      <c r="D25" s="100">
        <v>28.73</v>
      </c>
      <c r="E25" s="100">
        <v>5.17</v>
      </c>
      <c r="F25" s="100">
        <v>1.1499999999999999</v>
      </c>
      <c r="G25" s="100">
        <v>77.27</v>
      </c>
      <c r="H25" s="100">
        <v>40.450000000000003</v>
      </c>
      <c r="I25" s="100">
        <v>15.14</v>
      </c>
      <c r="J25" s="100">
        <v>0.19</v>
      </c>
      <c r="K25" s="100">
        <v>209.64</v>
      </c>
      <c r="L25" s="100">
        <v>14.93</v>
      </c>
      <c r="M25" s="100">
        <v>82.19</v>
      </c>
      <c r="N25" s="100">
        <v>9.6</v>
      </c>
      <c r="O25" s="100">
        <v>0</v>
      </c>
      <c r="P25" s="100">
        <v>0.92</v>
      </c>
      <c r="Q25" s="100">
        <v>9.42</v>
      </c>
      <c r="R25" s="6"/>
      <c r="S25" s="6"/>
      <c r="T25" s="156"/>
      <c r="U25" s="6"/>
    </row>
    <row r="26" spans="1:21" customFormat="1">
      <c r="A26" s="163" t="s">
        <v>1320</v>
      </c>
      <c r="B26" s="100">
        <v>23.87</v>
      </c>
      <c r="C26" s="100">
        <v>17.52</v>
      </c>
      <c r="D26" s="100">
        <v>28.29</v>
      </c>
      <c r="E26" s="100">
        <v>4.78</v>
      </c>
      <c r="F26" s="100">
        <v>1.1299999999999999</v>
      </c>
      <c r="G26" s="100">
        <v>77.34</v>
      </c>
      <c r="H26" s="100">
        <v>40.450000000000003</v>
      </c>
      <c r="I26" s="100">
        <v>15.12</v>
      </c>
      <c r="J26" s="100">
        <v>0.15</v>
      </c>
      <c r="K26" s="100">
        <v>193.11</v>
      </c>
      <c r="L26" s="100">
        <v>14.64</v>
      </c>
      <c r="M26" s="100">
        <v>83.91</v>
      </c>
      <c r="N26" s="100">
        <v>9.6</v>
      </c>
      <c r="O26" s="100">
        <v>0</v>
      </c>
      <c r="P26" s="100">
        <v>0.91</v>
      </c>
      <c r="Q26" s="100">
        <v>9.39</v>
      </c>
      <c r="R26" s="6"/>
      <c r="S26" s="6"/>
      <c r="T26" s="156"/>
      <c r="U26" s="6"/>
    </row>
    <row r="27" spans="1:21" customFormat="1">
      <c r="A27" s="163" t="s">
        <v>1321</v>
      </c>
      <c r="B27" s="100">
        <v>23.26</v>
      </c>
      <c r="C27" s="100">
        <v>17.170000000000002</v>
      </c>
      <c r="D27" s="100">
        <v>27.63</v>
      </c>
      <c r="E27" s="100">
        <v>4.74</v>
      </c>
      <c r="F27" s="100">
        <v>1.26</v>
      </c>
      <c r="G27" s="100">
        <v>77.34</v>
      </c>
      <c r="H27" s="100">
        <v>40.450000000000003</v>
      </c>
      <c r="I27" s="100">
        <v>15.1</v>
      </c>
      <c r="J27" s="100">
        <v>0.11</v>
      </c>
      <c r="K27" s="100">
        <v>201.56</v>
      </c>
      <c r="L27" s="100">
        <v>14.41</v>
      </c>
      <c r="M27" s="100">
        <v>86.56</v>
      </c>
      <c r="N27" s="100">
        <v>9.5</v>
      </c>
      <c r="O27" s="100">
        <v>0</v>
      </c>
      <c r="P27" s="100">
        <v>0.9</v>
      </c>
      <c r="Q27" s="100">
        <v>9.4</v>
      </c>
      <c r="R27" s="6"/>
      <c r="S27" s="6"/>
      <c r="T27" s="156"/>
      <c r="U27" s="6"/>
    </row>
    <row r="28" spans="1:21" customFormat="1">
      <c r="A28" s="163" t="s">
        <v>1322</v>
      </c>
      <c r="B28" s="100">
        <v>22.66</v>
      </c>
      <c r="C28" s="100">
        <v>16.72</v>
      </c>
      <c r="D28" s="100">
        <v>26.91</v>
      </c>
      <c r="E28" s="100">
        <v>4.82</v>
      </c>
      <c r="F28" s="100">
        <v>1.2</v>
      </c>
      <c r="G28" s="100">
        <v>77.34</v>
      </c>
      <c r="H28" s="100">
        <v>40.450000000000003</v>
      </c>
      <c r="I28" s="100">
        <v>15.07</v>
      </c>
      <c r="J28" s="100">
        <v>0.12</v>
      </c>
      <c r="K28" s="100">
        <v>204.6</v>
      </c>
      <c r="L28" s="100">
        <v>14.27</v>
      </c>
      <c r="M28" s="100">
        <v>87.58</v>
      </c>
      <c r="N28" s="100">
        <v>9.3000000000000007</v>
      </c>
      <c r="O28" s="100">
        <v>0</v>
      </c>
      <c r="P28" s="100">
        <v>0.89</v>
      </c>
      <c r="Q28" s="100">
        <v>9.36</v>
      </c>
      <c r="R28" s="6"/>
      <c r="S28" s="6"/>
      <c r="T28" s="156"/>
      <c r="U28" s="6"/>
    </row>
    <row r="29" spans="1:21" customFormat="1">
      <c r="A29" s="163" t="s">
        <v>1323</v>
      </c>
      <c r="B29" s="100">
        <v>22.11</v>
      </c>
      <c r="C29" s="100">
        <v>16.38</v>
      </c>
      <c r="D29" s="100">
        <v>26.29</v>
      </c>
      <c r="E29" s="100">
        <v>4.83</v>
      </c>
      <c r="F29" s="100">
        <v>1.25</v>
      </c>
      <c r="G29" s="100">
        <v>76.5</v>
      </c>
      <c r="H29" s="100">
        <v>36.869999999999997</v>
      </c>
      <c r="I29" s="100">
        <v>14.98</v>
      </c>
      <c r="J29" s="100">
        <v>0.14000000000000001</v>
      </c>
      <c r="K29" s="100">
        <v>223.19</v>
      </c>
      <c r="L29" s="100">
        <v>14.34</v>
      </c>
      <c r="M29" s="100">
        <v>89.24</v>
      </c>
      <c r="N29" s="100">
        <v>9.3000000000000007</v>
      </c>
      <c r="O29" s="100">
        <v>0</v>
      </c>
      <c r="P29" s="100">
        <v>0.88</v>
      </c>
      <c r="Q29" s="100">
        <v>9.34</v>
      </c>
      <c r="R29" s="6"/>
      <c r="S29" s="6"/>
      <c r="T29" s="156"/>
      <c r="U29" s="6"/>
    </row>
    <row r="30" spans="1:21" customFormat="1">
      <c r="A30" s="163" t="s">
        <v>1324</v>
      </c>
      <c r="B30" s="100">
        <v>21.53</v>
      </c>
      <c r="C30" s="100">
        <v>15.94</v>
      </c>
      <c r="D30" s="100">
        <v>25.59</v>
      </c>
      <c r="E30" s="100">
        <v>4.7300000000000004</v>
      </c>
      <c r="F30" s="100">
        <v>1.1299999999999999</v>
      </c>
      <c r="G30" s="100">
        <v>76.459999999999994</v>
      </c>
      <c r="H30" s="100">
        <v>36.869999999999997</v>
      </c>
      <c r="I30" s="100">
        <v>14.88</v>
      </c>
      <c r="J30" s="100">
        <v>0.03</v>
      </c>
      <c r="K30" s="100">
        <v>139.32</v>
      </c>
      <c r="L30" s="100">
        <v>14.23</v>
      </c>
      <c r="M30" s="100">
        <v>89.6</v>
      </c>
      <c r="N30" s="100">
        <v>9.4</v>
      </c>
      <c r="O30" s="100">
        <v>0</v>
      </c>
      <c r="P30" s="100">
        <v>0.88</v>
      </c>
      <c r="Q30" s="100">
        <v>9.34</v>
      </c>
      <c r="R30" s="6"/>
      <c r="S30" s="6"/>
      <c r="T30" s="156"/>
      <c r="U30" s="6"/>
    </row>
    <row r="31" spans="1:21" customFormat="1">
      <c r="A31" s="163" t="s">
        <v>1325</v>
      </c>
      <c r="B31" s="100">
        <v>20.98</v>
      </c>
      <c r="C31" s="100">
        <v>15.72</v>
      </c>
      <c r="D31" s="100">
        <v>25.04</v>
      </c>
      <c r="E31" s="100">
        <v>4.6500000000000004</v>
      </c>
      <c r="F31" s="100">
        <v>1.1000000000000001</v>
      </c>
      <c r="G31" s="100">
        <v>76.459999999999994</v>
      </c>
      <c r="H31" s="100">
        <v>36.869999999999997</v>
      </c>
      <c r="I31" s="100">
        <v>14.79</v>
      </c>
      <c r="J31" s="100">
        <v>0.15</v>
      </c>
      <c r="K31" s="100">
        <v>156.29</v>
      </c>
      <c r="L31" s="100">
        <v>14.08</v>
      </c>
      <c r="M31" s="100">
        <v>88.48</v>
      </c>
      <c r="N31" s="100">
        <v>9.1999999999999993</v>
      </c>
      <c r="O31" s="100">
        <v>0</v>
      </c>
      <c r="P31" s="100">
        <v>0.86</v>
      </c>
      <c r="Q31" s="100">
        <v>9.36</v>
      </c>
      <c r="R31" s="6"/>
      <c r="S31" s="6"/>
      <c r="T31" s="156"/>
      <c r="U31" s="6"/>
    </row>
    <row r="32" spans="1:21" customFormat="1">
      <c r="A32" s="163" t="s">
        <v>1326</v>
      </c>
      <c r="B32" s="100">
        <v>20.48</v>
      </c>
      <c r="C32" s="100">
        <v>15.64</v>
      </c>
      <c r="D32" s="100">
        <v>24.6</v>
      </c>
      <c r="E32" s="100">
        <v>5.0599999999999996</v>
      </c>
      <c r="F32" s="100">
        <v>1</v>
      </c>
      <c r="G32" s="100">
        <v>76.459999999999994</v>
      </c>
      <c r="H32" s="100">
        <v>36.869999999999997</v>
      </c>
      <c r="I32" s="100">
        <v>14.69</v>
      </c>
      <c r="J32" s="100">
        <v>0.2</v>
      </c>
      <c r="K32" s="100">
        <v>213.34</v>
      </c>
      <c r="L32" s="100">
        <v>14.41</v>
      </c>
      <c r="M32" s="100">
        <v>88.12</v>
      </c>
      <c r="N32" s="100">
        <v>8.9</v>
      </c>
      <c r="O32" s="100">
        <v>0</v>
      </c>
      <c r="P32" s="100">
        <v>0.87</v>
      </c>
      <c r="Q32" s="100">
        <v>9.34</v>
      </c>
      <c r="R32" s="6"/>
      <c r="S32" s="6"/>
      <c r="T32" s="156"/>
      <c r="U32" s="6"/>
    </row>
    <row r="33" spans="1:21" customFormat="1">
      <c r="A33" s="163" t="s">
        <v>1327</v>
      </c>
      <c r="B33" s="100">
        <v>20</v>
      </c>
      <c r="C33" s="100">
        <v>15.57</v>
      </c>
      <c r="D33" s="100">
        <v>24.17</v>
      </c>
      <c r="E33" s="100">
        <v>5.04</v>
      </c>
      <c r="F33" s="100">
        <v>1.21</v>
      </c>
      <c r="G33" s="100">
        <v>77.14</v>
      </c>
      <c r="H33" s="100">
        <v>37.229999999999997</v>
      </c>
      <c r="I33" s="100">
        <v>14.63</v>
      </c>
      <c r="J33" s="100">
        <v>0.1</v>
      </c>
      <c r="K33" s="100">
        <v>183.89</v>
      </c>
      <c r="L33" s="100">
        <v>14.28</v>
      </c>
      <c r="M33" s="100">
        <v>89.68</v>
      </c>
      <c r="N33" s="100">
        <v>9.6999999999999993</v>
      </c>
      <c r="O33" s="100">
        <v>0</v>
      </c>
      <c r="P33" s="100">
        <v>0.86</v>
      </c>
      <c r="Q33" s="100">
        <v>9.33</v>
      </c>
      <c r="R33" s="6"/>
      <c r="S33" s="6"/>
      <c r="T33" s="156"/>
      <c r="U33" s="6"/>
    </row>
    <row r="34" spans="1:21" customFormat="1">
      <c r="A34" s="163" t="s">
        <v>1328</v>
      </c>
      <c r="B34" s="100">
        <v>19.46</v>
      </c>
      <c r="C34" s="100">
        <v>15.55</v>
      </c>
      <c r="D34" s="100">
        <v>23.73</v>
      </c>
      <c r="E34" s="100">
        <v>4.84</v>
      </c>
      <c r="F34" s="100">
        <v>1.2</v>
      </c>
      <c r="G34" s="100">
        <v>77.19</v>
      </c>
      <c r="H34" s="100">
        <v>37.229999999999997</v>
      </c>
      <c r="I34" s="100">
        <v>14.58</v>
      </c>
      <c r="J34" s="100">
        <v>0.12</v>
      </c>
      <c r="K34" s="100">
        <v>168.58</v>
      </c>
      <c r="L34" s="100">
        <v>14</v>
      </c>
      <c r="M34" s="100">
        <v>87.64</v>
      </c>
      <c r="N34" s="100">
        <v>10.7</v>
      </c>
      <c r="O34" s="100">
        <v>0</v>
      </c>
      <c r="P34" s="100">
        <v>0.85</v>
      </c>
      <c r="Q34" s="100">
        <v>9.33</v>
      </c>
      <c r="R34" s="6"/>
      <c r="S34" s="6"/>
      <c r="T34" s="156"/>
      <c r="U34" s="6"/>
    </row>
    <row r="35" spans="1:21" customFormat="1">
      <c r="A35" s="163" t="s">
        <v>1329</v>
      </c>
      <c r="B35" s="100">
        <v>19.18</v>
      </c>
      <c r="C35" s="100">
        <v>15.6</v>
      </c>
      <c r="D35" s="100">
        <v>23.53</v>
      </c>
      <c r="E35" s="100">
        <v>4.7300000000000004</v>
      </c>
      <c r="F35" s="100">
        <v>1.24</v>
      </c>
      <c r="G35" s="100">
        <v>77.19</v>
      </c>
      <c r="H35" s="100">
        <v>37.229999999999997</v>
      </c>
      <c r="I35" s="100">
        <v>14.5</v>
      </c>
      <c r="J35" s="100">
        <v>0.12</v>
      </c>
      <c r="K35" s="100">
        <v>176</v>
      </c>
      <c r="L35" s="100">
        <v>14.18</v>
      </c>
      <c r="M35" s="100">
        <v>87.12</v>
      </c>
      <c r="N35" s="100">
        <v>14.9</v>
      </c>
      <c r="O35" s="100">
        <v>0</v>
      </c>
      <c r="P35" s="100">
        <v>0.87</v>
      </c>
      <c r="Q35" s="100">
        <v>9.32</v>
      </c>
      <c r="R35" s="6"/>
      <c r="S35" s="6"/>
      <c r="T35" s="156"/>
      <c r="U35" s="6"/>
    </row>
    <row r="36" spans="1:21" customFormat="1">
      <c r="A36" s="163" t="s">
        <v>1330</v>
      </c>
      <c r="B36" s="100">
        <v>18.989999999999998</v>
      </c>
      <c r="C36" s="100">
        <v>15.41</v>
      </c>
      <c r="D36" s="100">
        <v>23.28</v>
      </c>
      <c r="E36" s="100">
        <v>4.57</v>
      </c>
      <c r="F36" s="100">
        <v>1.1499999999999999</v>
      </c>
      <c r="G36" s="100">
        <v>77.19</v>
      </c>
      <c r="H36" s="100">
        <v>37.229999999999997</v>
      </c>
      <c r="I36" s="100">
        <v>14.55</v>
      </c>
      <c r="J36" s="100">
        <v>0.17</v>
      </c>
      <c r="K36" s="100">
        <v>146.66</v>
      </c>
      <c r="L36" s="100">
        <v>14.4</v>
      </c>
      <c r="M36" s="100">
        <v>89.46</v>
      </c>
      <c r="N36" s="100">
        <v>23.2</v>
      </c>
      <c r="O36" s="100">
        <v>0</v>
      </c>
      <c r="P36" s="100">
        <v>0.88</v>
      </c>
      <c r="Q36" s="100">
        <v>9.33</v>
      </c>
      <c r="R36" s="6"/>
      <c r="S36" s="6"/>
      <c r="T36" s="156"/>
      <c r="U36" s="6"/>
    </row>
    <row r="37" spans="1:21" customFormat="1">
      <c r="A37" s="163" t="s">
        <v>1331</v>
      </c>
      <c r="B37" s="100">
        <v>18.78</v>
      </c>
      <c r="C37" s="100">
        <v>15.32</v>
      </c>
      <c r="D37" s="100">
        <v>23.06</v>
      </c>
      <c r="E37" s="100">
        <v>4.4400000000000004</v>
      </c>
      <c r="F37" s="100">
        <v>1.34</v>
      </c>
      <c r="G37" s="100">
        <v>84.28</v>
      </c>
      <c r="H37" s="100">
        <v>40.130000000000003</v>
      </c>
      <c r="I37" s="100">
        <v>14.84</v>
      </c>
      <c r="J37" s="100">
        <v>0.15</v>
      </c>
      <c r="K37" s="100">
        <v>167.85</v>
      </c>
      <c r="L37" s="100">
        <v>14.6</v>
      </c>
      <c r="M37" s="100">
        <v>89.67</v>
      </c>
      <c r="N37" s="100">
        <v>33.4</v>
      </c>
      <c r="O37" s="100">
        <v>0</v>
      </c>
      <c r="P37" s="100">
        <v>0.89</v>
      </c>
      <c r="Q37" s="100">
        <v>9.33</v>
      </c>
      <c r="R37" s="6"/>
      <c r="S37" s="6"/>
      <c r="T37" s="156"/>
      <c r="U37" s="6"/>
    </row>
    <row r="38" spans="1:21" customFormat="1">
      <c r="A38" s="163" t="s">
        <v>1332</v>
      </c>
      <c r="B38" s="100">
        <v>18.55</v>
      </c>
      <c r="C38" s="100">
        <v>15.33</v>
      </c>
      <c r="D38" s="100">
        <v>22.89</v>
      </c>
      <c r="E38" s="100">
        <v>4.4000000000000004</v>
      </c>
      <c r="F38" s="100">
        <v>1.38</v>
      </c>
      <c r="G38" s="100">
        <v>84.79</v>
      </c>
      <c r="H38" s="100">
        <v>40.130000000000003</v>
      </c>
      <c r="I38" s="100">
        <v>15.08</v>
      </c>
      <c r="J38" s="100">
        <v>0.22</v>
      </c>
      <c r="K38" s="100">
        <v>163.93</v>
      </c>
      <c r="L38" s="100">
        <v>15.28</v>
      </c>
      <c r="M38" s="100">
        <v>87.26</v>
      </c>
      <c r="N38" s="100">
        <v>44.1</v>
      </c>
      <c r="O38" s="100">
        <v>0</v>
      </c>
      <c r="P38" s="100">
        <v>0.89</v>
      </c>
      <c r="Q38" s="100">
        <v>9.32</v>
      </c>
      <c r="R38" s="6"/>
      <c r="S38" s="6"/>
      <c r="T38" s="156"/>
      <c r="U38" s="6"/>
    </row>
    <row r="39" spans="1:21" customFormat="1">
      <c r="A39" s="163" t="s">
        <v>1333</v>
      </c>
      <c r="B39" s="100">
        <v>18.23</v>
      </c>
      <c r="C39" s="100">
        <v>15.72</v>
      </c>
      <c r="D39" s="100">
        <v>22.83</v>
      </c>
      <c r="E39" s="100">
        <v>4.6100000000000003</v>
      </c>
      <c r="F39" s="100">
        <v>1.22</v>
      </c>
      <c r="G39" s="100">
        <v>84.79</v>
      </c>
      <c r="H39" s="100">
        <v>40.130000000000003</v>
      </c>
      <c r="I39" s="100">
        <v>15.19</v>
      </c>
      <c r="J39" s="100">
        <v>0.12</v>
      </c>
      <c r="K39" s="100">
        <v>181.26</v>
      </c>
      <c r="L39" s="100">
        <v>15.9</v>
      </c>
      <c r="M39" s="100">
        <v>82.03</v>
      </c>
      <c r="N39" s="100">
        <v>54.7</v>
      </c>
      <c r="O39" s="100">
        <v>0</v>
      </c>
      <c r="P39" s="100">
        <v>0.9</v>
      </c>
      <c r="Q39" s="100">
        <v>9.33</v>
      </c>
      <c r="R39" s="6"/>
      <c r="S39" s="6"/>
      <c r="T39" s="156"/>
      <c r="U39" s="6"/>
    </row>
    <row r="40" spans="1:21" customFormat="1">
      <c r="A40" s="163" t="s">
        <v>1334</v>
      </c>
      <c r="B40" s="100">
        <v>17.72</v>
      </c>
      <c r="C40" s="100">
        <v>16.059999999999999</v>
      </c>
      <c r="D40" s="100">
        <v>22.61</v>
      </c>
      <c r="E40" s="100">
        <v>4.43</v>
      </c>
      <c r="F40" s="100">
        <v>1.18</v>
      </c>
      <c r="G40" s="100">
        <v>84.79</v>
      </c>
      <c r="H40" s="100">
        <v>40.130000000000003</v>
      </c>
      <c r="I40" s="100">
        <v>15.41</v>
      </c>
      <c r="J40" s="100">
        <v>0.15</v>
      </c>
      <c r="K40" s="100">
        <v>226.41</v>
      </c>
      <c r="L40" s="100">
        <v>16.88</v>
      </c>
      <c r="M40" s="100">
        <v>72.55</v>
      </c>
      <c r="N40" s="100">
        <v>67.7</v>
      </c>
      <c r="O40" s="100">
        <v>0</v>
      </c>
      <c r="P40" s="100">
        <v>0.9</v>
      </c>
      <c r="Q40" s="100">
        <v>9.3699999999999992</v>
      </c>
      <c r="R40" s="6"/>
      <c r="S40" s="6"/>
      <c r="T40" s="156"/>
      <c r="U40" s="6"/>
    </row>
    <row r="41" spans="1:21" customFormat="1">
      <c r="A41" s="163" t="s">
        <v>1335</v>
      </c>
      <c r="B41" s="100">
        <v>17.100000000000001</v>
      </c>
      <c r="C41" s="100">
        <v>16.670000000000002</v>
      </c>
      <c r="D41" s="100">
        <v>22.42</v>
      </c>
      <c r="E41" s="100">
        <v>4.41</v>
      </c>
      <c r="F41" s="100">
        <v>1.36</v>
      </c>
      <c r="G41" s="100">
        <v>87.25</v>
      </c>
      <c r="H41" s="100">
        <v>41.79</v>
      </c>
      <c r="I41" s="100">
        <v>17.670000000000002</v>
      </c>
      <c r="J41" s="100">
        <v>0.23</v>
      </c>
      <c r="K41" s="100">
        <v>244.89</v>
      </c>
      <c r="L41" s="100">
        <v>18.010000000000002</v>
      </c>
      <c r="M41" s="100">
        <v>65.599999999999994</v>
      </c>
      <c r="N41" s="100">
        <v>174</v>
      </c>
      <c r="O41" s="100">
        <v>0</v>
      </c>
      <c r="P41" s="100">
        <v>0.91</v>
      </c>
      <c r="Q41" s="100">
        <v>9.34</v>
      </c>
      <c r="R41" s="6"/>
      <c r="S41" s="6"/>
      <c r="T41" s="156"/>
      <c r="U41" s="6"/>
    </row>
    <row r="42" spans="1:21" customFormat="1">
      <c r="A42" s="163" t="s">
        <v>1336</v>
      </c>
      <c r="B42" s="100">
        <v>16.32</v>
      </c>
      <c r="C42" s="100">
        <v>17.309999999999999</v>
      </c>
      <c r="D42" s="100">
        <v>22.13</v>
      </c>
      <c r="E42" s="100">
        <v>4.43</v>
      </c>
      <c r="F42" s="100">
        <v>1.36</v>
      </c>
      <c r="G42" s="100">
        <v>87.42</v>
      </c>
      <c r="H42" s="100">
        <v>41.79</v>
      </c>
      <c r="I42" s="100">
        <v>20.02</v>
      </c>
      <c r="J42" s="100">
        <v>0.26</v>
      </c>
      <c r="K42" s="100">
        <v>241.21</v>
      </c>
      <c r="L42" s="100">
        <v>19.27</v>
      </c>
      <c r="M42" s="100">
        <v>60.64</v>
      </c>
      <c r="N42" s="100">
        <v>217.9</v>
      </c>
      <c r="O42" s="100">
        <v>0</v>
      </c>
      <c r="P42" s="100">
        <v>0.92</v>
      </c>
      <c r="Q42" s="100">
        <v>9.35</v>
      </c>
      <c r="R42" s="6"/>
      <c r="S42" s="6"/>
      <c r="T42" s="156"/>
      <c r="U42" s="6"/>
    </row>
    <row r="43" spans="1:21" customFormat="1">
      <c r="A43" s="163" t="s">
        <v>1337</v>
      </c>
      <c r="B43" s="100">
        <v>15.34</v>
      </c>
      <c r="C43" s="100">
        <v>17.399999999999999</v>
      </c>
      <c r="D43" s="100">
        <v>21.39</v>
      </c>
      <c r="E43" s="100">
        <v>4.6900000000000004</v>
      </c>
      <c r="F43" s="100">
        <v>1.4</v>
      </c>
      <c r="G43" s="100">
        <v>87.42</v>
      </c>
      <c r="H43" s="100">
        <v>41.79</v>
      </c>
      <c r="I43" s="100">
        <v>20.14</v>
      </c>
      <c r="J43" s="100">
        <v>0.25</v>
      </c>
      <c r="K43" s="100">
        <v>227.89</v>
      </c>
      <c r="L43" s="100">
        <v>20.39</v>
      </c>
      <c r="M43" s="100">
        <v>56.6</v>
      </c>
      <c r="N43" s="100">
        <v>256.3</v>
      </c>
      <c r="O43" s="100">
        <v>0</v>
      </c>
      <c r="P43" s="100">
        <v>0.9</v>
      </c>
      <c r="Q43" s="100">
        <v>9.34</v>
      </c>
      <c r="R43" s="6"/>
      <c r="S43" s="6"/>
      <c r="T43" s="156"/>
      <c r="U43" s="6"/>
    </row>
    <row r="44" spans="1:21" customFormat="1">
      <c r="A44" s="163" t="s">
        <v>1338</v>
      </c>
      <c r="B44" s="100">
        <v>14.06</v>
      </c>
      <c r="C44" s="100">
        <v>17.690000000000001</v>
      </c>
      <c r="D44" s="100">
        <v>20.51</v>
      </c>
      <c r="E44" s="100">
        <v>4.79</v>
      </c>
      <c r="F44" s="100">
        <v>1.51</v>
      </c>
      <c r="G44" s="100">
        <v>87.42</v>
      </c>
      <c r="H44" s="100">
        <v>41.79</v>
      </c>
      <c r="I44" s="100">
        <v>20.21</v>
      </c>
      <c r="J44" s="100">
        <v>0.23</v>
      </c>
      <c r="K44" s="100">
        <v>237.62</v>
      </c>
      <c r="L44" s="100">
        <v>21.38</v>
      </c>
      <c r="M44" s="100">
        <v>53.34</v>
      </c>
      <c r="N44" s="100">
        <v>272.3</v>
      </c>
      <c r="O44" s="100">
        <v>0</v>
      </c>
      <c r="P44" s="100">
        <v>0.89</v>
      </c>
      <c r="Q44" s="100">
        <v>9.31</v>
      </c>
      <c r="R44" s="6"/>
      <c r="S44" s="6"/>
      <c r="T44" s="156"/>
      <c r="U44" s="6"/>
    </row>
    <row r="45" spans="1:21" customFormat="1">
      <c r="A45" s="163" t="s">
        <v>1339</v>
      </c>
      <c r="B45" s="100">
        <v>12.63</v>
      </c>
      <c r="C45" s="100">
        <v>18.2</v>
      </c>
      <c r="D45" s="100">
        <v>19.64</v>
      </c>
      <c r="E45" s="100">
        <v>4.96</v>
      </c>
      <c r="F45" s="100">
        <v>1.52</v>
      </c>
      <c r="G45" s="100">
        <v>86.58</v>
      </c>
      <c r="H45" s="100">
        <v>42.98</v>
      </c>
      <c r="I45" s="100">
        <v>20.079999999999998</v>
      </c>
      <c r="J45" s="100">
        <v>0.24</v>
      </c>
      <c r="K45" s="100">
        <v>225.24</v>
      </c>
      <c r="L45" s="100">
        <v>22.51</v>
      </c>
      <c r="M45" s="100">
        <v>49.55</v>
      </c>
      <c r="N45" s="100">
        <v>143.69999999999999</v>
      </c>
      <c r="O45" s="100">
        <v>0</v>
      </c>
      <c r="P45" s="100">
        <v>0.89</v>
      </c>
      <c r="Q45" s="100">
        <v>9.31</v>
      </c>
      <c r="R45" s="6"/>
      <c r="S45" s="6"/>
      <c r="T45" s="156"/>
      <c r="U45" s="6"/>
    </row>
    <row r="46" spans="1:21" customFormat="1">
      <c r="A46" s="163" t="s">
        <v>1340</v>
      </c>
      <c r="B46" s="100">
        <v>10.97</v>
      </c>
      <c r="C46" s="100">
        <v>18.87</v>
      </c>
      <c r="D46" s="100">
        <v>18.66</v>
      </c>
      <c r="E46" s="100">
        <v>4.91</v>
      </c>
      <c r="F46" s="100">
        <v>1.8</v>
      </c>
      <c r="G46" s="100">
        <v>86.53</v>
      </c>
      <c r="H46" s="100">
        <v>42.98</v>
      </c>
      <c r="I46" s="100">
        <v>19.899999999999999</v>
      </c>
      <c r="J46" s="100">
        <v>0.21</v>
      </c>
      <c r="K46" s="100">
        <v>222.21</v>
      </c>
      <c r="L46" s="100">
        <v>23.43</v>
      </c>
      <c r="M46" s="100">
        <v>45.2</v>
      </c>
      <c r="N46" s="100">
        <v>119</v>
      </c>
      <c r="O46" s="100">
        <v>0</v>
      </c>
      <c r="P46" s="100">
        <v>0.89</v>
      </c>
      <c r="Q46" s="100">
        <v>9.32</v>
      </c>
      <c r="R46" s="6"/>
      <c r="S46" s="6"/>
      <c r="T46" s="156"/>
      <c r="U46" s="6"/>
    </row>
    <row r="47" spans="1:21" customFormat="1">
      <c r="A47" s="163" t="s">
        <v>1341</v>
      </c>
      <c r="B47" s="100">
        <v>8.9600000000000009</v>
      </c>
      <c r="C47" s="100">
        <v>19.66</v>
      </c>
      <c r="D47" s="100">
        <v>17.46</v>
      </c>
      <c r="E47" s="100">
        <v>5.17</v>
      </c>
      <c r="F47" s="100">
        <v>1.98</v>
      </c>
      <c r="G47" s="100">
        <v>86.53</v>
      </c>
      <c r="H47" s="100">
        <v>42.98</v>
      </c>
      <c r="I47" s="100">
        <v>19.78</v>
      </c>
      <c r="J47" s="100">
        <v>0.19</v>
      </c>
      <c r="K47" s="100">
        <v>104.54</v>
      </c>
      <c r="L47" s="100">
        <v>24.53</v>
      </c>
      <c r="M47" s="100">
        <v>39.58</v>
      </c>
      <c r="N47" s="100">
        <v>122</v>
      </c>
      <c r="O47" s="100">
        <v>0</v>
      </c>
      <c r="P47" s="100">
        <v>0.89</v>
      </c>
      <c r="Q47" s="100">
        <v>9.32</v>
      </c>
      <c r="R47" s="6"/>
      <c r="S47" s="6"/>
      <c r="T47" s="156"/>
      <c r="U47" s="6"/>
    </row>
    <row r="48" spans="1:21" customFormat="1">
      <c r="A48" s="163" t="s">
        <v>1342</v>
      </c>
      <c r="B48" s="100">
        <v>7.68</v>
      </c>
      <c r="C48" s="100">
        <v>19.98</v>
      </c>
      <c r="D48" s="100">
        <v>16.600000000000001</v>
      </c>
      <c r="E48" s="100">
        <v>5.4</v>
      </c>
      <c r="F48" s="100">
        <v>1.95</v>
      </c>
      <c r="G48" s="100">
        <v>86.53</v>
      </c>
      <c r="H48" s="100">
        <v>42.98</v>
      </c>
      <c r="I48" s="100">
        <v>19.61</v>
      </c>
      <c r="J48" s="100">
        <v>0.2</v>
      </c>
      <c r="K48" s="100">
        <v>100.4</v>
      </c>
      <c r="L48" s="100">
        <v>25.91</v>
      </c>
      <c r="M48" s="100">
        <v>34.93</v>
      </c>
      <c r="N48" s="100">
        <v>199.5</v>
      </c>
      <c r="O48" s="100">
        <v>0</v>
      </c>
      <c r="P48" s="100">
        <v>0.89</v>
      </c>
      <c r="Q48" s="100">
        <v>9.32</v>
      </c>
      <c r="R48" s="6"/>
      <c r="S48" s="6"/>
      <c r="T48" s="156"/>
      <c r="U48" s="6"/>
    </row>
    <row r="49" spans="1:21" customFormat="1">
      <c r="A49" s="163" t="s">
        <v>1343</v>
      </c>
      <c r="B49" s="100">
        <v>6.8</v>
      </c>
      <c r="C49" s="100">
        <v>20.12</v>
      </c>
      <c r="D49" s="100">
        <v>15.97</v>
      </c>
      <c r="E49" s="100">
        <v>4.32</v>
      </c>
      <c r="F49" s="100">
        <v>1.83</v>
      </c>
      <c r="G49" s="100">
        <v>87.26</v>
      </c>
      <c r="H49" s="100">
        <v>44.06</v>
      </c>
      <c r="I49" s="100">
        <v>19.309999999999999</v>
      </c>
      <c r="J49" s="100">
        <v>0.3</v>
      </c>
      <c r="K49" s="100">
        <v>49.75</v>
      </c>
      <c r="L49" s="100">
        <v>26.07</v>
      </c>
      <c r="M49" s="100">
        <v>33.619999999999997</v>
      </c>
      <c r="N49" s="100">
        <v>441.2</v>
      </c>
      <c r="O49" s="100">
        <v>0</v>
      </c>
      <c r="P49" s="100">
        <v>0.87</v>
      </c>
      <c r="Q49" s="100">
        <v>9.32</v>
      </c>
      <c r="R49" s="6"/>
      <c r="S49" s="6"/>
      <c r="T49" s="156"/>
      <c r="U49" s="6"/>
    </row>
    <row r="50" spans="1:21" customFormat="1">
      <c r="A50" s="163" t="s">
        <v>1344</v>
      </c>
      <c r="B50" s="100">
        <v>6.22</v>
      </c>
      <c r="C50" s="100">
        <v>20.3</v>
      </c>
      <c r="D50" s="100">
        <v>15.6</v>
      </c>
      <c r="E50" s="100">
        <v>5.37</v>
      </c>
      <c r="F50" s="100">
        <v>2.0499999999999998</v>
      </c>
      <c r="G50" s="100">
        <v>87.3</v>
      </c>
      <c r="H50" s="100">
        <v>44.06</v>
      </c>
      <c r="I50" s="100">
        <v>19.059999999999999</v>
      </c>
      <c r="J50" s="100">
        <v>0.47</v>
      </c>
      <c r="K50" s="100">
        <v>39.520000000000003</v>
      </c>
      <c r="L50" s="100">
        <v>26.71</v>
      </c>
      <c r="M50" s="100">
        <v>31.66</v>
      </c>
      <c r="N50" s="100">
        <v>464.4</v>
      </c>
      <c r="O50" s="100">
        <v>0</v>
      </c>
      <c r="P50" s="100">
        <v>0.87</v>
      </c>
      <c r="Q50" s="100">
        <v>9.35</v>
      </c>
      <c r="R50" s="6"/>
      <c r="S50" s="6"/>
      <c r="T50" s="156"/>
      <c r="U50" s="6"/>
    </row>
    <row r="51" spans="1:21" customFormat="1">
      <c r="A51" s="163" t="s">
        <v>1345</v>
      </c>
      <c r="B51" s="100">
        <v>5.72</v>
      </c>
      <c r="C51" s="100">
        <v>20.55</v>
      </c>
      <c r="D51" s="100">
        <v>15.32</v>
      </c>
      <c r="E51" s="100">
        <v>5.31</v>
      </c>
      <c r="F51" s="100">
        <v>2.2200000000000002</v>
      </c>
      <c r="G51" s="100">
        <v>87.3</v>
      </c>
      <c r="H51" s="100">
        <v>44.06</v>
      </c>
      <c r="I51" s="100">
        <v>16.87</v>
      </c>
      <c r="J51" s="100">
        <v>0.28000000000000003</v>
      </c>
      <c r="K51" s="100">
        <v>72.61</v>
      </c>
      <c r="L51" s="100">
        <v>27.35</v>
      </c>
      <c r="M51" s="100">
        <v>29.52</v>
      </c>
      <c r="N51" s="100">
        <v>487.3</v>
      </c>
      <c r="O51" s="100">
        <v>0</v>
      </c>
      <c r="P51" s="100">
        <v>0.86</v>
      </c>
      <c r="Q51" s="100">
        <v>9.35</v>
      </c>
      <c r="R51" s="6"/>
      <c r="S51" s="6"/>
      <c r="T51" s="156"/>
      <c r="U51" s="6"/>
    </row>
    <row r="52" spans="1:21" customFormat="1">
      <c r="A52" s="163" t="s">
        <v>1346</v>
      </c>
      <c r="B52" s="100">
        <v>5.25</v>
      </c>
      <c r="C52" s="100">
        <v>20.7</v>
      </c>
      <c r="D52" s="100">
        <v>15.02</v>
      </c>
      <c r="E52" s="100">
        <v>5.45</v>
      </c>
      <c r="F52" s="100">
        <v>2.33</v>
      </c>
      <c r="G52" s="100">
        <v>87.3</v>
      </c>
      <c r="H52" s="100">
        <v>44.06</v>
      </c>
      <c r="I52" s="100">
        <v>14.46</v>
      </c>
      <c r="J52" s="100">
        <v>0.39</v>
      </c>
      <c r="K52" s="100">
        <v>16.05</v>
      </c>
      <c r="L52" s="100">
        <v>27.6</v>
      </c>
      <c r="M52" s="100">
        <v>28.27</v>
      </c>
      <c r="N52" s="100">
        <v>481.1</v>
      </c>
      <c r="O52" s="100">
        <v>0</v>
      </c>
      <c r="P52" s="100">
        <v>0.85</v>
      </c>
      <c r="Q52" s="100">
        <v>9.32</v>
      </c>
      <c r="R52" s="6"/>
      <c r="S52" s="6"/>
      <c r="T52" s="156"/>
      <c r="U52" s="6"/>
    </row>
    <row r="53" spans="1:21" customFormat="1">
      <c r="A53" s="163" t="s">
        <v>1347</v>
      </c>
      <c r="B53" s="100">
        <v>4.92</v>
      </c>
      <c r="C53" s="100">
        <v>20.9</v>
      </c>
      <c r="D53" s="100">
        <v>14.86</v>
      </c>
      <c r="E53" s="100">
        <v>5.7</v>
      </c>
      <c r="F53" s="100">
        <v>2.36</v>
      </c>
      <c r="G53" s="100">
        <v>83.91</v>
      </c>
      <c r="H53" s="100">
        <v>42.8</v>
      </c>
      <c r="I53" s="100">
        <v>14.18</v>
      </c>
      <c r="J53" s="100">
        <v>0.2</v>
      </c>
      <c r="K53" s="100">
        <v>69.38</v>
      </c>
      <c r="L53" s="100">
        <v>28</v>
      </c>
      <c r="M53" s="100">
        <v>27.47</v>
      </c>
      <c r="N53" s="100">
        <v>441.8</v>
      </c>
      <c r="O53" s="100">
        <v>0</v>
      </c>
      <c r="P53" s="100">
        <v>0.83</v>
      </c>
      <c r="Q53" s="100">
        <v>9.32</v>
      </c>
      <c r="R53" s="6"/>
      <c r="S53" s="6"/>
      <c r="T53" s="156"/>
      <c r="U53" s="6"/>
    </row>
    <row r="54" spans="1:21" customFormat="1">
      <c r="A54" s="163" t="s">
        <v>1348</v>
      </c>
      <c r="B54" s="100">
        <v>4.54</v>
      </c>
      <c r="C54" s="100">
        <v>21.24</v>
      </c>
      <c r="D54" s="100">
        <v>14.74</v>
      </c>
      <c r="E54" s="100">
        <v>5.51</v>
      </c>
      <c r="F54" s="100">
        <v>2.87</v>
      </c>
      <c r="G54" s="100">
        <v>83.72</v>
      </c>
      <c r="H54" s="100">
        <v>42.8</v>
      </c>
      <c r="I54" s="100">
        <v>13.97</v>
      </c>
      <c r="J54" s="100">
        <v>0.34</v>
      </c>
      <c r="K54" s="100">
        <v>64.540000000000006</v>
      </c>
      <c r="L54" s="100">
        <v>28.31</v>
      </c>
      <c r="M54" s="100">
        <v>25.96</v>
      </c>
      <c r="N54" s="100">
        <v>498.1</v>
      </c>
      <c r="O54" s="100">
        <v>0</v>
      </c>
      <c r="P54" s="100">
        <v>0.82</v>
      </c>
      <c r="Q54" s="100">
        <v>9.34</v>
      </c>
      <c r="R54" s="6"/>
      <c r="S54" s="6"/>
      <c r="T54" s="156"/>
      <c r="U54" s="6"/>
    </row>
    <row r="55" spans="1:21" customFormat="1">
      <c r="A55" s="163" t="s">
        <v>1349</v>
      </c>
      <c r="B55" s="100">
        <v>4.12</v>
      </c>
      <c r="C55" s="100">
        <v>21.72</v>
      </c>
      <c r="D55" s="100">
        <v>14.65</v>
      </c>
      <c r="E55" s="100">
        <v>4.83</v>
      </c>
      <c r="F55" s="100">
        <v>2.94</v>
      </c>
      <c r="G55" s="100">
        <v>83.72</v>
      </c>
      <c r="H55" s="100">
        <v>42.8</v>
      </c>
      <c r="I55" s="100">
        <v>13.88</v>
      </c>
      <c r="J55" s="100">
        <v>0.66</v>
      </c>
      <c r="K55" s="100">
        <v>24.51</v>
      </c>
      <c r="L55" s="100">
        <v>28.63</v>
      </c>
      <c r="M55" s="100">
        <v>24.16</v>
      </c>
      <c r="N55" s="100">
        <v>514.4</v>
      </c>
      <c r="O55" s="100">
        <v>0</v>
      </c>
      <c r="P55" s="100">
        <v>0.81</v>
      </c>
      <c r="Q55" s="100">
        <v>9.35</v>
      </c>
      <c r="R55" s="6"/>
      <c r="S55" s="6"/>
      <c r="T55" s="156"/>
      <c r="U55" s="6"/>
    </row>
    <row r="56" spans="1:21" customFormat="1">
      <c r="A56" s="163" t="s">
        <v>1350</v>
      </c>
      <c r="B56" s="100">
        <v>4.0199999999999996</v>
      </c>
      <c r="C56" s="100">
        <v>22.15</v>
      </c>
      <c r="D56" s="100">
        <v>14.8</v>
      </c>
      <c r="E56" s="100">
        <v>5.79</v>
      </c>
      <c r="F56" s="100">
        <v>2.69</v>
      </c>
      <c r="G56" s="100">
        <v>83.72</v>
      </c>
      <c r="H56" s="100">
        <v>42.8</v>
      </c>
      <c r="I56" s="100">
        <v>13.78</v>
      </c>
      <c r="J56" s="100">
        <v>0.79</v>
      </c>
      <c r="K56" s="100">
        <v>33.380000000000003</v>
      </c>
      <c r="L56" s="100">
        <v>28.97</v>
      </c>
      <c r="M56" s="100">
        <v>22.6</v>
      </c>
      <c r="N56" s="100">
        <v>543.4</v>
      </c>
      <c r="O56" s="100">
        <v>0</v>
      </c>
      <c r="P56" s="100">
        <v>0.78</v>
      </c>
      <c r="Q56" s="100">
        <v>9.31</v>
      </c>
      <c r="R56" s="6"/>
      <c r="S56" s="6"/>
      <c r="T56" s="156"/>
      <c r="U56" s="6"/>
    </row>
    <row r="57" spans="1:21" customFormat="1">
      <c r="A57" s="163" t="s">
        <v>1351</v>
      </c>
      <c r="B57" s="100">
        <v>3.96</v>
      </c>
      <c r="C57" s="100">
        <v>22.13</v>
      </c>
      <c r="D57" s="100">
        <v>14.73</v>
      </c>
      <c r="E57" s="100">
        <v>6.52</v>
      </c>
      <c r="F57" s="100">
        <v>3.87</v>
      </c>
      <c r="G57" s="100">
        <v>88.37</v>
      </c>
      <c r="H57" s="100">
        <v>40.53</v>
      </c>
      <c r="I57" s="100">
        <v>13.55</v>
      </c>
      <c r="J57" s="100">
        <v>0.55000000000000004</v>
      </c>
      <c r="K57" s="100">
        <v>62.83</v>
      </c>
      <c r="L57" s="100">
        <v>29.11</v>
      </c>
      <c r="M57" s="100">
        <v>21.56</v>
      </c>
      <c r="N57" s="100">
        <v>543</v>
      </c>
      <c r="O57" s="100">
        <v>0</v>
      </c>
      <c r="P57" s="100">
        <v>0.74</v>
      </c>
      <c r="Q57" s="100">
        <v>9.33</v>
      </c>
      <c r="R57" s="6"/>
      <c r="S57" s="6"/>
      <c r="T57" s="156"/>
      <c r="U57" s="6"/>
    </row>
    <row r="58" spans="1:21" customFormat="1">
      <c r="A58" s="163" t="s">
        <v>1352</v>
      </c>
      <c r="B58" s="100">
        <v>3.63</v>
      </c>
      <c r="C58" s="100">
        <v>21.96</v>
      </c>
      <c r="D58" s="100">
        <v>14.38</v>
      </c>
      <c r="E58" s="100">
        <v>6.11</v>
      </c>
      <c r="F58" s="100">
        <v>5.47</v>
      </c>
      <c r="G58" s="100">
        <v>88.65</v>
      </c>
      <c r="H58" s="100">
        <v>40.53</v>
      </c>
      <c r="I58" s="100">
        <v>13.14</v>
      </c>
      <c r="J58" s="100">
        <v>0.37</v>
      </c>
      <c r="K58" s="100">
        <v>37.090000000000003</v>
      </c>
      <c r="L58" s="100">
        <v>29.67</v>
      </c>
      <c r="M58" s="100">
        <v>20.95</v>
      </c>
      <c r="N58" s="100">
        <v>544</v>
      </c>
      <c r="O58" s="100">
        <v>0</v>
      </c>
      <c r="P58" s="100">
        <v>0.69</v>
      </c>
      <c r="Q58" s="100">
        <v>9.2799999999999994</v>
      </c>
      <c r="R58" s="6"/>
      <c r="S58" s="6"/>
      <c r="T58" s="156"/>
      <c r="U58" s="6"/>
    </row>
    <row r="59" spans="1:21" customFormat="1">
      <c r="A59" s="163" t="s">
        <v>1353</v>
      </c>
      <c r="B59" s="100">
        <v>3.32</v>
      </c>
      <c r="C59" s="100">
        <v>21.87</v>
      </c>
      <c r="D59" s="100">
        <v>14.09</v>
      </c>
      <c r="E59" s="100">
        <v>6.41</v>
      </c>
      <c r="F59" s="100">
        <v>7.61</v>
      </c>
      <c r="G59" s="100">
        <v>88.65</v>
      </c>
      <c r="H59" s="100">
        <v>40.53</v>
      </c>
      <c r="I59" s="100">
        <v>12.5</v>
      </c>
      <c r="J59" s="100">
        <v>0.53</v>
      </c>
      <c r="K59" s="100">
        <v>24.09</v>
      </c>
      <c r="L59" s="100">
        <v>29.81</v>
      </c>
      <c r="M59" s="100">
        <v>19.61</v>
      </c>
      <c r="N59" s="100">
        <v>541.1</v>
      </c>
      <c r="O59" s="100">
        <v>0</v>
      </c>
      <c r="P59" s="100">
        <v>0.63</v>
      </c>
      <c r="Q59" s="100">
        <v>9.34</v>
      </c>
      <c r="R59" s="6"/>
      <c r="S59" s="6"/>
      <c r="T59" s="156"/>
      <c r="U59" s="6"/>
    </row>
    <row r="60" spans="1:21" customFormat="1">
      <c r="A60" s="163" t="s">
        <v>1354</v>
      </c>
      <c r="B60" s="100">
        <v>3.13</v>
      </c>
      <c r="C60" s="100">
        <v>22.13</v>
      </c>
      <c r="D60" s="100">
        <v>14.08</v>
      </c>
      <c r="E60" s="100">
        <v>7.14</v>
      </c>
      <c r="F60" s="100">
        <v>11.41</v>
      </c>
      <c r="G60" s="100">
        <v>88.65</v>
      </c>
      <c r="H60" s="100">
        <v>40.53</v>
      </c>
      <c r="I60" s="100">
        <v>11.73</v>
      </c>
      <c r="J60" s="100">
        <v>0.25</v>
      </c>
      <c r="K60" s="100">
        <v>112.85</v>
      </c>
      <c r="L60" s="100">
        <v>30.06</v>
      </c>
      <c r="M60" s="100">
        <v>20.34</v>
      </c>
      <c r="N60" s="100">
        <v>496.6</v>
      </c>
      <c r="O60" s="100">
        <v>0</v>
      </c>
      <c r="P60" s="100">
        <v>0.56000000000000005</v>
      </c>
      <c r="Q60" s="100">
        <v>9.31</v>
      </c>
      <c r="R60" s="6"/>
      <c r="S60" s="6"/>
      <c r="T60" s="156"/>
      <c r="U60" s="6"/>
    </row>
    <row r="61" spans="1:21" customFormat="1">
      <c r="A61" s="163" t="s">
        <v>1355</v>
      </c>
      <c r="B61" s="100">
        <v>2.98</v>
      </c>
      <c r="C61" s="100">
        <v>21.15</v>
      </c>
      <c r="D61" s="100">
        <v>13.44</v>
      </c>
      <c r="E61" s="100">
        <v>6.1</v>
      </c>
      <c r="F61" s="100">
        <v>12.31</v>
      </c>
      <c r="G61" s="100">
        <v>76.55</v>
      </c>
      <c r="H61" s="100">
        <v>33.33</v>
      </c>
      <c r="I61" s="100">
        <v>10.94</v>
      </c>
      <c r="J61" s="100">
        <v>0.1</v>
      </c>
      <c r="K61" s="100">
        <v>119.88</v>
      </c>
      <c r="L61" s="100">
        <v>30.2</v>
      </c>
      <c r="M61" s="100">
        <v>20.11</v>
      </c>
      <c r="N61" s="100">
        <v>407.8</v>
      </c>
      <c r="O61" s="100">
        <v>0</v>
      </c>
      <c r="P61" s="100">
        <v>0.52</v>
      </c>
      <c r="Q61" s="100">
        <v>9.32</v>
      </c>
      <c r="R61" s="6"/>
      <c r="S61" s="6"/>
      <c r="T61" s="156"/>
      <c r="U61" s="6"/>
    </row>
    <row r="62" spans="1:21" customFormat="1">
      <c r="A62" s="163" t="s">
        <v>1356</v>
      </c>
      <c r="B62" s="100">
        <v>2.96</v>
      </c>
      <c r="C62" s="100">
        <v>20.14</v>
      </c>
      <c r="D62" s="100">
        <v>12.9</v>
      </c>
      <c r="E62" s="100">
        <v>6.43</v>
      </c>
      <c r="F62" s="100">
        <v>11.63</v>
      </c>
      <c r="G62" s="100">
        <v>75.84</v>
      </c>
      <c r="H62" s="100">
        <v>33.33</v>
      </c>
      <c r="I62" s="100">
        <v>10.119999999999999</v>
      </c>
      <c r="J62" s="100">
        <v>0.39</v>
      </c>
      <c r="K62" s="100">
        <v>315.44</v>
      </c>
      <c r="L62" s="100">
        <v>29.49</v>
      </c>
      <c r="M62" s="100">
        <v>19.18</v>
      </c>
      <c r="N62" s="100">
        <v>151.5</v>
      </c>
      <c r="O62" s="100">
        <v>0</v>
      </c>
      <c r="P62" s="100">
        <v>0.49</v>
      </c>
      <c r="Q62" s="100">
        <v>9.32</v>
      </c>
      <c r="R62" s="6"/>
      <c r="S62" s="6"/>
      <c r="T62" s="156"/>
      <c r="U62" s="6"/>
    </row>
    <row r="63" spans="1:21" customFormat="1">
      <c r="A63" s="163" t="s">
        <v>1357</v>
      </c>
      <c r="B63" s="100">
        <v>3.01</v>
      </c>
      <c r="C63" s="100">
        <v>19.46</v>
      </c>
      <c r="D63" s="100">
        <v>12.58</v>
      </c>
      <c r="E63" s="100">
        <v>5.18</v>
      </c>
      <c r="F63" s="100">
        <v>8.23</v>
      </c>
      <c r="G63" s="100">
        <v>75.84</v>
      </c>
      <c r="H63" s="100">
        <v>33.33</v>
      </c>
      <c r="I63" s="100">
        <v>9.44</v>
      </c>
      <c r="J63" s="100">
        <v>0.03</v>
      </c>
      <c r="K63" s="100">
        <v>145.76</v>
      </c>
      <c r="L63" s="100">
        <v>29.25</v>
      </c>
      <c r="M63" s="100">
        <v>21.19</v>
      </c>
      <c r="N63" s="100">
        <v>123.3</v>
      </c>
      <c r="O63" s="100">
        <v>0</v>
      </c>
      <c r="P63" s="100">
        <v>0.49</v>
      </c>
      <c r="Q63" s="100">
        <v>9.33</v>
      </c>
      <c r="R63" s="6"/>
      <c r="S63" s="6"/>
      <c r="T63" s="156"/>
      <c r="U63" s="6"/>
    </row>
    <row r="64" spans="1:21" customFormat="1">
      <c r="A64" s="163" t="s">
        <v>1358</v>
      </c>
      <c r="B64" s="100">
        <v>3.27</v>
      </c>
      <c r="C64" s="100">
        <v>19.34</v>
      </c>
      <c r="D64" s="100">
        <v>12.72</v>
      </c>
      <c r="E64" s="100">
        <v>5.64</v>
      </c>
      <c r="F64" s="100">
        <v>10.26</v>
      </c>
      <c r="G64" s="100">
        <v>75.84</v>
      </c>
      <c r="H64" s="100">
        <v>33.33</v>
      </c>
      <c r="I64" s="100">
        <v>8.9700000000000006</v>
      </c>
      <c r="J64" s="100">
        <v>0.35</v>
      </c>
      <c r="K64" s="100">
        <v>332.86</v>
      </c>
      <c r="L64" s="100">
        <v>29.5</v>
      </c>
      <c r="M64" s="100">
        <v>18.62</v>
      </c>
      <c r="N64" s="100">
        <v>97</v>
      </c>
      <c r="O64" s="100">
        <v>0</v>
      </c>
      <c r="P64" s="100">
        <v>0.49</v>
      </c>
      <c r="Q64" s="100">
        <v>9.3000000000000007</v>
      </c>
      <c r="R64" s="6"/>
      <c r="S64" s="6"/>
      <c r="T64" s="156"/>
      <c r="U64" s="6"/>
    </row>
    <row r="65" spans="1:21" customFormat="1">
      <c r="A65" s="163" t="s">
        <v>1359</v>
      </c>
      <c r="B65" s="100">
        <v>3.22</v>
      </c>
      <c r="C65" s="100">
        <v>20.85</v>
      </c>
      <c r="D65" s="100">
        <v>13.48</v>
      </c>
      <c r="E65" s="100">
        <v>15.11</v>
      </c>
      <c r="F65" s="100">
        <v>30.03</v>
      </c>
      <c r="G65" s="100">
        <v>60.85</v>
      </c>
      <c r="H65" s="100">
        <v>28.88</v>
      </c>
      <c r="I65" s="100">
        <v>8.69</v>
      </c>
      <c r="J65" s="100">
        <v>0.28000000000000003</v>
      </c>
      <c r="K65" s="100">
        <v>297.2</v>
      </c>
      <c r="L65" s="100">
        <v>29.38</v>
      </c>
      <c r="M65" s="100">
        <v>19.5</v>
      </c>
      <c r="N65" s="100">
        <v>91.3</v>
      </c>
      <c r="O65" s="100">
        <v>0</v>
      </c>
      <c r="P65" s="100">
        <v>0.43</v>
      </c>
      <c r="Q65" s="100">
        <v>9.2799999999999994</v>
      </c>
      <c r="R65" s="6"/>
      <c r="S65" s="6"/>
      <c r="T65" s="156"/>
      <c r="U65" s="6"/>
    </row>
    <row r="66" spans="1:21" customFormat="1">
      <c r="A66" s="163" t="s">
        <v>1360</v>
      </c>
      <c r="B66" s="100">
        <v>2.94</v>
      </c>
      <c r="C66" s="100">
        <v>20.88</v>
      </c>
      <c r="D66" s="100">
        <v>13.27</v>
      </c>
      <c r="E66" s="100">
        <v>10.29</v>
      </c>
      <c r="F66" s="100">
        <v>20.76</v>
      </c>
      <c r="G66" s="100">
        <v>59.97</v>
      </c>
      <c r="H66" s="100">
        <v>28.88</v>
      </c>
      <c r="I66" s="100">
        <v>8.32</v>
      </c>
      <c r="J66" s="100">
        <v>0.37</v>
      </c>
      <c r="K66" s="100">
        <v>240.04</v>
      </c>
      <c r="L66" s="100">
        <v>29.44</v>
      </c>
      <c r="M66" s="100">
        <v>21.02</v>
      </c>
      <c r="N66" s="100">
        <v>96.7</v>
      </c>
      <c r="O66" s="100">
        <v>0</v>
      </c>
      <c r="P66" s="100">
        <v>0.44</v>
      </c>
      <c r="Q66" s="100">
        <v>9.2899999999999991</v>
      </c>
      <c r="R66" s="6"/>
      <c r="S66" s="6"/>
      <c r="T66" s="156"/>
      <c r="U66" s="6"/>
    </row>
    <row r="67" spans="1:21" customFormat="1">
      <c r="A67" s="163" t="s">
        <v>1361</v>
      </c>
      <c r="B67" s="100">
        <v>2.85</v>
      </c>
      <c r="C67" s="100">
        <v>19.95</v>
      </c>
      <c r="D67" s="100">
        <v>12.7</v>
      </c>
      <c r="E67" s="100">
        <v>6.9</v>
      </c>
      <c r="F67" s="100">
        <v>11.46</v>
      </c>
      <c r="G67" s="100">
        <v>59.97</v>
      </c>
      <c r="H67" s="100">
        <v>28.88</v>
      </c>
      <c r="I67" s="100">
        <v>7.72</v>
      </c>
      <c r="J67" s="100">
        <v>0.3</v>
      </c>
      <c r="K67" s="100">
        <v>330.96</v>
      </c>
      <c r="L67" s="100">
        <v>29.6</v>
      </c>
      <c r="M67" s="100">
        <v>18.57</v>
      </c>
      <c r="N67" s="100">
        <v>91.3</v>
      </c>
      <c r="O67" s="100">
        <v>0</v>
      </c>
      <c r="P67" s="100">
        <v>0.44</v>
      </c>
      <c r="Q67" s="100">
        <v>9.33</v>
      </c>
      <c r="R67" s="6"/>
      <c r="S67" s="6"/>
      <c r="T67" s="156"/>
      <c r="U67" s="6"/>
    </row>
    <row r="68" spans="1:21" customFormat="1">
      <c r="A68" s="163" t="s">
        <v>1362</v>
      </c>
      <c r="B68" s="100">
        <v>2.92</v>
      </c>
      <c r="C68" s="100">
        <v>18.93</v>
      </c>
      <c r="D68" s="100">
        <v>12.23</v>
      </c>
      <c r="E68" s="100">
        <v>5.82</v>
      </c>
      <c r="F68" s="100">
        <v>6.5</v>
      </c>
      <c r="G68" s="100">
        <v>59.97</v>
      </c>
      <c r="H68" s="100">
        <v>28.88</v>
      </c>
      <c r="I68" s="100">
        <v>7.34</v>
      </c>
      <c r="J68" s="100">
        <v>0.17</v>
      </c>
      <c r="K68" s="100">
        <v>207.27</v>
      </c>
      <c r="L68" s="100">
        <v>29.2</v>
      </c>
      <c r="M68" s="100">
        <v>21.92</v>
      </c>
      <c r="N68" s="100">
        <v>78.8</v>
      </c>
      <c r="O68" s="100">
        <v>0</v>
      </c>
      <c r="P68" s="100">
        <v>0.43</v>
      </c>
      <c r="Q68" s="100">
        <v>9.31</v>
      </c>
      <c r="R68" s="6"/>
      <c r="S68" s="6"/>
      <c r="T68" s="156"/>
      <c r="U68" s="6"/>
    </row>
    <row r="69" spans="1:21" customFormat="1">
      <c r="A69" s="163" t="s">
        <v>1363</v>
      </c>
      <c r="B69" s="100">
        <v>3.05</v>
      </c>
      <c r="C69" s="100">
        <v>18.690000000000001</v>
      </c>
      <c r="D69" s="100">
        <v>12.21</v>
      </c>
      <c r="E69" s="100">
        <v>8.6999999999999993</v>
      </c>
      <c r="F69" s="100">
        <v>7.62</v>
      </c>
      <c r="G69" s="100">
        <v>60.91</v>
      </c>
      <c r="H69" s="100">
        <v>29.27</v>
      </c>
      <c r="I69" s="100">
        <v>7.28</v>
      </c>
      <c r="J69" s="100">
        <v>0.16</v>
      </c>
      <c r="K69" s="100">
        <v>60.94</v>
      </c>
      <c r="L69" s="100">
        <v>29.45</v>
      </c>
      <c r="M69" s="100">
        <v>20.98</v>
      </c>
      <c r="N69" s="100">
        <v>74.2</v>
      </c>
      <c r="O69" s="100">
        <v>0</v>
      </c>
      <c r="P69" s="100">
        <v>0.43</v>
      </c>
      <c r="Q69" s="100">
        <v>9.34</v>
      </c>
      <c r="R69" s="6"/>
      <c r="S69" s="6"/>
      <c r="T69" s="156"/>
      <c r="U69" s="6"/>
    </row>
    <row r="70" spans="1:21" customFormat="1">
      <c r="A70" s="163" t="s">
        <v>1364</v>
      </c>
      <c r="B70" s="100">
        <v>3.11</v>
      </c>
      <c r="C70" s="100">
        <v>17.899999999999999</v>
      </c>
      <c r="D70" s="100">
        <v>11.84</v>
      </c>
      <c r="E70" s="100">
        <v>6.36</v>
      </c>
      <c r="F70" s="100">
        <v>6.64</v>
      </c>
      <c r="G70" s="100">
        <v>60.96</v>
      </c>
      <c r="H70" s="100">
        <v>29.27</v>
      </c>
      <c r="I70" s="100">
        <v>8.1</v>
      </c>
      <c r="J70" s="100">
        <v>0.2</v>
      </c>
      <c r="K70" s="100">
        <v>158.62</v>
      </c>
      <c r="L70" s="100">
        <v>29.04</v>
      </c>
      <c r="M70" s="100">
        <v>24</v>
      </c>
      <c r="N70" s="100">
        <v>71.2</v>
      </c>
      <c r="O70" s="100">
        <v>0</v>
      </c>
      <c r="P70" s="100">
        <v>0.43</v>
      </c>
      <c r="Q70" s="100">
        <v>9.35</v>
      </c>
      <c r="R70" s="6"/>
      <c r="S70" s="6"/>
      <c r="T70" s="156"/>
      <c r="U70" s="6"/>
    </row>
    <row r="71" spans="1:21" customFormat="1">
      <c r="A71" s="163" t="s">
        <v>1365</v>
      </c>
      <c r="B71" s="100">
        <v>3.11</v>
      </c>
      <c r="C71" s="100">
        <v>17.3</v>
      </c>
      <c r="D71" s="100">
        <v>11.53</v>
      </c>
      <c r="E71" s="100">
        <v>6.32</v>
      </c>
      <c r="F71" s="100">
        <v>6.06</v>
      </c>
      <c r="G71" s="100">
        <v>60.96</v>
      </c>
      <c r="H71" s="100">
        <v>29.27</v>
      </c>
      <c r="I71" s="100">
        <v>9.0299999999999994</v>
      </c>
      <c r="J71" s="100">
        <v>0.23</v>
      </c>
      <c r="K71" s="100">
        <v>169.22</v>
      </c>
      <c r="L71" s="100">
        <v>28.76</v>
      </c>
      <c r="M71" s="100">
        <v>24.37</v>
      </c>
      <c r="N71" s="100">
        <v>58.3</v>
      </c>
      <c r="O71" s="100">
        <v>0</v>
      </c>
      <c r="P71" s="100">
        <v>0.43</v>
      </c>
      <c r="Q71" s="100">
        <v>9.2799999999999994</v>
      </c>
      <c r="R71" s="6"/>
      <c r="S71" s="6"/>
      <c r="T71" s="156"/>
      <c r="U71" s="6"/>
    </row>
    <row r="72" spans="1:21" customFormat="1">
      <c r="A72" s="163" t="s">
        <v>1366</v>
      </c>
      <c r="B72" s="100">
        <v>3.15</v>
      </c>
      <c r="C72" s="100">
        <v>16.899999999999999</v>
      </c>
      <c r="D72" s="100">
        <v>11.35</v>
      </c>
      <c r="E72" s="100">
        <v>6.65</v>
      </c>
      <c r="F72" s="100">
        <v>8.0299999999999994</v>
      </c>
      <c r="G72" s="100">
        <v>60.96</v>
      </c>
      <c r="H72" s="100">
        <v>29.27</v>
      </c>
      <c r="I72" s="100">
        <v>9.0299999999999994</v>
      </c>
      <c r="J72" s="100">
        <v>0.1</v>
      </c>
      <c r="K72" s="100">
        <v>177.57</v>
      </c>
      <c r="L72" s="100">
        <v>28.41</v>
      </c>
      <c r="M72" s="100">
        <v>25.03</v>
      </c>
      <c r="N72" s="100">
        <v>50.8</v>
      </c>
      <c r="O72" s="100">
        <v>0</v>
      </c>
      <c r="P72" s="100">
        <v>0.43</v>
      </c>
      <c r="Q72" s="100">
        <v>9.31</v>
      </c>
      <c r="R72" s="6"/>
      <c r="S72" s="6"/>
      <c r="T72" s="156"/>
      <c r="U72" s="6"/>
    </row>
    <row r="73" spans="1:21" customFormat="1">
      <c r="A73" s="163" t="s">
        <v>1367</v>
      </c>
      <c r="B73" s="100">
        <v>3.24</v>
      </c>
      <c r="C73" s="100">
        <v>17.45</v>
      </c>
      <c r="D73" s="100">
        <v>11.72</v>
      </c>
      <c r="E73" s="100">
        <v>7.18</v>
      </c>
      <c r="F73" s="100">
        <v>4.3600000000000003</v>
      </c>
      <c r="G73" s="100">
        <v>63.68</v>
      </c>
      <c r="H73" s="100">
        <v>29.61</v>
      </c>
      <c r="I73" s="100">
        <v>9.01</v>
      </c>
      <c r="J73" s="100">
        <v>0.09</v>
      </c>
      <c r="K73" s="100">
        <v>160.75</v>
      </c>
      <c r="L73" s="100">
        <v>28.14</v>
      </c>
      <c r="M73" s="100">
        <v>26.96</v>
      </c>
      <c r="N73" s="100">
        <v>43</v>
      </c>
      <c r="O73" s="100">
        <v>0</v>
      </c>
      <c r="P73" s="100">
        <v>0.44</v>
      </c>
      <c r="Q73" s="100">
        <v>9.33</v>
      </c>
      <c r="R73" s="6"/>
      <c r="S73" s="6"/>
      <c r="T73" s="156"/>
      <c r="U73" s="6"/>
    </row>
    <row r="74" spans="1:21" customFormat="1">
      <c r="A74" s="163" t="s">
        <v>1368</v>
      </c>
      <c r="B74" s="100">
        <v>3.29</v>
      </c>
      <c r="C74" s="100">
        <v>17.170000000000002</v>
      </c>
      <c r="D74" s="100">
        <v>11.61</v>
      </c>
      <c r="E74" s="100">
        <v>5.99</v>
      </c>
      <c r="F74" s="100">
        <v>4.68</v>
      </c>
      <c r="G74" s="100">
        <v>63.84</v>
      </c>
      <c r="H74" s="100">
        <v>29.61</v>
      </c>
      <c r="I74" s="100">
        <v>9</v>
      </c>
      <c r="J74" s="100">
        <v>0.26</v>
      </c>
      <c r="K74" s="100">
        <v>168.35</v>
      </c>
      <c r="L74" s="100">
        <v>27.41</v>
      </c>
      <c r="M74" s="100">
        <v>29.33</v>
      </c>
      <c r="N74" s="100">
        <v>36.799999999999997</v>
      </c>
      <c r="O74" s="100">
        <v>0</v>
      </c>
      <c r="P74" s="100">
        <v>0.44</v>
      </c>
      <c r="Q74" s="100">
        <v>9.32</v>
      </c>
      <c r="R74" s="6"/>
      <c r="S74" s="6"/>
      <c r="T74" s="156"/>
      <c r="U74" s="6"/>
    </row>
    <row r="75" spans="1:21" customFormat="1">
      <c r="A75" s="163" t="s">
        <v>1369</v>
      </c>
      <c r="B75" s="100">
        <v>3.39</v>
      </c>
      <c r="C75" s="100">
        <v>17.079999999999998</v>
      </c>
      <c r="D75" s="100">
        <v>11.64</v>
      </c>
      <c r="E75" s="100">
        <v>5.39</v>
      </c>
      <c r="F75" s="100">
        <v>4.01</v>
      </c>
      <c r="G75" s="100">
        <v>63.84</v>
      </c>
      <c r="H75" s="100">
        <v>29.61</v>
      </c>
      <c r="I75" s="100">
        <v>9.0399999999999991</v>
      </c>
      <c r="J75" s="100">
        <v>0.16</v>
      </c>
      <c r="K75" s="100">
        <v>180.55</v>
      </c>
      <c r="L75" s="100">
        <v>26.72</v>
      </c>
      <c r="M75" s="100">
        <v>32.159999999999997</v>
      </c>
      <c r="N75" s="100">
        <v>26.8</v>
      </c>
      <c r="O75" s="100">
        <v>0</v>
      </c>
      <c r="P75" s="100">
        <v>0.44</v>
      </c>
      <c r="Q75" s="100">
        <v>9.3000000000000007</v>
      </c>
      <c r="R75" s="6"/>
      <c r="S75" s="6"/>
      <c r="T75" s="156"/>
      <c r="U75" s="6"/>
    </row>
    <row r="76" spans="1:21" customFormat="1">
      <c r="A76" s="163" t="s">
        <v>1370</v>
      </c>
      <c r="B76" s="100">
        <v>3.53</v>
      </c>
      <c r="C76" s="100">
        <v>17.420000000000002</v>
      </c>
      <c r="D76" s="100">
        <v>11.93</v>
      </c>
      <c r="E76" s="100">
        <v>5.4</v>
      </c>
      <c r="F76" s="100">
        <v>3.12</v>
      </c>
      <c r="G76" s="100">
        <v>63.84</v>
      </c>
      <c r="H76" s="100">
        <v>29.61</v>
      </c>
      <c r="I76" s="100">
        <v>9.1</v>
      </c>
      <c r="J76" s="100">
        <v>0.24</v>
      </c>
      <c r="K76" s="100">
        <v>167.4</v>
      </c>
      <c r="L76" s="100">
        <v>26.12</v>
      </c>
      <c r="M76" s="100">
        <v>34.64</v>
      </c>
      <c r="N76" s="100">
        <v>19</v>
      </c>
      <c r="O76" s="100">
        <v>0</v>
      </c>
      <c r="P76" s="100">
        <v>0.45</v>
      </c>
      <c r="Q76" s="100">
        <v>9.33</v>
      </c>
      <c r="R76" s="6"/>
      <c r="S76" s="6"/>
      <c r="T76" s="156"/>
      <c r="U76" s="6"/>
    </row>
    <row r="77" spans="1:21" customFormat="1">
      <c r="A77" s="163" t="s">
        <v>1371</v>
      </c>
      <c r="B77" s="100">
        <v>3.65</v>
      </c>
      <c r="C77" s="100">
        <v>17.54</v>
      </c>
      <c r="D77" s="100">
        <v>12.1</v>
      </c>
      <c r="E77" s="100">
        <v>5.09</v>
      </c>
      <c r="F77" s="100">
        <v>2.2999999999999998</v>
      </c>
      <c r="G77" s="100">
        <v>67.430000000000007</v>
      </c>
      <c r="H77" s="100">
        <v>30.93</v>
      </c>
      <c r="I77" s="100">
        <v>9.1999999999999993</v>
      </c>
      <c r="J77" s="100">
        <v>0.28000000000000003</v>
      </c>
      <c r="K77" s="100">
        <v>165.45</v>
      </c>
      <c r="L77" s="100">
        <v>25.33</v>
      </c>
      <c r="M77" s="100">
        <v>38.21</v>
      </c>
      <c r="N77" s="100">
        <v>12.4</v>
      </c>
      <c r="O77" s="100">
        <v>0</v>
      </c>
      <c r="P77" s="100">
        <v>0.45</v>
      </c>
      <c r="Q77" s="100">
        <v>9.2899999999999991</v>
      </c>
      <c r="R77" s="6"/>
      <c r="S77" s="6"/>
      <c r="T77" s="156"/>
      <c r="U77" s="6"/>
    </row>
    <row r="78" spans="1:21" customFormat="1">
      <c r="A78" s="163" t="s">
        <v>1372</v>
      </c>
      <c r="B78" s="100">
        <v>3.84</v>
      </c>
      <c r="C78" s="100">
        <v>18.14</v>
      </c>
      <c r="D78" s="100">
        <v>12.55</v>
      </c>
      <c r="E78" s="100">
        <v>5.39</v>
      </c>
      <c r="F78" s="100">
        <v>1.8</v>
      </c>
      <c r="G78" s="100">
        <v>67.650000000000006</v>
      </c>
      <c r="H78" s="100">
        <v>30.93</v>
      </c>
      <c r="I78" s="100">
        <v>9.32</v>
      </c>
      <c r="J78" s="100">
        <v>0.22</v>
      </c>
      <c r="K78" s="100">
        <v>160.76</v>
      </c>
      <c r="L78" s="100">
        <v>24.64</v>
      </c>
      <c r="M78" s="100">
        <v>40.67</v>
      </c>
      <c r="N78" s="100">
        <v>8.3000000000000007</v>
      </c>
      <c r="O78" s="100">
        <v>0</v>
      </c>
      <c r="P78" s="100">
        <v>0.47</v>
      </c>
      <c r="Q78" s="100">
        <v>9.3000000000000007</v>
      </c>
      <c r="R78" s="6"/>
      <c r="S78" s="6"/>
      <c r="T78" s="156"/>
      <c r="U78" s="6"/>
    </row>
    <row r="79" spans="1:21" customFormat="1">
      <c r="A79" s="163" t="s">
        <v>1373</v>
      </c>
      <c r="B79" s="100">
        <v>4.08</v>
      </c>
      <c r="C79" s="100">
        <v>18.79</v>
      </c>
      <c r="D79" s="100">
        <v>13.09</v>
      </c>
      <c r="E79" s="100">
        <v>5.15</v>
      </c>
      <c r="F79" s="100">
        <v>1.47</v>
      </c>
      <c r="G79" s="100">
        <v>67.650000000000006</v>
      </c>
      <c r="H79" s="100">
        <v>30.93</v>
      </c>
      <c r="I79" s="100">
        <v>9.4499999999999993</v>
      </c>
      <c r="J79" s="100">
        <v>0.23</v>
      </c>
      <c r="K79" s="100">
        <v>165.27</v>
      </c>
      <c r="L79" s="100">
        <v>24.21</v>
      </c>
      <c r="M79" s="100">
        <v>41.23</v>
      </c>
      <c r="N79" s="100">
        <v>7</v>
      </c>
      <c r="O79" s="100">
        <v>0</v>
      </c>
      <c r="P79" s="100">
        <v>0.48</v>
      </c>
      <c r="Q79" s="100">
        <v>9.44</v>
      </c>
      <c r="R79" s="6"/>
      <c r="S79" s="6"/>
      <c r="T79" s="156"/>
      <c r="U79" s="6"/>
    </row>
    <row r="80" spans="1:21" customFormat="1">
      <c r="A80" s="163" t="s">
        <v>1374</v>
      </c>
      <c r="B80" s="100">
        <v>4.3499999999999996</v>
      </c>
      <c r="C80" s="100">
        <v>19.48</v>
      </c>
      <c r="D80" s="100">
        <v>13.66</v>
      </c>
      <c r="E80" s="100">
        <v>5.23</v>
      </c>
      <c r="F80" s="100">
        <v>1.38</v>
      </c>
      <c r="G80" s="100">
        <v>67.650000000000006</v>
      </c>
      <c r="H80" s="100">
        <v>30.93</v>
      </c>
      <c r="I80" s="100">
        <v>9.68</v>
      </c>
      <c r="J80" s="100">
        <v>0.31</v>
      </c>
      <c r="K80" s="100">
        <v>164.65</v>
      </c>
      <c r="L80" s="100">
        <v>23.44</v>
      </c>
      <c r="M80" s="100">
        <v>45.54</v>
      </c>
      <c r="N80" s="100">
        <v>7</v>
      </c>
      <c r="O80" s="100">
        <v>0</v>
      </c>
      <c r="P80" s="100">
        <v>0.51</v>
      </c>
      <c r="Q80" s="100">
        <v>9.36</v>
      </c>
      <c r="R80" s="6"/>
      <c r="S80" s="6"/>
      <c r="T80" s="156"/>
      <c r="U80" s="6"/>
    </row>
    <row r="81" spans="1:21" customFormat="1">
      <c r="A81" s="163" t="s">
        <v>1375</v>
      </c>
      <c r="B81" s="100">
        <v>4.68</v>
      </c>
      <c r="C81" s="100">
        <v>20.059999999999999</v>
      </c>
      <c r="D81" s="100">
        <v>14.23</v>
      </c>
      <c r="E81" s="100">
        <v>5</v>
      </c>
      <c r="F81" s="100">
        <v>1.39</v>
      </c>
      <c r="G81" s="100">
        <v>85.55</v>
      </c>
      <c r="H81" s="100">
        <v>36.35</v>
      </c>
      <c r="I81" s="100">
        <v>9.8800000000000008</v>
      </c>
      <c r="J81" s="100">
        <v>0.27</v>
      </c>
      <c r="K81" s="100">
        <v>167.71</v>
      </c>
      <c r="L81" s="100">
        <v>23.09</v>
      </c>
      <c r="M81" s="100">
        <v>45.25</v>
      </c>
      <c r="N81" s="100">
        <v>6.8</v>
      </c>
      <c r="O81" s="100">
        <v>0</v>
      </c>
      <c r="P81" s="100">
        <v>0.53</v>
      </c>
      <c r="Q81" s="100">
        <v>9.43</v>
      </c>
      <c r="R81" s="6"/>
      <c r="S81" s="6"/>
      <c r="T81" s="156"/>
      <c r="U81" s="6"/>
    </row>
    <row r="82" spans="1:21" customFormat="1">
      <c r="A82" s="163" t="s">
        <v>1376</v>
      </c>
      <c r="B82" s="100">
        <v>5.16</v>
      </c>
      <c r="C82" s="100">
        <v>20.48</v>
      </c>
      <c r="D82" s="100">
        <v>14.84</v>
      </c>
      <c r="E82" s="100">
        <v>5.69</v>
      </c>
      <c r="F82" s="100">
        <v>1.19</v>
      </c>
      <c r="G82" s="100">
        <v>86.6</v>
      </c>
      <c r="H82" s="100">
        <v>36.35</v>
      </c>
      <c r="I82" s="100">
        <v>10.35</v>
      </c>
      <c r="J82" s="100">
        <v>0.25</v>
      </c>
      <c r="K82" s="100">
        <v>174.13</v>
      </c>
      <c r="L82" s="100">
        <v>22.57</v>
      </c>
      <c r="M82" s="100">
        <v>50.18</v>
      </c>
      <c r="N82" s="100">
        <v>6.8</v>
      </c>
      <c r="O82" s="100">
        <v>0</v>
      </c>
      <c r="P82" s="100">
        <v>0.55000000000000004</v>
      </c>
      <c r="Q82" s="100">
        <v>9.4600000000000009</v>
      </c>
      <c r="R82" s="6"/>
      <c r="S82" s="6"/>
      <c r="T82" s="156"/>
      <c r="U82" s="6"/>
    </row>
    <row r="83" spans="1:21" customFormat="1">
      <c r="A83" s="163" t="s">
        <v>1377</v>
      </c>
      <c r="B83" s="100">
        <v>5.49</v>
      </c>
      <c r="C83" s="100">
        <v>20.97</v>
      </c>
      <c r="D83" s="100">
        <v>15.36</v>
      </c>
      <c r="E83" s="100">
        <v>5.7</v>
      </c>
      <c r="F83" s="100">
        <v>1.25</v>
      </c>
      <c r="G83" s="100">
        <v>86.6</v>
      </c>
      <c r="H83" s="100">
        <v>36.35</v>
      </c>
      <c r="I83" s="100">
        <v>11.1</v>
      </c>
      <c r="J83" s="100">
        <v>0.22</v>
      </c>
      <c r="K83" s="100">
        <v>178.79</v>
      </c>
      <c r="L83" s="100">
        <v>21.99</v>
      </c>
      <c r="M83" s="100">
        <v>63.39</v>
      </c>
      <c r="N83" s="100">
        <v>7</v>
      </c>
      <c r="O83" s="100">
        <v>0</v>
      </c>
      <c r="P83" s="100">
        <v>0.55000000000000004</v>
      </c>
      <c r="Q83" s="100">
        <v>9.43</v>
      </c>
      <c r="R83" s="6"/>
      <c r="S83" s="6"/>
      <c r="T83" s="156"/>
      <c r="U83" s="6"/>
    </row>
    <row r="84" spans="1:21" customFormat="1">
      <c r="A84" s="163" t="s">
        <v>1378</v>
      </c>
      <c r="B84" s="100">
        <v>5.54</v>
      </c>
      <c r="C84" s="100">
        <v>21.02</v>
      </c>
      <c r="D84" s="100">
        <v>15.43</v>
      </c>
      <c r="E84" s="100">
        <v>5.85</v>
      </c>
      <c r="F84" s="100">
        <v>1.34</v>
      </c>
      <c r="G84" s="100">
        <v>86.6</v>
      </c>
      <c r="H84" s="100">
        <v>36.35</v>
      </c>
      <c r="I84" s="100">
        <v>11.77</v>
      </c>
      <c r="J84" s="100">
        <v>0.2</v>
      </c>
      <c r="K84" s="100">
        <v>194.68</v>
      </c>
      <c r="L84" s="100">
        <v>21.09</v>
      </c>
      <c r="M84" s="100">
        <v>66.92</v>
      </c>
      <c r="N84" s="100">
        <v>7.1</v>
      </c>
      <c r="O84" s="100">
        <v>0</v>
      </c>
      <c r="P84" s="100">
        <v>0.57999999999999996</v>
      </c>
      <c r="Q84" s="100">
        <v>9.52</v>
      </c>
      <c r="R84" s="6"/>
      <c r="S84" s="6"/>
      <c r="T84" s="156"/>
      <c r="U84" s="6"/>
    </row>
    <row r="85" spans="1:21" customFormat="1">
      <c r="A85" s="163" t="s">
        <v>1379</v>
      </c>
      <c r="B85" s="100">
        <v>5.63</v>
      </c>
      <c r="C85" s="100">
        <v>20.97</v>
      </c>
      <c r="D85" s="100">
        <v>15.47</v>
      </c>
      <c r="E85" s="100">
        <v>6.23</v>
      </c>
      <c r="F85" s="100">
        <v>1.43</v>
      </c>
      <c r="G85" s="100">
        <v>106.13</v>
      </c>
      <c r="H85" s="100">
        <v>42.47</v>
      </c>
      <c r="I85" s="100">
        <v>12.53</v>
      </c>
      <c r="J85" s="100">
        <v>0.18</v>
      </c>
      <c r="K85" s="100">
        <v>199.32</v>
      </c>
      <c r="L85" s="100">
        <v>20.75</v>
      </c>
      <c r="M85" s="100">
        <v>69.33</v>
      </c>
      <c r="N85" s="100">
        <v>6.7</v>
      </c>
      <c r="O85" s="100">
        <v>0</v>
      </c>
      <c r="P85" s="100">
        <v>0.6</v>
      </c>
      <c r="Q85" s="100">
        <v>9.49</v>
      </c>
      <c r="R85" s="6"/>
      <c r="S85" s="6"/>
      <c r="T85" s="156"/>
      <c r="U85" s="6"/>
    </row>
    <row r="86" spans="1:21" customFormat="1">
      <c r="A86" s="163" t="s">
        <v>1380</v>
      </c>
      <c r="B86" s="100">
        <v>5.76</v>
      </c>
      <c r="C86" s="100">
        <v>20.74</v>
      </c>
      <c r="D86" s="100">
        <v>15.45</v>
      </c>
      <c r="E86" s="100">
        <v>6.13</v>
      </c>
      <c r="F86" s="100">
        <v>1.47</v>
      </c>
      <c r="G86" s="100">
        <v>107.28</v>
      </c>
      <c r="H86" s="100">
        <v>42.47</v>
      </c>
      <c r="I86" s="100">
        <v>13.22</v>
      </c>
      <c r="J86" s="100">
        <v>0.16</v>
      </c>
      <c r="K86" s="100">
        <v>183.59</v>
      </c>
      <c r="L86" s="100">
        <v>20.5</v>
      </c>
      <c r="M86" s="100">
        <v>73.86</v>
      </c>
      <c r="N86" s="100">
        <v>6.6</v>
      </c>
      <c r="O86" s="100">
        <v>0</v>
      </c>
      <c r="P86" s="100">
        <v>0.63</v>
      </c>
      <c r="Q86" s="100">
        <v>9.48</v>
      </c>
      <c r="R86" s="6"/>
      <c r="S86" s="6"/>
      <c r="T86" s="156"/>
      <c r="U86" s="6"/>
    </row>
    <row r="87" spans="1:21" customFormat="1">
      <c r="A87" s="163" t="s">
        <v>1381</v>
      </c>
      <c r="B87" s="100">
        <v>5.85</v>
      </c>
      <c r="C87" s="100">
        <v>20.52</v>
      </c>
      <c r="D87" s="100">
        <v>15.42</v>
      </c>
      <c r="E87" s="100">
        <v>6.11</v>
      </c>
      <c r="F87" s="100">
        <v>1.31</v>
      </c>
      <c r="G87" s="100">
        <v>107.28</v>
      </c>
      <c r="H87" s="100">
        <v>42.47</v>
      </c>
      <c r="I87" s="100">
        <v>13.72</v>
      </c>
      <c r="J87" s="100">
        <v>0.18</v>
      </c>
      <c r="K87" s="100">
        <v>159.63</v>
      </c>
      <c r="L87" s="100">
        <v>20.25</v>
      </c>
      <c r="M87" s="100">
        <v>70.66</v>
      </c>
      <c r="N87" s="100">
        <v>6.6</v>
      </c>
      <c r="O87" s="100">
        <v>0</v>
      </c>
      <c r="P87" s="100">
        <v>0.64</v>
      </c>
      <c r="Q87" s="100">
        <v>9.35</v>
      </c>
      <c r="R87" s="6"/>
      <c r="S87" s="6"/>
      <c r="T87" s="156"/>
      <c r="U87" s="6"/>
    </row>
    <row r="88" spans="1:21" customFormat="1">
      <c r="A88" s="163" t="s">
        <v>1382</v>
      </c>
      <c r="B88" s="100">
        <v>5.9</v>
      </c>
      <c r="C88" s="100">
        <v>20.32</v>
      </c>
      <c r="D88" s="100">
        <v>15.35</v>
      </c>
      <c r="E88" s="100">
        <v>5.96</v>
      </c>
      <c r="F88" s="100">
        <v>1.48</v>
      </c>
      <c r="G88" s="100">
        <v>107.28</v>
      </c>
      <c r="H88" s="100">
        <v>42.47</v>
      </c>
      <c r="I88" s="100">
        <v>13.97</v>
      </c>
      <c r="J88" s="100">
        <v>0.14000000000000001</v>
      </c>
      <c r="K88" s="100">
        <v>189.7</v>
      </c>
      <c r="L88" s="100">
        <v>20.07</v>
      </c>
      <c r="M88" s="100">
        <v>71.150000000000006</v>
      </c>
      <c r="N88" s="100">
        <v>6.4</v>
      </c>
      <c r="O88" s="100">
        <v>0</v>
      </c>
      <c r="P88" s="100">
        <v>0.65</v>
      </c>
      <c r="Q88" s="100">
        <v>9.3800000000000008</v>
      </c>
      <c r="R88" s="6"/>
      <c r="S88" s="6"/>
      <c r="T88" s="156"/>
      <c r="U88" s="6"/>
    </row>
    <row r="89" spans="1:21" customFormat="1">
      <c r="A89" s="163" t="s">
        <v>1383</v>
      </c>
      <c r="B89" s="100">
        <v>5.96</v>
      </c>
      <c r="C89" s="100">
        <v>20</v>
      </c>
      <c r="D89" s="100">
        <v>15.22</v>
      </c>
      <c r="E89" s="100">
        <v>5.8</v>
      </c>
      <c r="F89" s="100">
        <v>1.25</v>
      </c>
      <c r="G89" s="100">
        <v>109.08</v>
      </c>
      <c r="H89" s="100">
        <v>40.58</v>
      </c>
      <c r="I89" s="100">
        <v>14.14</v>
      </c>
      <c r="J89" s="100">
        <v>0.15</v>
      </c>
      <c r="K89" s="100">
        <v>218.26</v>
      </c>
      <c r="L89" s="100">
        <v>19.72</v>
      </c>
      <c r="M89" s="100">
        <v>76.72</v>
      </c>
      <c r="N89" s="100">
        <v>6.5</v>
      </c>
      <c r="O89" s="100">
        <v>0</v>
      </c>
      <c r="P89" s="100">
        <v>0.65</v>
      </c>
      <c r="Q89" s="100">
        <v>9.43</v>
      </c>
      <c r="R89" s="6"/>
      <c r="S89" s="6"/>
      <c r="T89" s="156"/>
      <c r="U89" s="6"/>
    </row>
    <row r="90" spans="1:21" customFormat="1">
      <c r="A90" s="163" t="s">
        <v>1384</v>
      </c>
      <c r="B90" s="100">
        <v>5.98</v>
      </c>
      <c r="C90" s="100">
        <v>19.72</v>
      </c>
      <c r="D90" s="100">
        <v>15.1</v>
      </c>
      <c r="E90" s="100">
        <v>6.37</v>
      </c>
      <c r="F90" s="100">
        <v>1.1499999999999999</v>
      </c>
      <c r="G90" s="100">
        <v>109.19</v>
      </c>
      <c r="H90" s="100">
        <v>40.58</v>
      </c>
      <c r="I90" s="100">
        <v>14.26</v>
      </c>
      <c r="J90" s="100">
        <v>0.13</v>
      </c>
      <c r="K90" s="100">
        <v>192.16</v>
      </c>
      <c r="L90" s="100">
        <v>19.510000000000002</v>
      </c>
      <c r="M90" s="100">
        <v>72.53</v>
      </c>
      <c r="N90" s="100">
        <v>6.5</v>
      </c>
      <c r="O90" s="100">
        <v>0</v>
      </c>
      <c r="P90" s="100">
        <v>0.66</v>
      </c>
      <c r="Q90" s="100">
        <v>9.49</v>
      </c>
      <c r="R90" s="6"/>
      <c r="S90" s="6"/>
      <c r="T90" s="156"/>
      <c r="U90" s="6"/>
    </row>
    <row r="91" spans="1:21" customFormat="1">
      <c r="A91" s="163" t="s">
        <v>1385</v>
      </c>
      <c r="B91" s="100">
        <v>5.98</v>
      </c>
      <c r="C91" s="100">
        <v>19.55</v>
      </c>
      <c r="D91" s="100">
        <v>15.01</v>
      </c>
      <c r="E91" s="100">
        <v>6.08</v>
      </c>
      <c r="F91" s="100">
        <v>1.21</v>
      </c>
      <c r="G91" s="100">
        <v>109.19</v>
      </c>
      <c r="H91" s="100">
        <v>40.58</v>
      </c>
      <c r="I91" s="100">
        <v>14.3</v>
      </c>
      <c r="J91" s="100">
        <v>0.19</v>
      </c>
      <c r="K91" s="100">
        <v>213.85</v>
      </c>
      <c r="L91" s="100">
        <v>19.440000000000001</v>
      </c>
      <c r="M91" s="100">
        <v>72.14</v>
      </c>
      <c r="N91" s="100">
        <v>6.3</v>
      </c>
      <c r="O91" s="100">
        <v>0</v>
      </c>
      <c r="P91" s="100">
        <v>0.65</v>
      </c>
      <c r="Q91" s="100">
        <v>9.48</v>
      </c>
      <c r="R91" s="6"/>
      <c r="S91" s="6"/>
      <c r="T91" s="156"/>
      <c r="U91" s="6"/>
    </row>
    <row r="92" spans="1:21" customFormat="1">
      <c r="A92" s="163" t="s">
        <v>1386</v>
      </c>
      <c r="B92" s="100">
        <v>5.96</v>
      </c>
      <c r="C92" s="100">
        <v>19.41</v>
      </c>
      <c r="D92" s="100">
        <v>14.92</v>
      </c>
      <c r="E92" s="100">
        <v>5.96</v>
      </c>
      <c r="F92" s="100">
        <v>1.33</v>
      </c>
      <c r="G92" s="100">
        <v>109.19</v>
      </c>
      <c r="H92" s="100">
        <v>40.58</v>
      </c>
      <c r="I92" s="100">
        <v>14.28</v>
      </c>
      <c r="J92" s="100">
        <v>0.15</v>
      </c>
      <c r="K92" s="100">
        <v>195.56</v>
      </c>
      <c r="L92" s="100">
        <v>19.149999999999999</v>
      </c>
      <c r="M92" s="100">
        <v>73.17</v>
      </c>
      <c r="N92" s="100">
        <v>6.5</v>
      </c>
      <c r="O92" s="100">
        <v>0</v>
      </c>
      <c r="P92" s="100">
        <v>0.66</v>
      </c>
      <c r="Q92" s="100">
        <v>9.48</v>
      </c>
      <c r="R92" s="6"/>
      <c r="S92" s="6"/>
      <c r="T92" s="156"/>
      <c r="U92" s="6"/>
    </row>
    <row r="93" spans="1:21" customFormat="1">
      <c r="A93" s="163" t="s">
        <v>1387</v>
      </c>
      <c r="B93" s="100">
        <v>6.02</v>
      </c>
      <c r="C93" s="100">
        <v>19.260000000000002</v>
      </c>
      <c r="D93" s="100">
        <v>14.89</v>
      </c>
      <c r="E93" s="100">
        <v>5.85</v>
      </c>
      <c r="F93" s="100">
        <v>1.33</v>
      </c>
      <c r="G93" s="100">
        <v>111.26</v>
      </c>
      <c r="H93" s="100">
        <v>41.27</v>
      </c>
      <c r="I93" s="100">
        <v>14.24</v>
      </c>
      <c r="J93" s="100">
        <v>0.22</v>
      </c>
      <c r="K93" s="100">
        <v>167.94</v>
      </c>
      <c r="L93" s="100">
        <v>19.18</v>
      </c>
      <c r="M93" s="100">
        <v>71.239999999999995</v>
      </c>
      <c r="N93" s="100">
        <v>6.2</v>
      </c>
      <c r="O93" s="100">
        <v>0</v>
      </c>
      <c r="P93" s="100">
        <v>0.66</v>
      </c>
      <c r="Q93" s="100">
        <v>9.44</v>
      </c>
      <c r="R93" s="6"/>
      <c r="S93" s="6"/>
      <c r="T93" s="156"/>
      <c r="U93" s="6"/>
    </row>
    <row r="94" spans="1:21" customFormat="1">
      <c r="A94" s="163" t="s">
        <v>1388</v>
      </c>
      <c r="B94" s="100">
        <v>6.2</v>
      </c>
      <c r="C94" s="100">
        <v>19.260000000000002</v>
      </c>
      <c r="D94" s="100">
        <v>15.03</v>
      </c>
      <c r="E94" s="100">
        <v>5.91</v>
      </c>
      <c r="F94" s="100">
        <v>1.38</v>
      </c>
      <c r="G94" s="100">
        <v>111.38</v>
      </c>
      <c r="H94" s="100">
        <v>41.27</v>
      </c>
      <c r="I94" s="100">
        <v>14.18</v>
      </c>
      <c r="J94" s="100">
        <v>0.17</v>
      </c>
      <c r="K94" s="100">
        <v>186.32</v>
      </c>
      <c r="L94" s="100">
        <v>18.989999999999998</v>
      </c>
      <c r="M94" s="100">
        <v>76.64</v>
      </c>
      <c r="N94" s="100">
        <v>6.5</v>
      </c>
      <c r="O94" s="100">
        <v>0</v>
      </c>
      <c r="P94" s="100">
        <v>0.67</v>
      </c>
      <c r="Q94" s="100">
        <v>9.39</v>
      </c>
      <c r="R94" s="6"/>
      <c r="S94" s="6"/>
      <c r="T94" s="156"/>
      <c r="U94" s="6"/>
    </row>
    <row r="95" spans="1:21" customFormat="1">
      <c r="A95" s="163" t="s">
        <v>1389</v>
      </c>
      <c r="B95" s="100">
        <v>6.23</v>
      </c>
      <c r="C95" s="100">
        <v>19.12</v>
      </c>
      <c r="D95" s="100">
        <v>14.98</v>
      </c>
      <c r="E95" s="100">
        <v>6.25</v>
      </c>
      <c r="F95" s="100">
        <v>1.34</v>
      </c>
      <c r="G95" s="100">
        <v>111.38</v>
      </c>
      <c r="H95" s="100">
        <v>41.27</v>
      </c>
      <c r="I95" s="100">
        <v>14.18</v>
      </c>
      <c r="J95" s="100">
        <v>0.15</v>
      </c>
      <c r="K95" s="100">
        <v>205.22</v>
      </c>
      <c r="L95" s="100">
        <v>18.63</v>
      </c>
      <c r="M95" s="100">
        <v>74.150000000000006</v>
      </c>
      <c r="N95" s="100">
        <v>6.5</v>
      </c>
      <c r="O95" s="100">
        <v>0</v>
      </c>
      <c r="P95" s="100">
        <v>0.68</v>
      </c>
      <c r="Q95" s="100">
        <v>9.5399999999999991</v>
      </c>
      <c r="R95" s="6"/>
      <c r="S95" s="6"/>
      <c r="T95" s="156"/>
      <c r="U95" s="6"/>
    </row>
    <row r="96" spans="1:21" customFormat="1">
      <c r="A96" s="163" t="s">
        <v>1390</v>
      </c>
      <c r="B96" s="100">
        <v>6.26</v>
      </c>
      <c r="C96" s="100">
        <v>18.91</v>
      </c>
      <c r="D96" s="100">
        <v>14.9</v>
      </c>
      <c r="E96" s="100">
        <v>5.9</v>
      </c>
      <c r="F96" s="100">
        <v>1.38</v>
      </c>
      <c r="G96" s="100">
        <v>111.38</v>
      </c>
      <c r="H96" s="100">
        <v>41.27</v>
      </c>
      <c r="I96" s="100">
        <v>14.24</v>
      </c>
      <c r="J96" s="100">
        <v>0.17</v>
      </c>
      <c r="K96" s="100">
        <v>184.74</v>
      </c>
      <c r="L96" s="100">
        <v>18.649999999999999</v>
      </c>
      <c r="M96" s="100">
        <v>74.13</v>
      </c>
      <c r="N96" s="100">
        <v>6.3</v>
      </c>
      <c r="O96" s="100">
        <v>0</v>
      </c>
      <c r="P96" s="100">
        <v>0.69</v>
      </c>
      <c r="Q96" s="100">
        <v>9.49</v>
      </c>
      <c r="R96" s="6"/>
      <c r="S96" s="6"/>
      <c r="T96" s="156"/>
      <c r="U96" s="6"/>
    </row>
    <row r="97" spans="1:28" customFormat="1">
      <c r="A97" s="163" t="s">
        <v>1391</v>
      </c>
      <c r="B97" s="100">
        <v>6.27</v>
      </c>
      <c r="C97" s="100">
        <v>18.670000000000002</v>
      </c>
      <c r="D97" s="100">
        <v>14.78</v>
      </c>
      <c r="E97" s="100">
        <v>6.16</v>
      </c>
      <c r="F97" s="100">
        <v>1.3</v>
      </c>
      <c r="G97" s="100">
        <v>113.36</v>
      </c>
      <c r="H97" s="100">
        <v>42.6</v>
      </c>
      <c r="I97" s="100">
        <v>14.27</v>
      </c>
      <c r="J97" s="100">
        <v>0.17</v>
      </c>
      <c r="K97" s="100">
        <v>210.31</v>
      </c>
      <c r="L97" s="100">
        <v>18.53</v>
      </c>
      <c r="M97" s="100">
        <v>80.45</v>
      </c>
      <c r="N97" s="100">
        <v>6.4</v>
      </c>
      <c r="O97" s="100">
        <v>0</v>
      </c>
      <c r="P97" s="100">
        <v>0.69</v>
      </c>
      <c r="Q97" s="100">
        <v>9.23</v>
      </c>
      <c r="R97" s="6"/>
      <c r="S97" s="6"/>
      <c r="T97" s="156"/>
      <c r="U97" s="6"/>
    </row>
    <row r="98" spans="1:28" customFormat="1">
      <c r="A98" s="163" t="s">
        <v>1392</v>
      </c>
      <c r="B98" s="100">
        <v>6.3</v>
      </c>
      <c r="C98" s="100">
        <v>18.350000000000001</v>
      </c>
      <c r="D98" s="100">
        <v>14.64</v>
      </c>
      <c r="E98" s="100">
        <v>6.21</v>
      </c>
      <c r="F98" s="100">
        <v>1.1599999999999999</v>
      </c>
      <c r="G98" s="100">
        <v>113.48</v>
      </c>
      <c r="H98" s="100">
        <v>42.6</v>
      </c>
      <c r="I98" s="100">
        <v>14.39</v>
      </c>
      <c r="J98" s="100">
        <v>0.16</v>
      </c>
      <c r="K98" s="100">
        <v>211.06</v>
      </c>
      <c r="L98" s="100">
        <v>18.079999999999998</v>
      </c>
      <c r="M98" s="100">
        <v>81.31</v>
      </c>
      <c r="N98" s="100">
        <v>6.5</v>
      </c>
      <c r="O98" s="100">
        <v>0</v>
      </c>
      <c r="P98" s="100">
        <v>0.7</v>
      </c>
      <c r="Q98" s="100">
        <v>9.26</v>
      </c>
      <c r="R98" s="6"/>
      <c r="S98" s="6"/>
      <c r="T98" s="156"/>
      <c r="U98" s="6"/>
    </row>
    <row r="99" spans="1:28" customFormat="1">
      <c r="A99" s="163" t="s">
        <v>1393</v>
      </c>
      <c r="B99" s="100">
        <v>6.36</v>
      </c>
      <c r="C99" s="100">
        <v>18.100000000000001</v>
      </c>
      <c r="D99" s="100">
        <v>14.56</v>
      </c>
      <c r="E99" s="100">
        <v>6.38</v>
      </c>
      <c r="F99" s="100">
        <v>1.1399999999999999</v>
      </c>
      <c r="G99" s="100">
        <v>113.48</v>
      </c>
      <c r="H99" s="100">
        <v>42.6</v>
      </c>
      <c r="I99" s="100">
        <v>14.48</v>
      </c>
      <c r="J99" s="100">
        <v>0.14000000000000001</v>
      </c>
      <c r="K99" s="100">
        <v>220</v>
      </c>
      <c r="L99" s="100">
        <v>17.88</v>
      </c>
      <c r="M99" s="100">
        <v>81.290000000000006</v>
      </c>
      <c r="N99" s="100">
        <v>6.4</v>
      </c>
      <c r="O99" s="100">
        <v>0</v>
      </c>
      <c r="P99" s="100">
        <v>0.7</v>
      </c>
      <c r="Q99" s="100">
        <v>9.31</v>
      </c>
      <c r="R99" s="6"/>
      <c r="S99" s="6"/>
      <c r="T99" s="156"/>
      <c r="U99" s="6"/>
    </row>
    <row r="100" spans="1:28" customFormat="1">
      <c r="A100" s="163" t="s">
        <v>1394</v>
      </c>
      <c r="B100" s="100">
        <v>6.41</v>
      </c>
      <c r="C100" s="100">
        <v>17.82</v>
      </c>
      <c r="D100" s="100">
        <v>14.46</v>
      </c>
      <c r="E100" s="100">
        <v>5.82</v>
      </c>
      <c r="F100" s="100">
        <v>1.31</v>
      </c>
      <c r="G100" s="100">
        <v>113.48</v>
      </c>
      <c r="H100" s="100">
        <v>42.6</v>
      </c>
      <c r="I100" s="100">
        <v>14.53</v>
      </c>
      <c r="J100" s="100">
        <v>0.15</v>
      </c>
      <c r="K100" s="100">
        <v>182.43</v>
      </c>
      <c r="L100" s="100">
        <v>17.95</v>
      </c>
      <c r="M100" s="100">
        <v>79.48</v>
      </c>
      <c r="N100" s="100">
        <v>6.4</v>
      </c>
      <c r="O100" s="100">
        <v>0</v>
      </c>
      <c r="P100" s="100">
        <v>0.71</v>
      </c>
      <c r="Q100" s="100">
        <v>9.34</v>
      </c>
      <c r="R100" s="6"/>
      <c r="S100" s="6"/>
      <c r="T100" s="156"/>
      <c r="U100" s="6"/>
      <c r="AB100" s="161"/>
    </row>
    <row r="101" spans="1:28" customFormat="1">
      <c r="A101" s="163" t="s">
        <v>1395</v>
      </c>
      <c r="B101" s="100">
        <v>6.5</v>
      </c>
      <c r="C101" s="100">
        <v>17.600000000000001</v>
      </c>
      <c r="D101" s="100">
        <v>14.41</v>
      </c>
      <c r="E101" s="100">
        <v>5.98</v>
      </c>
      <c r="F101" s="100">
        <v>1.24</v>
      </c>
      <c r="G101" s="100">
        <v>108.57</v>
      </c>
      <c r="H101" s="100">
        <v>42.42</v>
      </c>
      <c r="I101" s="100">
        <v>14.64</v>
      </c>
      <c r="J101" s="100">
        <v>0.14000000000000001</v>
      </c>
      <c r="K101" s="100">
        <v>182.44</v>
      </c>
      <c r="L101" s="100">
        <v>17.920000000000002</v>
      </c>
      <c r="M101" s="100">
        <v>79.67</v>
      </c>
      <c r="N101" s="100">
        <v>6.3</v>
      </c>
      <c r="O101" s="100">
        <v>0</v>
      </c>
      <c r="P101" s="100">
        <v>0.72</v>
      </c>
      <c r="Q101" s="100">
        <v>9.39</v>
      </c>
      <c r="R101" s="6"/>
      <c r="S101" s="6"/>
      <c r="T101" s="156"/>
      <c r="U101" s="6"/>
    </row>
    <row r="102" spans="1:28" customFormat="1">
      <c r="A102" s="163" t="s">
        <v>1396</v>
      </c>
      <c r="B102" s="100">
        <v>6.81</v>
      </c>
      <c r="C102" s="100">
        <v>17.61</v>
      </c>
      <c r="D102" s="100">
        <v>14.66</v>
      </c>
      <c r="E102" s="100">
        <v>5.82</v>
      </c>
      <c r="F102" s="100">
        <v>1.35</v>
      </c>
      <c r="G102" s="100">
        <v>108.28</v>
      </c>
      <c r="H102" s="100">
        <v>42.42</v>
      </c>
      <c r="I102" s="100">
        <v>14.69</v>
      </c>
      <c r="J102" s="100">
        <v>0.22</v>
      </c>
      <c r="K102" s="100">
        <v>164.3</v>
      </c>
      <c r="L102" s="100">
        <v>17.96</v>
      </c>
      <c r="M102" s="100">
        <v>76.95</v>
      </c>
      <c r="N102" s="100">
        <v>6.3</v>
      </c>
      <c r="O102" s="100">
        <v>0</v>
      </c>
      <c r="P102" s="100">
        <v>0.74</v>
      </c>
      <c r="Q102" s="100">
        <v>9.3800000000000008</v>
      </c>
      <c r="R102" s="6"/>
      <c r="S102" s="6"/>
      <c r="T102" s="156"/>
      <c r="U102" s="6"/>
    </row>
    <row r="103" spans="1:28" customFormat="1">
      <c r="A103" s="163" t="s">
        <v>1397</v>
      </c>
      <c r="B103" s="100">
        <v>7.12</v>
      </c>
      <c r="C103" s="100">
        <v>17.62</v>
      </c>
      <c r="D103" s="100">
        <v>14.92</v>
      </c>
      <c r="E103" s="100">
        <v>5.49</v>
      </c>
      <c r="F103" s="100">
        <v>1.5</v>
      </c>
      <c r="G103" s="100">
        <v>108.28</v>
      </c>
      <c r="H103" s="100">
        <v>42.42</v>
      </c>
      <c r="I103" s="100">
        <v>14.8</v>
      </c>
      <c r="J103" s="100">
        <v>0.16</v>
      </c>
      <c r="K103" s="100">
        <v>201.77</v>
      </c>
      <c r="L103" s="100">
        <v>17.88</v>
      </c>
      <c r="M103" s="100">
        <v>82.7</v>
      </c>
      <c r="N103" s="100">
        <v>6.2</v>
      </c>
      <c r="O103" s="100">
        <v>0</v>
      </c>
      <c r="P103" s="100">
        <v>0.77</v>
      </c>
      <c r="Q103" s="100">
        <v>9.2799999999999994</v>
      </c>
      <c r="R103" s="6"/>
      <c r="S103" s="6"/>
      <c r="T103" s="156"/>
      <c r="U103" s="6"/>
    </row>
    <row r="104" spans="1:28" customFormat="1">
      <c r="A104" s="163" t="s">
        <v>1398</v>
      </c>
      <c r="B104" s="100">
        <v>7.34</v>
      </c>
      <c r="C104" s="100">
        <v>17.350000000000001</v>
      </c>
      <c r="D104" s="100">
        <v>14.95</v>
      </c>
      <c r="E104" s="100">
        <v>5.74</v>
      </c>
      <c r="F104" s="100">
        <v>1.27</v>
      </c>
      <c r="G104" s="100">
        <v>108.28</v>
      </c>
      <c r="H104" s="100">
        <v>42.42</v>
      </c>
      <c r="I104" s="100">
        <v>14.97</v>
      </c>
      <c r="J104" s="100">
        <v>0.16</v>
      </c>
      <c r="K104" s="100">
        <v>165.05</v>
      </c>
      <c r="L104" s="100">
        <v>17.53</v>
      </c>
      <c r="M104" s="100">
        <v>85.69</v>
      </c>
      <c r="N104" s="100">
        <v>6.4</v>
      </c>
      <c r="O104" s="100">
        <v>0</v>
      </c>
      <c r="P104" s="100">
        <v>0.78</v>
      </c>
      <c r="Q104" s="100">
        <v>9.39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2.85</v>
      </c>
      <c r="C106" s="158">
        <f>MIN(C9:C104)</f>
        <v>15.32</v>
      </c>
      <c r="D106" s="158">
        <f t="shared" ref="D106:Q106" si="0">MIN(D9:D104)</f>
        <v>11.35</v>
      </c>
      <c r="E106" s="158">
        <f t="shared" si="0"/>
        <v>4.32</v>
      </c>
      <c r="F106" s="158">
        <f t="shared" si="0"/>
        <v>1</v>
      </c>
      <c r="G106" s="158">
        <f t="shared" si="0"/>
        <v>59.97</v>
      </c>
      <c r="H106" s="158">
        <f t="shared" si="0"/>
        <v>28.88</v>
      </c>
      <c r="I106" s="158">
        <f t="shared" si="0"/>
        <v>7.28</v>
      </c>
      <c r="J106" s="158">
        <f t="shared" si="0"/>
        <v>0.03</v>
      </c>
      <c r="K106" s="158">
        <f t="shared" si="0"/>
        <v>16.05</v>
      </c>
      <c r="L106" s="158">
        <f t="shared" si="0"/>
        <v>14</v>
      </c>
      <c r="M106" s="158">
        <f t="shared" si="0"/>
        <v>18.57</v>
      </c>
      <c r="N106" s="158">
        <f t="shared" si="0"/>
        <v>6.2</v>
      </c>
      <c r="O106" s="158">
        <f t="shared" si="0"/>
        <v>0</v>
      </c>
      <c r="P106" s="158">
        <f t="shared" si="0"/>
        <v>0.43</v>
      </c>
      <c r="Q106" s="158">
        <f t="shared" si="0"/>
        <v>9.23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24.32</v>
      </c>
      <c r="C107" s="157">
        <f t="shared" ref="C107:Q107" si="1">MAX(C9:C104)</f>
        <v>22.15</v>
      </c>
      <c r="D107" s="157">
        <f t="shared" si="1"/>
        <v>29.13</v>
      </c>
      <c r="E107" s="157">
        <f t="shared" si="1"/>
        <v>15.11</v>
      </c>
      <c r="F107" s="157">
        <f t="shared" si="1"/>
        <v>30.03</v>
      </c>
      <c r="G107" s="157">
        <f t="shared" si="1"/>
        <v>113.48</v>
      </c>
      <c r="H107" s="157">
        <f t="shared" si="1"/>
        <v>44.06</v>
      </c>
      <c r="I107" s="157">
        <f t="shared" si="1"/>
        <v>20.21</v>
      </c>
      <c r="J107" s="157">
        <f t="shared" si="1"/>
        <v>0.79</v>
      </c>
      <c r="K107" s="157">
        <f t="shared" si="1"/>
        <v>332.86</v>
      </c>
      <c r="L107" s="157">
        <f t="shared" si="1"/>
        <v>30.2</v>
      </c>
      <c r="M107" s="157">
        <f t="shared" si="1"/>
        <v>89.68</v>
      </c>
      <c r="N107" s="157">
        <f t="shared" si="1"/>
        <v>544</v>
      </c>
      <c r="O107" s="157">
        <f t="shared" si="1"/>
        <v>0</v>
      </c>
      <c r="P107" s="157">
        <f t="shared" si="1"/>
        <v>0.92</v>
      </c>
      <c r="Q107" s="157">
        <f t="shared" si="1"/>
        <v>9.5399999999999991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10.743437499999999</v>
      </c>
      <c r="C108" s="158">
        <f t="shared" ref="C108:Q108" si="2">AVERAGE(C9:C104)</f>
        <v>18.533124999999998</v>
      </c>
      <c r="D108" s="158">
        <f t="shared" si="2"/>
        <v>18.298333333333336</v>
      </c>
      <c r="E108" s="158">
        <f t="shared" si="2"/>
        <v>5.6578125000000012</v>
      </c>
      <c r="F108" s="158">
        <f t="shared" si="2"/>
        <v>3.0561458333333325</v>
      </c>
      <c r="G108" s="158">
        <f t="shared" si="2"/>
        <v>84.173645833333325</v>
      </c>
      <c r="H108" s="158">
        <f t="shared" si="2"/>
        <v>38.185416666666654</v>
      </c>
      <c r="I108" s="158">
        <f t="shared" si="2"/>
        <v>13.709166666666675</v>
      </c>
      <c r="J108" s="158">
        <f t="shared" si="2"/>
        <v>0.21354166666666663</v>
      </c>
      <c r="K108" s="158">
        <f t="shared" si="2"/>
        <v>170.87531250000004</v>
      </c>
      <c r="L108" s="158">
        <f t="shared" si="2"/>
        <v>21.181562500000005</v>
      </c>
      <c r="M108" s="158">
        <f t="shared" si="2"/>
        <v>59.025520833333303</v>
      </c>
      <c r="N108" s="158">
        <f t="shared" si="2"/>
        <v>100.94895833333327</v>
      </c>
      <c r="O108" s="158">
        <f t="shared" si="2"/>
        <v>0</v>
      </c>
      <c r="P108" s="158">
        <f t="shared" si="2"/>
        <v>0.71572916666666631</v>
      </c>
      <c r="Q108" s="158">
        <f t="shared" si="2"/>
        <v>9.3571874999999967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7.6637975783790422</v>
      </c>
      <c r="C109" s="158">
        <f t="shared" ref="C109:Q109" si="3">STDEV(C9:C104)</f>
        <v>1.8306503374196659</v>
      </c>
      <c r="D109" s="158">
        <f t="shared" si="3"/>
        <v>5.5785292660278909</v>
      </c>
      <c r="E109" s="158">
        <f t="shared" si="3"/>
        <v>1.3108335661547112</v>
      </c>
      <c r="F109" s="158">
        <f t="shared" si="3"/>
        <v>4.2829019600688278</v>
      </c>
      <c r="G109" s="158">
        <f t="shared" si="3"/>
        <v>15.397096453538255</v>
      </c>
      <c r="H109" s="158">
        <f t="shared" si="3"/>
        <v>4.7131931106465705</v>
      </c>
      <c r="I109" s="158">
        <f t="shared" si="3"/>
        <v>3.1354622480221011</v>
      </c>
      <c r="J109" s="158">
        <f t="shared" si="3"/>
        <v>0.11889826847189169</v>
      </c>
      <c r="K109" s="158">
        <f t="shared" si="3"/>
        <v>62.058204478208964</v>
      </c>
      <c r="L109" s="158">
        <f t="shared" si="3"/>
        <v>5.5222065246888121</v>
      </c>
      <c r="M109" s="158">
        <f t="shared" si="3"/>
        <v>25.764663433298402</v>
      </c>
      <c r="N109" s="158">
        <f t="shared" si="3"/>
        <v>166.17493382120685</v>
      </c>
      <c r="O109" s="158">
        <f t="shared" si="3"/>
        <v>0</v>
      </c>
      <c r="P109" s="158">
        <f t="shared" si="3"/>
        <v>0.16739329541794151</v>
      </c>
      <c r="Q109" s="158">
        <f t="shared" si="3"/>
        <v>6.0848442007473295E-2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14" sqref="D1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1399</v>
      </c>
      <c r="B9" s="100">
        <v>7.71</v>
      </c>
      <c r="C9" s="100">
        <v>15.95</v>
      </c>
      <c r="D9" s="100">
        <v>14.52</v>
      </c>
      <c r="E9" s="100">
        <v>5.79</v>
      </c>
      <c r="F9" s="100">
        <v>1.34</v>
      </c>
      <c r="G9" s="100">
        <v>105.04</v>
      </c>
      <c r="H9" s="100">
        <v>45.4</v>
      </c>
      <c r="I9" s="100">
        <v>15.14</v>
      </c>
      <c r="J9" s="100">
        <v>0.18</v>
      </c>
      <c r="K9" s="100">
        <v>156.97</v>
      </c>
      <c r="L9" s="100">
        <v>17.28</v>
      </c>
      <c r="M9" s="100">
        <v>85.22</v>
      </c>
      <c r="N9" s="100">
        <v>6.5</v>
      </c>
      <c r="O9" s="100">
        <v>0</v>
      </c>
      <c r="P9" s="100">
        <v>0.79</v>
      </c>
      <c r="Q9" s="100">
        <v>9.41</v>
      </c>
      <c r="R9" s="6"/>
      <c r="S9" s="6"/>
      <c r="T9" s="156"/>
      <c r="U9" s="6"/>
    </row>
    <row r="10" spans="1:21" customFormat="1">
      <c r="A10" s="163" t="s">
        <v>1400</v>
      </c>
      <c r="B10" s="100">
        <v>7.77</v>
      </c>
      <c r="C10" s="100">
        <v>16.57</v>
      </c>
      <c r="D10" s="100">
        <v>14.89</v>
      </c>
      <c r="E10" s="100">
        <v>5.58</v>
      </c>
      <c r="F10" s="100">
        <v>1.49</v>
      </c>
      <c r="G10" s="100">
        <v>104.85</v>
      </c>
      <c r="H10" s="100">
        <v>45.4</v>
      </c>
      <c r="I10" s="100">
        <v>15.36</v>
      </c>
      <c r="J10" s="100">
        <v>0.14000000000000001</v>
      </c>
      <c r="K10" s="100">
        <v>159.62</v>
      </c>
      <c r="L10" s="100">
        <v>17.309999999999999</v>
      </c>
      <c r="M10" s="100">
        <v>78.34</v>
      </c>
      <c r="N10" s="100">
        <v>6.2</v>
      </c>
      <c r="O10" s="100">
        <v>0</v>
      </c>
      <c r="P10" s="100">
        <v>0.8</v>
      </c>
      <c r="Q10" s="100">
        <v>9.3699999999999992</v>
      </c>
      <c r="R10" s="6"/>
      <c r="S10" s="6"/>
      <c r="T10" s="156"/>
      <c r="U10" s="6"/>
    </row>
    <row r="11" spans="1:21" customFormat="1">
      <c r="A11" s="163" t="s">
        <v>1401</v>
      </c>
      <c r="B11" s="100">
        <v>8.2899999999999991</v>
      </c>
      <c r="C11" s="100">
        <v>16.87</v>
      </c>
      <c r="D11" s="100">
        <v>15.46</v>
      </c>
      <c r="E11" s="100">
        <v>5.66</v>
      </c>
      <c r="F11" s="100">
        <v>1.37</v>
      </c>
      <c r="G11" s="100">
        <v>104.85</v>
      </c>
      <c r="H11" s="100">
        <v>45.4</v>
      </c>
      <c r="I11" s="100">
        <v>15.71</v>
      </c>
      <c r="J11" s="100">
        <v>0.15</v>
      </c>
      <c r="K11" s="100">
        <v>246.73</v>
      </c>
      <c r="L11" s="100">
        <v>17.27</v>
      </c>
      <c r="M11" s="100">
        <v>78.06</v>
      </c>
      <c r="N11" s="100">
        <v>6.3</v>
      </c>
      <c r="O11" s="100">
        <v>0</v>
      </c>
      <c r="P11" s="100">
        <v>0.82</v>
      </c>
      <c r="Q11" s="100">
        <v>9.4</v>
      </c>
      <c r="R11" s="6"/>
      <c r="S11" s="6"/>
      <c r="T11" s="156"/>
      <c r="U11" s="6"/>
    </row>
    <row r="12" spans="1:21" customFormat="1">
      <c r="A12" s="163" t="s">
        <v>1402</v>
      </c>
      <c r="B12" s="100">
        <v>9.61</v>
      </c>
      <c r="C12" s="100">
        <v>17.22</v>
      </c>
      <c r="D12" s="100">
        <v>16.7</v>
      </c>
      <c r="E12" s="100">
        <v>5.33</v>
      </c>
      <c r="F12" s="100">
        <v>1.29</v>
      </c>
      <c r="G12" s="100">
        <v>104.85</v>
      </c>
      <c r="H12" s="100">
        <v>45.4</v>
      </c>
      <c r="I12" s="100">
        <v>16.079999999999998</v>
      </c>
      <c r="J12" s="100">
        <v>0.06</v>
      </c>
      <c r="K12" s="100">
        <v>320.72000000000003</v>
      </c>
      <c r="L12" s="100">
        <v>17.309999999999999</v>
      </c>
      <c r="M12" s="100">
        <v>77.78</v>
      </c>
      <c r="N12" s="100">
        <v>6.2</v>
      </c>
      <c r="O12" s="100">
        <v>0</v>
      </c>
      <c r="P12" s="100">
        <v>0.83</v>
      </c>
      <c r="Q12" s="100">
        <v>9.4700000000000006</v>
      </c>
      <c r="R12" s="6"/>
      <c r="S12" s="6"/>
      <c r="T12" s="156"/>
      <c r="U12" s="6"/>
    </row>
    <row r="13" spans="1:21" customFormat="1">
      <c r="A13" s="163" t="s">
        <v>1403</v>
      </c>
      <c r="B13" s="100">
        <v>11.71</v>
      </c>
      <c r="C13" s="100">
        <v>17.77</v>
      </c>
      <c r="D13" s="100">
        <v>18.670000000000002</v>
      </c>
      <c r="E13" s="100">
        <v>5.85</v>
      </c>
      <c r="F13" s="100">
        <v>1.3</v>
      </c>
      <c r="G13" s="100">
        <v>100.89</v>
      </c>
      <c r="H13" s="100">
        <v>46.6</v>
      </c>
      <c r="I13" s="100">
        <v>16.38</v>
      </c>
      <c r="J13" s="100">
        <v>0.11</v>
      </c>
      <c r="K13" s="100">
        <v>180.4</v>
      </c>
      <c r="L13" s="100">
        <v>17.27</v>
      </c>
      <c r="M13" s="100">
        <v>77.48</v>
      </c>
      <c r="N13" s="100">
        <v>6.5</v>
      </c>
      <c r="O13" s="100">
        <v>0</v>
      </c>
      <c r="P13" s="100">
        <v>0.85</v>
      </c>
      <c r="Q13" s="100">
        <v>9.3699999999999992</v>
      </c>
      <c r="R13" s="6"/>
      <c r="S13" s="6"/>
      <c r="T13" s="156"/>
      <c r="U13" s="6"/>
    </row>
    <row r="14" spans="1:21" customFormat="1">
      <c r="A14" s="163" t="s">
        <v>1404</v>
      </c>
      <c r="B14" s="100">
        <v>13.78</v>
      </c>
      <c r="C14" s="100">
        <v>18.38</v>
      </c>
      <c r="D14" s="100">
        <v>20.66</v>
      </c>
      <c r="E14" s="100">
        <v>5.46</v>
      </c>
      <c r="F14" s="100">
        <v>1.17</v>
      </c>
      <c r="G14" s="100">
        <v>100.66</v>
      </c>
      <c r="H14" s="100">
        <v>46.6</v>
      </c>
      <c r="I14" s="100">
        <v>16.71</v>
      </c>
      <c r="J14" s="100">
        <v>0.11</v>
      </c>
      <c r="K14" s="100">
        <v>182.27</v>
      </c>
      <c r="L14" s="100">
        <v>17.18</v>
      </c>
      <c r="M14" s="100">
        <v>78.930000000000007</v>
      </c>
      <c r="N14" s="100">
        <v>6.4</v>
      </c>
      <c r="O14" s="100">
        <v>0</v>
      </c>
      <c r="P14" s="100">
        <v>0.88</v>
      </c>
      <c r="Q14" s="100">
        <v>9.4</v>
      </c>
      <c r="R14" s="6"/>
      <c r="S14" s="6"/>
      <c r="T14" s="156"/>
      <c r="U14" s="6"/>
    </row>
    <row r="15" spans="1:21" customFormat="1">
      <c r="A15" s="163" t="s">
        <v>1405</v>
      </c>
      <c r="B15" s="100">
        <v>15.51</v>
      </c>
      <c r="C15" s="100">
        <v>18.87</v>
      </c>
      <c r="D15" s="100">
        <v>22.3</v>
      </c>
      <c r="E15" s="100">
        <v>5.64</v>
      </c>
      <c r="F15" s="100">
        <v>1.25</v>
      </c>
      <c r="G15" s="100">
        <v>100.66</v>
      </c>
      <c r="H15" s="100">
        <v>46.6</v>
      </c>
      <c r="I15" s="100">
        <v>17.09</v>
      </c>
      <c r="J15" s="100">
        <v>0.17</v>
      </c>
      <c r="K15" s="100">
        <v>197.47</v>
      </c>
      <c r="L15" s="100">
        <v>17.059999999999999</v>
      </c>
      <c r="M15" s="100">
        <v>84.19</v>
      </c>
      <c r="N15" s="100">
        <v>6.5</v>
      </c>
      <c r="O15" s="100">
        <v>0</v>
      </c>
      <c r="P15" s="100">
        <v>0.91</v>
      </c>
      <c r="Q15" s="100">
        <v>9.31</v>
      </c>
      <c r="R15" s="6"/>
      <c r="S15" s="6"/>
      <c r="T15" s="156"/>
      <c r="U15" s="6"/>
    </row>
    <row r="16" spans="1:21" customFormat="1">
      <c r="A16" s="163" t="s">
        <v>1406</v>
      </c>
      <c r="B16" s="100">
        <v>16.510000000000002</v>
      </c>
      <c r="C16" s="100">
        <v>18.98</v>
      </c>
      <c r="D16" s="100">
        <v>23.15</v>
      </c>
      <c r="E16" s="100">
        <v>5.39</v>
      </c>
      <c r="F16" s="100">
        <v>1.25</v>
      </c>
      <c r="G16" s="100">
        <v>100.66</v>
      </c>
      <c r="H16" s="100">
        <v>46.6</v>
      </c>
      <c r="I16" s="100">
        <v>17.489999999999998</v>
      </c>
      <c r="J16" s="100">
        <v>0.24</v>
      </c>
      <c r="K16" s="100">
        <v>186.12</v>
      </c>
      <c r="L16" s="100">
        <v>16.59</v>
      </c>
      <c r="M16" s="100">
        <v>87.6</v>
      </c>
      <c r="N16" s="100">
        <v>6.7</v>
      </c>
      <c r="O16" s="100">
        <v>0</v>
      </c>
      <c r="P16" s="100">
        <v>0.93</v>
      </c>
      <c r="Q16" s="100">
        <v>9.3800000000000008</v>
      </c>
      <c r="R16" s="6"/>
      <c r="S16" s="6"/>
      <c r="T16" s="156"/>
      <c r="U16" s="6"/>
    </row>
    <row r="17" spans="1:21" customFormat="1">
      <c r="A17" s="163" t="s">
        <v>1407</v>
      </c>
      <c r="B17" s="100">
        <v>17.079999999999998</v>
      </c>
      <c r="C17" s="100">
        <v>18.8</v>
      </c>
      <c r="D17" s="100">
        <v>23.52</v>
      </c>
      <c r="E17" s="100">
        <v>3.88</v>
      </c>
      <c r="F17" s="100">
        <v>1.25</v>
      </c>
      <c r="G17" s="100">
        <v>101.23</v>
      </c>
      <c r="H17" s="100">
        <v>48.79</v>
      </c>
      <c r="I17" s="100">
        <v>17.850000000000001</v>
      </c>
      <c r="J17" s="100">
        <v>0.17</v>
      </c>
      <c r="K17" s="100">
        <v>186.21</v>
      </c>
      <c r="L17" s="100">
        <v>16.399999999999999</v>
      </c>
      <c r="M17" s="100">
        <v>86.43</v>
      </c>
      <c r="N17" s="100">
        <v>6.7</v>
      </c>
      <c r="O17" s="100">
        <v>0</v>
      </c>
      <c r="P17" s="100">
        <v>0.95</v>
      </c>
      <c r="Q17" s="100">
        <v>9.42</v>
      </c>
      <c r="R17" s="6"/>
      <c r="S17" s="6"/>
      <c r="T17" s="156"/>
      <c r="U17" s="6"/>
    </row>
    <row r="18" spans="1:21" customFormat="1">
      <c r="A18" s="163" t="s">
        <v>1408</v>
      </c>
      <c r="B18" s="100">
        <v>17.28</v>
      </c>
      <c r="C18" s="100">
        <v>18.579999999999998</v>
      </c>
      <c r="D18" s="100">
        <v>23.57</v>
      </c>
      <c r="E18" s="100">
        <v>5.15</v>
      </c>
      <c r="F18" s="100">
        <v>1.1000000000000001</v>
      </c>
      <c r="G18" s="100">
        <v>101.26</v>
      </c>
      <c r="H18" s="100">
        <v>48.79</v>
      </c>
      <c r="I18" s="100">
        <v>16.48</v>
      </c>
      <c r="J18" s="100">
        <v>0.1</v>
      </c>
      <c r="K18" s="100">
        <v>187.17</v>
      </c>
      <c r="L18" s="100">
        <v>15.95</v>
      </c>
      <c r="M18" s="100">
        <v>86.46</v>
      </c>
      <c r="N18" s="100">
        <v>6.8</v>
      </c>
      <c r="O18" s="100">
        <v>0</v>
      </c>
      <c r="P18" s="100">
        <v>0.96</v>
      </c>
      <c r="Q18" s="100">
        <v>9.4499999999999993</v>
      </c>
      <c r="R18" s="6"/>
      <c r="S18" s="6"/>
      <c r="T18" s="156"/>
      <c r="U18" s="6"/>
    </row>
    <row r="19" spans="1:21" customFormat="1">
      <c r="A19" s="163" t="s">
        <v>1409</v>
      </c>
      <c r="B19" s="100">
        <v>17.34</v>
      </c>
      <c r="C19" s="100">
        <v>18.38</v>
      </c>
      <c r="D19" s="100">
        <v>23.51</v>
      </c>
      <c r="E19" s="100">
        <v>4.95</v>
      </c>
      <c r="F19" s="100">
        <v>0.95</v>
      </c>
      <c r="G19" s="100">
        <v>101.26</v>
      </c>
      <c r="H19" s="100">
        <v>48.79</v>
      </c>
      <c r="I19" s="100">
        <v>14.95</v>
      </c>
      <c r="J19" s="100">
        <v>0.1</v>
      </c>
      <c r="K19" s="100">
        <v>170.88</v>
      </c>
      <c r="L19" s="100">
        <v>16.010000000000002</v>
      </c>
      <c r="M19" s="100">
        <v>87.75</v>
      </c>
      <c r="N19" s="100">
        <v>6.5</v>
      </c>
      <c r="O19" s="100">
        <v>0</v>
      </c>
      <c r="P19" s="100">
        <v>0.97</v>
      </c>
      <c r="Q19" s="100">
        <v>9.4</v>
      </c>
      <c r="R19" s="6"/>
      <c r="S19" s="6"/>
      <c r="T19" s="156"/>
      <c r="U19" s="6"/>
    </row>
    <row r="20" spans="1:21" customFormat="1">
      <c r="A20" s="163" t="s">
        <v>1410</v>
      </c>
      <c r="B20" s="100">
        <v>17.36</v>
      </c>
      <c r="C20" s="100">
        <v>18.05</v>
      </c>
      <c r="D20" s="100">
        <v>23.35</v>
      </c>
      <c r="E20" s="100">
        <v>4.87</v>
      </c>
      <c r="F20" s="100">
        <v>1.1399999999999999</v>
      </c>
      <c r="G20" s="100">
        <v>101.26</v>
      </c>
      <c r="H20" s="100">
        <v>48.79</v>
      </c>
      <c r="I20" s="100">
        <v>15.18</v>
      </c>
      <c r="J20" s="100">
        <v>0.14000000000000001</v>
      </c>
      <c r="K20" s="100">
        <v>117.4</v>
      </c>
      <c r="L20" s="100">
        <v>15.82</v>
      </c>
      <c r="M20" s="100">
        <v>88.59</v>
      </c>
      <c r="N20" s="100">
        <v>6.7</v>
      </c>
      <c r="O20" s="100">
        <v>0</v>
      </c>
      <c r="P20" s="100">
        <v>0.99</v>
      </c>
      <c r="Q20" s="100">
        <v>9.39</v>
      </c>
      <c r="R20" s="6"/>
      <c r="S20" s="6"/>
      <c r="T20" s="156"/>
      <c r="U20" s="6"/>
    </row>
    <row r="21" spans="1:21" customFormat="1">
      <c r="A21" s="163" t="s">
        <v>1411</v>
      </c>
      <c r="B21" s="100">
        <v>17.37</v>
      </c>
      <c r="C21" s="100">
        <v>17.760000000000002</v>
      </c>
      <c r="D21" s="100">
        <v>23.21</v>
      </c>
      <c r="E21" s="100">
        <v>4.87</v>
      </c>
      <c r="F21" s="100">
        <v>1.33</v>
      </c>
      <c r="G21" s="100">
        <v>97.01</v>
      </c>
      <c r="H21" s="100">
        <v>49.33</v>
      </c>
      <c r="I21" s="100">
        <v>15.42</v>
      </c>
      <c r="J21" s="100">
        <v>0.12</v>
      </c>
      <c r="K21" s="100">
        <v>172.17</v>
      </c>
      <c r="L21" s="100">
        <v>15.84</v>
      </c>
      <c r="M21" s="100">
        <v>88.42</v>
      </c>
      <c r="N21" s="100">
        <v>6.3</v>
      </c>
      <c r="O21" s="100">
        <v>0</v>
      </c>
      <c r="P21" s="100">
        <v>1</v>
      </c>
      <c r="Q21" s="100">
        <v>9.3800000000000008</v>
      </c>
      <c r="R21" s="6"/>
      <c r="S21" s="6"/>
      <c r="T21" s="156"/>
      <c r="U21" s="6"/>
    </row>
    <row r="22" spans="1:21" customFormat="1">
      <c r="A22" s="163" t="s">
        <v>1412</v>
      </c>
      <c r="B22" s="100">
        <v>17.25</v>
      </c>
      <c r="C22" s="100">
        <v>17.45</v>
      </c>
      <c r="D22" s="100">
        <v>22.95</v>
      </c>
      <c r="E22" s="100">
        <v>4.83</v>
      </c>
      <c r="F22" s="100">
        <v>1.29</v>
      </c>
      <c r="G22" s="100">
        <v>96.76</v>
      </c>
      <c r="H22" s="100">
        <v>49.33</v>
      </c>
      <c r="I22" s="100">
        <v>15.66</v>
      </c>
      <c r="J22" s="100">
        <v>0.11</v>
      </c>
      <c r="K22" s="100">
        <v>134.97999999999999</v>
      </c>
      <c r="L22" s="100">
        <v>15.82</v>
      </c>
      <c r="M22" s="100">
        <v>89.73</v>
      </c>
      <c r="N22" s="100">
        <v>6.6</v>
      </c>
      <c r="O22" s="100">
        <v>0</v>
      </c>
      <c r="P22" s="100">
        <v>1.01</v>
      </c>
      <c r="Q22" s="100">
        <v>9.35</v>
      </c>
      <c r="R22" s="6"/>
      <c r="S22" s="6"/>
      <c r="T22" s="156"/>
      <c r="U22" s="6"/>
    </row>
    <row r="23" spans="1:21" customFormat="1">
      <c r="A23" s="163" t="s">
        <v>1413</v>
      </c>
      <c r="B23" s="100">
        <v>17.03</v>
      </c>
      <c r="C23" s="100">
        <v>17.16</v>
      </c>
      <c r="D23" s="100">
        <v>22.62</v>
      </c>
      <c r="E23" s="100">
        <v>4.95</v>
      </c>
      <c r="F23" s="100">
        <v>1.1499999999999999</v>
      </c>
      <c r="G23" s="100">
        <v>96.76</v>
      </c>
      <c r="H23" s="100">
        <v>49.33</v>
      </c>
      <c r="I23" s="100">
        <v>15.91</v>
      </c>
      <c r="J23" s="100">
        <v>0.14000000000000001</v>
      </c>
      <c r="K23" s="100">
        <v>160.47</v>
      </c>
      <c r="L23" s="100">
        <v>15.59</v>
      </c>
      <c r="M23" s="100">
        <v>89.44</v>
      </c>
      <c r="N23" s="100">
        <v>6.4</v>
      </c>
      <c r="O23" s="100">
        <v>0</v>
      </c>
      <c r="P23" s="100">
        <v>1.02</v>
      </c>
      <c r="Q23" s="100">
        <v>9.3800000000000008</v>
      </c>
      <c r="R23" s="6"/>
      <c r="S23" s="6"/>
      <c r="T23" s="156"/>
      <c r="U23" s="6"/>
    </row>
    <row r="24" spans="1:21" customFormat="1">
      <c r="A24" s="163" t="s">
        <v>1414</v>
      </c>
      <c r="B24" s="100">
        <v>16.75</v>
      </c>
      <c r="C24" s="100">
        <v>16.98</v>
      </c>
      <c r="D24" s="100">
        <v>22.3</v>
      </c>
      <c r="E24" s="100">
        <v>4.91</v>
      </c>
      <c r="F24" s="100">
        <v>1.1100000000000001</v>
      </c>
      <c r="G24" s="100">
        <v>96.76</v>
      </c>
      <c r="H24" s="100">
        <v>49.33</v>
      </c>
      <c r="I24" s="100">
        <v>16.13</v>
      </c>
      <c r="J24" s="100">
        <v>0.12</v>
      </c>
      <c r="K24" s="100">
        <v>176.37</v>
      </c>
      <c r="L24" s="100">
        <v>15.65</v>
      </c>
      <c r="M24" s="100">
        <v>86.9</v>
      </c>
      <c r="N24" s="100">
        <v>6.4</v>
      </c>
      <c r="O24" s="100">
        <v>0</v>
      </c>
      <c r="P24" s="100">
        <v>1.03</v>
      </c>
      <c r="Q24" s="100">
        <v>9.34</v>
      </c>
      <c r="R24" s="6"/>
      <c r="S24" s="6"/>
      <c r="T24" s="156"/>
      <c r="U24" s="6"/>
    </row>
    <row r="25" spans="1:21" customFormat="1">
      <c r="A25" s="163" t="s">
        <v>1415</v>
      </c>
      <c r="B25" s="100">
        <v>16.489999999999998</v>
      </c>
      <c r="C25" s="100">
        <v>16.84</v>
      </c>
      <c r="D25" s="100">
        <v>22.02</v>
      </c>
      <c r="E25" s="100">
        <v>5.26</v>
      </c>
      <c r="F25" s="100">
        <v>1.1100000000000001</v>
      </c>
      <c r="G25" s="100">
        <v>92.35</v>
      </c>
      <c r="H25" s="100">
        <v>48.51</v>
      </c>
      <c r="I25" s="100">
        <v>16.309999999999999</v>
      </c>
      <c r="J25" s="100">
        <v>0.08</v>
      </c>
      <c r="K25" s="100">
        <v>163.66999999999999</v>
      </c>
      <c r="L25" s="100">
        <v>15.59</v>
      </c>
      <c r="M25" s="100">
        <v>88.05</v>
      </c>
      <c r="N25" s="100">
        <v>6.5</v>
      </c>
      <c r="O25" s="100">
        <v>0</v>
      </c>
      <c r="P25" s="100">
        <v>1.04</v>
      </c>
      <c r="Q25" s="100">
        <v>9.32</v>
      </c>
      <c r="R25" s="6"/>
      <c r="S25" s="6"/>
      <c r="T25" s="156"/>
      <c r="U25" s="6"/>
    </row>
    <row r="26" spans="1:21" customFormat="1">
      <c r="A26" s="163" t="s">
        <v>1416</v>
      </c>
      <c r="B26" s="100">
        <v>16.14</v>
      </c>
      <c r="C26" s="100">
        <v>16.62</v>
      </c>
      <c r="D26" s="100">
        <v>21.63</v>
      </c>
      <c r="E26" s="100">
        <v>5.04</v>
      </c>
      <c r="F26" s="100">
        <v>1.17</v>
      </c>
      <c r="G26" s="100">
        <v>92.09</v>
      </c>
      <c r="H26" s="100">
        <v>48.51</v>
      </c>
      <c r="I26" s="100">
        <v>16.46</v>
      </c>
      <c r="J26" s="100">
        <v>0.13</v>
      </c>
      <c r="K26" s="100">
        <v>167.26</v>
      </c>
      <c r="L26" s="100">
        <v>15.63</v>
      </c>
      <c r="M26" s="100">
        <v>89.36</v>
      </c>
      <c r="N26" s="100">
        <v>6.4</v>
      </c>
      <c r="O26" s="100">
        <v>0</v>
      </c>
      <c r="P26" s="100">
        <v>1.03</v>
      </c>
      <c r="Q26" s="100">
        <v>9.32</v>
      </c>
      <c r="R26" s="6"/>
      <c r="S26" s="6"/>
      <c r="T26" s="156"/>
      <c r="U26" s="6"/>
    </row>
    <row r="27" spans="1:21" customFormat="1">
      <c r="A27" s="163" t="s">
        <v>1417</v>
      </c>
      <c r="B27" s="100">
        <v>15.71</v>
      </c>
      <c r="C27" s="100">
        <v>16.36</v>
      </c>
      <c r="D27" s="100">
        <v>21.14</v>
      </c>
      <c r="E27" s="100">
        <v>5.23</v>
      </c>
      <c r="F27" s="100">
        <v>1.26</v>
      </c>
      <c r="G27" s="100">
        <v>92.09</v>
      </c>
      <c r="H27" s="100">
        <v>48.51</v>
      </c>
      <c r="I27" s="100">
        <v>16.57</v>
      </c>
      <c r="J27" s="100">
        <v>0.1</v>
      </c>
      <c r="K27" s="100">
        <v>219.13</v>
      </c>
      <c r="L27" s="100">
        <v>15.5</v>
      </c>
      <c r="M27" s="100">
        <v>90.41</v>
      </c>
      <c r="N27" s="100">
        <v>6.5</v>
      </c>
      <c r="O27" s="100">
        <v>0</v>
      </c>
      <c r="P27" s="100">
        <v>1.02</v>
      </c>
      <c r="Q27" s="100">
        <v>9.32</v>
      </c>
      <c r="R27" s="6"/>
      <c r="S27" s="6"/>
      <c r="T27" s="156"/>
      <c r="U27" s="6"/>
    </row>
    <row r="28" spans="1:21" customFormat="1">
      <c r="A28" s="163" t="s">
        <v>1418</v>
      </c>
      <c r="B28" s="100">
        <v>15.27</v>
      </c>
      <c r="C28" s="100">
        <v>16.04</v>
      </c>
      <c r="D28" s="100">
        <v>20.63</v>
      </c>
      <c r="E28" s="100">
        <v>4.91</v>
      </c>
      <c r="F28" s="100">
        <v>1.24</v>
      </c>
      <c r="G28" s="100">
        <v>92.09</v>
      </c>
      <c r="H28" s="100">
        <v>48.51</v>
      </c>
      <c r="I28" s="100">
        <v>16.72</v>
      </c>
      <c r="J28" s="100">
        <v>0.13</v>
      </c>
      <c r="K28" s="100">
        <v>160.34</v>
      </c>
      <c r="L28" s="100">
        <v>15.46</v>
      </c>
      <c r="M28" s="100">
        <v>90.84</v>
      </c>
      <c r="N28" s="100">
        <v>6.6</v>
      </c>
      <c r="O28" s="100">
        <v>0</v>
      </c>
      <c r="P28" s="100">
        <v>1.03</v>
      </c>
      <c r="Q28" s="100">
        <v>9.32</v>
      </c>
      <c r="R28" s="6"/>
      <c r="S28" s="6"/>
      <c r="T28" s="156"/>
      <c r="U28" s="6"/>
    </row>
    <row r="29" spans="1:21" customFormat="1">
      <c r="A29" s="163" t="s">
        <v>1419</v>
      </c>
      <c r="B29" s="100">
        <v>14.91</v>
      </c>
      <c r="C29" s="100">
        <v>15.76</v>
      </c>
      <c r="D29" s="100">
        <v>20.190000000000001</v>
      </c>
      <c r="E29" s="100">
        <v>5.33</v>
      </c>
      <c r="F29" s="100">
        <v>1.1299999999999999</v>
      </c>
      <c r="G29" s="100">
        <v>92.84</v>
      </c>
      <c r="H29" s="100">
        <v>48.22</v>
      </c>
      <c r="I29" s="100">
        <v>16.89</v>
      </c>
      <c r="J29" s="100">
        <v>0.13</v>
      </c>
      <c r="K29" s="100">
        <v>186.44</v>
      </c>
      <c r="L29" s="100">
        <v>15.37</v>
      </c>
      <c r="M29" s="100">
        <v>90.88</v>
      </c>
      <c r="N29" s="100">
        <v>6.5</v>
      </c>
      <c r="O29" s="100">
        <v>0</v>
      </c>
      <c r="P29" s="100">
        <v>1.03</v>
      </c>
      <c r="Q29" s="100">
        <v>9.31</v>
      </c>
      <c r="R29" s="6"/>
      <c r="S29" s="6"/>
      <c r="T29" s="156"/>
      <c r="U29" s="6"/>
    </row>
    <row r="30" spans="1:21" customFormat="1">
      <c r="A30" s="163" t="s">
        <v>1420</v>
      </c>
      <c r="B30" s="100">
        <v>14.48</v>
      </c>
      <c r="C30" s="100">
        <v>15.53</v>
      </c>
      <c r="D30" s="100">
        <v>19.73</v>
      </c>
      <c r="E30" s="100">
        <v>5.39</v>
      </c>
      <c r="F30" s="100">
        <v>1.22</v>
      </c>
      <c r="G30" s="100">
        <v>92.89</v>
      </c>
      <c r="H30" s="100">
        <v>48.22</v>
      </c>
      <c r="I30" s="100">
        <v>16.989999999999998</v>
      </c>
      <c r="J30" s="100">
        <v>0.15</v>
      </c>
      <c r="K30" s="100">
        <v>210.5</v>
      </c>
      <c r="L30" s="100">
        <v>15.31</v>
      </c>
      <c r="M30" s="100">
        <v>91.77</v>
      </c>
      <c r="N30" s="100">
        <v>6.6</v>
      </c>
      <c r="O30" s="100">
        <v>0</v>
      </c>
      <c r="P30" s="100">
        <v>1.03</v>
      </c>
      <c r="Q30" s="100">
        <v>9.32</v>
      </c>
      <c r="R30" s="6"/>
      <c r="S30" s="6"/>
      <c r="T30" s="156"/>
      <c r="U30" s="6"/>
    </row>
    <row r="31" spans="1:21" customFormat="1">
      <c r="A31" s="163" t="s">
        <v>1421</v>
      </c>
      <c r="B31" s="100">
        <v>14.03</v>
      </c>
      <c r="C31" s="100">
        <v>15.46</v>
      </c>
      <c r="D31" s="100">
        <v>19.329999999999998</v>
      </c>
      <c r="E31" s="100">
        <v>5.31</v>
      </c>
      <c r="F31" s="100">
        <v>1.21</v>
      </c>
      <c r="G31" s="100">
        <v>92.89</v>
      </c>
      <c r="H31" s="100">
        <v>48.22</v>
      </c>
      <c r="I31" s="100">
        <v>17.07</v>
      </c>
      <c r="J31" s="100">
        <v>0.11</v>
      </c>
      <c r="K31" s="100">
        <v>157.04</v>
      </c>
      <c r="L31" s="100">
        <v>15.04</v>
      </c>
      <c r="M31" s="100">
        <v>91.6</v>
      </c>
      <c r="N31" s="100">
        <v>6.8</v>
      </c>
      <c r="O31" s="100">
        <v>0</v>
      </c>
      <c r="P31" s="100">
        <v>1.03</v>
      </c>
      <c r="Q31" s="100">
        <v>9.34</v>
      </c>
      <c r="R31" s="6"/>
      <c r="S31" s="6"/>
      <c r="T31" s="156"/>
      <c r="U31" s="6"/>
    </row>
    <row r="32" spans="1:21" customFormat="1">
      <c r="A32" s="163" t="s">
        <v>1422</v>
      </c>
      <c r="B32" s="100">
        <v>13.64</v>
      </c>
      <c r="C32" s="100">
        <v>15.22</v>
      </c>
      <c r="D32" s="100">
        <v>18.899999999999999</v>
      </c>
      <c r="E32" s="100">
        <v>5.36</v>
      </c>
      <c r="F32" s="100">
        <v>1.1299999999999999</v>
      </c>
      <c r="G32" s="100">
        <v>92.89</v>
      </c>
      <c r="H32" s="100">
        <v>48.22</v>
      </c>
      <c r="I32" s="100">
        <v>17.11</v>
      </c>
      <c r="J32" s="100">
        <v>0.15</v>
      </c>
      <c r="K32" s="100">
        <v>153.81</v>
      </c>
      <c r="L32" s="100">
        <v>14.91</v>
      </c>
      <c r="M32" s="100">
        <v>91.1</v>
      </c>
      <c r="N32" s="100">
        <v>6.5</v>
      </c>
      <c r="O32" s="100">
        <v>0</v>
      </c>
      <c r="P32" s="100">
        <v>1.02</v>
      </c>
      <c r="Q32" s="100">
        <v>9.33</v>
      </c>
      <c r="R32" s="6"/>
      <c r="S32" s="6"/>
      <c r="T32" s="156"/>
      <c r="U32" s="6"/>
    </row>
    <row r="33" spans="1:21" customFormat="1">
      <c r="A33" s="163" t="s">
        <v>1423</v>
      </c>
      <c r="B33" s="100">
        <v>13.32</v>
      </c>
      <c r="C33" s="100">
        <v>15.28</v>
      </c>
      <c r="D33" s="100">
        <v>18.66</v>
      </c>
      <c r="E33" s="100">
        <v>5.35</v>
      </c>
      <c r="F33" s="100">
        <v>1.1100000000000001</v>
      </c>
      <c r="G33" s="100">
        <v>88.46</v>
      </c>
      <c r="H33" s="100">
        <v>47.93</v>
      </c>
      <c r="I33" s="100">
        <v>17.059999999999999</v>
      </c>
      <c r="J33" s="100">
        <v>0.14000000000000001</v>
      </c>
      <c r="K33" s="100">
        <v>149.06</v>
      </c>
      <c r="L33" s="100">
        <v>15.02</v>
      </c>
      <c r="M33" s="100">
        <v>89.34</v>
      </c>
      <c r="N33" s="100">
        <v>6.6</v>
      </c>
      <c r="O33" s="100">
        <v>0</v>
      </c>
      <c r="P33" s="100">
        <v>1.03</v>
      </c>
      <c r="Q33" s="100">
        <v>9.35</v>
      </c>
      <c r="R33" s="6"/>
      <c r="S33" s="6"/>
      <c r="T33" s="156"/>
      <c r="U33" s="6"/>
    </row>
    <row r="34" spans="1:21" customFormat="1">
      <c r="A34" s="163" t="s">
        <v>1424</v>
      </c>
      <c r="B34" s="100">
        <v>12.92</v>
      </c>
      <c r="C34" s="100">
        <v>15.19</v>
      </c>
      <c r="D34" s="100">
        <v>18.3</v>
      </c>
      <c r="E34" s="100">
        <v>5.12</v>
      </c>
      <c r="F34" s="100">
        <v>1.1499999999999999</v>
      </c>
      <c r="G34" s="100">
        <v>88.19</v>
      </c>
      <c r="H34" s="100">
        <v>47.93</v>
      </c>
      <c r="I34" s="100">
        <v>17.05</v>
      </c>
      <c r="J34" s="100">
        <v>0.1</v>
      </c>
      <c r="K34" s="100">
        <v>172.22</v>
      </c>
      <c r="L34" s="100">
        <v>15.09</v>
      </c>
      <c r="M34" s="100">
        <v>87.99</v>
      </c>
      <c r="N34" s="100">
        <v>7.8</v>
      </c>
      <c r="O34" s="100">
        <v>0</v>
      </c>
      <c r="P34" s="100">
        <v>1.03</v>
      </c>
      <c r="Q34" s="100">
        <v>9.32</v>
      </c>
      <c r="R34" s="6"/>
      <c r="S34" s="6"/>
      <c r="T34" s="156"/>
      <c r="U34" s="6"/>
    </row>
    <row r="35" spans="1:21" customFormat="1">
      <c r="A35" s="163" t="s">
        <v>1425</v>
      </c>
      <c r="B35" s="100">
        <v>12.86</v>
      </c>
      <c r="C35" s="100">
        <v>15.31</v>
      </c>
      <c r="D35" s="100">
        <v>18.309999999999999</v>
      </c>
      <c r="E35" s="100">
        <v>4.3899999999999997</v>
      </c>
      <c r="F35" s="100">
        <v>1.03</v>
      </c>
      <c r="G35" s="100">
        <v>88.19</v>
      </c>
      <c r="H35" s="100">
        <v>47.93</v>
      </c>
      <c r="I35" s="100">
        <v>17.079999999999998</v>
      </c>
      <c r="J35" s="100">
        <v>0.13</v>
      </c>
      <c r="K35" s="100">
        <v>171.9</v>
      </c>
      <c r="L35" s="100">
        <v>15.23</v>
      </c>
      <c r="M35" s="100">
        <v>87.86</v>
      </c>
      <c r="N35" s="100">
        <v>12.2</v>
      </c>
      <c r="O35" s="100">
        <v>0</v>
      </c>
      <c r="P35" s="100">
        <v>1.04</v>
      </c>
      <c r="Q35" s="100">
        <v>9.34</v>
      </c>
      <c r="R35" s="6"/>
      <c r="S35" s="6"/>
      <c r="T35" s="156"/>
      <c r="U35" s="6"/>
    </row>
    <row r="36" spans="1:21" customFormat="1">
      <c r="A36" s="163" t="s">
        <v>1426</v>
      </c>
      <c r="B36" s="100">
        <v>15.39</v>
      </c>
      <c r="C36" s="100">
        <v>16.059999999999999</v>
      </c>
      <c r="D36" s="100">
        <v>20.74</v>
      </c>
      <c r="E36" s="100">
        <v>5.0599999999999996</v>
      </c>
      <c r="F36" s="100">
        <v>1.1499999999999999</v>
      </c>
      <c r="G36" s="100">
        <v>88.19</v>
      </c>
      <c r="H36" s="100">
        <v>47.93</v>
      </c>
      <c r="I36" s="100">
        <v>17.13</v>
      </c>
      <c r="J36" s="100">
        <v>0.13</v>
      </c>
      <c r="K36" s="100">
        <v>144.63</v>
      </c>
      <c r="L36" s="100">
        <v>15.5</v>
      </c>
      <c r="M36" s="100">
        <v>86.98</v>
      </c>
      <c r="N36" s="100">
        <v>20.2</v>
      </c>
      <c r="O36" s="100">
        <v>0</v>
      </c>
      <c r="P36" s="100">
        <v>1.06</v>
      </c>
      <c r="Q36" s="100">
        <v>9.32</v>
      </c>
      <c r="R36" s="6"/>
      <c r="S36" s="6"/>
      <c r="T36" s="156"/>
      <c r="U36" s="6"/>
    </row>
    <row r="37" spans="1:21" customFormat="1">
      <c r="A37" s="163" t="s">
        <v>1427</v>
      </c>
      <c r="B37" s="100">
        <v>19.52</v>
      </c>
      <c r="C37" s="100">
        <v>17.09</v>
      </c>
      <c r="D37" s="100">
        <v>24.58</v>
      </c>
      <c r="E37" s="100">
        <v>5.28</v>
      </c>
      <c r="F37" s="100">
        <v>1.25</v>
      </c>
      <c r="G37" s="100">
        <v>92.63</v>
      </c>
      <c r="H37" s="100">
        <v>53.31</v>
      </c>
      <c r="I37" s="100">
        <v>17.22</v>
      </c>
      <c r="J37" s="100">
        <v>0.12</v>
      </c>
      <c r="K37" s="100">
        <v>186.57</v>
      </c>
      <c r="L37" s="100">
        <v>15.8</v>
      </c>
      <c r="M37" s="100">
        <v>87.16</v>
      </c>
      <c r="N37" s="100">
        <v>30</v>
      </c>
      <c r="O37" s="100">
        <v>0</v>
      </c>
      <c r="P37" s="100">
        <v>1.0900000000000001</v>
      </c>
      <c r="Q37" s="100">
        <v>9.32</v>
      </c>
      <c r="R37" s="6"/>
      <c r="S37" s="6"/>
      <c r="T37" s="156"/>
      <c r="U37" s="6"/>
    </row>
    <row r="38" spans="1:21" customFormat="1">
      <c r="A38" s="163" t="s">
        <v>1428</v>
      </c>
      <c r="B38" s="100">
        <v>23.47</v>
      </c>
      <c r="C38" s="100">
        <v>17.899999999999999</v>
      </c>
      <c r="D38" s="100">
        <v>28.17</v>
      </c>
      <c r="E38" s="100">
        <v>5.53</v>
      </c>
      <c r="F38" s="100">
        <v>1.19</v>
      </c>
      <c r="G38" s="100">
        <v>92.89</v>
      </c>
      <c r="H38" s="100">
        <v>53.31</v>
      </c>
      <c r="I38" s="100">
        <v>17.350000000000001</v>
      </c>
      <c r="J38" s="100">
        <v>0.09</v>
      </c>
      <c r="K38" s="100">
        <v>194.37</v>
      </c>
      <c r="L38" s="100">
        <v>16.3</v>
      </c>
      <c r="M38" s="100">
        <v>86.43</v>
      </c>
      <c r="N38" s="100">
        <v>40.6</v>
      </c>
      <c r="O38" s="100">
        <v>0</v>
      </c>
      <c r="P38" s="100">
        <v>1.1200000000000001</v>
      </c>
      <c r="Q38" s="100">
        <v>9.31</v>
      </c>
      <c r="R38" s="6"/>
      <c r="S38" s="6"/>
      <c r="T38" s="156"/>
      <c r="U38" s="6"/>
    </row>
    <row r="39" spans="1:21" customFormat="1">
      <c r="A39" s="163" t="s">
        <v>1429</v>
      </c>
      <c r="B39" s="100">
        <v>26.54</v>
      </c>
      <c r="C39" s="100">
        <v>18.7</v>
      </c>
      <c r="D39" s="100">
        <v>31.06</v>
      </c>
      <c r="E39" s="100">
        <v>5.89</v>
      </c>
      <c r="F39" s="100">
        <v>1.24</v>
      </c>
      <c r="G39" s="100">
        <v>92.89</v>
      </c>
      <c r="H39" s="100">
        <v>53.31</v>
      </c>
      <c r="I39" s="100">
        <v>17.63</v>
      </c>
      <c r="J39" s="100">
        <v>0.02</v>
      </c>
      <c r="K39" s="100">
        <v>165.01</v>
      </c>
      <c r="L39" s="100">
        <v>16.940000000000001</v>
      </c>
      <c r="M39" s="100">
        <v>83.53</v>
      </c>
      <c r="N39" s="100">
        <v>51.5</v>
      </c>
      <c r="O39" s="100">
        <v>0</v>
      </c>
      <c r="P39" s="100">
        <v>1.1599999999999999</v>
      </c>
      <c r="Q39" s="100">
        <v>9.31</v>
      </c>
      <c r="R39" s="6"/>
      <c r="S39" s="6"/>
      <c r="T39" s="156"/>
      <c r="U39" s="6"/>
    </row>
    <row r="40" spans="1:21" customFormat="1">
      <c r="A40" s="163" t="s">
        <v>1430</v>
      </c>
      <c r="B40" s="100">
        <v>28.47</v>
      </c>
      <c r="C40" s="100">
        <v>19.48</v>
      </c>
      <c r="D40" s="100">
        <v>33.01</v>
      </c>
      <c r="E40" s="100">
        <v>5.89</v>
      </c>
      <c r="F40" s="100">
        <v>1.22</v>
      </c>
      <c r="G40" s="100">
        <v>92.89</v>
      </c>
      <c r="H40" s="100">
        <v>53.31</v>
      </c>
      <c r="I40" s="100">
        <v>18.09</v>
      </c>
      <c r="J40" s="100">
        <v>0.05</v>
      </c>
      <c r="K40" s="100">
        <v>193.92</v>
      </c>
      <c r="L40" s="100">
        <v>17.93</v>
      </c>
      <c r="M40" s="100">
        <v>79.77</v>
      </c>
      <c r="N40" s="100">
        <v>63.5</v>
      </c>
      <c r="O40" s="100">
        <v>0</v>
      </c>
      <c r="P40" s="100">
        <v>1.2</v>
      </c>
      <c r="Q40" s="100">
        <v>9.31</v>
      </c>
      <c r="R40" s="6"/>
      <c r="S40" s="6"/>
      <c r="T40" s="156"/>
      <c r="U40" s="6"/>
    </row>
    <row r="41" spans="1:21" customFormat="1">
      <c r="A41" s="163" t="s">
        <v>1431</v>
      </c>
      <c r="B41" s="100">
        <v>29.18</v>
      </c>
      <c r="C41" s="100">
        <v>20.21</v>
      </c>
      <c r="D41" s="100">
        <v>33.96</v>
      </c>
      <c r="E41" s="100">
        <v>5.75</v>
      </c>
      <c r="F41" s="100">
        <v>1.27</v>
      </c>
      <c r="G41" s="100">
        <v>113.44</v>
      </c>
      <c r="H41" s="100">
        <v>63.39</v>
      </c>
      <c r="I41" s="100">
        <v>18.559999999999999</v>
      </c>
      <c r="J41" s="100">
        <v>0.1</v>
      </c>
      <c r="K41" s="100">
        <v>44.55</v>
      </c>
      <c r="L41" s="100">
        <v>19.04</v>
      </c>
      <c r="M41" s="100">
        <v>73.73</v>
      </c>
      <c r="N41" s="100">
        <v>154.19999999999999</v>
      </c>
      <c r="O41" s="100">
        <v>0</v>
      </c>
      <c r="P41" s="100">
        <v>1.25</v>
      </c>
      <c r="Q41" s="100">
        <v>9.32</v>
      </c>
      <c r="R41" s="6"/>
      <c r="S41" s="6"/>
      <c r="T41" s="156"/>
      <c r="U41" s="6"/>
    </row>
    <row r="42" spans="1:21" customFormat="1">
      <c r="A42" s="163" t="s">
        <v>1432</v>
      </c>
      <c r="B42" s="100">
        <v>28.87</v>
      </c>
      <c r="C42" s="100">
        <v>21.17</v>
      </c>
      <c r="D42" s="100">
        <v>34.21</v>
      </c>
      <c r="E42" s="100">
        <v>5.63</v>
      </c>
      <c r="F42" s="100">
        <v>1.18</v>
      </c>
      <c r="G42" s="100">
        <v>114.65</v>
      </c>
      <c r="H42" s="100">
        <v>63.39</v>
      </c>
      <c r="I42" s="100">
        <v>21.56</v>
      </c>
      <c r="J42" s="100">
        <v>0.4</v>
      </c>
      <c r="K42" s="100">
        <v>57.55</v>
      </c>
      <c r="L42" s="100">
        <v>20.41</v>
      </c>
      <c r="M42" s="100">
        <v>61.67</v>
      </c>
      <c r="N42" s="100">
        <v>201.2</v>
      </c>
      <c r="O42" s="100">
        <v>0</v>
      </c>
      <c r="P42" s="100">
        <v>1.3</v>
      </c>
      <c r="Q42" s="100">
        <v>9.34</v>
      </c>
      <c r="R42" s="6"/>
      <c r="S42" s="6"/>
      <c r="T42" s="156"/>
      <c r="U42" s="6"/>
    </row>
    <row r="43" spans="1:21" customFormat="1">
      <c r="A43" s="163" t="s">
        <v>1433</v>
      </c>
      <c r="B43" s="100">
        <v>28.03</v>
      </c>
      <c r="C43" s="100">
        <v>22.08</v>
      </c>
      <c r="D43" s="100">
        <v>34.020000000000003</v>
      </c>
      <c r="E43" s="100">
        <v>5.89</v>
      </c>
      <c r="F43" s="100">
        <v>1.36</v>
      </c>
      <c r="G43" s="100">
        <v>114.65</v>
      </c>
      <c r="H43" s="100">
        <v>63.39</v>
      </c>
      <c r="I43" s="100">
        <v>24.95</v>
      </c>
      <c r="J43" s="100">
        <v>0.56000000000000005</v>
      </c>
      <c r="K43" s="100">
        <v>51.79</v>
      </c>
      <c r="L43" s="100">
        <v>21.26</v>
      </c>
      <c r="M43" s="100">
        <v>57.29</v>
      </c>
      <c r="N43" s="100">
        <v>230.8</v>
      </c>
      <c r="O43" s="100">
        <v>0</v>
      </c>
      <c r="P43" s="100">
        <v>1.34</v>
      </c>
      <c r="Q43" s="100">
        <v>9.34</v>
      </c>
      <c r="R43" s="6"/>
      <c r="S43" s="6"/>
      <c r="T43" s="156"/>
      <c r="U43" s="6"/>
    </row>
    <row r="44" spans="1:21" customFormat="1">
      <c r="A44" s="163" t="s">
        <v>1434</v>
      </c>
      <c r="B44" s="100">
        <v>26.55</v>
      </c>
      <c r="C44" s="100">
        <v>23.31</v>
      </c>
      <c r="D44" s="100">
        <v>33.47</v>
      </c>
      <c r="E44" s="100">
        <v>5.65</v>
      </c>
      <c r="F44" s="100">
        <v>1.4</v>
      </c>
      <c r="G44" s="100">
        <v>114.65</v>
      </c>
      <c r="H44" s="100">
        <v>63.39</v>
      </c>
      <c r="I44" s="100">
        <v>25.69</v>
      </c>
      <c r="J44" s="100">
        <v>0.43</v>
      </c>
      <c r="K44" s="100">
        <v>22.65</v>
      </c>
      <c r="L44" s="100">
        <v>22.36</v>
      </c>
      <c r="M44" s="100">
        <v>51.91</v>
      </c>
      <c r="N44" s="100">
        <v>243.1</v>
      </c>
      <c r="O44" s="100">
        <v>0</v>
      </c>
      <c r="P44" s="100">
        <v>1.38</v>
      </c>
      <c r="Q44" s="100">
        <v>9.34</v>
      </c>
      <c r="R44" s="6"/>
      <c r="S44" s="6"/>
      <c r="T44" s="156"/>
      <c r="U44" s="6"/>
    </row>
    <row r="45" spans="1:21" customFormat="1">
      <c r="A45" s="163" t="s">
        <v>1435</v>
      </c>
      <c r="B45" s="100">
        <v>24.89</v>
      </c>
      <c r="C45" s="100">
        <v>23.92</v>
      </c>
      <c r="D45" s="100">
        <v>32.46</v>
      </c>
      <c r="E45" s="100">
        <v>5.81</v>
      </c>
      <c r="F45" s="100">
        <v>1.58</v>
      </c>
      <c r="G45" s="100">
        <v>140.03</v>
      </c>
      <c r="H45" s="100">
        <v>81.2</v>
      </c>
      <c r="I45" s="100">
        <v>26.25</v>
      </c>
      <c r="J45" s="100">
        <v>0.52</v>
      </c>
      <c r="K45" s="100">
        <v>24.69</v>
      </c>
      <c r="L45" s="100">
        <v>23.12</v>
      </c>
      <c r="M45" s="100">
        <v>47.59</v>
      </c>
      <c r="N45" s="100">
        <v>142.5</v>
      </c>
      <c r="O45" s="100">
        <v>0</v>
      </c>
      <c r="P45" s="100">
        <v>1.39</v>
      </c>
      <c r="Q45" s="100">
        <v>9.3699999999999992</v>
      </c>
      <c r="R45" s="6"/>
      <c r="S45" s="6"/>
      <c r="T45" s="156"/>
      <c r="U45" s="6"/>
    </row>
    <row r="46" spans="1:21" customFormat="1">
      <c r="A46" s="163" t="s">
        <v>1436</v>
      </c>
      <c r="B46" s="100">
        <v>23.19</v>
      </c>
      <c r="C46" s="100">
        <v>24.61</v>
      </c>
      <c r="D46" s="100">
        <v>31.45</v>
      </c>
      <c r="E46" s="100">
        <v>6.02</v>
      </c>
      <c r="F46" s="100">
        <v>1.41</v>
      </c>
      <c r="G46" s="100">
        <v>141.52000000000001</v>
      </c>
      <c r="H46" s="100">
        <v>81.2</v>
      </c>
      <c r="I46" s="100">
        <v>26.44</v>
      </c>
      <c r="J46" s="100">
        <v>0.64</v>
      </c>
      <c r="K46" s="100">
        <v>20.170000000000002</v>
      </c>
      <c r="L46" s="100">
        <v>23.6</v>
      </c>
      <c r="M46" s="100">
        <v>45.54</v>
      </c>
      <c r="N46" s="100">
        <v>121.6</v>
      </c>
      <c r="O46" s="100">
        <v>0</v>
      </c>
      <c r="P46" s="100">
        <v>1.4</v>
      </c>
      <c r="Q46" s="100">
        <v>9.3699999999999992</v>
      </c>
      <c r="R46" s="6"/>
      <c r="S46" s="6"/>
      <c r="T46" s="156"/>
      <c r="U46" s="6"/>
    </row>
    <row r="47" spans="1:21" customFormat="1">
      <c r="A47" s="163" t="s">
        <v>1437</v>
      </c>
      <c r="B47" s="100">
        <v>21.73</v>
      </c>
      <c r="C47" s="100">
        <v>24.75</v>
      </c>
      <c r="D47" s="100">
        <v>30.36</v>
      </c>
      <c r="E47" s="100">
        <v>5.72</v>
      </c>
      <c r="F47" s="100">
        <v>1.62</v>
      </c>
      <c r="G47" s="100">
        <v>141.52000000000001</v>
      </c>
      <c r="H47" s="100">
        <v>81.2</v>
      </c>
      <c r="I47" s="100">
        <v>26.33</v>
      </c>
      <c r="J47" s="100">
        <v>0.69</v>
      </c>
      <c r="K47" s="100">
        <v>30.55</v>
      </c>
      <c r="L47" s="100">
        <v>24.33</v>
      </c>
      <c r="M47" s="100">
        <v>44.08</v>
      </c>
      <c r="N47" s="100">
        <v>124.6</v>
      </c>
      <c r="O47" s="100">
        <v>0</v>
      </c>
      <c r="P47" s="100">
        <v>1.4</v>
      </c>
      <c r="Q47" s="100">
        <v>9.3800000000000008</v>
      </c>
      <c r="R47" s="6"/>
      <c r="S47" s="6"/>
      <c r="T47" s="156"/>
      <c r="U47" s="6"/>
    </row>
    <row r="48" spans="1:21" customFormat="1">
      <c r="A48" s="163" t="s">
        <v>1438</v>
      </c>
      <c r="B48" s="100">
        <v>20.61</v>
      </c>
      <c r="C48" s="100">
        <v>24.6</v>
      </c>
      <c r="D48" s="100">
        <v>29.38</v>
      </c>
      <c r="E48" s="100">
        <v>5.75</v>
      </c>
      <c r="F48" s="100">
        <v>1.65</v>
      </c>
      <c r="G48" s="100">
        <v>141.52000000000001</v>
      </c>
      <c r="H48" s="100">
        <v>81.2</v>
      </c>
      <c r="I48" s="100">
        <v>26.02</v>
      </c>
      <c r="J48" s="100">
        <v>0.56000000000000005</v>
      </c>
      <c r="K48" s="100">
        <v>24.16</v>
      </c>
      <c r="L48" s="100">
        <v>25.11</v>
      </c>
      <c r="M48" s="100">
        <v>42.33</v>
      </c>
      <c r="N48" s="100">
        <v>186.6</v>
      </c>
      <c r="O48" s="100">
        <v>0</v>
      </c>
      <c r="P48" s="100">
        <v>1.38</v>
      </c>
      <c r="Q48" s="100">
        <v>9.3699999999999992</v>
      </c>
      <c r="R48" s="6"/>
      <c r="S48" s="6"/>
      <c r="T48" s="156"/>
      <c r="U48" s="6"/>
    </row>
    <row r="49" spans="1:21" customFormat="1">
      <c r="A49" s="163" t="s">
        <v>1439</v>
      </c>
      <c r="B49" s="100">
        <v>19.46</v>
      </c>
      <c r="C49" s="100">
        <v>24.33</v>
      </c>
      <c r="D49" s="100">
        <v>28.32</v>
      </c>
      <c r="E49" s="100">
        <v>4.0599999999999996</v>
      </c>
      <c r="F49" s="100">
        <v>1.73</v>
      </c>
      <c r="G49" s="100">
        <v>113.4</v>
      </c>
      <c r="H49" s="100">
        <v>71.290000000000006</v>
      </c>
      <c r="I49" s="100">
        <v>23.11</v>
      </c>
      <c r="J49" s="100">
        <v>0.59</v>
      </c>
      <c r="K49" s="100">
        <v>49.36</v>
      </c>
      <c r="L49" s="100">
        <v>25.62</v>
      </c>
      <c r="M49" s="100">
        <v>39.54</v>
      </c>
      <c r="N49" s="100">
        <v>425.1</v>
      </c>
      <c r="O49" s="100">
        <v>0</v>
      </c>
      <c r="P49" s="100">
        <v>1.37</v>
      </c>
      <c r="Q49" s="100">
        <v>9.3699999999999992</v>
      </c>
      <c r="R49" s="6"/>
      <c r="S49" s="6"/>
      <c r="T49" s="156"/>
      <c r="U49" s="6"/>
    </row>
    <row r="50" spans="1:21" customFormat="1">
      <c r="A50" s="163" t="s">
        <v>1440</v>
      </c>
      <c r="B50" s="100">
        <v>18.149999999999999</v>
      </c>
      <c r="C50" s="100">
        <v>23.99</v>
      </c>
      <c r="D50" s="100">
        <v>27.09</v>
      </c>
      <c r="E50" s="100">
        <v>4.8099999999999996</v>
      </c>
      <c r="F50" s="100">
        <v>1.52</v>
      </c>
      <c r="G50" s="100">
        <v>111.75</v>
      </c>
      <c r="H50" s="100">
        <v>71.290000000000006</v>
      </c>
      <c r="I50" s="100">
        <v>19.989999999999998</v>
      </c>
      <c r="J50" s="100">
        <v>0.6</v>
      </c>
      <c r="K50" s="100">
        <v>57.89</v>
      </c>
      <c r="L50" s="100">
        <v>26.12</v>
      </c>
      <c r="M50" s="100">
        <v>38.200000000000003</v>
      </c>
      <c r="N50" s="100">
        <v>456.3</v>
      </c>
      <c r="O50" s="100">
        <v>0</v>
      </c>
      <c r="P50" s="100">
        <v>1.35</v>
      </c>
      <c r="Q50" s="100">
        <v>9.35</v>
      </c>
      <c r="R50" s="6"/>
      <c r="S50" s="6"/>
      <c r="T50" s="156"/>
      <c r="U50" s="6"/>
    </row>
    <row r="51" spans="1:21" customFormat="1">
      <c r="A51" s="163" t="s">
        <v>1441</v>
      </c>
      <c r="B51" s="100">
        <v>16.829999999999998</v>
      </c>
      <c r="C51" s="100">
        <v>23.63</v>
      </c>
      <c r="D51" s="100">
        <v>25.84</v>
      </c>
      <c r="E51" s="100">
        <v>5.13</v>
      </c>
      <c r="F51" s="100">
        <v>1.56</v>
      </c>
      <c r="G51" s="100">
        <v>111.75</v>
      </c>
      <c r="H51" s="100">
        <v>71.290000000000006</v>
      </c>
      <c r="I51" s="100">
        <v>19.64</v>
      </c>
      <c r="J51" s="100">
        <v>0.52</v>
      </c>
      <c r="K51" s="100">
        <v>51.94</v>
      </c>
      <c r="L51" s="100">
        <v>26.98</v>
      </c>
      <c r="M51" s="100">
        <v>34.85</v>
      </c>
      <c r="N51" s="100">
        <v>483.3</v>
      </c>
      <c r="O51" s="100">
        <v>0</v>
      </c>
      <c r="P51" s="100">
        <v>1.33</v>
      </c>
      <c r="Q51" s="100">
        <v>9.32</v>
      </c>
      <c r="R51" s="6"/>
      <c r="S51" s="6"/>
      <c r="T51" s="156"/>
      <c r="U51" s="6"/>
    </row>
    <row r="52" spans="1:21" customFormat="1">
      <c r="A52" s="163" t="s">
        <v>1442</v>
      </c>
      <c r="B52" s="100">
        <v>15.56</v>
      </c>
      <c r="C52" s="100">
        <v>23.39</v>
      </c>
      <c r="D52" s="100">
        <v>24.7</v>
      </c>
      <c r="E52" s="100">
        <v>5.12</v>
      </c>
      <c r="F52" s="100">
        <v>1.49</v>
      </c>
      <c r="G52" s="100">
        <v>111.75</v>
      </c>
      <c r="H52" s="100">
        <v>71.290000000000006</v>
      </c>
      <c r="I52" s="100">
        <v>19.3</v>
      </c>
      <c r="J52" s="100">
        <v>0.32</v>
      </c>
      <c r="K52" s="100">
        <v>74.92</v>
      </c>
      <c r="L52" s="100">
        <v>27.35</v>
      </c>
      <c r="M52" s="100">
        <v>33.130000000000003</v>
      </c>
      <c r="N52" s="100">
        <v>500.3</v>
      </c>
      <c r="O52" s="100">
        <v>0</v>
      </c>
      <c r="P52" s="100">
        <v>1.3</v>
      </c>
      <c r="Q52" s="100">
        <v>9.33</v>
      </c>
      <c r="R52" s="6"/>
      <c r="S52" s="6"/>
      <c r="T52" s="156"/>
      <c r="U52" s="6"/>
    </row>
    <row r="53" spans="1:21" customFormat="1">
      <c r="A53" s="163" t="s">
        <v>1443</v>
      </c>
      <c r="B53" s="100">
        <v>14.35</v>
      </c>
      <c r="C53" s="100">
        <v>22.92</v>
      </c>
      <c r="D53" s="100">
        <v>23.49</v>
      </c>
      <c r="E53" s="100">
        <v>5</v>
      </c>
      <c r="F53" s="100">
        <v>1.72</v>
      </c>
      <c r="G53" s="100">
        <v>90.8</v>
      </c>
      <c r="H53" s="100">
        <v>47.66</v>
      </c>
      <c r="I53" s="100">
        <v>18.920000000000002</v>
      </c>
      <c r="J53" s="100">
        <v>0.42</v>
      </c>
      <c r="K53" s="100">
        <v>60.47</v>
      </c>
      <c r="L53" s="100">
        <v>28.03</v>
      </c>
      <c r="M53" s="100">
        <v>29.99</v>
      </c>
      <c r="N53" s="100">
        <v>486.2</v>
      </c>
      <c r="O53" s="100">
        <v>0</v>
      </c>
      <c r="P53" s="100">
        <v>1.26</v>
      </c>
      <c r="Q53" s="100">
        <v>9.32</v>
      </c>
      <c r="R53" s="6"/>
      <c r="S53" s="6"/>
      <c r="T53" s="156"/>
      <c r="U53" s="6"/>
    </row>
    <row r="54" spans="1:21" customFormat="1">
      <c r="A54" s="163" t="s">
        <v>1444</v>
      </c>
      <c r="B54" s="100">
        <v>13.12</v>
      </c>
      <c r="C54" s="100">
        <v>22.54</v>
      </c>
      <c r="D54" s="100">
        <v>22.29</v>
      </c>
      <c r="E54" s="100">
        <v>5</v>
      </c>
      <c r="F54" s="100">
        <v>1.64</v>
      </c>
      <c r="G54" s="100">
        <v>89.57</v>
      </c>
      <c r="H54" s="100">
        <v>47.66</v>
      </c>
      <c r="I54" s="100">
        <v>18.54</v>
      </c>
      <c r="J54" s="100">
        <v>0.49</v>
      </c>
      <c r="K54" s="100">
        <v>15.19</v>
      </c>
      <c r="L54" s="100">
        <v>28.49</v>
      </c>
      <c r="M54" s="100">
        <v>27.12</v>
      </c>
      <c r="N54" s="100">
        <v>544.29999999999995</v>
      </c>
      <c r="O54" s="100">
        <v>0</v>
      </c>
      <c r="P54" s="100">
        <v>1.23</v>
      </c>
      <c r="Q54" s="100">
        <v>9.32</v>
      </c>
      <c r="R54" s="6"/>
      <c r="S54" s="6"/>
      <c r="T54" s="156"/>
      <c r="U54" s="6"/>
    </row>
    <row r="55" spans="1:21" customFormat="1">
      <c r="A55" s="163" t="s">
        <v>1445</v>
      </c>
      <c r="B55" s="100">
        <v>12.04</v>
      </c>
      <c r="C55" s="100">
        <v>22.12</v>
      </c>
      <c r="D55" s="100">
        <v>21.21</v>
      </c>
      <c r="E55" s="100">
        <v>5.17</v>
      </c>
      <c r="F55" s="100">
        <v>1.7</v>
      </c>
      <c r="G55" s="100">
        <v>89.57</v>
      </c>
      <c r="H55" s="100">
        <v>47.66</v>
      </c>
      <c r="I55" s="100">
        <v>18.14</v>
      </c>
      <c r="J55" s="100">
        <v>0.32</v>
      </c>
      <c r="K55" s="100">
        <v>65.239999999999995</v>
      </c>
      <c r="L55" s="100">
        <v>28.92</v>
      </c>
      <c r="M55" s="100">
        <v>28.88</v>
      </c>
      <c r="N55" s="100">
        <v>529.70000000000005</v>
      </c>
      <c r="O55" s="100">
        <v>0</v>
      </c>
      <c r="P55" s="100">
        <v>1.2</v>
      </c>
      <c r="Q55" s="100">
        <v>9.32</v>
      </c>
      <c r="R55" s="6"/>
      <c r="S55" s="6"/>
      <c r="T55" s="156"/>
      <c r="U55" s="6"/>
    </row>
    <row r="56" spans="1:21" customFormat="1">
      <c r="A56" s="163" t="s">
        <v>1446</v>
      </c>
      <c r="B56" s="100">
        <v>10.93</v>
      </c>
      <c r="C56" s="100">
        <v>21.72</v>
      </c>
      <c r="D56" s="100">
        <v>20.12</v>
      </c>
      <c r="E56" s="100">
        <v>5.24</v>
      </c>
      <c r="F56" s="100">
        <v>2</v>
      </c>
      <c r="G56" s="100">
        <v>89.57</v>
      </c>
      <c r="H56" s="100">
        <v>47.66</v>
      </c>
      <c r="I56" s="100">
        <v>17.7</v>
      </c>
      <c r="J56" s="100">
        <v>0.35</v>
      </c>
      <c r="K56" s="100">
        <v>48.78</v>
      </c>
      <c r="L56" s="100">
        <v>29.17</v>
      </c>
      <c r="M56" s="100">
        <v>27.45</v>
      </c>
      <c r="N56" s="100">
        <v>531.6</v>
      </c>
      <c r="O56" s="100">
        <v>0</v>
      </c>
      <c r="P56" s="100">
        <v>1.1499999999999999</v>
      </c>
      <c r="Q56" s="100">
        <v>9.32</v>
      </c>
      <c r="R56" s="6"/>
      <c r="S56" s="6"/>
      <c r="T56" s="156"/>
      <c r="U56" s="6"/>
    </row>
    <row r="57" spans="1:21" customFormat="1">
      <c r="A57" s="163" t="s">
        <v>1447</v>
      </c>
      <c r="B57" s="100">
        <v>9.98</v>
      </c>
      <c r="C57" s="100">
        <v>21.41</v>
      </c>
      <c r="D57" s="100">
        <v>19.190000000000001</v>
      </c>
      <c r="E57" s="100">
        <v>5.54</v>
      </c>
      <c r="F57" s="100">
        <v>2.4</v>
      </c>
      <c r="G57" s="100">
        <v>69.83</v>
      </c>
      <c r="H57" s="100">
        <v>32.479999999999997</v>
      </c>
      <c r="I57" s="100">
        <v>17.29</v>
      </c>
      <c r="J57" s="100">
        <v>0.23</v>
      </c>
      <c r="K57" s="100">
        <v>44.32</v>
      </c>
      <c r="L57" s="100">
        <v>29.48</v>
      </c>
      <c r="M57" s="100">
        <v>26.8</v>
      </c>
      <c r="N57" s="100">
        <v>530.5</v>
      </c>
      <c r="O57" s="100">
        <v>0</v>
      </c>
      <c r="P57" s="100">
        <v>1.1299999999999999</v>
      </c>
      <c r="Q57" s="100">
        <v>9.32</v>
      </c>
      <c r="R57" s="6"/>
      <c r="S57" s="6"/>
      <c r="T57" s="156"/>
      <c r="U57" s="6"/>
    </row>
    <row r="58" spans="1:21" customFormat="1">
      <c r="A58" s="163" t="s">
        <v>1448</v>
      </c>
      <c r="B58" s="100">
        <v>9.1</v>
      </c>
      <c r="C58" s="100">
        <v>21.09</v>
      </c>
      <c r="D58" s="100">
        <v>18.32</v>
      </c>
      <c r="E58" s="100">
        <v>5.79</v>
      </c>
      <c r="F58" s="100">
        <v>3.26</v>
      </c>
      <c r="G58" s="100">
        <v>68.67</v>
      </c>
      <c r="H58" s="100">
        <v>32.479999999999997</v>
      </c>
      <c r="I58" s="100">
        <v>16.850000000000001</v>
      </c>
      <c r="J58" s="100">
        <v>0.56999999999999995</v>
      </c>
      <c r="K58" s="100">
        <v>0.73</v>
      </c>
      <c r="L58" s="100">
        <v>29.68</v>
      </c>
      <c r="M58" s="100">
        <v>24.79</v>
      </c>
      <c r="N58" s="100">
        <v>529.79999999999995</v>
      </c>
      <c r="O58" s="100">
        <v>0</v>
      </c>
      <c r="P58" s="100">
        <v>1.0900000000000001</v>
      </c>
      <c r="Q58" s="100">
        <v>9.32</v>
      </c>
      <c r="R58" s="6"/>
      <c r="S58" s="6"/>
      <c r="T58" s="156"/>
      <c r="U58" s="6"/>
    </row>
    <row r="59" spans="1:21" customFormat="1">
      <c r="A59" s="163" t="s">
        <v>1449</v>
      </c>
      <c r="B59" s="100">
        <v>8.36</v>
      </c>
      <c r="C59" s="100">
        <v>20.88</v>
      </c>
      <c r="D59" s="100">
        <v>17.62</v>
      </c>
      <c r="E59" s="100">
        <v>5.05</v>
      </c>
      <c r="F59" s="100">
        <v>2.41</v>
      </c>
      <c r="G59" s="100">
        <v>68.67</v>
      </c>
      <c r="H59" s="100">
        <v>32.479999999999997</v>
      </c>
      <c r="I59" s="100">
        <v>16.39</v>
      </c>
      <c r="J59" s="100">
        <v>0.43</v>
      </c>
      <c r="K59" s="100">
        <v>353.19</v>
      </c>
      <c r="L59" s="100">
        <v>29.88</v>
      </c>
      <c r="M59" s="100">
        <v>23.11</v>
      </c>
      <c r="N59" s="100">
        <v>544.20000000000005</v>
      </c>
      <c r="O59" s="100">
        <v>0</v>
      </c>
      <c r="P59" s="100">
        <v>1.07</v>
      </c>
      <c r="Q59" s="100">
        <v>9.32</v>
      </c>
      <c r="R59" s="6"/>
      <c r="S59" s="6"/>
      <c r="T59" s="156"/>
      <c r="U59" s="6"/>
    </row>
    <row r="60" spans="1:21" customFormat="1">
      <c r="A60" s="163" t="s">
        <v>1450</v>
      </c>
      <c r="B60" s="100">
        <v>7.68</v>
      </c>
      <c r="C60" s="100">
        <v>20.55</v>
      </c>
      <c r="D60" s="100">
        <v>16.89</v>
      </c>
      <c r="E60" s="100">
        <v>5.79</v>
      </c>
      <c r="F60" s="100">
        <v>2.52</v>
      </c>
      <c r="G60" s="100">
        <v>68.67</v>
      </c>
      <c r="H60" s="100">
        <v>32.479999999999997</v>
      </c>
      <c r="I60" s="100">
        <v>17.75</v>
      </c>
      <c r="J60" s="100">
        <v>0.28999999999999998</v>
      </c>
      <c r="K60" s="100">
        <v>60.78</v>
      </c>
      <c r="L60" s="100">
        <v>30.17</v>
      </c>
      <c r="M60" s="100">
        <v>23.89</v>
      </c>
      <c r="N60" s="100">
        <v>504.7</v>
      </c>
      <c r="O60" s="100">
        <v>0</v>
      </c>
      <c r="P60" s="100">
        <v>1.04</v>
      </c>
      <c r="Q60" s="100">
        <v>9.32</v>
      </c>
      <c r="R60" s="6"/>
      <c r="S60" s="6"/>
      <c r="T60" s="156"/>
      <c r="U60" s="6"/>
    </row>
    <row r="61" spans="1:21" customFormat="1">
      <c r="A61" s="163" t="s">
        <v>1451</v>
      </c>
      <c r="B61" s="100">
        <v>7</v>
      </c>
      <c r="C61" s="100">
        <v>20.22</v>
      </c>
      <c r="D61" s="100">
        <v>16.18</v>
      </c>
      <c r="E61" s="100">
        <v>5.66</v>
      </c>
      <c r="F61" s="100">
        <v>3.51</v>
      </c>
      <c r="G61" s="100">
        <v>58.09</v>
      </c>
      <c r="H61" s="100">
        <v>21.49</v>
      </c>
      <c r="I61" s="100">
        <v>19.18</v>
      </c>
      <c r="J61" s="100">
        <v>0.39</v>
      </c>
      <c r="K61" s="100">
        <v>329.08</v>
      </c>
      <c r="L61" s="100">
        <v>30</v>
      </c>
      <c r="M61" s="100">
        <v>23.83</v>
      </c>
      <c r="N61" s="100">
        <v>434.4</v>
      </c>
      <c r="O61" s="100">
        <v>0</v>
      </c>
      <c r="P61" s="100">
        <v>1</v>
      </c>
      <c r="Q61" s="100">
        <v>9.32</v>
      </c>
      <c r="R61" s="6"/>
      <c r="S61" s="6"/>
      <c r="T61" s="156"/>
      <c r="U61" s="6"/>
    </row>
    <row r="62" spans="1:21" customFormat="1">
      <c r="A62" s="163" t="s">
        <v>1452</v>
      </c>
      <c r="B62" s="100">
        <v>6.46</v>
      </c>
      <c r="C62" s="100">
        <v>20.02</v>
      </c>
      <c r="D62" s="100">
        <v>15.64</v>
      </c>
      <c r="E62" s="100">
        <v>6.17</v>
      </c>
      <c r="F62" s="100">
        <v>3.96</v>
      </c>
      <c r="G62" s="100">
        <v>57.47</v>
      </c>
      <c r="H62" s="100">
        <v>21.49</v>
      </c>
      <c r="I62" s="100">
        <v>18.649999999999999</v>
      </c>
      <c r="J62" s="100">
        <v>0.59</v>
      </c>
      <c r="K62" s="100">
        <v>32.409999999999997</v>
      </c>
      <c r="L62" s="100">
        <v>29.68</v>
      </c>
      <c r="M62" s="100">
        <v>24.18</v>
      </c>
      <c r="N62" s="100">
        <v>160.19999999999999</v>
      </c>
      <c r="O62" s="100">
        <v>0</v>
      </c>
      <c r="P62" s="100">
        <v>0.97</v>
      </c>
      <c r="Q62" s="100">
        <v>9.32</v>
      </c>
      <c r="R62" s="6"/>
      <c r="S62" s="6"/>
      <c r="T62" s="156"/>
      <c r="U62" s="6"/>
    </row>
    <row r="63" spans="1:21" customFormat="1">
      <c r="A63" s="163" t="s">
        <v>1453</v>
      </c>
      <c r="B63" s="100">
        <v>5.99</v>
      </c>
      <c r="C63" s="100">
        <v>19.850000000000001</v>
      </c>
      <c r="D63" s="100">
        <v>15.17</v>
      </c>
      <c r="E63" s="100">
        <v>5.89</v>
      </c>
      <c r="F63" s="100">
        <v>4.07</v>
      </c>
      <c r="G63" s="100">
        <v>57.47</v>
      </c>
      <c r="H63" s="100">
        <v>21.49</v>
      </c>
      <c r="I63" s="100">
        <v>18.23</v>
      </c>
      <c r="J63" s="100">
        <v>0.31</v>
      </c>
      <c r="K63" s="100">
        <v>336.02</v>
      </c>
      <c r="L63" s="100">
        <v>29.46</v>
      </c>
      <c r="M63" s="100">
        <v>25.24</v>
      </c>
      <c r="N63" s="100">
        <v>143.80000000000001</v>
      </c>
      <c r="O63" s="100">
        <v>0</v>
      </c>
      <c r="P63" s="100">
        <v>0.95</v>
      </c>
      <c r="Q63" s="100">
        <v>9.32</v>
      </c>
      <c r="R63" s="6"/>
      <c r="S63" s="6"/>
      <c r="T63" s="156"/>
      <c r="U63" s="6"/>
    </row>
    <row r="64" spans="1:21" customFormat="1">
      <c r="A64" s="163" t="s">
        <v>1454</v>
      </c>
      <c r="B64" s="100">
        <v>5.56</v>
      </c>
      <c r="C64" s="100">
        <v>19.96</v>
      </c>
      <c r="D64" s="100">
        <v>14.89</v>
      </c>
      <c r="E64" s="100">
        <v>7.4</v>
      </c>
      <c r="F64" s="100">
        <v>4.46</v>
      </c>
      <c r="G64" s="100">
        <v>57.47</v>
      </c>
      <c r="H64" s="100">
        <v>21.49</v>
      </c>
      <c r="I64" s="100">
        <v>17.87</v>
      </c>
      <c r="J64" s="100">
        <v>0.39</v>
      </c>
      <c r="K64" s="100">
        <v>3.56</v>
      </c>
      <c r="L64" s="100">
        <v>29.45</v>
      </c>
      <c r="M64" s="100">
        <v>25.22</v>
      </c>
      <c r="N64" s="100">
        <v>119.8</v>
      </c>
      <c r="O64" s="100">
        <v>0</v>
      </c>
      <c r="P64" s="100">
        <v>0.93</v>
      </c>
      <c r="Q64" s="100">
        <v>9.32</v>
      </c>
      <c r="R64" s="6"/>
      <c r="S64" s="6"/>
      <c r="T64" s="156"/>
      <c r="U64" s="6"/>
    </row>
    <row r="65" spans="1:21" customFormat="1">
      <c r="A65" s="163" t="s">
        <v>1455</v>
      </c>
      <c r="B65" s="100">
        <v>5.19</v>
      </c>
      <c r="C65" s="100">
        <v>19.989999999999998</v>
      </c>
      <c r="D65" s="100">
        <v>14.6</v>
      </c>
      <c r="E65" s="100">
        <v>6.93</v>
      </c>
      <c r="F65" s="100">
        <v>4.09</v>
      </c>
      <c r="G65" s="100">
        <v>58.86</v>
      </c>
      <c r="H65" s="100">
        <v>25.51</v>
      </c>
      <c r="I65" s="100">
        <v>17.5</v>
      </c>
      <c r="J65" s="100">
        <v>0.06</v>
      </c>
      <c r="K65" s="100">
        <v>196.39</v>
      </c>
      <c r="L65" s="100">
        <v>29.37</v>
      </c>
      <c r="M65" s="100">
        <v>26.36</v>
      </c>
      <c r="N65" s="100">
        <v>111.6</v>
      </c>
      <c r="O65" s="100">
        <v>0</v>
      </c>
      <c r="P65" s="100">
        <v>0.81</v>
      </c>
      <c r="Q65" s="100">
        <v>9.32</v>
      </c>
      <c r="R65" s="6"/>
      <c r="S65" s="6"/>
      <c r="T65" s="156"/>
      <c r="U65" s="6"/>
    </row>
    <row r="66" spans="1:21" customFormat="1">
      <c r="A66" s="163" t="s">
        <v>1456</v>
      </c>
      <c r="B66" s="100">
        <v>4.78</v>
      </c>
      <c r="C66" s="100">
        <v>19.96</v>
      </c>
      <c r="D66" s="100">
        <v>14.26</v>
      </c>
      <c r="E66" s="100">
        <v>6.55</v>
      </c>
      <c r="F66" s="100">
        <v>3.59</v>
      </c>
      <c r="G66" s="100">
        <v>58.96</v>
      </c>
      <c r="H66" s="100">
        <v>25.51</v>
      </c>
      <c r="I66" s="100">
        <v>17.079999999999998</v>
      </c>
      <c r="J66" s="100">
        <v>0.44</v>
      </c>
      <c r="K66" s="100">
        <v>312.58999999999997</v>
      </c>
      <c r="L66" s="100">
        <v>29.59</v>
      </c>
      <c r="M66" s="100">
        <v>25.64</v>
      </c>
      <c r="N66" s="100">
        <v>108</v>
      </c>
      <c r="O66" s="100">
        <v>0</v>
      </c>
      <c r="P66" s="100">
        <v>0.82</v>
      </c>
      <c r="Q66" s="100">
        <v>9.32</v>
      </c>
      <c r="R66" s="6"/>
      <c r="S66" s="6"/>
      <c r="T66" s="156"/>
      <c r="U66" s="6"/>
    </row>
    <row r="67" spans="1:21" customFormat="1">
      <c r="A67" s="163" t="s">
        <v>1457</v>
      </c>
      <c r="B67" s="100">
        <v>4.3600000000000003</v>
      </c>
      <c r="C67" s="100">
        <v>20.36</v>
      </c>
      <c r="D67" s="100">
        <v>14.13</v>
      </c>
      <c r="E67" s="100">
        <v>6.98</v>
      </c>
      <c r="F67" s="100">
        <v>4.66</v>
      </c>
      <c r="G67" s="100">
        <v>58.96</v>
      </c>
      <c r="H67" s="100">
        <v>25.51</v>
      </c>
      <c r="I67" s="100">
        <v>16.739999999999998</v>
      </c>
      <c r="J67" s="100">
        <v>0.16</v>
      </c>
      <c r="K67" s="100">
        <v>50.16</v>
      </c>
      <c r="L67" s="100">
        <v>29.67</v>
      </c>
      <c r="M67" s="100">
        <v>25.1</v>
      </c>
      <c r="N67" s="100">
        <v>100.1</v>
      </c>
      <c r="O67" s="100">
        <v>0</v>
      </c>
      <c r="P67" s="100">
        <v>0.79</v>
      </c>
      <c r="Q67" s="100">
        <v>9.32</v>
      </c>
      <c r="R67" s="6"/>
      <c r="S67" s="6"/>
      <c r="T67" s="156"/>
      <c r="U67" s="6"/>
    </row>
    <row r="68" spans="1:21" customFormat="1">
      <c r="A68" s="163" t="s">
        <v>1458</v>
      </c>
      <c r="B68" s="100">
        <v>4.01</v>
      </c>
      <c r="C68" s="100">
        <v>20.57</v>
      </c>
      <c r="D68" s="100">
        <v>13.97</v>
      </c>
      <c r="E68" s="100">
        <v>6.4</v>
      </c>
      <c r="F68" s="100">
        <v>5.05</v>
      </c>
      <c r="G68" s="100">
        <v>58.96</v>
      </c>
      <c r="H68" s="100">
        <v>25.51</v>
      </c>
      <c r="I68" s="100">
        <v>16.43</v>
      </c>
      <c r="J68" s="100">
        <v>0.53</v>
      </c>
      <c r="K68" s="100">
        <v>333</v>
      </c>
      <c r="L68" s="100">
        <v>29.8</v>
      </c>
      <c r="M68" s="100">
        <v>24.13</v>
      </c>
      <c r="N68" s="100">
        <v>88.5</v>
      </c>
      <c r="O68" s="100">
        <v>0</v>
      </c>
      <c r="P68" s="100">
        <v>0.77</v>
      </c>
      <c r="Q68" s="100">
        <v>9.34</v>
      </c>
      <c r="R68" s="6"/>
      <c r="S68" s="6"/>
      <c r="T68" s="156"/>
      <c r="U68" s="6"/>
    </row>
    <row r="69" spans="1:21" customFormat="1">
      <c r="A69" s="163" t="s">
        <v>1459</v>
      </c>
      <c r="B69" s="100">
        <v>3.72</v>
      </c>
      <c r="C69" s="100">
        <v>20.58</v>
      </c>
      <c r="D69" s="100">
        <v>13.74</v>
      </c>
      <c r="E69" s="100">
        <v>5.96</v>
      </c>
      <c r="F69" s="100">
        <v>5.56</v>
      </c>
      <c r="G69" s="100">
        <v>57.72</v>
      </c>
      <c r="H69" s="100">
        <v>28.76</v>
      </c>
      <c r="I69" s="100">
        <v>16</v>
      </c>
      <c r="J69" s="100">
        <v>0.61</v>
      </c>
      <c r="K69" s="100">
        <v>318.54000000000002</v>
      </c>
      <c r="L69" s="100">
        <v>29.61</v>
      </c>
      <c r="M69" s="100">
        <v>24.76</v>
      </c>
      <c r="N69" s="100">
        <v>81.5</v>
      </c>
      <c r="O69" s="100">
        <v>0</v>
      </c>
      <c r="P69" s="100">
        <v>0.76</v>
      </c>
      <c r="Q69" s="100">
        <v>9.3800000000000008</v>
      </c>
      <c r="R69" s="6"/>
      <c r="S69" s="6"/>
      <c r="T69" s="156"/>
      <c r="U69" s="6"/>
    </row>
    <row r="70" spans="1:21" customFormat="1">
      <c r="A70" s="163" t="s">
        <v>1460</v>
      </c>
      <c r="B70" s="100">
        <v>3.51</v>
      </c>
      <c r="C70" s="100">
        <v>20.6</v>
      </c>
      <c r="D70" s="100">
        <v>13.58</v>
      </c>
      <c r="E70" s="100">
        <v>6.28</v>
      </c>
      <c r="F70" s="100">
        <v>6.75</v>
      </c>
      <c r="G70" s="100">
        <v>57.64</v>
      </c>
      <c r="H70" s="100">
        <v>28.76</v>
      </c>
      <c r="I70" s="100">
        <v>15.61</v>
      </c>
      <c r="J70" s="100">
        <v>0.36</v>
      </c>
      <c r="K70" s="100">
        <v>340.95</v>
      </c>
      <c r="L70" s="100">
        <v>29.49</v>
      </c>
      <c r="M70" s="100">
        <v>24.02</v>
      </c>
      <c r="N70" s="100">
        <v>72.7</v>
      </c>
      <c r="O70" s="100">
        <v>0</v>
      </c>
      <c r="P70" s="100">
        <v>0.74</v>
      </c>
      <c r="Q70" s="100">
        <v>9.42</v>
      </c>
      <c r="R70" s="6"/>
      <c r="S70" s="6"/>
      <c r="T70" s="156"/>
      <c r="U70" s="6"/>
    </row>
    <row r="71" spans="1:21" customFormat="1">
      <c r="A71" s="163" t="s">
        <v>1461</v>
      </c>
      <c r="B71" s="100">
        <v>3.39</v>
      </c>
      <c r="C71" s="100">
        <v>20.29</v>
      </c>
      <c r="D71" s="100">
        <v>13.32</v>
      </c>
      <c r="E71" s="100">
        <v>5.45</v>
      </c>
      <c r="F71" s="100">
        <v>5.04</v>
      </c>
      <c r="G71" s="100">
        <v>57.64</v>
      </c>
      <c r="H71" s="100">
        <v>28.76</v>
      </c>
      <c r="I71" s="100">
        <v>15.3</v>
      </c>
      <c r="J71" s="100">
        <v>0.61</v>
      </c>
      <c r="K71" s="100">
        <v>36.04</v>
      </c>
      <c r="L71" s="100">
        <v>29.48</v>
      </c>
      <c r="M71" s="100">
        <v>22.95</v>
      </c>
      <c r="N71" s="100">
        <v>60.4</v>
      </c>
      <c r="O71" s="100">
        <v>0</v>
      </c>
      <c r="P71" s="100">
        <v>0.72</v>
      </c>
      <c r="Q71" s="100">
        <v>9.43</v>
      </c>
      <c r="R71" s="6"/>
      <c r="S71" s="6"/>
      <c r="T71" s="156"/>
      <c r="U71" s="6"/>
    </row>
    <row r="72" spans="1:21" customFormat="1">
      <c r="A72" s="163" t="s">
        <v>1462</v>
      </c>
      <c r="B72" s="100">
        <v>3.37</v>
      </c>
      <c r="C72" s="100">
        <v>20.149999999999999</v>
      </c>
      <c r="D72" s="100">
        <v>13.23</v>
      </c>
      <c r="E72" s="100">
        <v>5.51</v>
      </c>
      <c r="F72" s="100">
        <v>4.8499999999999996</v>
      </c>
      <c r="G72" s="100">
        <v>57.64</v>
      </c>
      <c r="H72" s="100">
        <v>28.76</v>
      </c>
      <c r="I72" s="100">
        <v>14.98</v>
      </c>
      <c r="J72" s="100">
        <v>0.77</v>
      </c>
      <c r="K72" s="100">
        <v>41.02</v>
      </c>
      <c r="L72" s="100">
        <v>29.32</v>
      </c>
      <c r="M72" s="100">
        <v>22.55</v>
      </c>
      <c r="N72" s="100">
        <v>52.7</v>
      </c>
      <c r="O72" s="100">
        <v>0</v>
      </c>
      <c r="P72" s="100">
        <v>0.7</v>
      </c>
      <c r="Q72" s="100">
        <v>9.3699999999999992</v>
      </c>
      <c r="R72" s="6"/>
      <c r="S72" s="6"/>
      <c r="T72" s="156"/>
      <c r="U72" s="6"/>
    </row>
    <row r="73" spans="1:21" customFormat="1">
      <c r="A73" s="163" t="s">
        <v>1463</v>
      </c>
      <c r="B73" s="100">
        <v>3.41</v>
      </c>
      <c r="C73" s="100">
        <v>20.02</v>
      </c>
      <c r="D73" s="100">
        <v>13.2</v>
      </c>
      <c r="E73" s="100">
        <v>5.37</v>
      </c>
      <c r="F73" s="100">
        <v>4.87</v>
      </c>
      <c r="G73" s="100">
        <v>59.2</v>
      </c>
      <c r="H73" s="100">
        <v>32.39</v>
      </c>
      <c r="I73" s="100">
        <v>14.67</v>
      </c>
      <c r="J73" s="100">
        <v>0.61</v>
      </c>
      <c r="K73" s="100">
        <v>46.81</v>
      </c>
      <c r="L73" s="100">
        <v>29.07</v>
      </c>
      <c r="M73" s="100">
        <v>23.05</v>
      </c>
      <c r="N73" s="100">
        <v>46.3</v>
      </c>
      <c r="O73" s="100">
        <v>0</v>
      </c>
      <c r="P73" s="100">
        <v>0.68</v>
      </c>
      <c r="Q73" s="100">
        <v>9.43</v>
      </c>
      <c r="R73" s="6"/>
      <c r="S73" s="6"/>
      <c r="T73" s="156"/>
      <c r="U73" s="6"/>
    </row>
    <row r="74" spans="1:21" customFormat="1">
      <c r="A74" s="163" t="s">
        <v>1464</v>
      </c>
      <c r="B74" s="100">
        <v>3.47</v>
      </c>
      <c r="C74" s="100">
        <v>20.09</v>
      </c>
      <c r="D74" s="100">
        <v>13.28</v>
      </c>
      <c r="E74" s="100">
        <v>5.24</v>
      </c>
      <c r="F74" s="100">
        <v>4.0199999999999996</v>
      </c>
      <c r="G74" s="100">
        <v>59.29</v>
      </c>
      <c r="H74" s="100">
        <v>32.39</v>
      </c>
      <c r="I74" s="100">
        <v>14.32</v>
      </c>
      <c r="J74" s="100">
        <v>0.59</v>
      </c>
      <c r="K74" s="100">
        <v>45.1</v>
      </c>
      <c r="L74" s="100">
        <v>28.79</v>
      </c>
      <c r="M74" s="100">
        <v>24.3</v>
      </c>
      <c r="N74" s="100">
        <v>41.7</v>
      </c>
      <c r="O74" s="100">
        <v>0</v>
      </c>
      <c r="P74" s="100">
        <v>0.67</v>
      </c>
      <c r="Q74" s="100">
        <v>9.35</v>
      </c>
      <c r="R74" s="6"/>
      <c r="S74" s="6"/>
      <c r="T74" s="156"/>
      <c r="U74" s="6"/>
    </row>
    <row r="75" spans="1:21" customFormat="1">
      <c r="A75" s="163" t="s">
        <v>1465</v>
      </c>
      <c r="B75" s="100">
        <v>3.51</v>
      </c>
      <c r="C75" s="100">
        <v>20.14</v>
      </c>
      <c r="D75" s="100">
        <v>13.33</v>
      </c>
      <c r="E75" s="100">
        <v>5</v>
      </c>
      <c r="F75" s="100">
        <v>3.26</v>
      </c>
      <c r="G75" s="100">
        <v>59.29</v>
      </c>
      <c r="H75" s="100">
        <v>32.39</v>
      </c>
      <c r="I75" s="100">
        <v>13.95</v>
      </c>
      <c r="J75" s="100">
        <v>0.35</v>
      </c>
      <c r="K75" s="100">
        <v>58.45</v>
      </c>
      <c r="L75" s="100">
        <v>28.27</v>
      </c>
      <c r="M75" s="100">
        <v>27.65</v>
      </c>
      <c r="N75" s="100">
        <v>29.4</v>
      </c>
      <c r="O75" s="100">
        <v>0</v>
      </c>
      <c r="P75" s="100">
        <v>0.66</v>
      </c>
      <c r="Q75" s="100">
        <v>9.5500000000000007</v>
      </c>
      <c r="R75" s="6"/>
      <c r="S75" s="6"/>
      <c r="T75" s="156"/>
      <c r="U75" s="6"/>
    </row>
    <row r="76" spans="1:21" customFormat="1">
      <c r="A76" s="163" t="s">
        <v>1466</v>
      </c>
      <c r="B76" s="100">
        <v>3.66</v>
      </c>
      <c r="C76" s="100">
        <v>20.239999999999998</v>
      </c>
      <c r="D76" s="100">
        <v>13.51</v>
      </c>
      <c r="E76" s="100">
        <v>4.79</v>
      </c>
      <c r="F76" s="100">
        <v>2.54</v>
      </c>
      <c r="G76" s="100">
        <v>59.29</v>
      </c>
      <c r="H76" s="100">
        <v>32.39</v>
      </c>
      <c r="I76" s="100">
        <v>13.67</v>
      </c>
      <c r="J76" s="100">
        <v>0.38</v>
      </c>
      <c r="K76" s="100">
        <v>56.67</v>
      </c>
      <c r="L76" s="100">
        <v>27.52</v>
      </c>
      <c r="M76" s="100">
        <v>29.75</v>
      </c>
      <c r="N76" s="100">
        <v>21.5</v>
      </c>
      <c r="O76" s="100">
        <v>0</v>
      </c>
      <c r="P76" s="100">
        <v>0.64</v>
      </c>
      <c r="Q76" s="100">
        <v>9.6199999999999992</v>
      </c>
      <c r="R76" s="6"/>
      <c r="S76" s="6"/>
      <c r="T76" s="156"/>
      <c r="U76" s="6"/>
    </row>
    <row r="77" spans="1:21" customFormat="1">
      <c r="A77" s="163" t="s">
        <v>1467</v>
      </c>
      <c r="B77" s="100">
        <v>3.8</v>
      </c>
      <c r="C77" s="100">
        <v>20.41</v>
      </c>
      <c r="D77" s="100">
        <v>13.71</v>
      </c>
      <c r="E77" s="100">
        <v>4.88</v>
      </c>
      <c r="F77" s="100">
        <v>2.2400000000000002</v>
      </c>
      <c r="G77" s="100">
        <v>57.35</v>
      </c>
      <c r="H77" s="100">
        <v>29.28</v>
      </c>
      <c r="I77" s="100">
        <v>13.38</v>
      </c>
      <c r="J77" s="100">
        <v>0.17</v>
      </c>
      <c r="K77" s="100">
        <v>126.38</v>
      </c>
      <c r="L77" s="100">
        <v>26.45</v>
      </c>
      <c r="M77" s="100">
        <v>35.4</v>
      </c>
      <c r="N77" s="100">
        <v>14.9</v>
      </c>
      <c r="O77" s="100">
        <v>0</v>
      </c>
      <c r="P77" s="100">
        <v>0.64</v>
      </c>
      <c r="Q77" s="100">
        <v>9.56</v>
      </c>
      <c r="R77" s="6"/>
      <c r="S77" s="6"/>
      <c r="T77" s="156"/>
      <c r="U77" s="6"/>
    </row>
    <row r="78" spans="1:21" customFormat="1">
      <c r="A78" s="163" t="s">
        <v>1468</v>
      </c>
      <c r="B78" s="100">
        <v>3.92</v>
      </c>
      <c r="C78" s="100">
        <v>20.420000000000002</v>
      </c>
      <c r="D78" s="100">
        <v>13.81</v>
      </c>
      <c r="E78" s="100">
        <v>4.84</v>
      </c>
      <c r="F78" s="100">
        <v>2.15</v>
      </c>
      <c r="G78" s="100">
        <v>57.24</v>
      </c>
      <c r="H78" s="100">
        <v>29.28</v>
      </c>
      <c r="I78" s="100">
        <v>13.16</v>
      </c>
      <c r="J78" s="100">
        <v>0.23</v>
      </c>
      <c r="K78" s="100">
        <v>172.28</v>
      </c>
      <c r="L78" s="100">
        <v>24.92</v>
      </c>
      <c r="M78" s="100">
        <v>40.76</v>
      </c>
      <c r="N78" s="100">
        <v>10.5</v>
      </c>
      <c r="O78" s="100">
        <v>0</v>
      </c>
      <c r="P78" s="100">
        <v>0.63</v>
      </c>
      <c r="Q78" s="100">
        <v>9.51</v>
      </c>
      <c r="R78" s="6"/>
      <c r="S78" s="6"/>
      <c r="T78" s="156"/>
      <c r="U78" s="6"/>
    </row>
    <row r="79" spans="1:21" customFormat="1">
      <c r="A79" s="163" t="s">
        <v>1469</v>
      </c>
      <c r="B79" s="100">
        <v>4</v>
      </c>
      <c r="C79" s="100">
        <v>20.57</v>
      </c>
      <c r="D79" s="100">
        <v>13.95</v>
      </c>
      <c r="E79" s="100">
        <v>4.84</v>
      </c>
      <c r="F79" s="100">
        <v>1.96</v>
      </c>
      <c r="G79" s="100">
        <v>57.24</v>
      </c>
      <c r="H79" s="100">
        <v>29.28</v>
      </c>
      <c r="I79" s="100">
        <v>13</v>
      </c>
      <c r="J79" s="100">
        <v>0.27</v>
      </c>
      <c r="K79" s="100">
        <v>165.91</v>
      </c>
      <c r="L79" s="100">
        <v>24.08</v>
      </c>
      <c r="M79" s="100">
        <v>44.26</v>
      </c>
      <c r="N79" s="100">
        <v>8.6999999999999993</v>
      </c>
      <c r="O79" s="100">
        <v>0</v>
      </c>
      <c r="P79" s="100">
        <v>0.63</v>
      </c>
      <c r="Q79" s="100">
        <v>9.5299999999999994</v>
      </c>
      <c r="R79" s="6"/>
      <c r="S79" s="6"/>
      <c r="T79" s="156"/>
      <c r="U79" s="6"/>
    </row>
    <row r="80" spans="1:21" customFormat="1">
      <c r="A80" s="163" t="s">
        <v>1470</v>
      </c>
      <c r="B80" s="100">
        <v>4.1399999999999997</v>
      </c>
      <c r="C80" s="100">
        <v>20.74</v>
      </c>
      <c r="D80" s="100">
        <v>14.16</v>
      </c>
      <c r="E80" s="100">
        <v>4.8600000000000003</v>
      </c>
      <c r="F80" s="100">
        <v>1.84</v>
      </c>
      <c r="G80" s="100">
        <v>57.24</v>
      </c>
      <c r="H80" s="100">
        <v>29.28</v>
      </c>
      <c r="I80" s="100">
        <v>12.87</v>
      </c>
      <c r="J80" s="100">
        <v>0.31</v>
      </c>
      <c r="K80" s="100">
        <v>165.51</v>
      </c>
      <c r="L80" s="100">
        <v>23.5</v>
      </c>
      <c r="M80" s="100">
        <v>48.63</v>
      </c>
      <c r="N80" s="100">
        <v>8.5</v>
      </c>
      <c r="O80" s="100">
        <v>0</v>
      </c>
      <c r="P80" s="100">
        <v>0.63</v>
      </c>
      <c r="Q80" s="100">
        <v>9.56</v>
      </c>
      <c r="R80" s="6"/>
      <c r="S80" s="6"/>
      <c r="T80" s="156"/>
      <c r="U80" s="6"/>
    </row>
    <row r="81" spans="1:21" customFormat="1">
      <c r="A81" s="163" t="s">
        <v>1471</v>
      </c>
      <c r="B81" s="100">
        <v>4.3</v>
      </c>
      <c r="C81" s="100">
        <v>20.8</v>
      </c>
      <c r="D81" s="100">
        <v>14.32</v>
      </c>
      <c r="E81" s="100">
        <v>5.1100000000000003</v>
      </c>
      <c r="F81" s="100">
        <v>1.49</v>
      </c>
      <c r="G81" s="100">
        <v>75.94</v>
      </c>
      <c r="H81" s="100">
        <v>35.31</v>
      </c>
      <c r="I81" s="100">
        <v>12.79</v>
      </c>
      <c r="J81" s="100">
        <v>0.36</v>
      </c>
      <c r="K81" s="100">
        <v>171.44</v>
      </c>
      <c r="L81" s="100">
        <v>22.62</v>
      </c>
      <c r="M81" s="100">
        <v>57.89</v>
      </c>
      <c r="N81" s="100">
        <v>8.5</v>
      </c>
      <c r="O81" s="100">
        <v>0</v>
      </c>
      <c r="P81" s="100">
        <v>0.63</v>
      </c>
      <c r="Q81" s="100">
        <v>9.4700000000000006</v>
      </c>
      <c r="R81" s="6"/>
      <c r="S81" s="6"/>
      <c r="T81" s="156"/>
      <c r="U81" s="6"/>
    </row>
    <row r="82" spans="1:21" customFormat="1">
      <c r="A82" s="163" t="s">
        <v>1472</v>
      </c>
      <c r="B82" s="100">
        <v>4.4400000000000004</v>
      </c>
      <c r="C82" s="100">
        <v>20.61</v>
      </c>
      <c r="D82" s="100">
        <v>14.33</v>
      </c>
      <c r="E82" s="100">
        <v>6.04</v>
      </c>
      <c r="F82" s="100">
        <v>1.53</v>
      </c>
      <c r="G82" s="100">
        <v>77.040000000000006</v>
      </c>
      <c r="H82" s="100">
        <v>35.31</v>
      </c>
      <c r="I82" s="100">
        <v>12.74</v>
      </c>
      <c r="J82" s="100">
        <v>0.18</v>
      </c>
      <c r="K82" s="100">
        <v>192.62</v>
      </c>
      <c r="L82" s="100">
        <v>21.88</v>
      </c>
      <c r="M82" s="100">
        <v>58.54</v>
      </c>
      <c r="N82" s="100">
        <v>8.4</v>
      </c>
      <c r="O82" s="100">
        <v>0</v>
      </c>
      <c r="P82" s="100">
        <v>0.63</v>
      </c>
      <c r="Q82" s="100">
        <v>9.32</v>
      </c>
      <c r="R82" s="6"/>
      <c r="S82" s="6"/>
      <c r="T82" s="156"/>
      <c r="U82" s="6"/>
    </row>
    <row r="83" spans="1:21" customFormat="1">
      <c r="A83" s="163" t="s">
        <v>1473</v>
      </c>
      <c r="B83" s="100">
        <v>4.51</v>
      </c>
      <c r="C83" s="100">
        <v>20.41</v>
      </c>
      <c r="D83" s="100">
        <v>14.28</v>
      </c>
      <c r="E83" s="100">
        <v>6.3</v>
      </c>
      <c r="F83" s="100">
        <v>1.54</v>
      </c>
      <c r="G83" s="100">
        <v>77.040000000000006</v>
      </c>
      <c r="H83" s="100">
        <v>35.31</v>
      </c>
      <c r="I83" s="100">
        <v>12.76</v>
      </c>
      <c r="J83" s="100">
        <v>0.18</v>
      </c>
      <c r="K83" s="100">
        <v>206.39</v>
      </c>
      <c r="L83" s="100">
        <v>21.51</v>
      </c>
      <c r="M83" s="100">
        <v>59.32</v>
      </c>
      <c r="N83" s="100">
        <v>8</v>
      </c>
      <c r="O83" s="100">
        <v>0</v>
      </c>
      <c r="P83" s="100">
        <v>0.64</v>
      </c>
      <c r="Q83" s="100">
        <v>9.32</v>
      </c>
      <c r="R83" s="6"/>
      <c r="S83" s="6"/>
      <c r="T83" s="156"/>
      <c r="U83" s="6"/>
    </row>
    <row r="84" spans="1:21" customFormat="1">
      <c r="A84" s="163" t="s">
        <v>1474</v>
      </c>
      <c r="B84" s="100">
        <v>4.57</v>
      </c>
      <c r="C84" s="100">
        <v>20.14</v>
      </c>
      <c r="D84" s="100">
        <v>14.19</v>
      </c>
      <c r="E84" s="100">
        <v>6.23</v>
      </c>
      <c r="F84" s="100">
        <v>1.52</v>
      </c>
      <c r="G84" s="100">
        <v>77.040000000000006</v>
      </c>
      <c r="H84" s="100">
        <v>35.31</v>
      </c>
      <c r="I84" s="100">
        <v>12.9</v>
      </c>
      <c r="J84" s="100">
        <v>0.17</v>
      </c>
      <c r="K84" s="100">
        <v>197.8</v>
      </c>
      <c r="L84" s="100">
        <v>21.18</v>
      </c>
      <c r="M84" s="100">
        <v>63.48</v>
      </c>
      <c r="N84" s="100">
        <v>7.9</v>
      </c>
      <c r="O84" s="100">
        <v>0</v>
      </c>
      <c r="P84" s="100">
        <v>0.65</v>
      </c>
      <c r="Q84" s="100">
        <v>9.32</v>
      </c>
      <c r="R84" s="6"/>
      <c r="S84" s="6"/>
      <c r="T84" s="156"/>
      <c r="U84" s="6"/>
    </row>
    <row r="85" spans="1:21" customFormat="1">
      <c r="A85" s="163" t="s">
        <v>1475</v>
      </c>
      <c r="B85" s="100">
        <v>4.6500000000000004</v>
      </c>
      <c r="C85" s="100">
        <v>19.809999999999999</v>
      </c>
      <c r="D85" s="100">
        <v>14.08</v>
      </c>
      <c r="E85" s="100">
        <v>6.15</v>
      </c>
      <c r="F85" s="100">
        <v>1.53</v>
      </c>
      <c r="G85" s="100">
        <v>78.31</v>
      </c>
      <c r="H85" s="100">
        <v>35.130000000000003</v>
      </c>
      <c r="I85" s="100">
        <v>13.05</v>
      </c>
      <c r="J85" s="100">
        <v>0.18</v>
      </c>
      <c r="K85" s="100">
        <v>192.21</v>
      </c>
      <c r="L85" s="100">
        <v>20.72</v>
      </c>
      <c r="M85" s="100">
        <v>65.05</v>
      </c>
      <c r="N85" s="100">
        <v>8</v>
      </c>
      <c r="O85" s="100">
        <v>0</v>
      </c>
      <c r="P85" s="100">
        <v>0.65</v>
      </c>
      <c r="Q85" s="100">
        <v>9.32</v>
      </c>
      <c r="R85" s="6"/>
      <c r="S85" s="6"/>
      <c r="T85" s="156"/>
      <c r="U85" s="6"/>
    </row>
    <row r="86" spans="1:21" customFormat="1">
      <c r="A86" s="163" t="s">
        <v>1476</v>
      </c>
      <c r="B86" s="100">
        <v>4.8899999999999997</v>
      </c>
      <c r="C86" s="100">
        <v>19.47</v>
      </c>
      <c r="D86" s="100">
        <v>14.09</v>
      </c>
      <c r="E86" s="100">
        <v>6.26</v>
      </c>
      <c r="F86" s="100">
        <v>1.62</v>
      </c>
      <c r="G86" s="100">
        <v>78.38</v>
      </c>
      <c r="H86" s="100">
        <v>35.130000000000003</v>
      </c>
      <c r="I86" s="100">
        <v>13.1</v>
      </c>
      <c r="J86" s="100">
        <v>0.15</v>
      </c>
      <c r="K86" s="100">
        <v>204.75</v>
      </c>
      <c r="L86" s="100">
        <v>20.399999999999999</v>
      </c>
      <c r="M86" s="100">
        <v>63.32</v>
      </c>
      <c r="N86" s="100">
        <v>8</v>
      </c>
      <c r="O86" s="100">
        <v>0</v>
      </c>
      <c r="P86" s="100">
        <v>0.67</v>
      </c>
      <c r="Q86" s="100">
        <v>9.32</v>
      </c>
      <c r="R86" s="6"/>
      <c r="S86" s="6"/>
      <c r="T86" s="156"/>
      <c r="U86" s="6"/>
    </row>
    <row r="87" spans="1:21" customFormat="1">
      <c r="A87" s="163" t="s">
        <v>1477</v>
      </c>
      <c r="B87" s="100">
        <v>5.0999999999999996</v>
      </c>
      <c r="C87" s="100">
        <v>19.16</v>
      </c>
      <c r="D87" s="100">
        <v>14.1</v>
      </c>
      <c r="E87" s="100">
        <v>5.87</v>
      </c>
      <c r="F87" s="100">
        <v>1.42</v>
      </c>
      <c r="G87" s="100">
        <v>78.38</v>
      </c>
      <c r="H87" s="100">
        <v>35.130000000000003</v>
      </c>
      <c r="I87" s="100">
        <v>13.08</v>
      </c>
      <c r="J87" s="100">
        <v>0.21</v>
      </c>
      <c r="K87" s="100">
        <v>161</v>
      </c>
      <c r="L87" s="100">
        <v>20.25</v>
      </c>
      <c r="M87" s="100">
        <v>61.91</v>
      </c>
      <c r="N87" s="100">
        <v>7.9</v>
      </c>
      <c r="O87" s="100">
        <v>0</v>
      </c>
      <c r="P87" s="100">
        <v>0.68</v>
      </c>
      <c r="Q87" s="100">
        <v>9.32</v>
      </c>
      <c r="R87" s="6"/>
      <c r="S87" s="6"/>
      <c r="T87" s="156"/>
      <c r="U87" s="6"/>
    </row>
    <row r="88" spans="1:21" customFormat="1">
      <c r="A88" s="163" t="s">
        <v>1478</v>
      </c>
      <c r="B88" s="100">
        <v>5.28</v>
      </c>
      <c r="C88" s="100">
        <v>18.899999999999999</v>
      </c>
      <c r="D88" s="100">
        <v>14.11</v>
      </c>
      <c r="E88" s="100">
        <v>6.01</v>
      </c>
      <c r="F88" s="100">
        <v>1.48</v>
      </c>
      <c r="G88" s="100">
        <v>78.38</v>
      </c>
      <c r="H88" s="100">
        <v>35.130000000000003</v>
      </c>
      <c r="I88" s="100">
        <v>13.02</v>
      </c>
      <c r="J88" s="100">
        <v>0.2</v>
      </c>
      <c r="K88" s="100">
        <v>185.77</v>
      </c>
      <c r="L88" s="100">
        <v>20.09</v>
      </c>
      <c r="M88" s="100">
        <v>65.87</v>
      </c>
      <c r="N88" s="100">
        <v>7.9</v>
      </c>
      <c r="O88" s="100">
        <v>0</v>
      </c>
      <c r="P88" s="100">
        <v>0.68</v>
      </c>
      <c r="Q88" s="100">
        <v>9.32</v>
      </c>
      <c r="R88" s="6"/>
      <c r="S88" s="6"/>
      <c r="T88" s="156"/>
      <c r="U88" s="6"/>
    </row>
    <row r="89" spans="1:21" customFormat="1">
      <c r="A89" s="163" t="s">
        <v>1479</v>
      </c>
      <c r="B89" s="100">
        <v>5.48</v>
      </c>
      <c r="C89" s="100">
        <v>18.72</v>
      </c>
      <c r="D89" s="100">
        <v>14.18</v>
      </c>
      <c r="E89" s="100">
        <v>5.89</v>
      </c>
      <c r="F89" s="100">
        <v>1.51</v>
      </c>
      <c r="G89" s="100">
        <v>82.63</v>
      </c>
      <c r="H89" s="100">
        <v>35.659999999999997</v>
      </c>
      <c r="I89" s="100">
        <v>13</v>
      </c>
      <c r="J89" s="100">
        <v>0.15</v>
      </c>
      <c r="K89" s="100">
        <v>200.56</v>
      </c>
      <c r="L89" s="100">
        <v>19.86</v>
      </c>
      <c r="M89" s="100">
        <v>69.11</v>
      </c>
      <c r="N89" s="100">
        <v>7.9</v>
      </c>
      <c r="O89" s="100">
        <v>0</v>
      </c>
      <c r="P89" s="100">
        <v>0.69</v>
      </c>
      <c r="Q89" s="100">
        <v>9.32</v>
      </c>
      <c r="R89" s="6"/>
      <c r="S89" s="6"/>
      <c r="T89" s="156"/>
      <c r="U89" s="6"/>
    </row>
    <row r="90" spans="1:21" customFormat="1">
      <c r="A90" s="163" t="s">
        <v>1480</v>
      </c>
      <c r="B90" s="100">
        <v>5.65</v>
      </c>
      <c r="C90" s="100">
        <v>18.489999999999998</v>
      </c>
      <c r="D90" s="100">
        <v>14.19</v>
      </c>
      <c r="E90" s="100">
        <v>5.76</v>
      </c>
      <c r="F90" s="100">
        <v>1.41</v>
      </c>
      <c r="G90" s="100">
        <v>82.88</v>
      </c>
      <c r="H90" s="100">
        <v>35.659999999999997</v>
      </c>
      <c r="I90" s="100">
        <v>13.04</v>
      </c>
      <c r="J90" s="100">
        <v>0.15</v>
      </c>
      <c r="K90" s="100">
        <v>180.56</v>
      </c>
      <c r="L90" s="100">
        <v>19.52</v>
      </c>
      <c r="M90" s="100">
        <v>71.72</v>
      </c>
      <c r="N90" s="100">
        <v>8</v>
      </c>
      <c r="O90" s="100">
        <v>0</v>
      </c>
      <c r="P90" s="100">
        <v>0.69</v>
      </c>
      <c r="Q90" s="100">
        <v>9.32</v>
      </c>
      <c r="R90" s="6"/>
      <c r="S90" s="6"/>
      <c r="T90" s="156"/>
      <c r="U90" s="6"/>
    </row>
    <row r="91" spans="1:21" customFormat="1">
      <c r="A91" s="163" t="s">
        <v>1481</v>
      </c>
      <c r="B91" s="100">
        <v>5.84</v>
      </c>
      <c r="C91" s="100">
        <v>18.22</v>
      </c>
      <c r="D91" s="100">
        <v>14.2</v>
      </c>
      <c r="E91" s="100">
        <v>5.67</v>
      </c>
      <c r="F91" s="100">
        <v>1.18</v>
      </c>
      <c r="G91" s="100">
        <v>82.88</v>
      </c>
      <c r="H91" s="100">
        <v>35.659999999999997</v>
      </c>
      <c r="I91" s="100">
        <v>13.09</v>
      </c>
      <c r="J91" s="100">
        <v>0.18</v>
      </c>
      <c r="K91" s="100">
        <v>196.74</v>
      </c>
      <c r="L91" s="100">
        <v>19.38</v>
      </c>
      <c r="M91" s="100">
        <v>75.540000000000006</v>
      </c>
      <c r="N91" s="100">
        <v>7.9</v>
      </c>
      <c r="O91" s="100">
        <v>0</v>
      </c>
      <c r="P91" s="100">
        <v>0.7</v>
      </c>
      <c r="Q91" s="100">
        <v>9.32</v>
      </c>
      <c r="R91" s="6"/>
      <c r="S91" s="6"/>
      <c r="T91" s="156"/>
      <c r="U91" s="6"/>
    </row>
    <row r="92" spans="1:21" customFormat="1">
      <c r="A92" s="163" t="s">
        <v>1482</v>
      </c>
      <c r="B92" s="100">
        <v>6.03</v>
      </c>
      <c r="C92" s="100">
        <v>17.87</v>
      </c>
      <c r="D92" s="100">
        <v>14.17</v>
      </c>
      <c r="E92" s="100">
        <v>5.81</v>
      </c>
      <c r="F92" s="100">
        <v>1.19</v>
      </c>
      <c r="G92" s="100">
        <v>82.88</v>
      </c>
      <c r="H92" s="100">
        <v>35.659999999999997</v>
      </c>
      <c r="I92" s="100">
        <v>13.16</v>
      </c>
      <c r="J92" s="100">
        <v>0.13</v>
      </c>
      <c r="K92" s="100">
        <v>191.89</v>
      </c>
      <c r="L92" s="100">
        <v>19.12</v>
      </c>
      <c r="M92" s="100">
        <v>78.959999999999994</v>
      </c>
      <c r="N92" s="100">
        <v>8</v>
      </c>
      <c r="O92" s="100">
        <v>0</v>
      </c>
      <c r="P92" s="100">
        <v>0.7</v>
      </c>
      <c r="Q92" s="100">
        <v>9.32</v>
      </c>
      <c r="R92" s="6"/>
      <c r="S92" s="6"/>
      <c r="T92" s="156"/>
      <c r="U92" s="6"/>
    </row>
    <row r="93" spans="1:21" customFormat="1">
      <c r="A93" s="163" t="s">
        <v>1483</v>
      </c>
      <c r="B93" s="100">
        <v>6.22</v>
      </c>
      <c r="C93" s="100">
        <v>17.66</v>
      </c>
      <c r="D93" s="100">
        <v>14.21</v>
      </c>
      <c r="E93" s="100">
        <v>5.63</v>
      </c>
      <c r="F93" s="100">
        <v>1.37</v>
      </c>
      <c r="G93" s="100">
        <v>89.79</v>
      </c>
      <c r="H93" s="100">
        <v>38.9</v>
      </c>
      <c r="I93" s="100">
        <v>13.23</v>
      </c>
      <c r="J93" s="100">
        <v>0.16</v>
      </c>
      <c r="K93" s="100">
        <v>182.7</v>
      </c>
      <c r="L93" s="100">
        <v>18.96</v>
      </c>
      <c r="M93" s="100">
        <v>77.19</v>
      </c>
      <c r="N93" s="100">
        <v>7.8</v>
      </c>
      <c r="O93" s="100">
        <v>0</v>
      </c>
      <c r="P93" s="100">
        <v>0.71</v>
      </c>
      <c r="Q93" s="100">
        <v>9.32</v>
      </c>
      <c r="R93" s="6"/>
      <c r="S93" s="6"/>
      <c r="T93" s="156"/>
      <c r="U93" s="6"/>
    </row>
    <row r="94" spans="1:21" customFormat="1">
      <c r="A94" s="163" t="s">
        <v>1484</v>
      </c>
      <c r="B94" s="100">
        <v>6.37</v>
      </c>
      <c r="C94" s="100">
        <v>17.510000000000002</v>
      </c>
      <c r="D94" s="100">
        <v>14.26</v>
      </c>
      <c r="E94" s="100">
        <v>5.62</v>
      </c>
      <c r="F94" s="100">
        <v>1.2</v>
      </c>
      <c r="G94" s="100">
        <v>90.2</v>
      </c>
      <c r="H94" s="100">
        <v>38.9</v>
      </c>
      <c r="I94" s="100">
        <v>13.3</v>
      </c>
      <c r="J94" s="100">
        <v>0.22</v>
      </c>
      <c r="K94" s="100">
        <v>228.36</v>
      </c>
      <c r="L94" s="100">
        <v>18.850000000000001</v>
      </c>
      <c r="M94" s="100">
        <v>75.239999999999995</v>
      </c>
      <c r="N94" s="100">
        <v>8</v>
      </c>
      <c r="O94" s="100">
        <v>0</v>
      </c>
      <c r="P94" s="100">
        <v>0.72</v>
      </c>
      <c r="Q94" s="100">
        <v>9.32</v>
      </c>
      <c r="R94" s="6"/>
      <c r="S94" s="6"/>
      <c r="T94" s="156"/>
      <c r="U94" s="6"/>
    </row>
    <row r="95" spans="1:21" customFormat="1">
      <c r="A95" s="163" t="s">
        <v>1485</v>
      </c>
      <c r="B95" s="100">
        <v>6.49</v>
      </c>
      <c r="C95" s="100">
        <v>17.440000000000001</v>
      </c>
      <c r="D95" s="100">
        <v>14.32</v>
      </c>
      <c r="E95" s="100">
        <v>5.81</v>
      </c>
      <c r="F95" s="100">
        <v>1.1200000000000001</v>
      </c>
      <c r="G95" s="100">
        <v>90.2</v>
      </c>
      <c r="H95" s="100">
        <v>38.9</v>
      </c>
      <c r="I95" s="100">
        <v>13.43</v>
      </c>
      <c r="J95" s="100">
        <v>0.15</v>
      </c>
      <c r="K95" s="100">
        <v>204.56</v>
      </c>
      <c r="L95" s="100">
        <v>18.46</v>
      </c>
      <c r="M95" s="100">
        <v>79.069999999999993</v>
      </c>
      <c r="N95" s="100">
        <v>8.1</v>
      </c>
      <c r="O95" s="100">
        <v>0</v>
      </c>
      <c r="P95" s="100">
        <v>0.73</v>
      </c>
      <c r="Q95" s="100">
        <v>9.32</v>
      </c>
      <c r="R95" s="6"/>
      <c r="S95" s="6"/>
      <c r="T95" s="156"/>
      <c r="U95" s="6"/>
    </row>
    <row r="96" spans="1:21" customFormat="1">
      <c r="A96" s="163" t="s">
        <v>1486</v>
      </c>
      <c r="B96" s="100">
        <v>6.7</v>
      </c>
      <c r="C96" s="100">
        <v>17.16</v>
      </c>
      <c r="D96" s="100">
        <v>14.34</v>
      </c>
      <c r="E96" s="100">
        <v>5.68</v>
      </c>
      <c r="F96" s="100">
        <v>1.19</v>
      </c>
      <c r="G96" s="100">
        <v>90.2</v>
      </c>
      <c r="H96" s="100">
        <v>38.9</v>
      </c>
      <c r="I96" s="100">
        <v>13.59</v>
      </c>
      <c r="J96" s="100">
        <v>0.08</v>
      </c>
      <c r="K96" s="100">
        <v>196.66</v>
      </c>
      <c r="L96" s="100">
        <v>18.27</v>
      </c>
      <c r="M96" s="100">
        <v>82.2</v>
      </c>
      <c r="N96" s="100">
        <v>7.9</v>
      </c>
      <c r="O96" s="100">
        <v>0</v>
      </c>
      <c r="P96" s="100">
        <v>0.74</v>
      </c>
      <c r="Q96" s="100">
        <v>9.32</v>
      </c>
      <c r="R96" s="6"/>
      <c r="S96" s="6"/>
      <c r="T96" s="156"/>
      <c r="U96" s="6"/>
    </row>
    <row r="97" spans="1:28" customFormat="1">
      <c r="A97" s="163" t="s">
        <v>1487</v>
      </c>
      <c r="B97" s="100">
        <v>6.87</v>
      </c>
      <c r="C97" s="100">
        <v>16.989999999999998</v>
      </c>
      <c r="D97" s="100">
        <v>14.39</v>
      </c>
      <c r="E97" s="100">
        <v>5.85</v>
      </c>
      <c r="F97" s="100">
        <v>1.1599999999999999</v>
      </c>
      <c r="G97" s="100">
        <v>97.97</v>
      </c>
      <c r="H97" s="100">
        <v>43.67</v>
      </c>
      <c r="I97" s="100">
        <v>13.78</v>
      </c>
      <c r="J97" s="100">
        <v>0.14000000000000001</v>
      </c>
      <c r="K97" s="100">
        <v>166.41</v>
      </c>
      <c r="L97" s="100">
        <v>18.260000000000002</v>
      </c>
      <c r="M97" s="100">
        <v>82.79</v>
      </c>
      <c r="N97" s="100">
        <v>7.7</v>
      </c>
      <c r="O97" s="100">
        <v>0</v>
      </c>
      <c r="P97" s="100">
        <v>0.75</v>
      </c>
      <c r="Q97" s="100">
        <v>9.32</v>
      </c>
      <c r="R97" s="6"/>
      <c r="S97" s="6"/>
      <c r="T97" s="156"/>
      <c r="U97" s="6"/>
    </row>
    <row r="98" spans="1:28" customFormat="1">
      <c r="A98" s="163" t="s">
        <v>1488</v>
      </c>
      <c r="B98" s="100">
        <v>7.04</v>
      </c>
      <c r="C98" s="100">
        <v>16.78</v>
      </c>
      <c r="D98" s="100">
        <v>14.41</v>
      </c>
      <c r="E98" s="100">
        <v>5.6</v>
      </c>
      <c r="F98" s="100">
        <v>1.23</v>
      </c>
      <c r="G98" s="100">
        <v>98.43</v>
      </c>
      <c r="H98" s="100">
        <v>43.67</v>
      </c>
      <c r="I98" s="100">
        <v>13.9</v>
      </c>
      <c r="J98" s="100">
        <v>0.14000000000000001</v>
      </c>
      <c r="K98" s="100">
        <v>164.49</v>
      </c>
      <c r="L98" s="100">
        <v>18.309999999999999</v>
      </c>
      <c r="M98" s="100">
        <v>82.72</v>
      </c>
      <c r="N98" s="100">
        <v>7.8</v>
      </c>
      <c r="O98" s="100">
        <v>0</v>
      </c>
      <c r="P98" s="100">
        <v>0.76</v>
      </c>
      <c r="Q98" s="100">
        <v>9.32</v>
      </c>
      <c r="R98" s="6"/>
      <c r="S98" s="6"/>
      <c r="T98" s="156"/>
      <c r="U98" s="6"/>
    </row>
    <row r="99" spans="1:28" customFormat="1">
      <c r="A99" s="163" t="s">
        <v>1489</v>
      </c>
      <c r="B99" s="100">
        <v>7.2</v>
      </c>
      <c r="C99" s="100">
        <v>16.54</v>
      </c>
      <c r="D99" s="100">
        <v>14.42</v>
      </c>
      <c r="E99" s="100">
        <v>5.87</v>
      </c>
      <c r="F99" s="100">
        <v>1.31</v>
      </c>
      <c r="G99" s="100">
        <v>98.43</v>
      </c>
      <c r="H99" s="100">
        <v>43.67</v>
      </c>
      <c r="I99" s="100">
        <v>14.01</v>
      </c>
      <c r="J99" s="100">
        <v>0.18</v>
      </c>
      <c r="K99" s="100">
        <v>170.99</v>
      </c>
      <c r="L99" s="100">
        <v>18.11</v>
      </c>
      <c r="M99" s="100">
        <v>80.040000000000006</v>
      </c>
      <c r="N99" s="100">
        <v>7.9</v>
      </c>
      <c r="O99" s="100">
        <v>0</v>
      </c>
      <c r="P99" s="100">
        <v>0.77</v>
      </c>
      <c r="Q99" s="100">
        <v>9.32</v>
      </c>
      <c r="R99" s="6"/>
      <c r="S99" s="6"/>
      <c r="T99" s="156"/>
      <c r="U99" s="6"/>
    </row>
    <row r="100" spans="1:28" customFormat="1">
      <c r="A100" s="163" t="s">
        <v>1490</v>
      </c>
      <c r="B100" s="100">
        <v>7.36</v>
      </c>
      <c r="C100" s="100">
        <v>16.34</v>
      </c>
      <c r="D100" s="100">
        <v>14.44</v>
      </c>
      <c r="E100" s="100">
        <v>5.6</v>
      </c>
      <c r="F100" s="100">
        <v>1.24</v>
      </c>
      <c r="G100" s="100">
        <v>98.43</v>
      </c>
      <c r="H100" s="100">
        <v>43.67</v>
      </c>
      <c r="I100" s="100">
        <v>14.2</v>
      </c>
      <c r="J100" s="100">
        <v>0.11</v>
      </c>
      <c r="K100" s="100">
        <v>198.67</v>
      </c>
      <c r="L100" s="100">
        <v>18.2</v>
      </c>
      <c r="M100" s="100">
        <v>80.739999999999995</v>
      </c>
      <c r="N100" s="100">
        <v>7.7</v>
      </c>
      <c r="O100" s="100">
        <v>0</v>
      </c>
      <c r="P100" s="100">
        <v>0.77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1491</v>
      </c>
      <c r="B101" s="100">
        <v>7.63</v>
      </c>
      <c r="C101" s="100">
        <v>16.28</v>
      </c>
      <c r="D101" s="100">
        <v>14.63</v>
      </c>
      <c r="E101" s="100">
        <v>5.6</v>
      </c>
      <c r="F101" s="100">
        <v>1.28</v>
      </c>
      <c r="G101" s="100">
        <v>91.83</v>
      </c>
      <c r="H101" s="100">
        <v>45.46</v>
      </c>
      <c r="I101" s="100">
        <v>14.34</v>
      </c>
      <c r="J101" s="100">
        <v>0.16</v>
      </c>
      <c r="K101" s="100">
        <v>153.12</v>
      </c>
      <c r="L101" s="100">
        <v>18.27</v>
      </c>
      <c r="M101" s="100">
        <v>79.760000000000005</v>
      </c>
      <c r="N101" s="100">
        <v>7.7</v>
      </c>
      <c r="O101" s="100">
        <v>0</v>
      </c>
      <c r="P101" s="100">
        <v>0.78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1492</v>
      </c>
      <c r="B102" s="100">
        <v>9.27</v>
      </c>
      <c r="C102" s="100">
        <v>16.66</v>
      </c>
      <c r="D102" s="100">
        <v>16.14</v>
      </c>
      <c r="E102" s="100">
        <v>5.81</v>
      </c>
      <c r="F102" s="100">
        <v>1.3</v>
      </c>
      <c r="G102" s="100">
        <v>91.44</v>
      </c>
      <c r="H102" s="100">
        <v>45.46</v>
      </c>
      <c r="I102" s="100">
        <v>14.47</v>
      </c>
      <c r="J102" s="100">
        <v>0.14000000000000001</v>
      </c>
      <c r="K102" s="100">
        <v>164.78</v>
      </c>
      <c r="L102" s="100">
        <v>18.309999999999999</v>
      </c>
      <c r="M102" s="100">
        <v>78.73</v>
      </c>
      <c r="N102" s="100">
        <v>7.9</v>
      </c>
      <c r="O102" s="100">
        <v>0</v>
      </c>
      <c r="P102" s="100">
        <v>0.8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1493</v>
      </c>
      <c r="B103" s="100">
        <v>11.52</v>
      </c>
      <c r="C103" s="100">
        <v>17.25</v>
      </c>
      <c r="D103" s="100">
        <v>18.25</v>
      </c>
      <c r="E103" s="100">
        <v>5.63</v>
      </c>
      <c r="F103" s="100">
        <v>1.1299999999999999</v>
      </c>
      <c r="G103" s="100">
        <v>91.44</v>
      </c>
      <c r="H103" s="100">
        <v>45.46</v>
      </c>
      <c r="I103" s="100">
        <v>14.63</v>
      </c>
      <c r="J103" s="100">
        <v>0.14000000000000001</v>
      </c>
      <c r="K103" s="100">
        <v>196.27</v>
      </c>
      <c r="L103" s="100">
        <v>18.190000000000001</v>
      </c>
      <c r="M103" s="100">
        <v>81.81</v>
      </c>
      <c r="N103" s="100">
        <v>7.9</v>
      </c>
      <c r="O103" s="100">
        <v>0</v>
      </c>
      <c r="P103" s="100">
        <v>0.82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1494</v>
      </c>
      <c r="B104" s="100">
        <v>13.35</v>
      </c>
      <c r="C104" s="100">
        <v>17.690000000000001</v>
      </c>
      <c r="D104" s="100">
        <v>19.95</v>
      </c>
      <c r="E104" s="100">
        <v>5.62</v>
      </c>
      <c r="F104" s="100">
        <v>1.1100000000000001</v>
      </c>
      <c r="G104" s="100">
        <v>91.44</v>
      </c>
      <c r="H104" s="100">
        <v>45.46</v>
      </c>
      <c r="I104" s="100">
        <v>14.84</v>
      </c>
      <c r="J104" s="100">
        <v>0.14000000000000001</v>
      </c>
      <c r="K104" s="100">
        <v>209.24</v>
      </c>
      <c r="L104" s="100">
        <v>17.920000000000002</v>
      </c>
      <c r="M104" s="100">
        <v>84.1</v>
      </c>
      <c r="N104" s="100">
        <v>7.9</v>
      </c>
      <c r="O104" s="100">
        <v>0</v>
      </c>
      <c r="P104" s="100">
        <v>0.83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3.37</v>
      </c>
      <c r="C106" s="158">
        <f>MIN(C9:C104)</f>
        <v>15.19</v>
      </c>
      <c r="D106" s="158">
        <f t="shared" ref="D106:Q106" si="0">MIN(D9:D104)</f>
        <v>13.2</v>
      </c>
      <c r="E106" s="158">
        <f t="shared" si="0"/>
        <v>3.88</v>
      </c>
      <c r="F106" s="158">
        <f t="shared" si="0"/>
        <v>0.95</v>
      </c>
      <c r="G106" s="158">
        <f t="shared" si="0"/>
        <v>57.24</v>
      </c>
      <c r="H106" s="158">
        <f t="shared" si="0"/>
        <v>21.49</v>
      </c>
      <c r="I106" s="158">
        <f t="shared" si="0"/>
        <v>12.74</v>
      </c>
      <c r="J106" s="158">
        <f t="shared" si="0"/>
        <v>0.02</v>
      </c>
      <c r="K106" s="158">
        <f t="shared" si="0"/>
        <v>0.73</v>
      </c>
      <c r="L106" s="158">
        <f t="shared" si="0"/>
        <v>14.91</v>
      </c>
      <c r="M106" s="158">
        <f t="shared" si="0"/>
        <v>22.55</v>
      </c>
      <c r="N106" s="158">
        <f t="shared" si="0"/>
        <v>6.2</v>
      </c>
      <c r="O106" s="158">
        <f t="shared" si="0"/>
        <v>0</v>
      </c>
      <c r="P106" s="158">
        <f t="shared" si="0"/>
        <v>0.63</v>
      </c>
      <c r="Q106" s="158">
        <f t="shared" si="0"/>
        <v>9.31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29.18</v>
      </c>
      <c r="C107" s="157">
        <f t="shared" ref="C107:Q107" si="1">MAX(C9:C104)</f>
        <v>24.75</v>
      </c>
      <c r="D107" s="157">
        <f t="shared" si="1"/>
        <v>34.21</v>
      </c>
      <c r="E107" s="157">
        <f t="shared" si="1"/>
        <v>7.4</v>
      </c>
      <c r="F107" s="157">
        <f t="shared" si="1"/>
        <v>6.75</v>
      </c>
      <c r="G107" s="157">
        <f t="shared" si="1"/>
        <v>141.52000000000001</v>
      </c>
      <c r="H107" s="157">
        <f t="shared" si="1"/>
        <v>81.2</v>
      </c>
      <c r="I107" s="157">
        <f t="shared" si="1"/>
        <v>26.44</v>
      </c>
      <c r="J107" s="157">
        <f t="shared" si="1"/>
        <v>0.77</v>
      </c>
      <c r="K107" s="157">
        <f t="shared" si="1"/>
        <v>353.19</v>
      </c>
      <c r="L107" s="157">
        <f t="shared" si="1"/>
        <v>30.17</v>
      </c>
      <c r="M107" s="157">
        <f t="shared" si="1"/>
        <v>91.77</v>
      </c>
      <c r="N107" s="157">
        <f t="shared" si="1"/>
        <v>544.29999999999995</v>
      </c>
      <c r="O107" s="157">
        <f t="shared" si="1"/>
        <v>0</v>
      </c>
      <c r="P107" s="157">
        <f t="shared" si="1"/>
        <v>1.4</v>
      </c>
      <c r="Q107" s="157">
        <f t="shared" si="1"/>
        <v>9.6199999999999992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11.501354166666664</v>
      </c>
      <c r="C108" s="158">
        <f t="shared" ref="C108:Q108" si="2">AVERAGE(C9:C104)</f>
        <v>19.186562500000001</v>
      </c>
      <c r="D108" s="158">
        <f t="shared" si="2"/>
        <v>19.248229166666672</v>
      </c>
      <c r="E108" s="158">
        <f t="shared" si="2"/>
        <v>5.5186458333333341</v>
      </c>
      <c r="F108" s="158">
        <f t="shared" si="2"/>
        <v>1.922291666666667</v>
      </c>
      <c r="G108" s="158">
        <f t="shared" si="2"/>
        <v>87.706250000000026</v>
      </c>
      <c r="H108" s="158">
        <f t="shared" si="2"/>
        <v>43.986250000000013</v>
      </c>
      <c r="I108" s="158">
        <f t="shared" si="2"/>
        <v>16.518020833333331</v>
      </c>
      <c r="J108" s="158">
        <f t="shared" si="2"/>
        <v>0.26124999999999993</v>
      </c>
      <c r="K108" s="158">
        <f t="shared" si="2"/>
        <v>151.82906250000002</v>
      </c>
      <c r="L108" s="158">
        <f t="shared" si="2"/>
        <v>21.544270833333329</v>
      </c>
      <c r="M108" s="158">
        <f t="shared" si="2"/>
        <v>61.137083333333315</v>
      </c>
      <c r="N108" s="158">
        <f t="shared" si="2"/>
        <v>101.71874999999999</v>
      </c>
      <c r="O108" s="158">
        <f t="shared" si="2"/>
        <v>0</v>
      </c>
      <c r="P108" s="158">
        <f t="shared" si="2"/>
        <v>0.93114583333333334</v>
      </c>
      <c r="Q108" s="158">
        <f t="shared" si="2"/>
        <v>9.3568750000000112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7.0793113878312575</v>
      </c>
      <c r="C109" s="158">
        <f t="shared" ref="C109:Q109" si="3">STDEV(C9:C104)</f>
        <v>2.4493616045281601</v>
      </c>
      <c r="D109" s="158">
        <f t="shared" si="3"/>
        <v>5.999568580067197</v>
      </c>
      <c r="E109" s="158">
        <f t="shared" si="3"/>
        <v>0.56382270410713375</v>
      </c>
      <c r="F109" s="158">
        <f t="shared" si="3"/>
        <v>1.2301942329881042</v>
      </c>
      <c r="G109" s="158">
        <f t="shared" si="3"/>
        <v>20.582313012568775</v>
      </c>
      <c r="H109" s="158">
        <f t="shared" si="3"/>
        <v>13.818839257370819</v>
      </c>
      <c r="I109" s="158">
        <f t="shared" si="3"/>
        <v>3.2420109483212922</v>
      </c>
      <c r="J109" s="158">
        <f t="shared" si="3"/>
        <v>0.18267745518147308</v>
      </c>
      <c r="K109" s="158">
        <f t="shared" si="3"/>
        <v>84.710790067432768</v>
      </c>
      <c r="L109" s="158">
        <f t="shared" si="3"/>
        <v>5.3752841285572677</v>
      </c>
      <c r="M109" s="158">
        <f t="shared" si="3"/>
        <v>25.601303252873993</v>
      </c>
      <c r="N109" s="158">
        <f t="shared" si="3"/>
        <v>167.90482160563784</v>
      </c>
      <c r="O109" s="158">
        <f t="shared" si="3"/>
        <v>0</v>
      </c>
      <c r="P109" s="158">
        <f t="shared" si="3"/>
        <v>0.23004745410534452</v>
      </c>
      <c r="Q109" s="158">
        <f t="shared" si="3"/>
        <v>6.3962365579505423E-2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J19" sqref="J1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1495</v>
      </c>
      <c r="B9" s="100">
        <v>15.51</v>
      </c>
      <c r="C9" s="100">
        <v>17.63</v>
      </c>
      <c r="D9" s="100">
        <v>21.65</v>
      </c>
      <c r="E9" s="100">
        <v>5.9</v>
      </c>
      <c r="F9" s="100">
        <v>1.07</v>
      </c>
      <c r="G9" s="100">
        <v>93.84</v>
      </c>
      <c r="H9" s="100">
        <v>50.31</v>
      </c>
      <c r="I9" s="100">
        <v>15.12</v>
      </c>
      <c r="J9" s="100">
        <v>0.15</v>
      </c>
      <c r="K9" s="100">
        <v>201.09</v>
      </c>
      <c r="L9" s="100">
        <v>17.850000000000001</v>
      </c>
      <c r="M9" s="100">
        <v>83.6</v>
      </c>
      <c r="N9" s="100">
        <v>7.9</v>
      </c>
      <c r="O9" s="100">
        <v>0</v>
      </c>
      <c r="P9" s="100">
        <v>0.83</v>
      </c>
      <c r="Q9" s="100">
        <v>9.32</v>
      </c>
      <c r="R9" s="6"/>
      <c r="S9" s="6"/>
      <c r="T9" s="156"/>
      <c r="U9" s="6"/>
    </row>
    <row r="10" spans="1:21" customFormat="1">
      <c r="A10" s="163" t="s">
        <v>1496</v>
      </c>
      <c r="B10" s="100">
        <v>17.98</v>
      </c>
      <c r="C10" s="100">
        <v>18.440000000000001</v>
      </c>
      <c r="D10" s="100">
        <v>24.05</v>
      </c>
      <c r="E10" s="100">
        <v>5.91</v>
      </c>
      <c r="F10" s="100">
        <v>1.19</v>
      </c>
      <c r="G10" s="100">
        <v>93.98</v>
      </c>
      <c r="H10" s="100">
        <v>50.31</v>
      </c>
      <c r="I10" s="100">
        <v>15.32</v>
      </c>
      <c r="J10" s="100">
        <v>0.11</v>
      </c>
      <c r="K10" s="100">
        <v>147.35</v>
      </c>
      <c r="L10" s="100">
        <v>17.989999999999998</v>
      </c>
      <c r="M10" s="100">
        <v>80.62</v>
      </c>
      <c r="N10" s="100">
        <v>7.9</v>
      </c>
      <c r="O10" s="100">
        <v>0</v>
      </c>
      <c r="P10" s="100">
        <v>0.84</v>
      </c>
      <c r="Q10" s="100">
        <v>9.32</v>
      </c>
      <c r="R10" s="6"/>
      <c r="S10" s="6"/>
      <c r="T10" s="156"/>
      <c r="U10" s="6"/>
    </row>
    <row r="11" spans="1:21" customFormat="1">
      <c r="A11" s="163" t="s">
        <v>1497</v>
      </c>
      <c r="B11" s="100">
        <v>21.65</v>
      </c>
      <c r="C11" s="100">
        <v>19.489999999999998</v>
      </c>
      <c r="D11" s="100">
        <v>27.55</v>
      </c>
      <c r="E11" s="100">
        <v>5.95</v>
      </c>
      <c r="F11" s="100">
        <v>1.1599999999999999</v>
      </c>
      <c r="G11" s="100">
        <v>93.98</v>
      </c>
      <c r="H11" s="100">
        <v>50.31</v>
      </c>
      <c r="I11" s="100">
        <v>15.53</v>
      </c>
      <c r="J11" s="100">
        <v>0.08</v>
      </c>
      <c r="K11" s="100">
        <v>94.68</v>
      </c>
      <c r="L11" s="100">
        <v>18.14</v>
      </c>
      <c r="M11" s="100">
        <v>76.86</v>
      </c>
      <c r="N11" s="100">
        <v>7.8</v>
      </c>
      <c r="O11" s="100">
        <v>0</v>
      </c>
      <c r="P11" s="100">
        <v>0.86</v>
      </c>
      <c r="Q11" s="100">
        <v>9.32</v>
      </c>
      <c r="R11" s="6"/>
      <c r="S11" s="6"/>
      <c r="T11" s="156"/>
      <c r="U11" s="6"/>
    </row>
    <row r="12" spans="1:21" customFormat="1">
      <c r="A12" s="163" t="s">
        <v>1498</v>
      </c>
      <c r="B12" s="100">
        <v>24.43</v>
      </c>
      <c r="C12" s="100">
        <v>20.170000000000002</v>
      </c>
      <c r="D12" s="100">
        <v>30.13</v>
      </c>
      <c r="E12" s="100">
        <v>6.27</v>
      </c>
      <c r="F12" s="100">
        <v>0.92</v>
      </c>
      <c r="G12" s="100">
        <v>93.98</v>
      </c>
      <c r="H12" s="100">
        <v>50.31</v>
      </c>
      <c r="I12" s="100">
        <v>15.84</v>
      </c>
      <c r="J12" s="100">
        <v>0.16</v>
      </c>
      <c r="K12" s="100">
        <v>184.29</v>
      </c>
      <c r="L12" s="100">
        <v>18.27</v>
      </c>
      <c r="M12" s="100">
        <v>74.72</v>
      </c>
      <c r="N12" s="100">
        <v>7.7</v>
      </c>
      <c r="O12" s="100">
        <v>0</v>
      </c>
      <c r="P12" s="100">
        <v>0.89</v>
      </c>
      <c r="Q12" s="100">
        <v>9.32</v>
      </c>
      <c r="R12" s="6"/>
      <c r="S12" s="6"/>
      <c r="T12" s="156"/>
      <c r="U12" s="6"/>
    </row>
    <row r="13" spans="1:21" customFormat="1">
      <c r="A13" s="163" t="s">
        <v>1499</v>
      </c>
      <c r="B13" s="100">
        <v>25.8</v>
      </c>
      <c r="C13" s="100">
        <v>20.440000000000001</v>
      </c>
      <c r="D13" s="100">
        <v>31.37</v>
      </c>
      <c r="E13" s="100">
        <v>6.32</v>
      </c>
      <c r="F13" s="100">
        <v>0.99</v>
      </c>
      <c r="G13" s="100">
        <v>99.16</v>
      </c>
      <c r="H13" s="100">
        <v>52.79</v>
      </c>
      <c r="I13" s="100">
        <v>16.22</v>
      </c>
      <c r="J13" s="100">
        <v>0.34</v>
      </c>
      <c r="K13" s="100">
        <v>165.5</v>
      </c>
      <c r="L13" s="100">
        <v>17.55</v>
      </c>
      <c r="M13" s="100">
        <v>83.49</v>
      </c>
      <c r="N13" s="100">
        <v>8.4</v>
      </c>
      <c r="O13" s="100">
        <v>0</v>
      </c>
      <c r="P13" s="100">
        <v>0.9</v>
      </c>
      <c r="Q13" s="100">
        <v>9.32</v>
      </c>
      <c r="R13" s="6"/>
      <c r="S13" s="6"/>
      <c r="T13" s="156"/>
      <c r="U13" s="6"/>
    </row>
    <row r="14" spans="1:21" customFormat="1">
      <c r="A14" s="163" t="s">
        <v>1500</v>
      </c>
      <c r="B14" s="100">
        <v>25.97</v>
      </c>
      <c r="C14" s="100">
        <v>20.28</v>
      </c>
      <c r="D14" s="100">
        <v>31.43</v>
      </c>
      <c r="E14" s="100">
        <v>6.41</v>
      </c>
      <c r="F14" s="100">
        <v>1.22</v>
      </c>
      <c r="G14" s="100">
        <v>99.47</v>
      </c>
      <c r="H14" s="100">
        <v>52.79</v>
      </c>
      <c r="I14" s="100">
        <v>16.62</v>
      </c>
      <c r="J14" s="100">
        <v>0.14000000000000001</v>
      </c>
      <c r="K14" s="100">
        <v>198.01</v>
      </c>
      <c r="L14" s="100">
        <v>16.97</v>
      </c>
      <c r="M14" s="100">
        <v>83.76</v>
      </c>
      <c r="N14" s="100">
        <v>8.3000000000000007</v>
      </c>
      <c r="O14" s="100">
        <v>0</v>
      </c>
      <c r="P14" s="100">
        <v>0.9</v>
      </c>
      <c r="Q14" s="100">
        <v>9.32</v>
      </c>
      <c r="R14" s="6"/>
      <c r="S14" s="6"/>
      <c r="T14" s="156"/>
      <c r="U14" s="6"/>
    </row>
    <row r="15" spans="1:21" customFormat="1">
      <c r="A15" s="163" t="s">
        <v>1501</v>
      </c>
      <c r="B15" s="100">
        <v>25.53</v>
      </c>
      <c r="C15" s="100">
        <v>19.79</v>
      </c>
      <c r="D15" s="100">
        <v>30.81</v>
      </c>
      <c r="E15" s="100">
        <v>5.14</v>
      </c>
      <c r="F15" s="100">
        <v>0.98</v>
      </c>
      <c r="G15" s="100">
        <v>99.47</v>
      </c>
      <c r="H15" s="100">
        <v>52.79</v>
      </c>
      <c r="I15" s="100">
        <v>16.809999999999999</v>
      </c>
      <c r="J15" s="100">
        <v>0.19</v>
      </c>
      <c r="K15" s="100">
        <v>198.92</v>
      </c>
      <c r="L15" s="100">
        <v>17.07</v>
      </c>
      <c r="M15" s="100">
        <v>87.02</v>
      </c>
      <c r="N15" s="100">
        <v>7.8</v>
      </c>
      <c r="O15" s="100">
        <v>0</v>
      </c>
      <c r="P15" s="100">
        <v>0.91</v>
      </c>
      <c r="Q15" s="100">
        <v>9.32</v>
      </c>
      <c r="R15" s="6"/>
      <c r="S15" s="6"/>
      <c r="T15" s="156"/>
      <c r="U15" s="6"/>
    </row>
    <row r="16" spans="1:21" customFormat="1">
      <c r="A16" s="163" t="s">
        <v>1502</v>
      </c>
      <c r="B16" s="100">
        <v>25</v>
      </c>
      <c r="C16" s="100">
        <v>19.43</v>
      </c>
      <c r="D16" s="100">
        <v>30.2</v>
      </c>
      <c r="E16" s="100">
        <v>6.03</v>
      </c>
      <c r="F16" s="100">
        <v>1.01</v>
      </c>
      <c r="G16" s="100">
        <v>99.47</v>
      </c>
      <c r="H16" s="100">
        <v>52.79</v>
      </c>
      <c r="I16" s="100">
        <v>16.88</v>
      </c>
      <c r="J16" s="100">
        <v>0.18</v>
      </c>
      <c r="K16" s="100">
        <v>166.28</v>
      </c>
      <c r="L16" s="100">
        <v>16.84</v>
      </c>
      <c r="M16" s="100">
        <v>86.27</v>
      </c>
      <c r="N16" s="100">
        <v>8</v>
      </c>
      <c r="O16" s="100">
        <v>0</v>
      </c>
      <c r="P16" s="100">
        <v>0.91</v>
      </c>
      <c r="Q16" s="100">
        <v>9.32</v>
      </c>
      <c r="R16" s="6"/>
      <c r="S16" s="6"/>
      <c r="T16" s="156"/>
      <c r="U16" s="6"/>
    </row>
    <row r="17" spans="1:21" customFormat="1">
      <c r="A17" s="163" t="s">
        <v>1503</v>
      </c>
      <c r="B17" s="100">
        <v>24.41</v>
      </c>
      <c r="C17" s="100">
        <v>19.059999999999999</v>
      </c>
      <c r="D17" s="100">
        <v>29.53</v>
      </c>
      <c r="E17" s="100">
        <v>5</v>
      </c>
      <c r="F17" s="100">
        <v>1.07</v>
      </c>
      <c r="G17" s="100">
        <v>87.39</v>
      </c>
      <c r="H17" s="100">
        <v>51.13</v>
      </c>
      <c r="I17" s="100">
        <v>16.97</v>
      </c>
      <c r="J17" s="100">
        <v>0.15</v>
      </c>
      <c r="K17" s="100">
        <v>193.03</v>
      </c>
      <c r="L17" s="100">
        <v>16.73</v>
      </c>
      <c r="M17" s="100">
        <v>88.44</v>
      </c>
      <c r="N17" s="100">
        <v>8</v>
      </c>
      <c r="O17" s="100">
        <v>0</v>
      </c>
      <c r="P17" s="100">
        <v>0.91</v>
      </c>
      <c r="Q17" s="100">
        <v>9.32</v>
      </c>
      <c r="R17" s="6"/>
      <c r="S17" s="6"/>
      <c r="T17" s="156"/>
      <c r="U17" s="6"/>
    </row>
    <row r="18" spans="1:21" customFormat="1">
      <c r="A18" s="163" t="s">
        <v>1504</v>
      </c>
      <c r="B18" s="100">
        <v>23.79</v>
      </c>
      <c r="C18" s="100">
        <v>18.7</v>
      </c>
      <c r="D18" s="100">
        <v>28.85</v>
      </c>
      <c r="E18" s="100">
        <v>5.81</v>
      </c>
      <c r="F18" s="100">
        <v>1.17</v>
      </c>
      <c r="G18" s="100">
        <v>86.68</v>
      </c>
      <c r="H18" s="100">
        <v>51.13</v>
      </c>
      <c r="I18" s="100">
        <v>17.11</v>
      </c>
      <c r="J18" s="100">
        <v>0.16</v>
      </c>
      <c r="K18" s="100">
        <v>150.81</v>
      </c>
      <c r="L18" s="100">
        <v>16.66</v>
      </c>
      <c r="M18" s="100">
        <v>86.76</v>
      </c>
      <c r="N18" s="100">
        <v>8</v>
      </c>
      <c r="O18" s="100">
        <v>0</v>
      </c>
      <c r="P18" s="100">
        <v>0.92</v>
      </c>
      <c r="Q18" s="100">
        <v>9.32</v>
      </c>
      <c r="R18" s="6"/>
      <c r="S18" s="6"/>
      <c r="T18" s="156"/>
      <c r="U18" s="6"/>
    </row>
    <row r="19" spans="1:21" customFormat="1">
      <c r="A19" s="163" t="s">
        <v>1505</v>
      </c>
      <c r="B19" s="100">
        <v>23.15</v>
      </c>
      <c r="C19" s="100">
        <v>18.239999999999998</v>
      </c>
      <c r="D19" s="100">
        <v>28.09</v>
      </c>
      <c r="E19" s="100">
        <v>5.97</v>
      </c>
      <c r="F19" s="100">
        <v>1.1299999999999999</v>
      </c>
      <c r="G19" s="100">
        <v>86.68</v>
      </c>
      <c r="H19" s="100">
        <v>51.13</v>
      </c>
      <c r="I19" s="100">
        <v>17.25</v>
      </c>
      <c r="J19" s="100">
        <v>0.11</v>
      </c>
      <c r="K19" s="100">
        <v>176.21</v>
      </c>
      <c r="L19" s="100">
        <v>16.5</v>
      </c>
      <c r="M19" s="100">
        <v>86.3</v>
      </c>
      <c r="N19" s="100">
        <v>7.8</v>
      </c>
      <c r="O19" s="100">
        <v>0</v>
      </c>
      <c r="P19" s="100">
        <v>0.91</v>
      </c>
      <c r="Q19" s="100">
        <v>9.32</v>
      </c>
      <c r="R19" s="6"/>
      <c r="S19" s="6"/>
      <c r="T19" s="156"/>
      <c r="U19" s="6"/>
    </row>
    <row r="20" spans="1:21" customFormat="1">
      <c r="A20" s="163" t="s">
        <v>1506</v>
      </c>
      <c r="B20" s="100">
        <v>22.59</v>
      </c>
      <c r="C20" s="100">
        <v>17.98</v>
      </c>
      <c r="D20" s="100">
        <v>27.51</v>
      </c>
      <c r="E20" s="100">
        <v>5.71</v>
      </c>
      <c r="F20" s="100">
        <v>1.08</v>
      </c>
      <c r="G20" s="100">
        <v>86.68</v>
      </c>
      <c r="H20" s="100">
        <v>51.13</v>
      </c>
      <c r="I20" s="100">
        <v>17.39</v>
      </c>
      <c r="J20" s="100">
        <v>0.14000000000000001</v>
      </c>
      <c r="K20" s="100">
        <v>166.04</v>
      </c>
      <c r="L20" s="100">
        <v>16.61</v>
      </c>
      <c r="M20" s="100">
        <v>85.03</v>
      </c>
      <c r="N20" s="100">
        <v>7.7</v>
      </c>
      <c r="O20" s="100">
        <v>0</v>
      </c>
      <c r="P20" s="100">
        <v>0.92</v>
      </c>
      <c r="Q20" s="100">
        <v>9.3800000000000008</v>
      </c>
      <c r="R20" s="6"/>
      <c r="S20" s="6"/>
      <c r="T20" s="156"/>
      <c r="U20" s="6"/>
    </row>
    <row r="21" spans="1:21" customFormat="1">
      <c r="A21" s="163" t="s">
        <v>1507</v>
      </c>
      <c r="B21" s="100">
        <v>23.58</v>
      </c>
      <c r="C21" s="100">
        <v>18.260000000000002</v>
      </c>
      <c r="D21" s="100">
        <v>28.45</v>
      </c>
      <c r="E21" s="100">
        <v>5.77</v>
      </c>
      <c r="F21" s="100">
        <v>1.22</v>
      </c>
      <c r="G21" s="100">
        <v>81.94</v>
      </c>
      <c r="H21" s="100">
        <v>47.42</v>
      </c>
      <c r="I21" s="100">
        <v>17.55</v>
      </c>
      <c r="J21" s="100">
        <v>0.18</v>
      </c>
      <c r="K21" s="100">
        <v>157.9</v>
      </c>
      <c r="L21" s="100">
        <v>16.579999999999998</v>
      </c>
      <c r="M21" s="100">
        <v>84.46</v>
      </c>
      <c r="N21" s="100">
        <v>7.8</v>
      </c>
      <c r="O21" s="100">
        <v>0</v>
      </c>
      <c r="P21" s="100">
        <v>0.93</v>
      </c>
      <c r="Q21" s="100">
        <v>9.52</v>
      </c>
      <c r="R21" s="6"/>
      <c r="S21" s="6"/>
      <c r="T21" s="156"/>
      <c r="U21" s="6"/>
    </row>
    <row r="22" spans="1:21" customFormat="1">
      <c r="A22" s="163" t="s">
        <v>1508</v>
      </c>
      <c r="B22" s="100">
        <v>24.96</v>
      </c>
      <c r="C22" s="100">
        <v>18.46</v>
      </c>
      <c r="D22" s="100">
        <v>29.66</v>
      </c>
      <c r="E22" s="100">
        <v>5.65</v>
      </c>
      <c r="F22" s="100">
        <v>1.22</v>
      </c>
      <c r="G22" s="100">
        <v>81.599999999999994</v>
      </c>
      <c r="H22" s="100">
        <v>47.42</v>
      </c>
      <c r="I22" s="100">
        <v>16.059999999999999</v>
      </c>
      <c r="J22" s="100">
        <v>0.16</v>
      </c>
      <c r="K22" s="100">
        <v>166.53</v>
      </c>
      <c r="L22" s="100">
        <v>16.579999999999998</v>
      </c>
      <c r="M22" s="100">
        <v>84.8</v>
      </c>
      <c r="N22" s="100">
        <v>7.9</v>
      </c>
      <c r="O22" s="100">
        <v>0</v>
      </c>
      <c r="P22" s="100">
        <v>0.93</v>
      </c>
      <c r="Q22" s="100">
        <v>9.69</v>
      </c>
      <c r="R22" s="6"/>
      <c r="S22" s="6"/>
      <c r="T22" s="156"/>
      <c r="U22" s="6"/>
    </row>
    <row r="23" spans="1:21" customFormat="1">
      <c r="A23" s="163" t="s">
        <v>1509</v>
      </c>
      <c r="B23" s="100">
        <v>25.59</v>
      </c>
      <c r="C23" s="100">
        <v>18.53</v>
      </c>
      <c r="D23" s="100">
        <v>30.21</v>
      </c>
      <c r="E23" s="100">
        <v>5.79</v>
      </c>
      <c r="F23" s="100">
        <v>1.26</v>
      </c>
      <c r="G23" s="100">
        <v>81.599999999999994</v>
      </c>
      <c r="H23" s="100">
        <v>47.42</v>
      </c>
      <c r="I23" s="100">
        <v>15.99</v>
      </c>
      <c r="J23" s="100">
        <v>0.14000000000000001</v>
      </c>
      <c r="K23" s="100">
        <v>157.97</v>
      </c>
      <c r="L23" s="100">
        <v>16.420000000000002</v>
      </c>
      <c r="M23" s="100">
        <v>87.09</v>
      </c>
      <c r="N23" s="100">
        <v>7.9</v>
      </c>
      <c r="O23" s="100">
        <v>0</v>
      </c>
      <c r="P23" s="100">
        <v>0.93</v>
      </c>
      <c r="Q23" s="100">
        <v>9.7200000000000006</v>
      </c>
      <c r="R23" s="6"/>
      <c r="S23" s="6"/>
      <c r="T23" s="156"/>
      <c r="U23" s="6"/>
    </row>
    <row r="24" spans="1:21" customFormat="1">
      <c r="A24" s="163" t="s">
        <v>1510</v>
      </c>
      <c r="B24" s="100">
        <v>25.65</v>
      </c>
      <c r="C24" s="100">
        <v>18.43</v>
      </c>
      <c r="D24" s="100">
        <v>30.2</v>
      </c>
      <c r="E24" s="100">
        <v>5.82</v>
      </c>
      <c r="F24" s="100">
        <v>1.1100000000000001</v>
      </c>
      <c r="G24" s="100">
        <v>81.599999999999994</v>
      </c>
      <c r="H24" s="100">
        <v>47.42</v>
      </c>
      <c r="I24" s="100">
        <v>17.829999999999998</v>
      </c>
      <c r="J24" s="100">
        <v>0.12</v>
      </c>
      <c r="K24" s="100">
        <v>148.54</v>
      </c>
      <c r="L24" s="100">
        <v>16.41</v>
      </c>
      <c r="M24" s="100">
        <v>88</v>
      </c>
      <c r="N24" s="100">
        <v>7.9</v>
      </c>
      <c r="O24" s="100">
        <v>0</v>
      </c>
      <c r="P24" s="100">
        <v>0.92</v>
      </c>
      <c r="Q24" s="100">
        <v>9.67</v>
      </c>
      <c r="R24" s="6"/>
      <c r="S24" s="6"/>
      <c r="T24" s="156"/>
      <c r="U24" s="6"/>
    </row>
    <row r="25" spans="1:21" customFormat="1">
      <c r="A25" s="163" t="s">
        <v>1511</v>
      </c>
      <c r="B25" s="100">
        <v>27.43</v>
      </c>
      <c r="C25" s="100">
        <v>18.55</v>
      </c>
      <c r="D25" s="100">
        <v>31.69</v>
      </c>
      <c r="E25" s="100">
        <v>5.88</v>
      </c>
      <c r="F25" s="100">
        <v>1.17</v>
      </c>
      <c r="G25" s="100">
        <v>81.14</v>
      </c>
      <c r="H25" s="100">
        <v>49.01</v>
      </c>
      <c r="I25" s="100">
        <v>16.260000000000002</v>
      </c>
      <c r="J25" s="100">
        <v>0.06</v>
      </c>
      <c r="K25" s="100">
        <v>143.16999999999999</v>
      </c>
      <c r="L25" s="100">
        <v>16.32</v>
      </c>
      <c r="M25" s="100">
        <v>86.8</v>
      </c>
      <c r="N25" s="100">
        <v>7.7</v>
      </c>
      <c r="O25" s="100">
        <v>0</v>
      </c>
      <c r="P25" s="100">
        <v>0.93</v>
      </c>
      <c r="Q25" s="100">
        <v>9.73</v>
      </c>
      <c r="R25" s="6"/>
      <c r="S25" s="6"/>
      <c r="T25" s="156"/>
      <c r="U25" s="6"/>
    </row>
    <row r="26" spans="1:21" customFormat="1">
      <c r="A26" s="163" t="s">
        <v>1512</v>
      </c>
      <c r="B26" s="100">
        <v>30</v>
      </c>
      <c r="C26" s="100">
        <v>18.97</v>
      </c>
      <c r="D26" s="100">
        <v>33.97</v>
      </c>
      <c r="E26" s="100">
        <v>5.84</v>
      </c>
      <c r="F26" s="100">
        <v>1.22</v>
      </c>
      <c r="G26" s="100">
        <v>81.099999999999994</v>
      </c>
      <c r="H26" s="100">
        <v>49.01</v>
      </c>
      <c r="I26" s="100">
        <v>14.55</v>
      </c>
      <c r="J26" s="100">
        <v>0.27</v>
      </c>
      <c r="K26" s="100">
        <v>185.64</v>
      </c>
      <c r="L26" s="100">
        <v>16.45</v>
      </c>
      <c r="M26" s="100">
        <v>85.1</v>
      </c>
      <c r="N26" s="100">
        <v>7.6</v>
      </c>
      <c r="O26" s="100">
        <v>0</v>
      </c>
      <c r="P26" s="100">
        <v>0.94</v>
      </c>
      <c r="Q26" s="100">
        <v>9.76</v>
      </c>
      <c r="R26" s="6"/>
      <c r="S26" s="6"/>
      <c r="T26" s="156"/>
      <c r="U26" s="6"/>
    </row>
    <row r="27" spans="1:21" customFormat="1">
      <c r="A27" s="163" t="s">
        <v>1513</v>
      </c>
      <c r="B27" s="100">
        <v>30.52</v>
      </c>
      <c r="C27" s="100">
        <v>18.97</v>
      </c>
      <c r="D27" s="100">
        <v>34.380000000000003</v>
      </c>
      <c r="E27" s="100">
        <v>5.85</v>
      </c>
      <c r="F27" s="100">
        <v>1.2</v>
      </c>
      <c r="G27" s="100">
        <v>81.099999999999994</v>
      </c>
      <c r="H27" s="100">
        <v>49.01</v>
      </c>
      <c r="I27" s="100">
        <v>14.63</v>
      </c>
      <c r="J27" s="100">
        <v>0.14000000000000001</v>
      </c>
      <c r="K27" s="100">
        <v>175.64</v>
      </c>
      <c r="L27" s="100">
        <v>15.84</v>
      </c>
      <c r="M27" s="100">
        <v>85.42</v>
      </c>
      <c r="N27" s="100">
        <v>8.1999999999999993</v>
      </c>
      <c r="O27" s="100">
        <v>0</v>
      </c>
      <c r="P27" s="100">
        <v>0.94</v>
      </c>
      <c r="Q27" s="100">
        <v>9.8000000000000007</v>
      </c>
      <c r="R27" s="6"/>
      <c r="S27" s="6"/>
      <c r="T27" s="156"/>
      <c r="U27" s="6"/>
    </row>
    <row r="28" spans="1:21" customFormat="1">
      <c r="A28" s="163" t="s">
        <v>1514</v>
      </c>
      <c r="B28" s="100">
        <v>29.53</v>
      </c>
      <c r="C28" s="100">
        <v>18.64</v>
      </c>
      <c r="D28" s="100">
        <v>33.42</v>
      </c>
      <c r="E28" s="100">
        <v>5.69</v>
      </c>
      <c r="F28" s="100">
        <v>1.31</v>
      </c>
      <c r="G28" s="100">
        <v>81.099999999999994</v>
      </c>
      <c r="H28" s="100">
        <v>49.01</v>
      </c>
      <c r="I28" s="100">
        <v>14.75</v>
      </c>
      <c r="J28" s="100">
        <v>0.12</v>
      </c>
      <c r="K28" s="100">
        <v>161.66</v>
      </c>
      <c r="L28" s="100">
        <v>15.74</v>
      </c>
      <c r="M28" s="100">
        <v>85.84</v>
      </c>
      <c r="N28" s="100">
        <v>8</v>
      </c>
      <c r="O28" s="100">
        <v>0</v>
      </c>
      <c r="P28" s="100">
        <v>0.93</v>
      </c>
      <c r="Q28" s="100">
        <v>9.83</v>
      </c>
      <c r="R28" s="6"/>
      <c r="S28" s="6"/>
      <c r="T28" s="156"/>
      <c r="U28" s="6"/>
    </row>
    <row r="29" spans="1:21" customFormat="1">
      <c r="A29" s="163" t="s">
        <v>1515</v>
      </c>
      <c r="B29" s="100">
        <v>28.76</v>
      </c>
      <c r="C29" s="100">
        <v>18.53</v>
      </c>
      <c r="D29" s="100">
        <v>32.74</v>
      </c>
      <c r="E29" s="100">
        <v>5.78</v>
      </c>
      <c r="F29" s="100">
        <v>1.41</v>
      </c>
      <c r="G29" s="100">
        <v>78.13</v>
      </c>
      <c r="H29" s="100">
        <v>49.9</v>
      </c>
      <c r="I29" s="100">
        <v>14.8</v>
      </c>
      <c r="J29" s="100">
        <v>0.09</v>
      </c>
      <c r="K29" s="100">
        <v>195.45</v>
      </c>
      <c r="L29" s="100">
        <v>15.73</v>
      </c>
      <c r="M29" s="100">
        <v>85.35</v>
      </c>
      <c r="N29" s="100">
        <v>7.9</v>
      </c>
      <c r="O29" s="100">
        <v>0</v>
      </c>
      <c r="P29" s="100">
        <v>0.93</v>
      </c>
      <c r="Q29" s="100">
        <v>9.83</v>
      </c>
      <c r="R29" s="6"/>
      <c r="S29" s="6"/>
      <c r="T29" s="156"/>
      <c r="U29" s="6"/>
    </row>
    <row r="30" spans="1:21" customFormat="1">
      <c r="A30" s="163" t="s">
        <v>1516</v>
      </c>
      <c r="B30" s="100">
        <v>28.11</v>
      </c>
      <c r="C30" s="100">
        <v>18.39</v>
      </c>
      <c r="D30" s="100">
        <v>32.15</v>
      </c>
      <c r="E30" s="100">
        <v>5.48</v>
      </c>
      <c r="F30" s="100">
        <v>1.41</v>
      </c>
      <c r="G30" s="100">
        <v>77.92</v>
      </c>
      <c r="H30" s="100">
        <v>49.9</v>
      </c>
      <c r="I30" s="100">
        <v>14.76</v>
      </c>
      <c r="J30" s="100">
        <v>0.11</v>
      </c>
      <c r="K30" s="100">
        <v>192.88</v>
      </c>
      <c r="L30" s="100">
        <v>15.6</v>
      </c>
      <c r="M30" s="100">
        <v>86.39</v>
      </c>
      <c r="N30" s="100">
        <v>7.9</v>
      </c>
      <c r="O30" s="100">
        <v>0</v>
      </c>
      <c r="P30" s="100">
        <v>0.93</v>
      </c>
      <c r="Q30" s="100">
        <v>9.76</v>
      </c>
      <c r="R30" s="6"/>
      <c r="S30" s="6"/>
      <c r="T30" s="156"/>
      <c r="U30" s="6"/>
    </row>
    <row r="31" spans="1:21" customFormat="1">
      <c r="A31" s="163" t="s">
        <v>1517</v>
      </c>
      <c r="B31" s="100">
        <v>27.06</v>
      </c>
      <c r="C31" s="100">
        <v>18.03</v>
      </c>
      <c r="D31" s="100">
        <v>31.12</v>
      </c>
      <c r="E31" s="100">
        <v>5.34</v>
      </c>
      <c r="F31" s="100">
        <v>1.36</v>
      </c>
      <c r="G31" s="100">
        <v>77.92</v>
      </c>
      <c r="H31" s="100">
        <v>49.9</v>
      </c>
      <c r="I31" s="100">
        <v>14.65</v>
      </c>
      <c r="J31" s="100">
        <v>0.1</v>
      </c>
      <c r="K31" s="100">
        <v>178.69</v>
      </c>
      <c r="L31" s="100">
        <v>15.64</v>
      </c>
      <c r="M31" s="100">
        <v>87.94</v>
      </c>
      <c r="N31" s="100">
        <v>7.8</v>
      </c>
      <c r="O31" s="100">
        <v>0</v>
      </c>
      <c r="P31" s="100">
        <v>0.92</v>
      </c>
      <c r="Q31" s="100">
        <v>9.77</v>
      </c>
      <c r="R31" s="6"/>
      <c r="S31" s="6"/>
      <c r="T31" s="156"/>
      <c r="U31" s="6"/>
    </row>
    <row r="32" spans="1:21" customFormat="1">
      <c r="A32" s="163" t="s">
        <v>1518</v>
      </c>
      <c r="B32" s="100">
        <v>25.82</v>
      </c>
      <c r="C32" s="100">
        <v>17.670000000000002</v>
      </c>
      <c r="D32" s="100">
        <v>29.94</v>
      </c>
      <c r="E32" s="100">
        <v>5.42</v>
      </c>
      <c r="F32" s="100">
        <v>1.23</v>
      </c>
      <c r="G32" s="100">
        <v>77.92</v>
      </c>
      <c r="H32" s="100">
        <v>49.9</v>
      </c>
      <c r="I32" s="100">
        <v>14.53</v>
      </c>
      <c r="J32" s="100">
        <v>0.11</v>
      </c>
      <c r="K32" s="100">
        <v>139.34</v>
      </c>
      <c r="L32" s="100">
        <v>15.28</v>
      </c>
      <c r="M32" s="100">
        <v>89.53</v>
      </c>
      <c r="N32" s="100">
        <v>8.1999999999999993</v>
      </c>
      <c r="O32" s="100">
        <v>0</v>
      </c>
      <c r="P32" s="100">
        <v>0.91</v>
      </c>
      <c r="Q32" s="100">
        <v>9.83</v>
      </c>
      <c r="R32" s="6"/>
      <c r="S32" s="6"/>
      <c r="T32" s="156"/>
      <c r="U32" s="6"/>
    </row>
    <row r="33" spans="1:21" customFormat="1">
      <c r="A33" s="163" t="s">
        <v>1519</v>
      </c>
      <c r="B33" s="100">
        <v>24.86</v>
      </c>
      <c r="C33" s="100">
        <v>17.329999999999998</v>
      </c>
      <c r="D33" s="100">
        <v>28.99</v>
      </c>
      <c r="E33" s="100">
        <v>5.29</v>
      </c>
      <c r="F33" s="100">
        <v>1.2</v>
      </c>
      <c r="G33" s="100">
        <v>72.88</v>
      </c>
      <c r="H33" s="100">
        <v>48.21</v>
      </c>
      <c r="I33" s="100">
        <v>14.41</v>
      </c>
      <c r="J33" s="100">
        <v>0.18</v>
      </c>
      <c r="K33" s="100">
        <v>152.97999999999999</v>
      </c>
      <c r="L33" s="100">
        <v>15.33</v>
      </c>
      <c r="M33" s="100">
        <v>88.48</v>
      </c>
      <c r="N33" s="100">
        <v>8</v>
      </c>
      <c r="O33" s="100">
        <v>0</v>
      </c>
      <c r="P33" s="100">
        <v>0.9</v>
      </c>
      <c r="Q33" s="100">
        <v>9.86</v>
      </c>
      <c r="R33" s="6"/>
      <c r="S33" s="6"/>
      <c r="T33" s="156"/>
      <c r="U33" s="6"/>
    </row>
    <row r="34" spans="1:21" customFormat="1">
      <c r="A34" s="163" t="s">
        <v>1520</v>
      </c>
      <c r="B34" s="100">
        <v>23.9</v>
      </c>
      <c r="C34" s="100">
        <v>17.12</v>
      </c>
      <c r="D34" s="100">
        <v>28.11</v>
      </c>
      <c r="E34" s="100">
        <v>5.19</v>
      </c>
      <c r="F34" s="100">
        <v>1.22</v>
      </c>
      <c r="G34" s="100">
        <v>72.59</v>
      </c>
      <c r="H34" s="100">
        <v>48.21</v>
      </c>
      <c r="I34" s="100">
        <v>14.41</v>
      </c>
      <c r="J34" s="100">
        <v>0.1</v>
      </c>
      <c r="K34" s="100">
        <v>154.46</v>
      </c>
      <c r="L34" s="100">
        <v>15.24</v>
      </c>
      <c r="M34" s="100">
        <v>87.92</v>
      </c>
      <c r="N34" s="100">
        <v>9.1</v>
      </c>
      <c r="O34" s="100">
        <v>0</v>
      </c>
      <c r="P34" s="100">
        <v>0.9</v>
      </c>
      <c r="Q34" s="100">
        <v>9.83</v>
      </c>
      <c r="R34" s="6"/>
      <c r="S34" s="6"/>
      <c r="T34" s="156"/>
      <c r="U34" s="6"/>
    </row>
    <row r="35" spans="1:21" customFormat="1">
      <c r="A35" s="163" t="s">
        <v>1521</v>
      </c>
      <c r="B35" s="100">
        <v>24.31</v>
      </c>
      <c r="C35" s="100">
        <v>17.309999999999999</v>
      </c>
      <c r="D35" s="100">
        <v>28.54</v>
      </c>
      <c r="E35" s="100">
        <v>5.39</v>
      </c>
      <c r="F35" s="100">
        <v>1.22</v>
      </c>
      <c r="G35" s="100">
        <v>72.59</v>
      </c>
      <c r="H35" s="100">
        <v>48.21</v>
      </c>
      <c r="I35" s="100">
        <v>14.49</v>
      </c>
      <c r="J35" s="100">
        <v>0.11</v>
      </c>
      <c r="K35" s="100">
        <v>192.05</v>
      </c>
      <c r="L35" s="100">
        <v>15.44</v>
      </c>
      <c r="M35" s="100">
        <v>86.87</v>
      </c>
      <c r="N35" s="100">
        <v>13.1</v>
      </c>
      <c r="O35" s="100">
        <v>0</v>
      </c>
      <c r="P35" s="100">
        <v>0.9</v>
      </c>
      <c r="Q35" s="100">
        <v>9.4499999999999993</v>
      </c>
      <c r="R35" s="6"/>
      <c r="S35" s="6"/>
      <c r="T35" s="156"/>
      <c r="U35" s="6"/>
    </row>
    <row r="36" spans="1:21" customFormat="1">
      <c r="A36" s="163" t="s">
        <v>1522</v>
      </c>
      <c r="B36" s="100">
        <v>27.34</v>
      </c>
      <c r="C36" s="100">
        <v>18.13</v>
      </c>
      <c r="D36" s="100">
        <v>31.4</v>
      </c>
      <c r="E36" s="100">
        <v>4.99</v>
      </c>
      <c r="F36" s="100">
        <v>1.31</v>
      </c>
      <c r="G36" s="100">
        <v>72.59</v>
      </c>
      <c r="H36" s="100">
        <v>48.21</v>
      </c>
      <c r="I36" s="100">
        <v>14.53</v>
      </c>
      <c r="J36" s="100">
        <v>0.14000000000000001</v>
      </c>
      <c r="K36" s="100">
        <v>180.34</v>
      </c>
      <c r="L36" s="100">
        <v>15.78</v>
      </c>
      <c r="M36" s="100">
        <v>86.14</v>
      </c>
      <c r="N36" s="100">
        <v>21.4</v>
      </c>
      <c r="O36" s="100">
        <v>0</v>
      </c>
      <c r="P36" s="100">
        <v>0.92</v>
      </c>
      <c r="Q36" s="100">
        <v>9.32</v>
      </c>
      <c r="R36" s="6"/>
      <c r="S36" s="6"/>
      <c r="T36" s="156"/>
      <c r="U36" s="6"/>
    </row>
    <row r="37" spans="1:21" customFormat="1">
      <c r="A37" s="163" t="s">
        <v>1523</v>
      </c>
      <c r="B37" s="100">
        <v>29.27</v>
      </c>
      <c r="C37" s="100">
        <v>18.71</v>
      </c>
      <c r="D37" s="100">
        <v>33.25</v>
      </c>
      <c r="E37" s="100">
        <v>5.51</v>
      </c>
      <c r="F37" s="100">
        <v>1.17</v>
      </c>
      <c r="G37" s="100">
        <v>75.67</v>
      </c>
      <c r="H37" s="100">
        <v>53.96</v>
      </c>
      <c r="I37" s="100">
        <v>14.6</v>
      </c>
      <c r="J37" s="100">
        <v>0.13</v>
      </c>
      <c r="K37" s="100">
        <v>17.89</v>
      </c>
      <c r="L37" s="100">
        <v>15.83</v>
      </c>
      <c r="M37" s="100">
        <v>87.87</v>
      </c>
      <c r="N37" s="100">
        <v>32.200000000000003</v>
      </c>
      <c r="O37" s="100">
        <v>0</v>
      </c>
      <c r="P37" s="100">
        <v>0.92</v>
      </c>
      <c r="Q37" s="100">
        <v>9.32</v>
      </c>
      <c r="R37" s="6"/>
      <c r="S37" s="6"/>
      <c r="T37" s="156"/>
      <c r="U37" s="6"/>
    </row>
    <row r="38" spans="1:21" customFormat="1">
      <c r="A38" s="163" t="s">
        <v>1524</v>
      </c>
      <c r="B38" s="100">
        <v>31.24</v>
      </c>
      <c r="C38" s="100">
        <v>19.12</v>
      </c>
      <c r="D38" s="100">
        <v>35.04</v>
      </c>
      <c r="E38" s="100">
        <v>5.63</v>
      </c>
      <c r="F38" s="100">
        <v>1.1599999999999999</v>
      </c>
      <c r="G38" s="100">
        <v>75.86</v>
      </c>
      <c r="H38" s="100">
        <v>53.96</v>
      </c>
      <c r="I38" s="100">
        <v>14.67</v>
      </c>
      <c r="J38" s="100">
        <v>0.08</v>
      </c>
      <c r="K38" s="100">
        <v>134.78</v>
      </c>
      <c r="L38" s="100">
        <v>16.62</v>
      </c>
      <c r="M38" s="100">
        <v>83.8</v>
      </c>
      <c r="N38" s="100">
        <v>44</v>
      </c>
      <c r="O38" s="100">
        <v>0</v>
      </c>
      <c r="P38" s="100">
        <v>0.93</v>
      </c>
      <c r="Q38" s="100">
        <v>9.32</v>
      </c>
      <c r="R38" s="6"/>
      <c r="S38" s="6"/>
      <c r="T38" s="156"/>
      <c r="U38" s="6"/>
    </row>
    <row r="39" spans="1:21" customFormat="1">
      <c r="A39" s="163" t="s">
        <v>1525</v>
      </c>
      <c r="B39" s="100">
        <v>33.29</v>
      </c>
      <c r="C39" s="100">
        <v>19.8</v>
      </c>
      <c r="D39" s="100">
        <v>37.04</v>
      </c>
      <c r="E39" s="100">
        <v>5.24</v>
      </c>
      <c r="F39" s="100">
        <v>1.24</v>
      </c>
      <c r="G39" s="100">
        <v>75.86</v>
      </c>
      <c r="H39" s="100">
        <v>53.96</v>
      </c>
      <c r="I39" s="100">
        <v>14.79</v>
      </c>
      <c r="J39" s="100">
        <v>0.37</v>
      </c>
      <c r="K39" s="100">
        <v>21.2</v>
      </c>
      <c r="L39" s="100">
        <v>17.329999999999998</v>
      </c>
      <c r="M39" s="100">
        <v>79.989999999999995</v>
      </c>
      <c r="N39" s="100">
        <v>56.2</v>
      </c>
      <c r="O39" s="100">
        <v>0</v>
      </c>
      <c r="P39" s="100">
        <v>0.96</v>
      </c>
      <c r="Q39" s="100">
        <v>9.32</v>
      </c>
      <c r="R39" s="6"/>
      <c r="S39" s="6"/>
      <c r="T39" s="156"/>
      <c r="U39" s="6"/>
    </row>
    <row r="40" spans="1:21" customFormat="1">
      <c r="A40" s="163" t="s">
        <v>1526</v>
      </c>
      <c r="B40" s="100">
        <v>34.35</v>
      </c>
      <c r="C40" s="100">
        <v>20.55</v>
      </c>
      <c r="D40" s="100">
        <v>38.28</v>
      </c>
      <c r="E40" s="100">
        <v>5.36</v>
      </c>
      <c r="F40" s="100">
        <v>1.24</v>
      </c>
      <c r="G40" s="100">
        <v>75.86</v>
      </c>
      <c r="H40" s="100">
        <v>53.96</v>
      </c>
      <c r="I40" s="100">
        <v>15.07</v>
      </c>
      <c r="J40" s="100">
        <v>0.56999999999999995</v>
      </c>
      <c r="K40" s="100">
        <v>44.49</v>
      </c>
      <c r="L40" s="100">
        <v>18.41</v>
      </c>
      <c r="M40" s="100">
        <v>70.88</v>
      </c>
      <c r="N40" s="100">
        <v>70.099999999999994</v>
      </c>
      <c r="O40" s="100">
        <v>0</v>
      </c>
      <c r="P40" s="100">
        <v>0.99</v>
      </c>
      <c r="Q40" s="100">
        <v>9.32</v>
      </c>
      <c r="R40" s="6"/>
      <c r="S40" s="6"/>
      <c r="T40" s="156"/>
      <c r="U40" s="6"/>
    </row>
    <row r="41" spans="1:21" customFormat="1">
      <c r="A41" s="163" t="s">
        <v>1527</v>
      </c>
      <c r="B41" s="100">
        <v>34.130000000000003</v>
      </c>
      <c r="C41" s="100">
        <v>21.4</v>
      </c>
      <c r="D41" s="100">
        <v>38.549999999999997</v>
      </c>
      <c r="E41" s="100">
        <v>5.41</v>
      </c>
      <c r="F41" s="100">
        <v>1.22</v>
      </c>
      <c r="G41" s="100">
        <v>89.23</v>
      </c>
      <c r="H41" s="100">
        <v>64.2</v>
      </c>
      <c r="I41" s="100">
        <v>15.55</v>
      </c>
      <c r="J41" s="100">
        <v>0.56000000000000005</v>
      </c>
      <c r="K41" s="100">
        <v>46.07</v>
      </c>
      <c r="L41" s="100">
        <v>19.34</v>
      </c>
      <c r="M41" s="100">
        <v>64.16</v>
      </c>
      <c r="N41" s="100">
        <v>144</v>
      </c>
      <c r="O41" s="100">
        <v>0</v>
      </c>
      <c r="P41" s="100">
        <v>1</v>
      </c>
      <c r="Q41" s="100">
        <v>9.32</v>
      </c>
      <c r="R41" s="6"/>
      <c r="S41" s="6"/>
      <c r="T41" s="156"/>
      <c r="U41" s="6"/>
    </row>
    <row r="42" spans="1:21" customFormat="1">
      <c r="A42" s="163" t="s">
        <v>1528</v>
      </c>
      <c r="B42" s="100">
        <v>33.119999999999997</v>
      </c>
      <c r="C42" s="100">
        <v>21.93</v>
      </c>
      <c r="D42" s="100">
        <v>38.020000000000003</v>
      </c>
      <c r="E42" s="100">
        <v>5.95</v>
      </c>
      <c r="F42" s="100">
        <v>1.25</v>
      </c>
      <c r="G42" s="100">
        <v>90.02</v>
      </c>
      <c r="H42" s="100">
        <v>64.2</v>
      </c>
      <c r="I42" s="100">
        <v>16.03</v>
      </c>
      <c r="J42" s="100">
        <v>0.72</v>
      </c>
      <c r="K42" s="100">
        <v>47.49</v>
      </c>
      <c r="L42" s="100">
        <v>20.12</v>
      </c>
      <c r="M42" s="100">
        <v>60.67</v>
      </c>
      <c r="N42" s="100">
        <v>185.8</v>
      </c>
      <c r="O42" s="100">
        <v>0</v>
      </c>
      <c r="P42" s="100">
        <v>1</v>
      </c>
      <c r="Q42" s="100">
        <v>9.32</v>
      </c>
      <c r="R42" s="6"/>
      <c r="S42" s="6"/>
      <c r="T42" s="156"/>
      <c r="U42" s="6"/>
    </row>
    <row r="43" spans="1:21" customFormat="1">
      <c r="A43" s="163" t="s">
        <v>1529</v>
      </c>
      <c r="B43" s="100">
        <v>31.74</v>
      </c>
      <c r="C43" s="100">
        <v>21.91</v>
      </c>
      <c r="D43" s="100">
        <v>36.9</v>
      </c>
      <c r="E43" s="100">
        <v>5.72</v>
      </c>
      <c r="F43" s="100">
        <v>1.25</v>
      </c>
      <c r="G43" s="100">
        <v>90.02</v>
      </c>
      <c r="H43" s="100">
        <v>64.2</v>
      </c>
      <c r="I43" s="100">
        <v>16.29</v>
      </c>
      <c r="J43" s="100">
        <v>0.75</v>
      </c>
      <c r="K43" s="100">
        <v>20.7</v>
      </c>
      <c r="L43" s="100">
        <v>20.91</v>
      </c>
      <c r="M43" s="100">
        <v>57.53</v>
      </c>
      <c r="N43" s="100">
        <v>221</v>
      </c>
      <c r="O43" s="100">
        <v>0</v>
      </c>
      <c r="P43" s="100">
        <v>0.99</v>
      </c>
      <c r="Q43" s="100">
        <v>9.32</v>
      </c>
      <c r="R43" s="6"/>
      <c r="S43" s="6"/>
      <c r="T43" s="156"/>
      <c r="U43" s="6"/>
    </row>
    <row r="44" spans="1:21" customFormat="1">
      <c r="A44" s="163" t="s">
        <v>1530</v>
      </c>
      <c r="B44" s="100">
        <v>30.34</v>
      </c>
      <c r="C44" s="100">
        <v>22.19</v>
      </c>
      <c r="D44" s="100">
        <v>35.93</v>
      </c>
      <c r="E44" s="100">
        <v>5.66</v>
      </c>
      <c r="F44" s="100">
        <v>1.21</v>
      </c>
      <c r="G44" s="100">
        <v>90.02</v>
      </c>
      <c r="H44" s="100">
        <v>64.2</v>
      </c>
      <c r="I44" s="100">
        <v>16.329999999999998</v>
      </c>
      <c r="J44" s="100">
        <v>1.03</v>
      </c>
      <c r="K44" s="100">
        <v>34.99</v>
      </c>
      <c r="L44" s="100">
        <v>21.46</v>
      </c>
      <c r="M44" s="100">
        <v>54.07</v>
      </c>
      <c r="N44" s="100">
        <v>242.4</v>
      </c>
      <c r="O44" s="100">
        <v>0</v>
      </c>
      <c r="P44" s="100">
        <v>0.99</v>
      </c>
      <c r="Q44" s="100">
        <v>9.32</v>
      </c>
      <c r="R44" s="6"/>
      <c r="S44" s="6"/>
      <c r="T44" s="156"/>
      <c r="U44" s="6"/>
    </row>
    <row r="45" spans="1:21" customFormat="1">
      <c r="A45" s="163" t="s">
        <v>1531</v>
      </c>
      <c r="B45" s="100">
        <v>28.92</v>
      </c>
      <c r="C45" s="100">
        <v>22.47</v>
      </c>
      <c r="D45" s="100">
        <v>34.93</v>
      </c>
      <c r="E45" s="100">
        <v>5.58</v>
      </c>
      <c r="F45" s="100">
        <v>1.32</v>
      </c>
      <c r="G45" s="100">
        <v>89.02</v>
      </c>
      <c r="H45" s="100">
        <v>56.78</v>
      </c>
      <c r="I45" s="100">
        <v>16.27</v>
      </c>
      <c r="J45" s="100">
        <v>0.79</v>
      </c>
      <c r="K45" s="100">
        <v>24.47</v>
      </c>
      <c r="L45" s="100">
        <v>22.17</v>
      </c>
      <c r="M45" s="100">
        <v>50.85</v>
      </c>
      <c r="N45" s="100">
        <v>153.30000000000001</v>
      </c>
      <c r="O45" s="100">
        <v>0</v>
      </c>
      <c r="P45" s="100">
        <v>0.98</v>
      </c>
      <c r="Q45" s="100">
        <v>9.32</v>
      </c>
      <c r="R45" s="6"/>
      <c r="S45" s="6"/>
      <c r="T45" s="156"/>
      <c r="U45" s="6"/>
    </row>
    <row r="46" spans="1:21" customFormat="1">
      <c r="A46" s="163" t="s">
        <v>1532</v>
      </c>
      <c r="B46" s="100">
        <v>27.76</v>
      </c>
      <c r="C46" s="100">
        <v>22.31</v>
      </c>
      <c r="D46" s="100">
        <v>33.909999999999997</v>
      </c>
      <c r="E46" s="100">
        <v>5.73</v>
      </c>
      <c r="F46" s="100">
        <v>1.27</v>
      </c>
      <c r="G46" s="100">
        <v>88.97</v>
      </c>
      <c r="H46" s="100">
        <v>56.78</v>
      </c>
      <c r="I46" s="100">
        <v>16.100000000000001</v>
      </c>
      <c r="J46" s="100">
        <v>0.69</v>
      </c>
      <c r="K46" s="100">
        <v>41.43</v>
      </c>
      <c r="L46" s="100">
        <v>22.9</v>
      </c>
      <c r="M46" s="100">
        <v>48.7</v>
      </c>
      <c r="N46" s="100">
        <v>134</v>
      </c>
      <c r="O46" s="100">
        <v>0</v>
      </c>
      <c r="P46" s="100">
        <v>0.96</v>
      </c>
      <c r="Q46" s="100">
        <v>9.32</v>
      </c>
      <c r="R46" s="6"/>
      <c r="S46" s="6"/>
      <c r="T46" s="156"/>
      <c r="U46" s="6"/>
    </row>
    <row r="47" spans="1:21" customFormat="1">
      <c r="A47" s="163" t="s">
        <v>1533</v>
      </c>
      <c r="B47" s="100">
        <v>26.67</v>
      </c>
      <c r="C47" s="100">
        <v>22.46</v>
      </c>
      <c r="D47" s="100">
        <v>33.130000000000003</v>
      </c>
      <c r="E47" s="100">
        <v>5.92</v>
      </c>
      <c r="F47" s="100">
        <v>1.26</v>
      </c>
      <c r="G47" s="100">
        <v>88.97</v>
      </c>
      <c r="H47" s="100">
        <v>56.78</v>
      </c>
      <c r="I47" s="100">
        <v>15.87</v>
      </c>
      <c r="J47" s="100">
        <v>0.57999999999999996</v>
      </c>
      <c r="K47" s="100">
        <v>14.71</v>
      </c>
      <c r="L47" s="100">
        <v>23.77</v>
      </c>
      <c r="M47" s="100">
        <v>46.36</v>
      </c>
      <c r="N47" s="100">
        <v>140.69999999999999</v>
      </c>
      <c r="O47" s="100">
        <v>0</v>
      </c>
      <c r="P47" s="100">
        <v>0.95</v>
      </c>
      <c r="Q47" s="100">
        <v>9.32</v>
      </c>
      <c r="R47" s="6"/>
      <c r="S47" s="6"/>
      <c r="T47" s="156"/>
      <c r="U47" s="6"/>
    </row>
    <row r="48" spans="1:21" customFormat="1">
      <c r="A48" s="163" t="s">
        <v>1534</v>
      </c>
      <c r="B48" s="100">
        <v>25.38</v>
      </c>
      <c r="C48" s="100">
        <v>22.66</v>
      </c>
      <c r="D48" s="100">
        <v>32.19</v>
      </c>
      <c r="E48" s="100">
        <v>5.87</v>
      </c>
      <c r="F48" s="100">
        <v>1.3</v>
      </c>
      <c r="G48" s="100">
        <v>88.97</v>
      </c>
      <c r="H48" s="100">
        <v>56.78</v>
      </c>
      <c r="I48" s="100">
        <v>15.64</v>
      </c>
      <c r="J48" s="100">
        <v>0.86</v>
      </c>
      <c r="K48" s="100">
        <v>24.26</v>
      </c>
      <c r="L48" s="100">
        <v>24.05</v>
      </c>
      <c r="M48" s="100">
        <v>45.66</v>
      </c>
      <c r="N48" s="100">
        <v>188</v>
      </c>
      <c r="O48" s="100">
        <v>0</v>
      </c>
      <c r="P48" s="100">
        <v>0.92</v>
      </c>
      <c r="Q48" s="100">
        <v>9.32</v>
      </c>
      <c r="R48" s="6"/>
      <c r="S48" s="6"/>
      <c r="T48" s="156"/>
      <c r="U48" s="6"/>
    </row>
    <row r="49" spans="1:21" customFormat="1">
      <c r="A49" s="163" t="s">
        <v>1535</v>
      </c>
      <c r="B49" s="100">
        <v>23.48</v>
      </c>
      <c r="C49" s="100">
        <v>23.02</v>
      </c>
      <c r="D49" s="100">
        <v>30.85</v>
      </c>
      <c r="E49" s="100">
        <v>5.01</v>
      </c>
      <c r="F49" s="100">
        <v>1.46</v>
      </c>
      <c r="G49" s="100">
        <v>88.56</v>
      </c>
      <c r="H49" s="100">
        <v>52.31</v>
      </c>
      <c r="I49" s="100">
        <v>15.42</v>
      </c>
      <c r="J49" s="100">
        <v>0.78</v>
      </c>
      <c r="K49" s="100">
        <v>34.67</v>
      </c>
      <c r="L49" s="100">
        <v>24.45</v>
      </c>
      <c r="M49" s="100">
        <v>44.27</v>
      </c>
      <c r="N49" s="100">
        <v>389.4</v>
      </c>
      <c r="O49" s="100">
        <v>0</v>
      </c>
      <c r="P49" s="100">
        <v>0.89</v>
      </c>
      <c r="Q49" s="100">
        <v>9.32</v>
      </c>
      <c r="R49" s="6"/>
      <c r="S49" s="6"/>
      <c r="T49" s="156"/>
      <c r="U49" s="6"/>
    </row>
    <row r="50" spans="1:21" customFormat="1">
      <c r="A50" s="163" t="s">
        <v>1536</v>
      </c>
      <c r="B50" s="100">
        <v>21.27</v>
      </c>
      <c r="C50" s="100">
        <v>23.4</v>
      </c>
      <c r="D50" s="100">
        <v>29.29</v>
      </c>
      <c r="E50" s="100">
        <v>5.77</v>
      </c>
      <c r="F50" s="100">
        <v>1.74</v>
      </c>
      <c r="G50" s="100">
        <v>88.54</v>
      </c>
      <c r="H50" s="100">
        <v>52.31</v>
      </c>
      <c r="I50" s="100">
        <v>15.21</v>
      </c>
      <c r="J50" s="100">
        <v>0.84</v>
      </c>
      <c r="K50" s="100">
        <v>12.93</v>
      </c>
      <c r="L50" s="100">
        <v>24.95</v>
      </c>
      <c r="M50" s="100">
        <v>42.91</v>
      </c>
      <c r="N50" s="100">
        <v>412.4</v>
      </c>
      <c r="O50" s="100">
        <v>0</v>
      </c>
      <c r="P50" s="100">
        <v>0.87</v>
      </c>
      <c r="Q50" s="100">
        <v>9.32</v>
      </c>
      <c r="R50" s="6"/>
      <c r="S50" s="6"/>
      <c r="T50" s="156"/>
      <c r="U50" s="6"/>
    </row>
    <row r="51" spans="1:21" customFormat="1">
      <c r="A51" s="163" t="s">
        <v>1537</v>
      </c>
      <c r="B51" s="100">
        <v>19.239999999999998</v>
      </c>
      <c r="C51" s="100">
        <v>23.84</v>
      </c>
      <c r="D51" s="100">
        <v>27.88</v>
      </c>
      <c r="E51" s="100">
        <v>5.87</v>
      </c>
      <c r="F51" s="100">
        <v>1.61</v>
      </c>
      <c r="G51" s="100">
        <v>88.54</v>
      </c>
      <c r="H51" s="100">
        <v>52.31</v>
      </c>
      <c r="I51" s="100">
        <v>14.93</v>
      </c>
      <c r="J51" s="100">
        <v>0.89</v>
      </c>
      <c r="K51" s="100">
        <v>32.06</v>
      </c>
      <c r="L51" s="100">
        <v>25.45</v>
      </c>
      <c r="M51" s="100">
        <v>41.29</v>
      </c>
      <c r="N51" s="100">
        <v>429</v>
      </c>
      <c r="O51" s="100">
        <v>0</v>
      </c>
      <c r="P51" s="100">
        <v>0.85</v>
      </c>
      <c r="Q51" s="100">
        <v>9.32</v>
      </c>
      <c r="R51" s="6"/>
      <c r="S51" s="6"/>
      <c r="T51" s="156"/>
      <c r="U51" s="6"/>
    </row>
    <row r="52" spans="1:21" customFormat="1">
      <c r="A52" s="163" t="s">
        <v>1538</v>
      </c>
      <c r="B52" s="100">
        <v>17.28</v>
      </c>
      <c r="C52" s="100">
        <v>24.3</v>
      </c>
      <c r="D52" s="100">
        <v>26.55</v>
      </c>
      <c r="E52" s="100">
        <v>6.26</v>
      </c>
      <c r="F52" s="100">
        <v>2.0699999999999998</v>
      </c>
      <c r="G52" s="100">
        <v>88.54</v>
      </c>
      <c r="H52" s="100">
        <v>52.31</v>
      </c>
      <c r="I52" s="100">
        <v>14.62</v>
      </c>
      <c r="J52" s="100">
        <v>0.61</v>
      </c>
      <c r="K52" s="100">
        <v>14.59</v>
      </c>
      <c r="L52" s="100">
        <v>26.1</v>
      </c>
      <c r="M52" s="100">
        <v>39.29</v>
      </c>
      <c r="N52" s="100">
        <v>451.5</v>
      </c>
      <c r="O52" s="100">
        <v>0</v>
      </c>
      <c r="P52" s="100">
        <v>0.83</v>
      </c>
      <c r="Q52" s="100">
        <v>9.32</v>
      </c>
      <c r="R52" s="6"/>
      <c r="S52" s="6"/>
      <c r="T52" s="156"/>
      <c r="U52" s="6"/>
    </row>
    <row r="53" spans="1:21" customFormat="1">
      <c r="A53" s="163" t="s">
        <v>1539</v>
      </c>
      <c r="B53" s="100">
        <v>15.25</v>
      </c>
      <c r="C53" s="100">
        <v>24.59</v>
      </c>
      <c r="D53" s="100">
        <v>25.08</v>
      </c>
      <c r="E53" s="100">
        <v>6.15</v>
      </c>
      <c r="F53" s="100">
        <v>2.46</v>
      </c>
      <c r="G53" s="100">
        <v>88.06</v>
      </c>
      <c r="H53" s="100">
        <v>51.23</v>
      </c>
      <c r="I53" s="100">
        <v>14.33</v>
      </c>
      <c r="J53" s="100">
        <v>0.52</v>
      </c>
      <c r="K53" s="100">
        <v>42.47</v>
      </c>
      <c r="L53" s="100">
        <v>26.48</v>
      </c>
      <c r="M53" s="100">
        <v>37.08</v>
      </c>
      <c r="N53" s="100">
        <v>440.2</v>
      </c>
      <c r="O53" s="100">
        <v>0</v>
      </c>
      <c r="P53" s="100">
        <v>0.82</v>
      </c>
      <c r="Q53" s="100">
        <v>9.32</v>
      </c>
      <c r="R53" s="6"/>
      <c r="S53" s="6"/>
      <c r="T53" s="156"/>
      <c r="U53" s="6"/>
    </row>
    <row r="54" spans="1:21" customFormat="1">
      <c r="A54" s="163" t="s">
        <v>1540</v>
      </c>
      <c r="B54" s="100">
        <v>13.22</v>
      </c>
      <c r="C54" s="100">
        <v>24.83</v>
      </c>
      <c r="D54" s="100">
        <v>23.57</v>
      </c>
      <c r="E54" s="100">
        <v>6.08</v>
      </c>
      <c r="F54" s="100">
        <v>2.11</v>
      </c>
      <c r="G54" s="100">
        <v>88.03</v>
      </c>
      <c r="H54" s="100">
        <v>51.23</v>
      </c>
      <c r="I54" s="100">
        <v>14.03</v>
      </c>
      <c r="J54" s="100">
        <v>0.89</v>
      </c>
      <c r="K54" s="100">
        <v>49.13</v>
      </c>
      <c r="L54" s="100">
        <v>27.13</v>
      </c>
      <c r="M54" s="100">
        <v>35.06</v>
      </c>
      <c r="N54" s="100">
        <v>480.6</v>
      </c>
      <c r="O54" s="100">
        <v>0</v>
      </c>
      <c r="P54" s="100">
        <v>0.8</v>
      </c>
      <c r="Q54" s="100">
        <v>9.32</v>
      </c>
      <c r="R54" s="6"/>
      <c r="S54" s="6"/>
      <c r="T54" s="156"/>
      <c r="U54" s="6"/>
    </row>
    <row r="55" spans="1:21" customFormat="1">
      <c r="A55" s="163" t="s">
        <v>1541</v>
      </c>
      <c r="B55" s="100">
        <v>11.16</v>
      </c>
      <c r="C55" s="100">
        <v>25.13</v>
      </c>
      <c r="D55" s="100">
        <v>22.07</v>
      </c>
      <c r="E55" s="100">
        <v>6.1</v>
      </c>
      <c r="F55" s="100">
        <v>2.08</v>
      </c>
      <c r="G55" s="100">
        <v>88.03</v>
      </c>
      <c r="H55" s="100">
        <v>51.23</v>
      </c>
      <c r="I55" s="100">
        <v>13.76</v>
      </c>
      <c r="J55" s="100">
        <v>0.68</v>
      </c>
      <c r="K55" s="100">
        <v>43.02</v>
      </c>
      <c r="L55" s="100">
        <v>27.5</v>
      </c>
      <c r="M55" s="100">
        <v>33.380000000000003</v>
      </c>
      <c r="N55" s="100">
        <v>496.2</v>
      </c>
      <c r="O55" s="100">
        <v>0</v>
      </c>
      <c r="P55" s="100">
        <v>0.78</v>
      </c>
      <c r="Q55" s="100">
        <v>9.32</v>
      </c>
      <c r="R55" s="6"/>
      <c r="S55" s="6"/>
      <c r="T55" s="156"/>
      <c r="U55" s="6"/>
    </row>
    <row r="56" spans="1:21" customFormat="1">
      <c r="A56" s="163" t="s">
        <v>1542</v>
      </c>
      <c r="B56" s="100">
        <v>9.2100000000000009</v>
      </c>
      <c r="C56" s="100">
        <v>25.46</v>
      </c>
      <c r="D56" s="100">
        <v>20.69</v>
      </c>
      <c r="E56" s="100">
        <v>6.21</v>
      </c>
      <c r="F56" s="100">
        <v>2.21</v>
      </c>
      <c r="G56" s="100">
        <v>88.03</v>
      </c>
      <c r="H56" s="100">
        <v>51.23</v>
      </c>
      <c r="I56" s="100">
        <v>13.51</v>
      </c>
      <c r="J56" s="100">
        <v>0.66</v>
      </c>
      <c r="K56" s="100">
        <v>42.4</v>
      </c>
      <c r="L56" s="100">
        <v>28.05</v>
      </c>
      <c r="M56" s="100">
        <v>31.84</v>
      </c>
      <c r="N56" s="100">
        <v>507</v>
      </c>
      <c r="O56" s="100">
        <v>0</v>
      </c>
      <c r="P56" s="100">
        <v>0.76</v>
      </c>
      <c r="Q56" s="100">
        <v>9.32</v>
      </c>
      <c r="R56" s="6"/>
      <c r="S56" s="6"/>
      <c r="T56" s="156"/>
      <c r="U56" s="6"/>
    </row>
    <row r="57" spans="1:21" customFormat="1">
      <c r="A57" s="163" t="s">
        <v>1543</v>
      </c>
      <c r="B57" s="100">
        <v>7.57</v>
      </c>
      <c r="C57" s="100">
        <v>25.52</v>
      </c>
      <c r="D57" s="100">
        <v>19.399999999999999</v>
      </c>
      <c r="E57" s="100">
        <v>6.22</v>
      </c>
      <c r="F57" s="100">
        <v>2.4500000000000002</v>
      </c>
      <c r="G57" s="100">
        <v>88.27</v>
      </c>
      <c r="H57" s="100">
        <v>47.35</v>
      </c>
      <c r="I57" s="100">
        <v>13.22</v>
      </c>
      <c r="J57" s="100">
        <v>0.48</v>
      </c>
      <c r="K57" s="100">
        <v>62.05</v>
      </c>
      <c r="L57" s="100">
        <v>28.78</v>
      </c>
      <c r="M57" s="100">
        <v>28.89</v>
      </c>
      <c r="N57" s="100">
        <v>515</v>
      </c>
      <c r="O57" s="100">
        <v>0</v>
      </c>
      <c r="P57" s="100">
        <v>0.75</v>
      </c>
      <c r="Q57" s="100">
        <v>9.32</v>
      </c>
      <c r="R57" s="6"/>
      <c r="S57" s="6"/>
      <c r="T57" s="156"/>
      <c r="U57" s="6"/>
    </row>
    <row r="58" spans="1:21" customFormat="1">
      <c r="A58" s="163" t="s">
        <v>1544</v>
      </c>
      <c r="B58" s="100">
        <v>6.15</v>
      </c>
      <c r="C58" s="100">
        <v>25.14</v>
      </c>
      <c r="D58" s="100">
        <v>18.07</v>
      </c>
      <c r="E58" s="100">
        <v>6.05</v>
      </c>
      <c r="F58" s="100">
        <v>2.69</v>
      </c>
      <c r="G58" s="100">
        <v>88.28</v>
      </c>
      <c r="H58" s="100">
        <v>47.35</v>
      </c>
      <c r="I58" s="100">
        <v>12.94</v>
      </c>
      <c r="J58" s="100">
        <v>0.33</v>
      </c>
      <c r="K58" s="100">
        <v>85.84</v>
      </c>
      <c r="L58" s="100">
        <v>29.04</v>
      </c>
      <c r="M58" s="100">
        <v>28.93</v>
      </c>
      <c r="N58" s="100">
        <v>494.4</v>
      </c>
      <c r="O58" s="100">
        <v>0</v>
      </c>
      <c r="P58" s="100">
        <v>0.73</v>
      </c>
      <c r="Q58" s="100">
        <v>9.32</v>
      </c>
      <c r="R58" s="6"/>
      <c r="S58" s="6"/>
      <c r="T58" s="156"/>
      <c r="U58" s="6"/>
    </row>
    <row r="59" spans="1:21" customFormat="1">
      <c r="A59" s="163" t="s">
        <v>1545</v>
      </c>
      <c r="B59" s="100">
        <v>4.95</v>
      </c>
      <c r="C59" s="100">
        <v>24.53</v>
      </c>
      <c r="D59" s="100">
        <v>16.78</v>
      </c>
      <c r="E59" s="100">
        <v>6.22</v>
      </c>
      <c r="F59" s="100">
        <v>3.25</v>
      </c>
      <c r="G59" s="100">
        <v>88.28</v>
      </c>
      <c r="H59" s="100">
        <v>47.35</v>
      </c>
      <c r="I59" s="100">
        <v>14.07</v>
      </c>
      <c r="J59" s="100">
        <v>0.36</v>
      </c>
      <c r="K59" s="100">
        <v>89.66</v>
      </c>
      <c r="L59" s="100">
        <v>29.51</v>
      </c>
      <c r="M59" s="100">
        <v>26.9</v>
      </c>
      <c r="N59" s="100">
        <v>506.4</v>
      </c>
      <c r="O59" s="100">
        <v>0</v>
      </c>
      <c r="P59" s="100">
        <v>0.71</v>
      </c>
      <c r="Q59" s="100">
        <v>9.32</v>
      </c>
      <c r="R59" s="6"/>
      <c r="S59" s="6"/>
      <c r="T59" s="156"/>
      <c r="U59" s="6"/>
    </row>
    <row r="60" spans="1:21" customFormat="1">
      <c r="A60" s="163" t="s">
        <v>1546</v>
      </c>
      <c r="B60" s="100">
        <v>4.12</v>
      </c>
      <c r="C60" s="100">
        <v>23.73</v>
      </c>
      <c r="D60" s="100">
        <v>15.7</v>
      </c>
      <c r="E60" s="100">
        <v>6.32</v>
      </c>
      <c r="F60" s="100">
        <v>3.68</v>
      </c>
      <c r="G60" s="100">
        <v>88.28</v>
      </c>
      <c r="H60" s="100">
        <v>47.35</v>
      </c>
      <c r="I60" s="100">
        <v>15.31</v>
      </c>
      <c r="J60" s="100">
        <v>0.53</v>
      </c>
      <c r="K60" s="100">
        <v>13.61</v>
      </c>
      <c r="L60" s="100">
        <v>29.46</v>
      </c>
      <c r="M60" s="100">
        <v>25.99</v>
      </c>
      <c r="N60" s="100">
        <v>481.4</v>
      </c>
      <c r="O60" s="100">
        <v>0</v>
      </c>
      <c r="P60" s="100">
        <v>0.69</v>
      </c>
      <c r="Q60" s="100">
        <v>9.32</v>
      </c>
      <c r="R60" s="6"/>
      <c r="S60" s="6"/>
      <c r="T60" s="156"/>
      <c r="U60" s="6"/>
    </row>
    <row r="61" spans="1:21" customFormat="1">
      <c r="A61" s="163" t="s">
        <v>1547</v>
      </c>
      <c r="B61" s="100">
        <v>3.65</v>
      </c>
      <c r="C61" s="100">
        <v>22.77</v>
      </c>
      <c r="D61" s="100">
        <v>14.82</v>
      </c>
      <c r="E61" s="100">
        <v>6.17</v>
      </c>
      <c r="F61" s="100">
        <v>5.36</v>
      </c>
      <c r="G61" s="100">
        <v>77.25</v>
      </c>
      <c r="H61" s="100">
        <v>41.4</v>
      </c>
      <c r="I61" s="100">
        <v>14.97</v>
      </c>
      <c r="J61" s="100">
        <v>0.24</v>
      </c>
      <c r="K61" s="100">
        <v>102.79</v>
      </c>
      <c r="L61" s="100">
        <v>29.72</v>
      </c>
      <c r="M61" s="100">
        <v>26.81</v>
      </c>
      <c r="N61" s="100">
        <v>385.7</v>
      </c>
      <c r="O61" s="100">
        <v>0</v>
      </c>
      <c r="P61" s="100">
        <v>0.67</v>
      </c>
      <c r="Q61" s="100">
        <v>9.32</v>
      </c>
      <c r="R61" s="6"/>
      <c r="S61" s="6"/>
      <c r="T61" s="156"/>
      <c r="U61" s="6"/>
    </row>
    <row r="62" spans="1:21" customFormat="1">
      <c r="A62" s="163" t="s">
        <v>1548</v>
      </c>
      <c r="B62" s="100">
        <v>3.35</v>
      </c>
      <c r="C62" s="100">
        <v>21.68</v>
      </c>
      <c r="D62" s="100">
        <v>14.01</v>
      </c>
      <c r="E62" s="100">
        <v>6.38</v>
      </c>
      <c r="F62" s="100">
        <v>4.9000000000000004</v>
      </c>
      <c r="G62" s="100">
        <v>76.599999999999994</v>
      </c>
      <c r="H62" s="100">
        <v>41.4</v>
      </c>
      <c r="I62" s="100">
        <v>14.6</v>
      </c>
      <c r="J62" s="100">
        <v>0.24</v>
      </c>
      <c r="K62" s="100">
        <v>50.48</v>
      </c>
      <c r="L62" s="100">
        <v>29.34</v>
      </c>
      <c r="M62" s="100">
        <v>27.06</v>
      </c>
      <c r="N62" s="100">
        <v>168.8</v>
      </c>
      <c r="O62" s="100">
        <v>0</v>
      </c>
      <c r="P62" s="100">
        <v>0.65</v>
      </c>
      <c r="Q62" s="100">
        <v>9.32</v>
      </c>
      <c r="R62" s="6"/>
      <c r="S62" s="6"/>
      <c r="T62" s="156"/>
      <c r="U62" s="6"/>
    </row>
    <row r="63" spans="1:21" customFormat="1">
      <c r="A63" s="163" t="s">
        <v>1549</v>
      </c>
      <c r="B63" s="100">
        <v>3.18</v>
      </c>
      <c r="C63" s="100">
        <v>20.8</v>
      </c>
      <c r="D63" s="100">
        <v>13.42</v>
      </c>
      <c r="E63" s="100">
        <v>6.13</v>
      </c>
      <c r="F63" s="100">
        <v>5.21</v>
      </c>
      <c r="G63" s="100">
        <v>76.599999999999994</v>
      </c>
      <c r="H63" s="100">
        <v>41.4</v>
      </c>
      <c r="I63" s="100">
        <v>14.29</v>
      </c>
      <c r="J63" s="100">
        <v>0.64</v>
      </c>
      <c r="K63" s="100">
        <v>20.84</v>
      </c>
      <c r="L63" s="100">
        <v>29.18</v>
      </c>
      <c r="M63" s="100">
        <v>25.98</v>
      </c>
      <c r="N63" s="100">
        <v>153.69999999999999</v>
      </c>
      <c r="O63" s="100">
        <v>0</v>
      </c>
      <c r="P63" s="100">
        <v>0.64</v>
      </c>
      <c r="Q63" s="100">
        <v>9.32</v>
      </c>
      <c r="R63" s="6"/>
      <c r="S63" s="6"/>
      <c r="T63" s="156"/>
      <c r="U63" s="6"/>
    </row>
    <row r="64" spans="1:21" customFormat="1">
      <c r="A64" s="163" t="s">
        <v>1550</v>
      </c>
      <c r="B64" s="100">
        <v>3.14</v>
      </c>
      <c r="C64" s="100">
        <v>20.02</v>
      </c>
      <c r="D64" s="100">
        <v>12.98</v>
      </c>
      <c r="E64" s="100">
        <v>6.44</v>
      </c>
      <c r="F64" s="100">
        <v>6.04</v>
      </c>
      <c r="G64" s="100">
        <v>76.599999999999994</v>
      </c>
      <c r="H64" s="100">
        <v>41.4</v>
      </c>
      <c r="I64" s="100">
        <v>13.97</v>
      </c>
      <c r="J64" s="100">
        <v>0.6</v>
      </c>
      <c r="K64" s="100">
        <v>68.5</v>
      </c>
      <c r="L64" s="100">
        <v>28.89</v>
      </c>
      <c r="M64" s="100">
        <v>25.75</v>
      </c>
      <c r="N64" s="100">
        <v>120.3</v>
      </c>
      <c r="O64" s="100">
        <v>0</v>
      </c>
      <c r="P64" s="100">
        <v>0.61</v>
      </c>
      <c r="Q64" s="100">
        <v>9.32</v>
      </c>
      <c r="R64" s="6"/>
      <c r="S64" s="6"/>
      <c r="T64" s="156"/>
      <c r="U64" s="6"/>
    </row>
    <row r="65" spans="1:21" customFormat="1">
      <c r="A65" s="163" t="s">
        <v>1551</v>
      </c>
      <c r="B65" s="100">
        <v>3.1</v>
      </c>
      <c r="C65" s="100">
        <v>19.239999999999998</v>
      </c>
      <c r="D65" s="100">
        <v>12.54</v>
      </c>
      <c r="E65" s="100">
        <v>6.08</v>
      </c>
      <c r="F65" s="100">
        <v>5.51</v>
      </c>
      <c r="G65" s="100">
        <v>65.739999999999995</v>
      </c>
      <c r="H65" s="100">
        <v>34.85</v>
      </c>
      <c r="I65" s="100">
        <v>13.74</v>
      </c>
      <c r="J65" s="100">
        <v>0.28000000000000003</v>
      </c>
      <c r="K65" s="100">
        <v>323.63</v>
      </c>
      <c r="L65" s="100">
        <v>28.95</v>
      </c>
      <c r="M65" s="100">
        <v>25.78</v>
      </c>
      <c r="N65" s="100">
        <v>110.8</v>
      </c>
      <c r="O65" s="100">
        <v>0</v>
      </c>
      <c r="P65" s="100">
        <v>0.64</v>
      </c>
      <c r="Q65" s="100">
        <v>9.32</v>
      </c>
      <c r="R65" s="6"/>
      <c r="S65" s="6"/>
      <c r="T65" s="156"/>
      <c r="U65" s="6"/>
    </row>
    <row r="66" spans="1:21" customFormat="1">
      <c r="A66" s="163" t="s">
        <v>1552</v>
      </c>
      <c r="B66" s="100">
        <v>3.05</v>
      </c>
      <c r="C66" s="100">
        <v>18.600000000000001</v>
      </c>
      <c r="D66" s="100">
        <v>12.16</v>
      </c>
      <c r="E66" s="100">
        <v>6</v>
      </c>
      <c r="F66" s="100">
        <v>5.22</v>
      </c>
      <c r="G66" s="100">
        <v>65.099999999999994</v>
      </c>
      <c r="H66" s="100">
        <v>34.85</v>
      </c>
      <c r="I66" s="100">
        <v>13.43</v>
      </c>
      <c r="J66" s="100">
        <v>0.28999999999999998</v>
      </c>
      <c r="K66" s="100">
        <v>215.98</v>
      </c>
      <c r="L66" s="100">
        <v>28.95</v>
      </c>
      <c r="M66" s="100">
        <v>27.86</v>
      </c>
      <c r="N66" s="100">
        <v>115.6</v>
      </c>
      <c r="O66" s="100">
        <v>0</v>
      </c>
      <c r="P66" s="100">
        <v>0.67</v>
      </c>
      <c r="Q66" s="100">
        <v>9.32</v>
      </c>
      <c r="R66" s="6"/>
      <c r="S66" s="6"/>
      <c r="T66" s="156"/>
      <c r="U66" s="6"/>
    </row>
    <row r="67" spans="1:21" customFormat="1">
      <c r="A67" s="163" t="s">
        <v>1553</v>
      </c>
      <c r="B67" s="100">
        <v>3.01</v>
      </c>
      <c r="C67" s="100">
        <v>17.77</v>
      </c>
      <c r="D67" s="100">
        <v>11.7</v>
      </c>
      <c r="E67" s="100">
        <v>6.28</v>
      </c>
      <c r="F67" s="100">
        <v>5.64</v>
      </c>
      <c r="G67" s="100">
        <v>65.099999999999994</v>
      </c>
      <c r="H67" s="100">
        <v>34.85</v>
      </c>
      <c r="I67" s="100">
        <v>12.95</v>
      </c>
      <c r="J67" s="100">
        <v>0.31</v>
      </c>
      <c r="K67" s="100">
        <v>182.89</v>
      </c>
      <c r="L67" s="100">
        <v>29</v>
      </c>
      <c r="M67" s="100">
        <v>28.29</v>
      </c>
      <c r="N67" s="100">
        <v>104.9</v>
      </c>
      <c r="O67" s="100">
        <v>0</v>
      </c>
      <c r="P67" s="100">
        <v>0.65</v>
      </c>
      <c r="Q67" s="100">
        <v>9.32</v>
      </c>
      <c r="R67" s="6"/>
      <c r="S67" s="6"/>
      <c r="T67" s="156"/>
      <c r="U67" s="6"/>
    </row>
    <row r="68" spans="1:21" customFormat="1">
      <c r="A68" s="163" t="s">
        <v>1554</v>
      </c>
      <c r="B68" s="100">
        <v>3</v>
      </c>
      <c r="C68" s="100">
        <v>17.100000000000001</v>
      </c>
      <c r="D68" s="100">
        <v>11.34</v>
      </c>
      <c r="E68" s="100">
        <v>6.48</v>
      </c>
      <c r="F68" s="100">
        <v>7.71</v>
      </c>
      <c r="G68" s="100">
        <v>65.099999999999994</v>
      </c>
      <c r="H68" s="100">
        <v>34.85</v>
      </c>
      <c r="I68" s="100">
        <v>12.65</v>
      </c>
      <c r="J68" s="100">
        <v>0.12</v>
      </c>
      <c r="K68" s="100">
        <v>172.06</v>
      </c>
      <c r="L68" s="100">
        <v>28.71</v>
      </c>
      <c r="M68" s="100">
        <v>28.25</v>
      </c>
      <c r="N68" s="100">
        <v>90.3</v>
      </c>
      <c r="O68" s="100">
        <v>0</v>
      </c>
      <c r="P68" s="100">
        <v>0.64</v>
      </c>
      <c r="Q68" s="100">
        <v>9.32</v>
      </c>
      <c r="R68" s="6"/>
      <c r="S68" s="6"/>
      <c r="T68" s="156"/>
      <c r="U68" s="6"/>
    </row>
    <row r="69" spans="1:21" customFormat="1">
      <c r="A69" s="163" t="s">
        <v>1555</v>
      </c>
      <c r="B69" s="100">
        <v>3.11</v>
      </c>
      <c r="C69" s="100">
        <v>16.71</v>
      </c>
      <c r="D69" s="100">
        <v>11.23</v>
      </c>
      <c r="E69" s="100">
        <v>6.47</v>
      </c>
      <c r="F69" s="100">
        <v>4.5999999999999996</v>
      </c>
      <c r="G69" s="100">
        <v>52.09</v>
      </c>
      <c r="H69" s="100">
        <v>31.97</v>
      </c>
      <c r="I69" s="100">
        <v>12.38</v>
      </c>
      <c r="J69" s="100">
        <v>0.12</v>
      </c>
      <c r="K69" s="100">
        <v>79.81</v>
      </c>
      <c r="L69" s="100">
        <v>28.79</v>
      </c>
      <c r="M69" s="100">
        <v>27.69</v>
      </c>
      <c r="N69" s="100">
        <v>82.9</v>
      </c>
      <c r="O69" s="100">
        <v>0</v>
      </c>
      <c r="P69" s="100">
        <v>0.65</v>
      </c>
      <c r="Q69" s="100">
        <v>9.32</v>
      </c>
      <c r="R69" s="6"/>
      <c r="S69" s="6"/>
      <c r="T69" s="156"/>
      <c r="U69" s="6"/>
    </row>
    <row r="70" spans="1:21" customFormat="1">
      <c r="A70" s="163" t="s">
        <v>1556</v>
      </c>
      <c r="B70" s="100">
        <v>3.29</v>
      </c>
      <c r="C70" s="100">
        <v>16.809999999999999</v>
      </c>
      <c r="D70" s="100">
        <v>11.42</v>
      </c>
      <c r="E70" s="100">
        <v>6.59</v>
      </c>
      <c r="F70" s="100">
        <v>4.87</v>
      </c>
      <c r="G70" s="100">
        <v>51.33</v>
      </c>
      <c r="H70" s="100">
        <v>31.97</v>
      </c>
      <c r="I70" s="100">
        <v>12.04</v>
      </c>
      <c r="J70" s="100">
        <v>0.3</v>
      </c>
      <c r="K70" s="100">
        <v>60.9</v>
      </c>
      <c r="L70" s="100">
        <v>28.86</v>
      </c>
      <c r="M70" s="100">
        <v>27.92</v>
      </c>
      <c r="N70" s="100">
        <v>75.599999999999994</v>
      </c>
      <c r="O70" s="100">
        <v>0</v>
      </c>
      <c r="P70" s="100">
        <v>0.64</v>
      </c>
      <c r="Q70" s="100">
        <v>9.32</v>
      </c>
      <c r="R70" s="6"/>
      <c r="S70" s="6"/>
      <c r="T70" s="156"/>
      <c r="U70" s="6"/>
    </row>
    <row r="71" spans="1:21" customFormat="1">
      <c r="A71" s="163" t="s">
        <v>1557</v>
      </c>
      <c r="B71" s="100">
        <v>3.4</v>
      </c>
      <c r="C71" s="100">
        <v>16.62</v>
      </c>
      <c r="D71" s="100">
        <v>11.41</v>
      </c>
      <c r="E71" s="100">
        <v>6.38</v>
      </c>
      <c r="F71" s="100">
        <v>4.9800000000000004</v>
      </c>
      <c r="G71" s="100">
        <v>51.33</v>
      </c>
      <c r="H71" s="100">
        <v>31.97</v>
      </c>
      <c r="I71" s="100">
        <v>11.81</v>
      </c>
      <c r="J71" s="100">
        <v>0.25</v>
      </c>
      <c r="K71" s="100">
        <v>8.6</v>
      </c>
      <c r="L71" s="100">
        <v>28.67</v>
      </c>
      <c r="M71" s="100">
        <v>26.77</v>
      </c>
      <c r="N71" s="100">
        <v>64.900000000000006</v>
      </c>
      <c r="O71" s="100">
        <v>0</v>
      </c>
      <c r="P71" s="100">
        <v>0.64</v>
      </c>
      <c r="Q71" s="100">
        <v>9.32</v>
      </c>
      <c r="R71" s="6"/>
      <c r="S71" s="6"/>
      <c r="T71" s="156"/>
      <c r="U71" s="6"/>
    </row>
    <row r="72" spans="1:21" customFormat="1">
      <c r="A72" s="163" t="s">
        <v>1558</v>
      </c>
      <c r="B72" s="100">
        <v>3.47</v>
      </c>
      <c r="C72" s="100">
        <v>17.13</v>
      </c>
      <c r="D72" s="100">
        <v>11.73</v>
      </c>
      <c r="E72" s="100">
        <v>8.93</v>
      </c>
      <c r="F72" s="100">
        <v>6.34</v>
      </c>
      <c r="G72" s="100">
        <v>51.33</v>
      </c>
      <c r="H72" s="100">
        <v>31.97</v>
      </c>
      <c r="I72" s="100">
        <v>11.74</v>
      </c>
      <c r="J72" s="100">
        <v>0.57999999999999996</v>
      </c>
      <c r="K72" s="100">
        <v>39.020000000000003</v>
      </c>
      <c r="L72" s="100">
        <v>28.63</v>
      </c>
      <c r="M72" s="100">
        <v>26.63</v>
      </c>
      <c r="N72" s="100">
        <v>56.8</v>
      </c>
      <c r="O72" s="100">
        <v>0</v>
      </c>
      <c r="P72" s="100">
        <v>0.63</v>
      </c>
      <c r="Q72" s="100">
        <v>9.32</v>
      </c>
      <c r="R72" s="6"/>
      <c r="S72" s="6"/>
      <c r="T72" s="156"/>
      <c r="U72" s="6"/>
    </row>
    <row r="73" spans="1:21" customFormat="1">
      <c r="A73" s="163" t="s">
        <v>1559</v>
      </c>
      <c r="B73" s="100">
        <v>3.69</v>
      </c>
      <c r="C73" s="100">
        <v>17.96</v>
      </c>
      <c r="D73" s="100">
        <v>12.34</v>
      </c>
      <c r="E73" s="100">
        <v>8.36</v>
      </c>
      <c r="F73" s="100">
        <v>5.39</v>
      </c>
      <c r="G73" s="100">
        <v>55.04</v>
      </c>
      <c r="H73" s="100">
        <v>32.96</v>
      </c>
      <c r="I73" s="100">
        <v>11.71</v>
      </c>
      <c r="J73" s="100">
        <v>0.63</v>
      </c>
      <c r="K73" s="100">
        <v>36.520000000000003</v>
      </c>
      <c r="L73" s="100">
        <v>28.48</v>
      </c>
      <c r="M73" s="100">
        <v>27.4</v>
      </c>
      <c r="N73" s="100">
        <v>48.8</v>
      </c>
      <c r="O73" s="100">
        <v>0</v>
      </c>
      <c r="P73" s="100">
        <v>0.64</v>
      </c>
      <c r="Q73" s="100">
        <v>9.32</v>
      </c>
      <c r="R73" s="6"/>
      <c r="S73" s="6"/>
      <c r="T73" s="156"/>
      <c r="U73" s="6"/>
    </row>
    <row r="74" spans="1:21" customFormat="1">
      <c r="A74" s="163" t="s">
        <v>1560</v>
      </c>
      <c r="B74" s="100">
        <v>3.79</v>
      </c>
      <c r="C74" s="100">
        <v>18.059999999999999</v>
      </c>
      <c r="D74" s="100">
        <v>12.47</v>
      </c>
      <c r="E74" s="100">
        <v>6.99</v>
      </c>
      <c r="F74" s="100">
        <v>4.47</v>
      </c>
      <c r="G74" s="100">
        <v>55.26</v>
      </c>
      <c r="H74" s="100">
        <v>32.96</v>
      </c>
      <c r="I74" s="100">
        <v>11.78</v>
      </c>
      <c r="J74" s="100">
        <v>0.44</v>
      </c>
      <c r="K74" s="100">
        <v>50.37</v>
      </c>
      <c r="L74" s="100">
        <v>28.14</v>
      </c>
      <c r="M74" s="100">
        <v>28.93</v>
      </c>
      <c r="N74" s="100">
        <v>42</v>
      </c>
      <c r="O74" s="100">
        <v>0</v>
      </c>
      <c r="P74" s="100">
        <v>0.64</v>
      </c>
      <c r="Q74" s="100">
        <v>9.32</v>
      </c>
      <c r="R74" s="6"/>
      <c r="S74" s="6"/>
      <c r="T74" s="156"/>
      <c r="U74" s="6"/>
    </row>
    <row r="75" spans="1:21" customFormat="1">
      <c r="A75" s="163" t="s">
        <v>1561</v>
      </c>
      <c r="B75" s="100">
        <v>4.2300000000000004</v>
      </c>
      <c r="C75" s="100">
        <v>19.690000000000001</v>
      </c>
      <c r="D75" s="100">
        <v>13.68</v>
      </c>
      <c r="E75" s="100">
        <v>6.81</v>
      </c>
      <c r="F75" s="100">
        <v>3.55</v>
      </c>
      <c r="G75" s="100">
        <v>55.26</v>
      </c>
      <c r="H75" s="100">
        <v>32.96</v>
      </c>
      <c r="I75" s="100">
        <v>11.86</v>
      </c>
      <c r="J75" s="100">
        <v>0.39</v>
      </c>
      <c r="K75" s="100">
        <v>33.94</v>
      </c>
      <c r="L75" s="100">
        <v>27.7</v>
      </c>
      <c r="M75" s="100">
        <v>30.37</v>
      </c>
      <c r="N75" s="100">
        <v>31.7</v>
      </c>
      <c r="O75" s="100">
        <v>0</v>
      </c>
      <c r="P75" s="100">
        <v>0.65</v>
      </c>
      <c r="Q75" s="100">
        <v>9.32</v>
      </c>
      <c r="R75" s="6"/>
      <c r="S75" s="6"/>
      <c r="T75" s="156"/>
      <c r="U75" s="6"/>
    </row>
    <row r="76" spans="1:21" customFormat="1">
      <c r="A76" s="163" t="s">
        <v>1562</v>
      </c>
      <c r="B76" s="100">
        <v>4.18</v>
      </c>
      <c r="C76" s="100">
        <v>18.86</v>
      </c>
      <c r="D76" s="100">
        <v>13.21</v>
      </c>
      <c r="E76" s="100">
        <v>6.99</v>
      </c>
      <c r="F76" s="100">
        <v>3.01</v>
      </c>
      <c r="G76" s="100">
        <v>55.26</v>
      </c>
      <c r="H76" s="100">
        <v>32.96</v>
      </c>
      <c r="I76" s="100">
        <v>11.92</v>
      </c>
      <c r="J76" s="100">
        <v>0.2</v>
      </c>
      <c r="K76" s="100">
        <v>35.24</v>
      </c>
      <c r="L76" s="100">
        <v>27.01</v>
      </c>
      <c r="M76" s="100">
        <v>33.869999999999997</v>
      </c>
      <c r="N76" s="100">
        <v>23.3</v>
      </c>
      <c r="O76" s="100">
        <v>0</v>
      </c>
      <c r="P76" s="100">
        <v>0.65</v>
      </c>
      <c r="Q76" s="100">
        <v>9.32</v>
      </c>
      <c r="R76" s="6"/>
      <c r="S76" s="6"/>
      <c r="T76" s="156"/>
      <c r="U76" s="6"/>
    </row>
    <row r="77" spans="1:21" customFormat="1">
      <c r="A77" s="163" t="s">
        <v>1563</v>
      </c>
      <c r="B77" s="100">
        <v>4.28</v>
      </c>
      <c r="C77" s="100">
        <v>18.399999999999999</v>
      </c>
      <c r="D77" s="100">
        <v>13.05</v>
      </c>
      <c r="E77" s="100">
        <v>6.35</v>
      </c>
      <c r="F77" s="100">
        <v>2.1800000000000002</v>
      </c>
      <c r="G77" s="100">
        <v>62.28</v>
      </c>
      <c r="H77" s="100">
        <v>34.700000000000003</v>
      </c>
      <c r="I77" s="100">
        <v>12.1</v>
      </c>
      <c r="J77" s="100">
        <v>0.06</v>
      </c>
      <c r="K77" s="100">
        <v>88.92</v>
      </c>
      <c r="L77" s="100">
        <v>25.86</v>
      </c>
      <c r="M77" s="100">
        <v>38.729999999999997</v>
      </c>
      <c r="N77" s="100">
        <v>16</v>
      </c>
      <c r="O77" s="100">
        <v>0</v>
      </c>
      <c r="P77" s="100">
        <v>0.65</v>
      </c>
      <c r="Q77" s="100">
        <v>9.32</v>
      </c>
      <c r="R77" s="6"/>
      <c r="S77" s="6"/>
      <c r="T77" s="156"/>
      <c r="U77" s="6"/>
    </row>
    <row r="78" spans="1:21" customFormat="1">
      <c r="A78" s="163" t="s">
        <v>1564</v>
      </c>
      <c r="B78" s="100">
        <v>4.43</v>
      </c>
      <c r="C78" s="100">
        <v>18.59</v>
      </c>
      <c r="D78" s="100">
        <v>13.26</v>
      </c>
      <c r="E78" s="100">
        <v>5.91</v>
      </c>
      <c r="F78" s="100">
        <v>1.61</v>
      </c>
      <c r="G78" s="100">
        <v>62.7</v>
      </c>
      <c r="H78" s="100">
        <v>34.700000000000003</v>
      </c>
      <c r="I78" s="100">
        <v>12.29</v>
      </c>
      <c r="J78" s="100">
        <v>0.26</v>
      </c>
      <c r="K78" s="100">
        <v>158.68</v>
      </c>
      <c r="L78" s="100">
        <v>24.72</v>
      </c>
      <c r="M78" s="100">
        <v>44.17</v>
      </c>
      <c r="N78" s="100">
        <v>12</v>
      </c>
      <c r="O78" s="100">
        <v>0</v>
      </c>
      <c r="P78" s="100">
        <v>0.66</v>
      </c>
      <c r="Q78" s="100">
        <v>9.32</v>
      </c>
      <c r="R78" s="6"/>
      <c r="S78" s="6"/>
      <c r="T78" s="156"/>
      <c r="U78" s="6"/>
    </row>
    <row r="79" spans="1:21" customFormat="1">
      <c r="A79" s="163" t="s">
        <v>1565</v>
      </c>
      <c r="B79" s="100">
        <v>4.58</v>
      </c>
      <c r="C79" s="100">
        <v>18.84</v>
      </c>
      <c r="D79" s="100">
        <v>13.52</v>
      </c>
      <c r="E79" s="100">
        <v>6.2</v>
      </c>
      <c r="F79" s="100">
        <v>1.66</v>
      </c>
      <c r="G79" s="100">
        <v>62.7</v>
      </c>
      <c r="H79" s="100">
        <v>34.700000000000003</v>
      </c>
      <c r="I79" s="100">
        <v>12.56</v>
      </c>
      <c r="J79" s="100">
        <v>0.16</v>
      </c>
      <c r="K79" s="100">
        <v>143.24</v>
      </c>
      <c r="L79" s="100">
        <v>23.98</v>
      </c>
      <c r="M79" s="100">
        <v>46.83</v>
      </c>
      <c r="N79" s="100">
        <v>10.3</v>
      </c>
      <c r="O79" s="100">
        <v>0</v>
      </c>
      <c r="P79" s="100">
        <v>0.68</v>
      </c>
      <c r="Q79" s="100">
        <v>9.32</v>
      </c>
      <c r="R79" s="6"/>
      <c r="S79" s="6"/>
      <c r="T79" s="156"/>
      <c r="U79" s="6"/>
    </row>
    <row r="80" spans="1:21" customFormat="1">
      <c r="A80" s="163" t="s">
        <v>1566</v>
      </c>
      <c r="B80" s="100">
        <v>4.71</v>
      </c>
      <c r="C80" s="100">
        <v>19.13</v>
      </c>
      <c r="D80" s="100">
        <v>13.78</v>
      </c>
      <c r="E80" s="100">
        <v>5.96</v>
      </c>
      <c r="F80" s="100">
        <v>1.69</v>
      </c>
      <c r="G80" s="100">
        <v>62.7</v>
      </c>
      <c r="H80" s="100">
        <v>34.700000000000003</v>
      </c>
      <c r="I80" s="100">
        <v>13.09</v>
      </c>
      <c r="J80" s="100">
        <v>0.2</v>
      </c>
      <c r="K80" s="100">
        <v>152.59</v>
      </c>
      <c r="L80" s="100">
        <v>23.53</v>
      </c>
      <c r="M80" s="100">
        <v>48.83</v>
      </c>
      <c r="N80" s="100">
        <v>10.1</v>
      </c>
      <c r="O80" s="100">
        <v>0</v>
      </c>
      <c r="P80" s="100">
        <v>0.68</v>
      </c>
      <c r="Q80" s="100">
        <v>9.32</v>
      </c>
      <c r="R80" s="6"/>
      <c r="S80" s="6"/>
      <c r="T80" s="156"/>
      <c r="U80" s="6"/>
    </row>
    <row r="81" spans="1:21" customFormat="1">
      <c r="A81" s="163" t="s">
        <v>1567</v>
      </c>
      <c r="B81" s="100">
        <v>4.93</v>
      </c>
      <c r="C81" s="100">
        <v>19.46</v>
      </c>
      <c r="D81" s="100">
        <v>14.12</v>
      </c>
      <c r="E81" s="100">
        <v>4</v>
      </c>
      <c r="F81" s="100">
        <v>1.47</v>
      </c>
      <c r="G81" s="100">
        <v>78.069999999999993</v>
      </c>
      <c r="H81" s="100">
        <v>39.799999999999997</v>
      </c>
      <c r="I81" s="100">
        <v>13.45</v>
      </c>
      <c r="J81" s="100">
        <v>0.2</v>
      </c>
      <c r="K81" s="100">
        <v>137.32</v>
      </c>
      <c r="L81" s="100">
        <v>23.2</v>
      </c>
      <c r="M81" s="100">
        <v>50.26</v>
      </c>
      <c r="N81" s="100">
        <v>9.9</v>
      </c>
      <c r="O81" s="100">
        <v>0</v>
      </c>
      <c r="P81" s="100">
        <v>0.69</v>
      </c>
      <c r="Q81" s="100">
        <v>9.32</v>
      </c>
      <c r="R81" s="6"/>
      <c r="S81" s="6"/>
      <c r="T81" s="156"/>
      <c r="U81" s="6"/>
    </row>
    <row r="82" spans="1:21" customFormat="1">
      <c r="A82" s="163" t="s">
        <v>1568</v>
      </c>
      <c r="B82" s="100">
        <v>5.19</v>
      </c>
      <c r="C82" s="100">
        <v>19.690000000000001</v>
      </c>
      <c r="D82" s="100">
        <v>14.45</v>
      </c>
      <c r="E82" s="100">
        <v>5.24</v>
      </c>
      <c r="F82" s="100">
        <v>1.25</v>
      </c>
      <c r="G82" s="100">
        <v>78.97</v>
      </c>
      <c r="H82" s="100">
        <v>39.799999999999997</v>
      </c>
      <c r="I82" s="100">
        <v>13.55</v>
      </c>
      <c r="J82" s="100">
        <v>0.23</v>
      </c>
      <c r="K82" s="100">
        <v>154.11000000000001</v>
      </c>
      <c r="L82" s="100">
        <v>22.82</v>
      </c>
      <c r="M82" s="100">
        <v>52.36</v>
      </c>
      <c r="N82" s="100">
        <v>10</v>
      </c>
      <c r="O82" s="100">
        <v>0</v>
      </c>
      <c r="P82" s="100">
        <v>0.71</v>
      </c>
      <c r="Q82" s="100">
        <v>9.32</v>
      </c>
      <c r="R82" s="6"/>
      <c r="S82" s="6"/>
      <c r="T82" s="156"/>
      <c r="U82" s="6"/>
    </row>
    <row r="83" spans="1:21" customFormat="1">
      <c r="A83" s="163" t="s">
        <v>1569</v>
      </c>
      <c r="B83" s="100">
        <v>5.34</v>
      </c>
      <c r="C83" s="100">
        <v>20.149999999999999</v>
      </c>
      <c r="D83" s="100">
        <v>14.81</v>
      </c>
      <c r="E83" s="100">
        <v>4.93</v>
      </c>
      <c r="F83" s="100">
        <v>1.52</v>
      </c>
      <c r="G83" s="100">
        <v>78.97</v>
      </c>
      <c r="H83" s="100">
        <v>39.799999999999997</v>
      </c>
      <c r="I83" s="100">
        <v>13.74</v>
      </c>
      <c r="J83" s="100">
        <v>0.28000000000000003</v>
      </c>
      <c r="K83" s="100">
        <v>163.02000000000001</v>
      </c>
      <c r="L83" s="100">
        <v>22.32</v>
      </c>
      <c r="M83" s="100">
        <v>55.43</v>
      </c>
      <c r="N83" s="100">
        <v>10</v>
      </c>
      <c r="O83" s="100">
        <v>0</v>
      </c>
      <c r="P83" s="100">
        <v>0.73</v>
      </c>
      <c r="Q83" s="100">
        <v>9.32</v>
      </c>
      <c r="R83" s="6"/>
      <c r="S83" s="6"/>
      <c r="T83" s="156"/>
      <c r="U83" s="6"/>
    </row>
    <row r="84" spans="1:21" customFormat="1">
      <c r="A84" s="163" t="s">
        <v>1570</v>
      </c>
      <c r="B84" s="100">
        <v>5.54</v>
      </c>
      <c r="C84" s="100">
        <v>20.440000000000001</v>
      </c>
      <c r="D84" s="100">
        <v>15.12</v>
      </c>
      <c r="E84" s="100">
        <v>4.96</v>
      </c>
      <c r="F84" s="100">
        <v>1.42</v>
      </c>
      <c r="G84" s="100">
        <v>78.97</v>
      </c>
      <c r="H84" s="100">
        <v>39.799999999999997</v>
      </c>
      <c r="I84" s="100">
        <v>13.93</v>
      </c>
      <c r="J84" s="100">
        <v>0.25</v>
      </c>
      <c r="K84" s="100">
        <v>164.85</v>
      </c>
      <c r="L84" s="100">
        <v>21.99</v>
      </c>
      <c r="M84" s="100">
        <v>56.72</v>
      </c>
      <c r="N84" s="100">
        <v>9.8000000000000007</v>
      </c>
      <c r="O84" s="100">
        <v>0</v>
      </c>
      <c r="P84" s="100">
        <v>0.76</v>
      </c>
      <c r="Q84" s="100">
        <v>9.32</v>
      </c>
      <c r="R84" s="6"/>
      <c r="S84" s="6"/>
      <c r="T84" s="156"/>
      <c r="U84" s="6"/>
    </row>
    <row r="85" spans="1:21" customFormat="1">
      <c r="A85" s="163" t="s">
        <v>1571</v>
      </c>
      <c r="B85" s="100">
        <v>5.77</v>
      </c>
      <c r="C85" s="100">
        <v>20.61</v>
      </c>
      <c r="D85" s="100">
        <v>15.39</v>
      </c>
      <c r="E85" s="100">
        <v>5.08</v>
      </c>
      <c r="F85" s="100">
        <v>1.34</v>
      </c>
      <c r="G85" s="100">
        <v>95.87</v>
      </c>
      <c r="H85" s="100">
        <v>45.58</v>
      </c>
      <c r="I85" s="100">
        <v>14.12</v>
      </c>
      <c r="J85" s="100">
        <v>0.23</v>
      </c>
      <c r="K85" s="100">
        <v>169.91</v>
      </c>
      <c r="L85" s="100">
        <v>21.61</v>
      </c>
      <c r="M85" s="100">
        <v>58.52</v>
      </c>
      <c r="N85" s="100">
        <v>9.6999999999999993</v>
      </c>
      <c r="O85" s="100">
        <v>0</v>
      </c>
      <c r="P85" s="100">
        <v>0.78</v>
      </c>
      <c r="Q85" s="100">
        <v>9.32</v>
      </c>
      <c r="R85" s="6"/>
      <c r="S85" s="6"/>
      <c r="T85" s="156"/>
      <c r="U85" s="6"/>
    </row>
    <row r="86" spans="1:21" customFormat="1">
      <c r="A86" s="163" t="s">
        <v>1572</v>
      </c>
      <c r="B86" s="100">
        <v>6.32</v>
      </c>
      <c r="C86" s="100">
        <v>20.93</v>
      </c>
      <c r="D86" s="100">
        <v>16.010000000000002</v>
      </c>
      <c r="E86" s="100">
        <v>4.99</v>
      </c>
      <c r="F86" s="100">
        <v>1.0900000000000001</v>
      </c>
      <c r="G86" s="100">
        <v>96.87</v>
      </c>
      <c r="H86" s="100">
        <v>45.58</v>
      </c>
      <c r="I86" s="100">
        <v>14.36</v>
      </c>
      <c r="J86" s="100">
        <v>0.2</v>
      </c>
      <c r="K86" s="100">
        <v>165.66</v>
      </c>
      <c r="L86" s="100">
        <v>21.56</v>
      </c>
      <c r="M86" s="100">
        <v>57.18</v>
      </c>
      <c r="N86" s="100">
        <v>9.6</v>
      </c>
      <c r="O86" s="100">
        <v>0</v>
      </c>
      <c r="P86" s="100">
        <v>0.8</v>
      </c>
      <c r="Q86" s="100">
        <v>9.32</v>
      </c>
      <c r="R86" s="6"/>
      <c r="S86" s="6"/>
      <c r="T86" s="156"/>
      <c r="U86" s="6"/>
    </row>
    <row r="87" spans="1:21" customFormat="1">
      <c r="A87" s="163" t="s">
        <v>1573</v>
      </c>
      <c r="B87" s="100">
        <v>6.83</v>
      </c>
      <c r="C87" s="100">
        <v>21.5</v>
      </c>
      <c r="D87" s="100">
        <v>16.71</v>
      </c>
      <c r="E87" s="100">
        <v>4.84</v>
      </c>
      <c r="F87" s="100">
        <v>1.25</v>
      </c>
      <c r="G87" s="100">
        <v>96.87</v>
      </c>
      <c r="H87" s="100">
        <v>45.58</v>
      </c>
      <c r="I87" s="100">
        <v>14.65</v>
      </c>
      <c r="J87" s="100">
        <v>0.27</v>
      </c>
      <c r="K87" s="100">
        <v>166.93</v>
      </c>
      <c r="L87" s="100">
        <v>21.19</v>
      </c>
      <c r="M87" s="100">
        <v>63.98</v>
      </c>
      <c r="N87" s="100">
        <v>9.6999999999999993</v>
      </c>
      <c r="O87" s="100">
        <v>0</v>
      </c>
      <c r="P87" s="100">
        <v>0.83</v>
      </c>
      <c r="Q87" s="100">
        <v>9.32</v>
      </c>
      <c r="R87" s="6"/>
      <c r="S87" s="6"/>
      <c r="T87" s="156"/>
      <c r="U87" s="6"/>
    </row>
    <row r="88" spans="1:21" customFormat="1">
      <c r="A88" s="163" t="s">
        <v>1574</v>
      </c>
      <c r="B88" s="100">
        <v>6.91</v>
      </c>
      <c r="C88" s="100">
        <v>21.59</v>
      </c>
      <c r="D88" s="100">
        <v>16.82</v>
      </c>
      <c r="E88" s="100">
        <v>5.12</v>
      </c>
      <c r="F88" s="100">
        <v>1.24</v>
      </c>
      <c r="G88" s="100">
        <v>96.87</v>
      </c>
      <c r="H88" s="100">
        <v>45.58</v>
      </c>
      <c r="I88" s="100">
        <v>15.28</v>
      </c>
      <c r="J88" s="100">
        <v>0.18</v>
      </c>
      <c r="K88" s="100">
        <v>186.91</v>
      </c>
      <c r="L88" s="100">
        <v>20.53</v>
      </c>
      <c r="M88" s="100">
        <v>74.95</v>
      </c>
      <c r="N88" s="100">
        <v>9.9</v>
      </c>
      <c r="O88" s="100">
        <v>0</v>
      </c>
      <c r="P88" s="100">
        <v>0.85</v>
      </c>
      <c r="Q88" s="100">
        <v>9.32</v>
      </c>
      <c r="R88" s="6"/>
      <c r="S88" s="6"/>
      <c r="T88" s="156"/>
      <c r="U88" s="6"/>
    </row>
    <row r="89" spans="1:21" customFormat="1">
      <c r="A89" s="163" t="s">
        <v>1575</v>
      </c>
      <c r="B89" s="100">
        <v>6.78</v>
      </c>
      <c r="C89" s="100">
        <v>21.41</v>
      </c>
      <c r="D89" s="100">
        <v>16.62</v>
      </c>
      <c r="E89" s="100">
        <v>4.82</v>
      </c>
      <c r="F89" s="100">
        <v>1.1100000000000001</v>
      </c>
      <c r="G89" s="100">
        <v>112.32</v>
      </c>
      <c r="H89" s="100">
        <v>56.67</v>
      </c>
      <c r="I89" s="100">
        <v>15.98</v>
      </c>
      <c r="J89" s="100">
        <v>0.18</v>
      </c>
      <c r="K89" s="100">
        <v>191.36</v>
      </c>
      <c r="L89" s="100">
        <v>20.149999999999999</v>
      </c>
      <c r="M89" s="100">
        <v>75.430000000000007</v>
      </c>
      <c r="N89" s="100">
        <v>9.6</v>
      </c>
      <c r="O89" s="100">
        <v>0</v>
      </c>
      <c r="P89" s="100">
        <v>0.88</v>
      </c>
      <c r="Q89" s="100">
        <v>9.32</v>
      </c>
      <c r="R89" s="6"/>
      <c r="S89" s="6"/>
      <c r="T89" s="156"/>
      <c r="U89" s="6"/>
    </row>
    <row r="90" spans="1:21" customFormat="1">
      <c r="A90" s="163" t="s">
        <v>1576</v>
      </c>
      <c r="B90" s="100">
        <v>6.65</v>
      </c>
      <c r="C90" s="100">
        <v>21.19</v>
      </c>
      <c r="D90" s="100">
        <v>16.399999999999999</v>
      </c>
      <c r="E90" s="100">
        <v>4.99</v>
      </c>
      <c r="F90" s="100">
        <v>1.1100000000000001</v>
      </c>
      <c r="G90" s="100">
        <v>113.23</v>
      </c>
      <c r="H90" s="100">
        <v>56.67</v>
      </c>
      <c r="I90" s="100">
        <v>16.37</v>
      </c>
      <c r="J90" s="100">
        <v>0.24</v>
      </c>
      <c r="K90" s="100">
        <v>197.21</v>
      </c>
      <c r="L90" s="100">
        <v>19.93</v>
      </c>
      <c r="M90" s="100">
        <v>76.099999999999994</v>
      </c>
      <c r="N90" s="100">
        <v>9.6</v>
      </c>
      <c r="O90" s="100">
        <v>0</v>
      </c>
      <c r="P90" s="100">
        <v>0.89</v>
      </c>
      <c r="Q90" s="100">
        <v>9.32</v>
      </c>
      <c r="R90" s="6"/>
      <c r="S90" s="6"/>
      <c r="T90" s="156"/>
      <c r="U90" s="6"/>
    </row>
    <row r="91" spans="1:21" customFormat="1">
      <c r="A91" s="163" t="s">
        <v>1577</v>
      </c>
      <c r="B91" s="100">
        <v>6.48</v>
      </c>
      <c r="C91" s="100">
        <v>20.88</v>
      </c>
      <c r="D91" s="100">
        <v>16.100000000000001</v>
      </c>
      <c r="E91" s="100">
        <v>3.47</v>
      </c>
      <c r="F91" s="100">
        <v>1.42</v>
      </c>
      <c r="G91" s="100">
        <v>113.23</v>
      </c>
      <c r="H91" s="100">
        <v>56.67</v>
      </c>
      <c r="I91" s="100">
        <v>16.690000000000001</v>
      </c>
      <c r="J91" s="100">
        <v>0.17</v>
      </c>
      <c r="K91" s="100">
        <v>199.28</v>
      </c>
      <c r="L91" s="100">
        <v>19.559999999999999</v>
      </c>
      <c r="M91" s="100">
        <v>76.2</v>
      </c>
      <c r="N91" s="100">
        <v>9.6999999999999993</v>
      </c>
      <c r="O91" s="100">
        <v>0</v>
      </c>
      <c r="P91" s="100">
        <v>0.9</v>
      </c>
      <c r="Q91" s="100">
        <v>9.32</v>
      </c>
      <c r="R91" s="6"/>
      <c r="S91" s="6"/>
      <c r="T91" s="156"/>
      <c r="U91" s="6"/>
    </row>
    <row r="92" spans="1:21" customFormat="1">
      <c r="A92" s="163" t="s">
        <v>1578</v>
      </c>
      <c r="B92" s="100">
        <v>6.28</v>
      </c>
      <c r="C92" s="100">
        <v>20.65</v>
      </c>
      <c r="D92" s="100">
        <v>15.83</v>
      </c>
      <c r="E92" s="100">
        <v>4.92</v>
      </c>
      <c r="F92" s="100">
        <v>1.47</v>
      </c>
      <c r="G92" s="100">
        <v>113.23</v>
      </c>
      <c r="H92" s="100">
        <v>56.67</v>
      </c>
      <c r="I92" s="100">
        <v>16.91</v>
      </c>
      <c r="J92" s="100">
        <v>0.19</v>
      </c>
      <c r="K92" s="100">
        <v>198.15</v>
      </c>
      <c r="L92" s="100">
        <v>19.41</v>
      </c>
      <c r="M92" s="100">
        <v>75.62</v>
      </c>
      <c r="N92" s="100">
        <v>9.4</v>
      </c>
      <c r="O92" s="100">
        <v>0</v>
      </c>
      <c r="P92" s="100">
        <v>0.91</v>
      </c>
      <c r="Q92" s="100">
        <v>9.32</v>
      </c>
      <c r="R92" s="6"/>
      <c r="S92" s="6"/>
      <c r="T92" s="156"/>
      <c r="U92" s="6"/>
    </row>
    <row r="93" spans="1:21" customFormat="1">
      <c r="A93" s="163" t="s">
        <v>1579</v>
      </c>
      <c r="B93" s="100">
        <v>6.15</v>
      </c>
      <c r="C93" s="100">
        <v>20.12</v>
      </c>
      <c r="D93" s="100">
        <v>15.44</v>
      </c>
      <c r="E93" s="100">
        <v>4.87</v>
      </c>
      <c r="F93" s="100">
        <v>1.36</v>
      </c>
      <c r="G93" s="100">
        <v>95.23</v>
      </c>
      <c r="H93" s="100">
        <v>55.35</v>
      </c>
      <c r="I93" s="100">
        <v>16.989999999999998</v>
      </c>
      <c r="J93" s="100">
        <v>0.12</v>
      </c>
      <c r="K93" s="100">
        <v>204.85</v>
      </c>
      <c r="L93" s="100">
        <v>19.260000000000002</v>
      </c>
      <c r="M93" s="100">
        <v>77.02</v>
      </c>
      <c r="N93" s="100">
        <v>9.5</v>
      </c>
      <c r="O93" s="100">
        <v>0</v>
      </c>
      <c r="P93" s="100">
        <v>0.91</v>
      </c>
      <c r="Q93" s="100">
        <v>9.32</v>
      </c>
      <c r="R93" s="6"/>
      <c r="S93" s="6"/>
      <c r="T93" s="156"/>
      <c r="U93" s="6"/>
    </row>
    <row r="94" spans="1:21" customFormat="1">
      <c r="A94" s="163" t="s">
        <v>1580</v>
      </c>
      <c r="B94" s="100">
        <v>6</v>
      </c>
      <c r="C94" s="100">
        <v>19.79</v>
      </c>
      <c r="D94" s="100">
        <v>15.16</v>
      </c>
      <c r="E94" s="100">
        <v>5.07</v>
      </c>
      <c r="F94" s="100">
        <v>1.28</v>
      </c>
      <c r="G94" s="100">
        <v>94.17</v>
      </c>
      <c r="H94" s="100">
        <v>55.35</v>
      </c>
      <c r="I94" s="100">
        <v>16.95</v>
      </c>
      <c r="J94" s="100">
        <v>0.17</v>
      </c>
      <c r="K94" s="100">
        <v>201.5</v>
      </c>
      <c r="L94" s="100">
        <v>19.12</v>
      </c>
      <c r="M94" s="100">
        <v>75.56</v>
      </c>
      <c r="N94" s="100">
        <v>9.3000000000000007</v>
      </c>
      <c r="O94" s="100">
        <v>0</v>
      </c>
      <c r="P94" s="100">
        <v>0.92</v>
      </c>
      <c r="Q94" s="100">
        <v>9.32</v>
      </c>
      <c r="R94" s="6"/>
      <c r="S94" s="6"/>
      <c r="T94" s="156"/>
      <c r="U94" s="6"/>
    </row>
    <row r="95" spans="1:21" customFormat="1">
      <c r="A95" s="163" t="s">
        <v>1581</v>
      </c>
      <c r="B95" s="100">
        <v>6.15</v>
      </c>
      <c r="C95" s="100">
        <v>19.63</v>
      </c>
      <c r="D95" s="100">
        <v>15.19</v>
      </c>
      <c r="E95" s="100">
        <v>4.88</v>
      </c>
      <c r="F95" s="100">
        <v>1.34</v>
      </c>
      <c r="G95" s="100">
        <v>94.17</v>
      </c>
      <c r="H95" s="100">
        <v>55.35</v>
      </c>
      <c r="I95" s="100">
        <v>16.899999999999999</v>
      </c>
      <c r="J95" s="100">
        <v>0.17</v>
      </c>
      <c r="K95" s="100">
        <v>193.89</v>
      </c>
      <c r="L95" s="100">
        <v>19.07</v>
      </c>
      <c r="M95" s="100">
        <v>74.650000000000006</v>
      </c>
      <c r="N95" s="100">
        <v>9.3000000000000007</v>
      </c>
      <c r="O95" s="100">
        <v>0</v>
      </c>
      <c r="P95" s="100">
        <v>0.92</v>
      </c>
      <c r="Q95" s="100">
        <v>9.32</v>
      </c>
      <c r="R95" s="6"/>
      <c r="S95" s="6"/>
      <c r="T95" s="156"/>
      <c r="U95" s="6"/>
    </row>
    <row r="96" spans="1:21" customFormat="1">
      <c r="A96" s="163" t="s">
        <v>1582</v>
      </c>
      <c r="B96" s="100">
        <v>6.31</v>
      </c>
      <c r="C96" s="100">
        <v>19.57</v>
      </c>
      <c r="D96" s="100">
        <v>15.29</v>
      </c>
      <c r="E96" s="100">
        <v>4.8899999999999997</v>
      </c>
      <c r="F96" s="100">
        <v>1.36</v>
      </c>
      <c r="G96" s="100">
        <v>94.17</v>
      </c>
      <c r="H96" s="100">
        <v>55.35</v>
      </c>
      <c r="I96" s="100">
        <v>16.89</v>
      </c>
      <c r="J96" s="100">
        <v>0.19</v>
      </c>
      <c r="K96" s="100">
        <v>186.27</v>
      </c>
      <c r="L96" s="100">
        <v>19.16</v>
      </c>
      <c r="M96" s="100">
        <v>77.91</v>
      </c>
      <c r="N96" s="100">
        <v>9.3000000000000007</v>
      </c>
      <c r="O96" s="100">
        <v>0</v>
      </c>
      <c r="P96" s="100">
        <v>0.93</v>
      </c>
      <c r="Q96" s="100">
        <v>9.32</v>
      </c>
      <c r="R96" s="6"/>
      <c r="S96" s="6"/>
      <c r="T96" s="156"/>
      <c r="U96" s="6"/>
    </row>
    <row r="97" spans="1:28" customFormat="1">
      <c r="A97" s="163" t="s">
        <v>1583</v>
      </c>
      <c r="B97" s="100">
        <v>6.29</v>
      </c>
      <c r="C97" s="100">
        <v>19.21</v>
      </c>
      <c r="D97" s="100">
        <v>15.08</v>
      </c>
      <c r="E97" s="100">
        <v>5.21</v>
      </c>
      <c r="F97" s="100">
        <v>1.26</v>
      </c>
      <c r="G97" s="100">
        <v>93.24</v>
      </c>
      <c r="H97" s="100">
        <v>53.32</v>
      </c>
      <c r="I97" s="100">
        <v>16.79</v>
      </c>
      <c r="J97" s="100">
        <v>0.17</v>
      </c>
      <c r="K97" s="100">
        <v>170.92</v>
      </c>
      <c r="L97" s="100">
        <v>18.88</v>
      </c>
      <c r="M97" s="100">
        <v>80.569999999999993</v>
      </c>
      <c r="N97" s="100">
        <v>9.4</v>
      </c>
      <c r="O97" s="100">
        <v>0</v>
      </c>
      <c r="P97" s="100">
        <v>0.93</v>
      </c>
      <c r="Q97" s="100">
        <v>9.32</v>
      </c>
      <c r="R97" s="6"/>
      <c r="S97" s="6"/>
      <c r="T97" s="156"/>
      <c r="U97" s="6"/>
    </row>
    <row r="98" spans="1:28" customFormat="1">
      <c r="A98" s="163" t="s">
        <v>1584</v>
      </c>
      <c r="B98" s="100">
        <v>6.56</v>
      </c>
      <c r="C98" s="100">
        <v>19.07</v>
      </c>
      <c r="D98" s="100">
        <v>15.22</v>
      </c>
      <c r="E98" s="100">
        <v>5.19</v>
      </c>
      <c r="F98" s="100">
        <v>1.28</v>
      </c>
      <c r="G98" s="100">
        <v>93.19</v>
      </c>
      <c r="H98" s="100">
        <v>53.32</v>
      </c>
      <c r="I98" s="100">
        <v>16.77</v>
      </c>
      <c r="J98" s="100">
        <v>0.19</v>
      </c>
      <c r="K98" s="100">
        <v>173.27</v>
      </c>
      <c r="L98" s="100">
        <v>19</v>
      </c>
      <c r="M98" s="100">
        <v>78.290000000000006</v>
      </c>
      <c r="N98" s="100">
        <v>9.3000000000000007</v>
      </c>
      <c r="O98" s="100">
        <v>0</v>
      </c>
      <c r="P98" s="100">
        <v>0.94</v>
      </c>
      <c r="Q98" s="100">
        <v>9.32</v>
      </c>
      <c r="R98" s="6"/>
      <c r="S98" s="6"/>
      <c r="T98" s="156"/>
      <c r="U98" s="6"/>
    </row>
    <row r="99" spans="1:28" customFormat="1">
      <c r="A99" s="163" t="s">
        <v>1585</v>
      </c>
      <c r="B99" s="100">
        <v>7.51</v>
      </c>
      <c r="C99" s="100">
        <v>19.309999999999999</v>
      </c>
      <c r="D99" s="100">
        <v>16.11</v>
      </c>
      <c r="E99" s="100">
        <v>4.95</v>
      </c>
      <c r="F99" s="100">
        <v>1.38</v>
      </c>
      <c r="G99" s="100">
        <v>93.19</v>
      </c>
      <c r="H99" s="100">
        <v>53.32</v>
      </c>
      <c r="I99" s="100">
        <v>16.82</v>
      </c>
      <c r="J99" s="100">
        <v>0.23</v>
      </c>
      <c r="K99" s="100">
        <v>165.7</v>
      </c>
      <c r="L99" s="100">
        <v>18.96</v>
      </c>
      <c r="M99" s="100">
        <v>81.069999999999993</v>
      </c>
      <c r="N99" s="100">
        <v>9.3000000000000007</v>
      </c>
      <c r="O99" s="100">
        <v>0</v>
      </c>
      <c r="P99" s="100">
        <v>0.95</v>
      </c>
      <c r="Q99" s="100">
        <v>9.32</v>
      </c>
      <c r="R99" s="6"/>
      <c r="S99" s="6"/>
      <c r="T99" s="156"/>
      <c r="U99" s="6"/>
    </row>
    <row r="100" spans="1:28" customFormat="1">
      <c r="A100" s="163" t="s">
        <v>1586</v>
      </c>
      <c r="B100" s="100">
        <v>8.31</v>
      </c>
      <c r="C100" s="100">
        <v>19.41</v>
      </c>
      <c r="D100" s="100">
        <v>16.809999999999999</v>
      </c>
      <c r="E100" s="100">
        <v>4.9000000000000004</v>
      </c>
      <c r="F100" s="100">
        <v>1.2</v>
      </c>
      <c r="G100" s="100">
        <v>93.19</v>
      </c>
      <c r="H100" s="100">
        <v>53.32</v>
      </c>
      <c r="I100" s="100">
        <v>16.84</v>
      </c>
      <c r="J100" s="100">
        <v>0.18</v>
      </c>
      <c r="K100" s="100">
        <v>175.09</v>
      </c>
      <c r="L100" s="100">
        <v>18.75</v>
      </c>
      <c r="M100" s="100">
        <v>84.2</v>
      </c>
      <c r="N100" s="100">
        <v>9.5</v>
      </c>
      <c r="O100" s="100">
        <v>0</v>
      </c>
      <c r="P100" s="100">
        <v>0.96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1587</v>
      </c>
      <c r="B101" s="100">
        <v>8.94</v>
      </c>
      <c r="C101" s="100">
        <v>19.399999999999999</v>
      </c>
      <c r="D101" s="100">
        <v>17.309999999999999</v>
      </c>
      <c r="E101" s="100">
        <v>5.29</v>
      </c>
      <c r="F101" s="100">
        <v>1.1499999999999999</v>
      </c>
      <c r="G101" s="100">
        <v>92.31</v>
      </c>
      <c r="H101" s="100">
        <v>54.71</v>
      </c>
      <c r="I101" s="100">
        <v>16.940000000000001</v>
      </c>
      <c r="J101" s="100">
        <v>0.22</v>
      </c>
      <c r="K101" s="100">
        <v>158.41</v>
      </c>
      <c r="L101" s="100">
        <v>18.54</v>
      </c>
      <c r="M101" s="100">
        <v>84.06</v>
      </c>
      <c r="N101" s="100">
        <v>9.3000000000000007</v>
      </c>
      <c r="O101" s="100">
        <v>0</v>
      </c>
      <c r="P101" s="100">
        <v>0.98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1588</v>
      </c>
      <c r="B102" s="100">
        <v>10.38</v>
      </c>
      <c r="C102" s="100">
        <v>19.670000000000002</v>
      </c>
      <c r="D102" s="100">
        <v>18.600000000000001</v>
      </c>
      <c r="E102" s="100">
        <v>5.19</v>
      </c>
      <c r="F102" s="100">
        <v>1.22</v>
      </c>
      <c r="G102" s="100">
        <v>92.25</v>
      </c>
      <c r="H102" s="100">
        <v>54.71</v>
      </c>
      <c r="I102" s="100">
        <v>15.5</v>
      </c>
      <c r="J102" s="100">
        <v>0.15</v>
      </c>
      <c r="K102" s="100">
        <v>167.69</v>
      </c>
      <c r="L102" s="100">
        <v>18.75</v>
      </c>
      <c r="M102" s="100">
        <v>80.069999999999993</v>
      </c>
      <c r="N102" s="100">
        <v>9.3000000000000007</v>
      </c>
      <c r="O102" s="100">
        <v>0</v>
      </c>
      <c r="P102" s="100">
        <v>1.01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1589</v>
      </c>
      <c r="B103" s="100">
        <v>13.12</v>
      </c>
      <c r="C103" s="100">
        <v>20.329999999999998</v>
      </c>
      <c r="D103" s="100">
        <v>21.14</v>
      </c>
      <c r="E103" s="100">
        <v>4.99</v>
      </c>
      <c r="F103" s="100">
        <v>1.1499999999999999</v>
      </c>
      <c r="G103" s="100">
        <v>92.25</v>
      </c>
      <c r="H103" s="100">
        <v>54.71</v>
      </c>
      <c r="I103" s="100">
        <v>13.92</v>
      </c>
      <c r="J103" s="100">
        <v>0.21</v>
      </c>
      <c r="K103" s="100">
        <v>170.56</v>
      </c>
      <c r="L103" s="100">
        <v>18.75</v>
      </c>
      <c r="M103" s="100">
        <v>80.67</v>
      </c>
      <c r="N103" s="100">
        <v>9.3000000000000007</v>
      </c>
      <c r="O103" s="100">
        <v>0</v>
      </c>
      <c r="P103" s="100">
        <v>1.04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1590</v>
      </c>
      <c r="B104" s="100">
        <v>14.8</v>
      </c>
      <c r="C104" s="100">
        <v>20.7</v>
      </c>
      <c r="D104" s="100">
        <v>22.69</v>
      </c>
      <c r="E104" s="100">
        <v>5.05</v>
      </c>
      <c r="F104" s="100">
        <v>1.21</v>
      </c>
      <c r="G104" s="100">
        <v>92.25</v>
      </c>
      <c r="H104" s="100">
        <v>54.71</v>
      </c>
      <c r="I104" s="100">
        <v>14.14</v>
      </c>
      <c r="J104" s="100">
        <v>0.16</v>
      </c>
      <c r="K104" s="100">
        <v>201.13</v>
      </c>
      <c r="L104" s="100">
        <v>18.2</v>
      </c>
      <c r="M104" s="100">
        <v>85.67</v>
      </c>
      <c r="N104" s="100">
        <v>9.6999999999999993</v>
      </c>
      <c r="O104" s="100">
        <v>0</v>
      </c>
      <c r="P104" s="100">
        <v>1.05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</v>
      </c>
      <c r="C106" s="158">
        <f>MIN(C9:C104)</f>
        <v>16.62</v>
      </c>
      <c r="D106" s="158">
        <f t="shared" ref="D106:Q106" si="0">MIN(D9:D104)</f>
        <v>11.23</v>
      </c>
      <c r="E106" s="158">
        <f t="shared" si="0"/>
        <v>3.47</v>
      </c>
      <c r="F106" s="158">
        <f t="shared" si="0"/>
        <v>0.92</v>
      </c>
      <c r="G106" s="158">
        <f t="shared" si="0"/>
        <v>51.33</v>
      </c>
      <c r="H106" s="158">
        <f t="shared" si="0"/>
        <v>31.97</v>
      </c>
      <c r="I106" s="158">
        <f t="shared" si="0"/>
        <v>11.71</v>
      </c>
      <c r="J106" s="158">
        <f t="shared" si="0"/>
        <v>0.06</v>
      </c>
      <c r="K106" s="158">
        <f t="shared" si="0"/>
        <v>8.6</v>
      </c>
      <c r="L106" s="158">
        <f t="shared" si="0"/>
        <v>15.24</v>
      </c>
      <c r="M106" s="158">
        <f t="shared" si="0"/>
        <v>25.75</v>
      </c>
      <c r="N106" s="158">
        <f t="shared" si="0"/>
        <v>7.6</v>
      </c>
      <c r="O106" s="158">
        <f t="shared" si="0"/>
        <v>0</v>
      </c>
      <c r="P106" s="158">
        <f t="shared" si="0"/>
        <v>0.61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34.35</v>
      </c>
      <c r="C107" s="157">
        <f t="shared" ref="C107:Q107" si="1">MAX(C9:C104)</f>
        <v>25.52</v>
      </c>
      <c r="D107" s="157">
        <f t="shared" si="1"/>
        <v>38.549999999999997</v>
      </c>
      <c r="E107" s="157">
        <f t="shared" si="1"/>
        <v>8.93</v>
      </c>
      <c r="F107" s="157">
        <f t="shared" si="1"/>
        <v>7.71</v>
      </c>
      <c r="G107" s="157">
        <f t="shared" si="1"/>
        <v>113.23</v>
      </c>
      <c r="H107" s="157">
        <f t="shared" si="1"/>
        <v>64.2</v>
      </c>
      <c r="I107" s="157">
        <f t="shared" si="1"/>
        <v>17.829999999999998</v>
      </c>
      <c r="J107" s="157">
        <f t="shared" si="1"/>
        <v>1.03</v>
      </c>
      <c r="K107" s="157">
        <f t="shared" si="1"/>
        <v>323.63</v>
      </c>
      <c r="L107" s="157">
        <f t="shared" si="1"/>
        <v>29.72</v>
      </c>
      <c r="M107" s="157">
        <f t="shared" si="1"/>
        <v>89.53</v>
      </c>
      <c r="N107" s="157">
        <f t="shared" si="1"/>
        <v>515</v>
      </c>
      <c r="O107" s="157">
        <f t="shared" si="1"/>
        <v>0</v>
      </c>
      <c r="P107" s="157">
        <f t="shared" si="1"/>
        <v>1.05</v>
      </c>
      <c r="Q107" s="157">
        <f t="shared" si="1"/>
        <v>9.86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15.297083333333333</v>
      </c>
      <c r="C108" s="158">
        <f t="shared" ref="C108:Q108" si="2">AVERAGE(C9:C104)</f>
        <v>20.098541666666669</v>
      </c>
      <c r="D108" s="158">
        <f t="shared" si="2"/>
        <v>22.768020833333335</v>
      </c>
      <c r="E108" s="158">
        <f t="shared" si="2"/>
        <v>5.7205208333333344</v>
      </c>
      <c r="F108" s="158">
        <f t="shared" si="2"/>
        <v>2.0477083333333339</v>
      </c>
      <c r="G108" s="158">
        <f t="shared" si="2"/>
        <v>83.029791666666654</v>
      </c>
      <c r="H108" s="158">
        <f t="shared" si="2"/>
        <v>48.162916666666653</v>
      </c>
      <c r="I108" s="158">
        <f t="shared" si="2"/>
        <v>14.897708333333334</v>
      </c>
      <c r="J108" s="158">
        <f t="shared" si="2"/>
        <v>0.31072916666666678</v>
      </c>
      <c r="K108" s="158">
        <f t="shared" si="2"/>
        <v>125.09739583333335</v>
      </c>
      <c r="L108" s="158">
        <f t="shared" si="2"/>
        <v>21.554062500000001</v>
      </c>
      <c r="M108" s="158">
        <f t="shared" si="2"/>
        <v>61.581041666666664</v>
      </c>
      <c r="N108" s="158">
        <f t="shared" si="2"/>
        <v>98.029166666666569</v>
      </c>
      <c r="O108" s="158">
        <f t="shared" si="2"/>
        <v>0</v>
      </c>
      <c r="P108" s="158">
        <f t="shared" si="2"/>
        <v>0.84145833333333331</v>
      </c>
      <c r="Q108" s="158">
        <f t="shared" si="2"/>
        <v>9.3857291666666871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10.681355218241055</v>
      </c>
      <c r="C109" s="158">
        <f t="shared" ref="C109:Q109" si="3">STDEV(C9:C104)</f>
        <v>2.2005453769782348</v>
      </c>
      <c r="D109" s="158">
        <f t="shared" si="3"/>
        <v>8.609306179000237</v>
      </c>
      <c r="E109" s="158">
        <f t="shared" si="3"/>
        <v>0.74547105530546243</v>
      </c>
      <c r="F109" s="158">
        <f t="shared" si="3"/>
        <v>1.5332280904004389</v>
      </c>
      <c r="G109" s="158">
        <f t="shared" si="3"/>
        <v>14.094507327262143</v>
      </c>
      <c r="H109" s="158">
        <f t="shared" si="3"/>
        <v>8.205470564994032</v>
      </c>
      <c r="I109" s="158">
        <f t="shared" si="3"/>
        <v>1.5994640412645726</v>
      </c>
      <c r="J109" s="158">
        <f t="shared" si="3"/>
        <v>0.23556983450735908</v>
      </c>
      <c r="K109" s="158">
        <f t="shared" si="3"/>
        <v>69.78378589003988</v>
      </c>
      <c r="L109" s="158">
        <f t="shared" si="3"/>
        <v>4.8502174835936742</v>
      </c>
      <c r="M109" s="158">
        <f t="shared" si="3"/>
        <v>23.542966967660451</v>
      </c>
      <c r="N109" s="158">
        <f t="shared" si="3"/>
        <v>154.72831463852117</v>
      </c>
      <c r="O109" s="158">
        <f t="shared" si="3"/>
        <v>0</v>
      </c>
      <c r="P109" s="158">
        <f t="shared" si="3"/>
        <v>0.12325394552597153</v>
      </c>
      <c r="Q109" s="158">
        <f t="shared" si="3"/>
        <v>0.1584579957070921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C10" sqref="C10:C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1591</v>
      </c>
      <c r="B9" s="100">
        <v>15.52</v>
      </c>
      <c r="C9" s="100">
        <v>19.989999999999998</v>
      </c>
      <c r="D9" s="100">
        <v>22.9</v>
      </c>
      <c r="E9" s="100">
        <v>5.29</v>
      </c>
      <c r="F9" s="100">
        <v>1.28</v>
      </c>
      <c r="G9" s="100">
        <v>96.81</v>
      </c>
      <c r="H9" s="100">
        <v>62.07</v>
      </c>
      <c r="I9" s="100">
        <v>14.35</v>
      </c>
      <c r="J9" s="100">
        <v>0.18</v>
      </c>
      <c r="K9" s="100">
        <v>164.81</v>
      </c>
      <c r="L9" s="100">
        <v>18</v>
      </c>
      <c r="M9" s="100">
        <v>85.28</v>
      </c>
      <c r="N9" s="100">
        <v>9.4</v>
      </c>
      <c r="O9" s="100">
        <v>0</v>
      </c>
      <c r="P9" s="100">
        <v>1.07</v>
      </c>
      <c r="Q9" s="100">
        <v>9.32</v>
      </c>
      <c r="R9" s="6"/>
      <c r="S9" s="6"/>
      <c r="T9" s="156"/>
      <c r="U9" s="6"/>
    </row>
    <row r="10" spans="1:21" customFormat="1">
      <c r="A10" s="163" t="s">
        <v>1592</v>
      </c>
      <c r="B10" s="100">
        <v>15.87</v>
      </c>
      <c r="C10" s="100">
        <v>20.5</v>
      </c>
      <c r="D10" s="100">
        <v>23.44</v>
      </c>
      <c r="E10" s="100">
        <v>5.22</v>
      </c>
      <c r="F10" s="100">
        <v>1.27</v>
      </c>
      <c r="G10" s="100">
        <v>97.07</v>
      </c>
      <c r="H10" s="100">
        <v>62.07</v>
      </c>
      <c r="I10" s="100">
        <v>14.48</v>
      </c>
      <c r="J10" s="100">
        <v>0.21</v>
      </c>
      <c r="K10" s="100">
        <v>192.81</v>
      </c>
      <c r="L10" s="100">
        <v>17.96</v>
      </c>
      <c r="M10" s="100">
        <v>85.33</v>
      </c>
      <c r="N10" s="100">
        <v>9.4</v>
      </c>
      <c r="O10" s="100">
        <v>0</v>
      </c>
      <c r="P10" s="100">
        <v>1.07</v>
      </c>
      <c r="Q10" s="100">
        <v>9.32</v>
      </c>
      <c r="R10" s="6"/>
      <c r="S10" s="6"/>
      <c r="T10" s="156"/>
      <c r="U10" s="6"/>
    </row>
    <row r="11" spans="1:21" customFormat="1">
      <c r="A11" s="163" t="s">
        <v>1593</v>
      </c>
      <c r="B11" s="100">
        <v>15.8</v>
      </c>
      <c r="C11" s="100">
        <v>20.440000000000001</v>
      </c>
      <c r="D11" s="100">
        <v>23.35</v>
      </c>
      <c r="E11" s="100">
        <v>5</v>
      </c>
      <c r="F11" s="100">
        <v>1.28</v>
      </c>
      <c r="G11" s="100">
        <v>97.07</v>
      </c>
      <c r="H11" s="100">
        <v>62.07</v>
      </c>
      <c r="I11" s="100">
        <v>14.58</v>
      </c>
      <c r="J11" s="100">
        <v>0.2</v>
      </c>
      <c r="K11" s="100">
        <v>206.38</v>
      </c>
      <c r="L11" s="100">
        <v>17.64</v>
      </c>
      <c r="M11" s="100">
        <v>86.54</v>
      </c>
      <c r="N11" s="100">
        <v>9.5</v>
      </c>
      <c r="O11" s="100">
        <v>0</v>
      </c>
      <c r="P11" s="100">
        <v>1.08</v>
      </c>
      <c r="Q11" s="100">
        <v>9.32</v>
      </c>
      <c r="R11" s="6"/>
      <c r="S11" s="6"/>
      <c r="T11" s="156"/>
      <c r="U11" s="6"/>
    </row>
    <row r="12" spans="1:21" customFormat="1">
      <c r="A12" s="163" t="s">
        <v>1594</v>
      </c>
      <c r="B12" s="100">
        <v>15.45</v>
      </c>
      <c r="C12" s="100">
        <v>20.23</v>
      </c>
      <c r="D12" s="100">
        <v>22.96</v>
      </c>
      <c r="E12" s="100">
        <v>4.95</v>
      </c>
      <c r="F12" s="100">
        <v>1.23</v>
      </c>
      <c r="G12" s="100">
        <v>97.07</v>
      </c>
      <c r="H12" s="100">
        <v>62.07</v>
      </c>
      <c r="I12" s="100">
        <v>14.6</v>
      </c>
      <c r="J12" s="100">
        <v>0.11</v>
      </c>
      <c r="K12" s="100">
        <v>176.54</v>
      </c>
      <c r="L12" s="100">
        <v>17.260000000000002</v>
      </c>
      <c r="M12" s="100">
        <v>87.93</v>
      </c>
      <c r="N12" s="100">
        <v>9.6</v>
      </c>
      <c r="O12" s="100">
        <v>0</v>
      </c>
      <c r="P12" s="100">
        <v>1.0900000000000001</v>
      </c>
      <c r="Q12" s="100">
        <v>9.32</v>
      </c>
      <c r="R12" s="6"/>
      <c r="S12" s="6"/>
      <c r="T12" s="156"/>
      <c r="U12" s="6"/>
    </row>
    <row r="13" spans="1:21" customFormat="1">
      <c r="A13" s="163" t="s">
        <v>1595</v>
      </c>
      <c r="B13" s="100">
        <v>15.26</v>
      </c>
      <c r="C13" s="100">
        <v>19.91</v>
      </c>
      <c r="D13" s="100">
        <v>22.64</v>
      </c>
      <c r="E13" s="100">
        <v>4.9800000000000004</v>
      </c>
      <c r="F13" s="100">
        <v>1.29</v>
      </c>
      <c r="G13" s="100">
        <v>93.28</v>
      </c>
      <c r="H13" s="100">
        <v>60.29</v>
      </c>
      <c r="I13" s="100">
        <v>14.56</v>
      </c>
      <c r="J13" s="100">
        <v>0.14000000000000001</v>
      </c>
      <c r="K13" s="100">
        <v>177.33</v>
      </c>
      <c r="L13" s="100">
        <v>17.23</v>
      </c>
      <c r="M13" s="100">
        <v>88.45</v>
      </c>
      <c r="N13" s="100">
        <v>9.4</v>
      </c>
      <c r="O13" s="100">
        <v>0</v>
      </c>
      <c r="P13" s="100">
        <v>1.0900000000000001</v>
      </c>
      <c r="Q13" s="100">
        <v>9.32</v>
      </c>
      <c r="R13" s="6"/>
      <c r="S13" s="6"/>
      <c r="T13" s="156"/>
      <c r="U13" s="6"/>
    </row>
    <row r="14" spans="1:21" customFormat="1">
      <c r="A14" s="163" t="s">
        <v>1596</v>
      </c>
      <c r="B14" s="100">
        <v>16.22</v>
      </c>
      <c r="C14" s="100">
        <v>19.89</v>
      </c>
      <c r="D14" s="100">
        <v>23.39</v>
      </c>
      <c r="E14" s="100">
        <v>4.62</v>
      </c>
      <c r="F14" s="100">
        <v>1.17</v>
      </c>
      <c r="G14" s="100">
        <v>93.06</v>
      </c>
      <c r="H14" s="100">
        <v>60.29</v>
      </c>
      <c r="I14" s="100">
        <v>14.57</v>
      </c>
      <c r="J14" s="100">
        <v>7.0000000000000007E-2</v>
      </c>
      <c r="K14" s="100">
        <v>182.45</v>
      </c>
      <c r="L14" s="100">
        <v>17.27</v>
      </c>
      <c r="M14" s="100">
        <v>85.18</v>
      </c>
      <c r="N14" s="100">
        <v>9.3000000000000007</v>
      </c>
      <c r="O14" s="100">
        <v>0</v>
      </c>
      <c r="P14" s="100">
        <v>1.0900000000000001</v>
      </c>
      <c r="Q14" s="100">
        <v>9.32</v>
      </c>
      <c r="R14" s="6"/>
      <c r="S14" s="6"/>
      <c r="T14" s="156"/>
      <c r="U14" s="6"/>
    </row>
    <row r="15" spans="1:21" customFormat="1">
      <c r="A15" s="163" t="s">
        <v>1597</v>
      </c>
      <c r="B15" s="100">
        <v>18.54</v>
      </c>
      <c r="C15" s="100">
        <v>20.38</v>
      </c>
      <c r="D15" s="100">
        <v>25.51</v>
      </c>
      <c r="E15" s="100">
        <v>4.7</v>
      </c>
      <c r="F15" s="100">
        <v>1.27</v>
      </c>
      <c r="G15" s="100">
        <v>93.06</v>
      </c>
      <c r="H15" s="100">
        <v>60.29</v>
      </c>
      <c r="I15" s="100">
        <v>14.56</v>
      </c>
      <c r="J15" s="100">
        <v>0.12</v>
      </c>
      <c r="K15" s="100">
        <v>133.58000000000001</v>
      </c>
      <c r="L15" s="100">
        <v>17.41</v>
      </c>
      <c r="M15" s="100">
        <v>83.56</v>
      </c>
      <c r="N15" s="100">
        <v>9.4</v>
      </c>
      <c r="O15" s="100">
        <v>0</v>
      </c>
      <c r="P15" s="100">
        <v>1.1000000000000001</v>
      </c>
      <c r="Q15" s="100">
        <v>9.32</v>
      </c>
      <c r="R15" s="6"/>
      <c r="S15" s="6"/>
      <c r="T15" s="156"/>
      <c r="U15" s="6"/>
    </row>
    <row r="16" spans="1:21" customFormat="1">
      <c r="A16" s="163" t="s">
        <v>1598</v>
      </c>
      <c r="B16" s="100">
        <v>20.52</v>
      </c>
      <c r="C16" s="100">
        <v>20.95</v>
      </c>
      <c r="D16" s="100">
        <v>27.4</v>
      </c>
      <c r="E16" s="100">
        <v>4.82</v>
      </c>
      <c r="F16" s="100">
        <v>1.39</v>
      </c>
      <c r="G16" s="100">
        <v>93.06</v>
      </c>
      <c r="H16" s="100">
        <v>60.29</v>
      </c>
      <c r="I16" s="100">
        <v>14.54</v>
      </c>
      <c r="J16" s="100">
        <v>0.17</v>
      </c>
      <c r="K16" s="100">
        <v>194.54</v>
      </c>
      <c r="L16" s="100">
        <v>17.38</v>
      </c>
      <c r="M16" s="100">
        <v>83.04</v>
      </c>
      <c r="N16" s="100">
        <v>9.3000000000000007</v>
      </c>
      <c r="O16" s="100">
        <v>0</v>
      </c>
      <c r="P16" s="100">
        <v>1.1000000000000001</v>
      </c>
      <c r="Q16" s="100">
        <v>9.32</v>
      </c>
      <c r="R16" s="6"/>
      <c r="S16" s="6"/>
      <c r="T16" s="156"/>
      <c r="U16" s="6"/>
    </row>
    <row r="17" spans="1:21" customFormat="1">
      <c r="A17" s="163" t="s">
        <v>1599</v>
      </c>
      <c r="B17" s="100">
        <v>21.37</v>
      </c>
      <c r="C17" s="100">
        <v>21.11</v>
      </c>
      <c r="D17" s="100">
        <v>28.16</v>
      </c>
      <c r="E17" s="100">
        <v>3.98</v>
      </c>
      <c r="F17" s="100">
        <v>1.1299999999999999</v>
      </c>
      <c r="G17" s="100">
        <v>94.93</v>
      </c>
      <c r="H17" s="100">
        <v>61.14</v>
      </c>
      <c r="I17" s="100">
        <v>16.190000000000001</v>
      </c>
      <c r="J17" s="100">
        <v>0.16</v>
      </c>
      <c r="K17" s="100">
        <v>192.45</v>
      </c>
      <c r="L17" s="100">
        <v>17.13</v>
      </c>
      <c r="M17" s="100">
        <v>87.69</v>
      </c>
      <c r="N17" s="100">
        <v>9.6</v>
      </c>
      <c r="O17" s="100">
        <v>0</v>
      </c>
      <c r="P17" s="100">
        <v>1.1000000000000001</v>
      </c>
      <c r="Q17" s="100">
        <v>9.32</v>
      </c>
      <c r="R17" s="6"/>
      <c r="S17" s="6"/>
      <c r="T17" s="156"/>
      <c r="U17" s="6"/>
    </row>
    <row r="18" spans="1:21" customFormat="1">
      <c r="A18" s="163" t="s">
        <v>1600</v>
      </c>
      <c r="B18" s="100">
        <v>21.44</v>
      </c>
      <c r="C18" s="100">
        <v>20.79</v>
      </c>
      <c r="D18" s="100">
        <v>28.06</v>
      </c>
      <c r="E18" s="100">
        <v>4.6900000000000004</v>
      </c>
      <c r="F18" s="100">
        <v>1.23</v>
      </c>
      <c r="G18" s="100">
        <v>95.04</v>
      </c>
      <c r="H18" s="100">
        <v>61.14</v>
      </c>
      <c r="I18" s="100">
        <v>16.36</v>
      </c>
      <c r="J18" s="100">
        <v>0.13</v>
      </c>
      <c r="K18" s="100">
        <v>212.87</v>
      </c>
      <c r="L18" s="100">
        <v>16.87</v>
      </c>
      <c r="M18" s="100">
        <v>89.88</v>
      </c>
      <c r="N18" s="100">
        <v>9.6</v>
      </c>
      <c r="O18" s="100">
        <v>0</v>
      </c>
      <c r="P18" s="100">
        <v>1.0900000000000001</v>
      </c>
      <c r="Q18" s="100">
        <v>9.32</v>
      </c>
      <c r="R18" s="6"/>
      <c r="S18" s="6"/>
      <c r="T18" s="156"/>
      <c r="U18" s="6"/>
    </row>
    <row r="19" spans="1:21" customFormat="1">
      <c r="A19" s="163" t="s">
        <v>1601</v>
      </c>
      <c r="B19" s="100">
        <v>21.06</v>
      </c>
      <c r="C19" s="100">
        <v>20.38</v>
      </c>
      <c r="D19" s="100">
        <v>27.54</v>
      </c>
      <c r="E19" s="100">
        <v>4.4400000000000004</v>
      </c>
      <c r="F19" s="100">
        <v>1.19</v>
      </c>
      <c r="G19" s="100">
        <v>95.04</v>
      </c>
      <c r="H19" s="100">
        <v>61.14</v>
      </c>
      <c r="I19" s="100">
        <v>16.18</v>
      </c>
      <c r="J19" s="100">
        <v>0.12</v>
      </c>
      <c r="K19" s="100">
        <v>201.42</v>
      </c>
      <c r="L19" s="100">
        <v>16.670000000000002</v>
      </c>
      <c r="M19" s="100">
        <v>90.03</v>
      </c>
      <c r="N19" s="100">
        <v>9.4</v>
      </c>
      <c r="O19" s="100">
        <v>0</v>
      </c>
      <c r="P19" s="100">
        <v>1.0900000000000001</v>
      </c>
      <c r="Q19" s="100">
        <v>9.32</v>
      </c>
      <c r="R19" s="6"/>
      <c r="S19" s="6"/>
      <c r="T19" s="156"/>
      <c r="U19" s="6"/>
    </row>
    <row r="20" spans="1:21" customFormat="1">
      <c r="A20" s="163" t="s">
        <v>1602</v>
      </c>
      <c r="B20" s="100">
        <v>20.65</v>
      </c>
      <c r="C20" s="100">
        <v>20.13</v>
      </c>
      <c r="D20" s="100">
        <v>27.08</v>
      </c>
      <c r="E20" s="100">
        <v>4.3899999999999997</v>
      </c>
      <c r="F20" s="100">
        <v>1.1599999999999999</v>
      </c>
      <c r="G20" s="100">
        <v>95.04</v>
      </c>
      <c r="H20" s="100">
        <v>61.14</v>
      </c>
      <c r="I20" s="100">
        <v>17.920000000000002</v>
      </c>
      <c r="J20" s="100">
        <v>0.2</v>
      </c>
      <c r="K20" s="100">
        <v>229.55</v>
      </c>
      <c r="L20" s="100">
        <v>16.57</v>
      </c>
      <c r="M20" s="100">
        <v>89.92</v>
      </c>
      <c r="N20" s="100">
        <v>9.4</v>
      </c>
      <c r="O20" s="100">
        <v>0</v>
      </c>
      <c r="P20" s="100">
        <v>1.08</v>
      </c>
      <c r="Q20" s="100">
        <v>9.32</v>
      </c>
      <c r="R20" s="6"/>
      <c r="S20" s="6"/>
      <c r="T20" s="156"/>
      <c r="U20" s="6"/>
    </row>
    <row r="21" spans="1:21" customFormat="1">
      <c r="A21" s="163" t="s">
        <v>1603</v>
      </c>
      <c r="B21" s="100">
        <v>20.18</v>
      </c>
      <c r="C21" s="100">
        <v>19.88</v>
      </c>
      <c r="D21" s="100">
        <v>26.57</v>
      </c>
      <c r="E21" s="100">
        <v>4.51</v>
      </c>
      <c r="F21" s="100">
        <v>1.27</v>
      </c>
      <c r="G21" s="100">
        <v>88.95</v>
      </c>
      <c r="H21" s="100">
        <v>57.53</v>
      </c>
      <c r="I21" s="100">
        <v>16.27</v>
      </c>
      <c r="J21" s="100">
        <v>0.12</v>
      </c>
      <c r="K21" s="100">
        <v>200.17</v>
      </c>
      <c r="L21" s="100">
        <v>16.38</v>
      </c>
      <c r="M21" s="100">
        <v>90.68</v>
      </c>
      <c r="N21" s="100">
        <v>9.5</v>
      </c>
      <c r="O21" s="100">
        <v>0</v>
      </c>
      <c r="P21" s="100">
        <v>1.07</v>
      </c>
      <c r="Q21" s="100">
        <v>9.32</v>
      </c>
      <c r="R21" s="6"/>
      <c r="S21" s="6"/>
      <c r="T21" s="156"/>
      <c r="U21" s="6"/>
    </row>
    <row r="22" spans="1:21" customFormat="1">
      <c r="A22" s="163" t="s">
        <v>1604</v>
      </c>
      <c r="B22" s="100">
        <v>19.690000000000001</v>
      </c>
      <c r="C22" s="100">
        <v>19.57</v>
      </c>
      <c r="D22" s="100">
        <v>26.02</v>
      </c>
      <c r="E22" s="100">
        <v>4.43</v>
      </c>
      <c r="F22" s="100">
        <v>1.04</v>
      </c>
      <c r="G22" s="100">
        <v>88.59</v>
      </c>
      <c r="H22" s="100">
        <v>57.53</v>
      </c>
      <c r="I22" s="100">
        <v>14.44</v>
      </c>
      <c r="J22" s="100">
        <v>0.11</v>
      </c>
      <c r="K22" s="100">
        <v>174.41</v>
      </c>
      <c r="L22" s="100">
        <v>16.34</v>
      </c>
      <c r="M22" s="100">
        <v>90.06</v>
      </c>
      <c r="N22" s="100">
        <v>9.4</v>
      </c>
      <c r="O22" s="100">
        <v>0</v>
      </c>
      <c r="P22" s="100">
        <v>1.06</v>
      </c>
      <c r="Q22" s="100">
        <v>9.32</v>
      </c>
      <c r="R22" s="6"/>
      <c r="S22" s="6"/>
      <c r="T22" s="156"/>
      <c r="U22" s="6"/>
    </row>
    <row r="23" spans="1:21" customFormat="1">
      <c r="A23" s="163" t="s">
        <v>1605</v>
      </c>
      <c r="B23" s="100">
        <v>20.09</v>
      </c>
      <c r="C23" s="100">
        <v>19.46</v>
      </c>
      <c r="D23" s="100">
        <v>26.28</v>
      </c>
      <c r="E23" s="100">
        <v>4.5599999999999996</v>
      </c>
      <c r="F23" s="100">
        <v>1.1399999999999999</v>
      </c>
      <c r="G23" s="100">
        <v>88.59</v>
      </c>
      <c r="H23" s="100">
        <v>57.53</v>
      </c>
      <c r="I23" s="100">
        <v>14.38</v>
      </c>
      <c r="J23" s="100">
        <v>0.12</v>
      </c>
      <c r="K23" s="100">
        <v>155.13999999999999</v>
      </c>
      <c r="L23" s="100">
        <v>16.329999999999998</v>
      </c>
      <c r="M23" s="100">
        <v>89.59</v>
      </c>
      <c r="N23" s="100">
        <v>9.4</v>
      </c>
      <c r="O23" s="100">
        <v>0</v>
      </c>
      <c r="P23" s="100">
        <v>1.06</v>
      </c>
      <c r="Q23" s="100">
        <v>9.32</v>
      </c>
      <c r="R23" s="6"/>
      <c r="S23" s="6"/>
      <c r="T23" s="156"/>
      <c r="U23" s="6"/>
    </row>
    <row r="24" spans="1:21" customFormat="1">
      <c r="A24" s="163" t="s">
        <v>1606</v>
      </c>
      <c r="B24" s="100">
        <v>21.14</v>
      </c>
      <c r="C24" s="100">
        <v>19.690000000000001</v>
      </c>
      <c r="D24" s="100">
        <v>27.24</v>
      </c>
      <c r="E24" s="100">
        <v>4.3499999999999996</v>
      </c>
      <c r="F24" s="100">
        <v>1.37</v>
      </c>
      <c r="G24" s="100">
        <v>88.59</v>
      </c>
      <c r="H24" s="100">
        <v>57.53</v>
      </c>
      <c r="I24" s="100">
        <v>14.29</v>
      </c>
      <c r="J24" s="100">
        <v>0.27</v>
      </c>
      <c r="K24" s="100">
        <v>169.42</v>
      </c>
      <c r="L24" s="100">
        <v>16.47</v>
      </c>
      <c r="M24" s="100">
        <v>88.94</v>
      </c>
      <c r="N24" s="100">
        <v>9.1999999999999993</v>
      </c>
      <c r="O24" s="100">
        <v>0</v>
      </c>
      <c r="P24" s="100">
        <v>1.05</v>
      </c>
      <c r="Q24" s="100">
        <v>9.32</v>
      </c>
      <c r="R24" s="6"/>
      <c r="S24" s="6"/>
      <c r="T24" s="156"/>
      <c r="U24" s="6"/>
    </row>
    <row r="25" spans="1:21" customFormat="1">
      <c r="A25" s="163" t="s">
        <v>1607</v>
      </c>
      <c r="B25" s="100">
        <v>21.86</v>
      </c>
      <c r="C25" s="100">
        <v>19.649999999999999</v>
      </c>
      <c r="D25" s="100">
        <v>27.8</v>
      </c>
      <c r="E25" s="100">
        <v>4.53</v>
      </c>
      <c r="F25" s="100">
        <v>1.35</v>
      </c>
      <c r="G25" s="100">
        <v>82.13</v>
      </c>
      <c r="H25" s="100">
        <v>57.78</v>
      </c>
      <c r="I25" s="100">
        <v>14.23</v>
      </c>
      <c r="J25" s="100">
        <v>0.14000000000000001</v>
      </c>
      <c r="K25" s="100">
        <v>230.64</v>
      </c>
      <c r="L25" s="100">
        <v>16.170000000000002</v>
      </c>
      <c r="M25" s="100">
        <v>90.78</v>
      </c>
      <c r="N25" s="100">
        <v>9.5</v>
      </c>
      <c r="O25" s="100">
        <v>0</v>
      </c>
      <c r="P25" s="100">
        <v>1.05</v>
      </c>
      <c r="Q25" s="100">
        <v>9.32</v>
      </c>
      <c r="R25" s="6"/>
      <c r="S25" s="6"/>
      <c r="T25" s="156"/>
      <c r="U25" s="6"/>
    </row>
    <row r="26" spans="1:21" customFormat="1">
      <c r="A26" s="163" t="s">
        <v>1608</v>
      </c>
      <c r="B26" s="100">
        <v>21.41</v>
      </c>
      <c r="C26" s="100">
        <v>19.41</v>
      </c>
      <c r="D26" s="100">
        <v>27.31</v>
      </c>
      <c r="E26" s="100">
        <v>4.46</v>
      </c>
      <c r="F26" s="100">
        <v>1.1399999999999999</v>
      </c>
      <c r="G26" s="100">
        <v>81.75</v>
      </c>
      <c r="H26" s="100">
        <v>57.78</v>
      </c>
      <c r="I26" s="100">
        <v>14.2</v>
      </c>
      <c r="J26" s="100">
        <v>0.14000000000000001</v>
      </c>
      <c r="K26" s="100">
        <v>223.87</v>
      </c>
      <c r="L26" s="100">
        <v>16.04</v>
      </c>
      <c r="M26" s="100">
        <v>91.46</v>
      </c>
      <c r="N26" s="100">
        <v>9.5</v>
      </c>
      <c r="O26" s="100">
        <v>0</v>
      </c>
      <c r="P26" s="100">
        <v>1.03</v>
      </c>
      <c r="Q26" s="100">
        <v>9.32</v>
      </c>
      <c r="R26" s="6"/>
      <c r="S26" s="6"/>
      <c r="T26" s="156"/>
      <c r="U26" s="6"/>
    </row>
    <row r="27" spans="1:21" customFormat="1">
      <c r="A27" s="163" t="s">
        <v>1609</v>
      </c>
      <c r="B27" s="100">
        <v>20.99</v>
      </c>
      <c r="C27" s="100">
        <v>19.18</v>
      </c>
      <c r="D27" s="100">
        <v>26.85</v>
      </c>
      <c r="E27" s="100">
        <v>4.6100000000000003</v>
      </c>
      <c r="F27" s="100">
        <v>1.18</v>
      </c>
      <c r="G27" s="100">
        <v>81.75</v>
      </c>
      <c r="H27" s="100">
        <v>57.78</v>
      </c>
      <c r="I27" s="100">
        <v>14.14</v>
      </c>
      <c r="J27" s="100">
        <v>0.12</v>
      </c>
      <c r="K27" s="100">
        <v>189.01</v>
      </c>
      <c r="L27" s="100">
        <v>15.96</v>
      </c>
      <c r="M27" s="100">
        <v>91.03</v>
      </c>
      <c r="N27" s="100">
        <v>9.4</v>
      </c>
      <c r="O27" s="100">
        <v>0</v>
      </c>
      <c r="P27" s="100">
        <v>1.03</v>
      </c>
      <c r="Q27" s="100">
        <v>9.32</v>
      </c>
      <c r="R27" s="6"/>
      <c r="S27" s="6"/>
      <c r="T27" s="156"/>
      <c r="U27" s="6"/>
    </row>
    <row r="28" spans="1:21" customFormat="1">
      <c r="A28" s="163" t="s">
        <v>1610</v>
      </c>
      <c r="B28" s="100">
        <v>20.83</v>
      </c>
      <c r="C28" s="100">
        <v>18.920000000000002</v>
      </c>
      <c r="D28" s="100">
        <v>26.59</v>
      </c>
      <c r="E28" s="100">
        <v>4.29</v>
      </c>
      <c r="F28" s="100">
        <v>1.1399999999999999</v>
      </c>
      <c r="G28" s="100">
        <v>81.75</v>
      </c>
      <c r="H28" s="100">
        <v>57.78</v>
      </c>
      <c r="I28" s="100">
        <v>14.06</v>
      </c>
      <c r="J28" s="100">
        <v>0.08</v>
      </c>
      <c r="K28" s="100">
        <v>166.84</v>
      </c>
      <c r="L28" s="100">
        <v>15.98</v>
      </c>
      <c r="M28" s="100">
        <v>91.45</v>
      </c>
      <c r="N28" s="100">
        <v>9.4</v>
      </c>
      <c r="O28" s="100">
        <v>0</v>
      </c>
      <c r="P28" s="100">
        <v>1.02</v>
      </c>
      <c r="Q28" s="100">
        <v>9.32</v>
      </c>
      <c r="R28" s="6"/>
      <c r="S28" s="6"/>
      <c r="T28" s="156"/>
      <c r="U28" s="6"/>
    </row>
    <row r="29" spans="1:21" customFormat="1">
      <c r="A29" s="163" t="s">
        <v>1611</v>
      </c>
      <c r="B29" s="100">
        <v>21.56</v>
      </c>
      <c r="C29" s="100">
        <v>18.75</v>
      </c>
      <c r="D29" s="100">
        <v>27.08</v>
      </c>
      <c r="E29" s="100">
        <v>4.09</v>
      </c>
      <c r="F29" s="100">
        <v>1.1499999999999999</v>
      </c>
      <c r="G29" s="100">
        <v>78.14</v>
      </c>
      <c r="H29" s="100">
        <v>55.38</v>
      </c>
      <c r="I29" s="100">
        <v>13.98</v>
      </c>
      <c r="J29" s="100">
        <v>0.16</v>
      </c>
      <c r="K29" s="100">
        <v>43.78</v>
      </c>
      <c r="L29" s="100">
        <v>16.07</v>
      </c>
      <c r="M29" s="100">
        <v>90.58</v>
      </c>
      <c r="N29" s="100">
        <v>9.1</v>
      </c>
      <c r="O29" s="100">
        <v>0</v>
      </c>
      <c r="P29" s="100">
        <v>1.02</v>
      </c>
      <c r="Q29" s="100">
        <v>9.32</v>
      </c>
      <c r="R29" s="6"/>
      <c r="S29" s="6"/>
      <c r="T29" s="156"/>
      <c r="U29" s="6"/>
    </row>
    <row r="30" spans="1:21" customFormat="1">
      <c r="A30" s="163" t="s">
        <v>1612</v>
      </c>
      <c r="B30" s="100">
        <v>23.06</v>
      </c>
      <c r="C30" s="100">
        <v>19.010000000000002</v>
      </c>
      <c r="D30" s="100">
        <v>28.43</v>
      </c>
      <c r="E30" s="100">
        <v>4.1100000000000003</v>
      </c>
      <c r="F30" s="100">
        <v>1.07</v>
      </c>
      <c r="G30" s="100">
        <v>77.930000000000007</v>
      </c>
      <c r="H30" s="100">
        <v>55.38</v>
      </c>
      <c r="I30" s="100">
        <v>13.87</v>
      </c>
      <c r="J30" s="100">
        <v>0.12</v>
      </c>
      <c r="K30" s="100">
        <v>173.86</v>
      </c>
      <c r="L30" s="100">
        <v>16.18</v>
      </c>
      <c r="M30" s="100">
        <v>88.35</v>
      </c>
      <c r="N30" s="100">
        <v>9.3000000000000007</v>
      </c>
      <c r="O30" s="100">
        <v>0</v>
      </c>
      <c r="P30" s="100">
        <v>1.01</v>
      </c>
      <c r="Q30" s="100">
        <v>9.32</v>
      </c>
      <c r="R30" s="6"/>
      <c r="S30" s="6"/>
      <c r="T30" s="156"/>
      <c r="U30" s="6"/>
    </row>
    <row r="31" spans="1:21" customFormat="1">
      <c r="A31" s="163" t="s">
        <v>1613</v>
      </c>
      <c r="B31" s="100">
        <v>23.5</v>
      </c>
      <c r="C31" s="100">
        <v>19.190000000000001</v>
      </c>
      <c r="D31" s="100">
        <v>28.87</v>
      </c>
      <c r="E31" s="100">
        <v>3.91</v>
      </c>
      <c r="F31" s="100">
        <v>0.98</v>
      </c>
      <c r="G31" s="100">
        <v>77.930000000000007</v>
      </c>
      <c r="H31" s="100">
        <v>55.38</v>
      </c>
      <c r="I31" s="100">
        <v>13.82</v>
      </c>
      <c r="J31" s="100">
        <v>0.18</v>
      </c>
      <c r="K31" s="100">
        <v>190.47</v>
      </c>
      <c r="L31" s="100">
        <v>16.239999999999998</v>
      </c>
      <c r="M31" s="100">
        <v>88.98</v>
      </c>
      <c r="N31" s="100">
        <v>9.1999999999999993</v>
      </c>
      <c r="O31" s="100">
        <v>0</v>
      </c>
      <c r="P31" s="100">
        <v>1</v>
      </c>
      <c r="Q31" s="100">
        <v>9.32</v>
      </c>
      <c r="R31" s="6"/>
      <c r="S31" s="6"/>
      <c r="T31" s="156"/>
      <c r="U31" s="6"/>
    </row>
    <row r="32" spans="1:21" customFormat="1">
      <c r="A32" s="163" t="s">
        <v>1614</v>
      </c>
      <c r="B32" s="100">
        <v>23.26</v>
      </c>
      <c r="C32" s="100">
        <v>19.2</v>
      </c>
      <c r="D32" s="100">
        <v>28.69</v>
      </c>
      <c r="E32" s="100">
        <v>4.0999999999999996</v>
      </c>
      <c r="F32" s="100">
        <v>1.03</v>
      </c>
      <c r="G32" s="100">
        <v>77.930000000000007</v>
      </c>
      <c r="H32" s="100">
        <v>55.38</v>
      </c>
      <c r="I32" s="100">
        <v>13.8</v>
      </c>
      <c r="J32" s="100">
        <v>0.12</v>
      </c>
      <c r="K32" s="100">
        <v>202.1</v>
      </c>
      <c r="L32" s="100">
        <v>16.09</v>
      </c>
      <c r="M32" s="100">
        <v>89.96</v>
      </c>
      <c r="N32" s="100">
        <v>9.5</v>
      </c>
      <c r="O32" s="100">
        <v>0</v>
      </c>
      <c r="P32" s="100">
        <v>0.98</v>
      </c>
      <c r="Q32" s="100">
        <v>9.32</v>
      </c>
      <c r="R32" s="6"/>
      <c r="S32" s="6"/>
      <c r="T32" s="156"/>
      <c r="U32" s="6"/>
    </row>
    <row r="33" spans="1:21" customFormat="1">
      <c r="A33" s="163" t="s">
        <v>1615</v>
      </c>
      <c r="B33" s="100">
        <v>23.29</v>
      </c>
      <c r="C33" s="100">
        <v>19.190000000000001</v>
      </c>
      <c r="D33" s="100">
        <v>28.7</v>
      </c>
      <c r="E33" s="100">
        <v>4.3899999999999997</v>
      </c>
      <c r="F33" s="100">
        <v>1.07</v>
      </c>
      <c r="G33" s="100">
        <v>80.67</v>
      </c>
      <c r="H33" s="100">
        <v>55.14</v>
      </c>
      <c r="I33" s="100">
        <v>13.76</v>
      </c>
      <c r="J33" s="100">
        <v>0.17</v>
      </c>
      <c r="K33" s="100">
        <v>162.38999999999999</v>
      </c>
      <c r="L33" s="100">
        <v>16.05</v>
      </c>
      <c r="M33" s="100">
        <v>89.87</v>
      </c>
      <c r="N33" s="100">
        <v>9.5</v>
      </c>
      <c r="O33" s="100">
        <v>0</v>
      </c>
      <c r="P33" s="100">
        <v>0.97</v>
      </c>
      <c r="Q33" s="100">
        <v>9.32</v>
      </c>
      <c r="R33" s="6"/>
      <c r="S33" s="6"/>
      <c r="T33" s="156"/>
      <c r="U33" s="6"/>
    </row>
    <row r="34" spans="1:21" customFormat="1">
      <c r="A34" s="163" t="s">
        <v>1616</v>
      </c>
      <c r="B34" s="100">
        <v>23.84</v>
      </c>
      <c r="C34" s="100">
        <v>19.3</v>
      </c>
      <c r="D34" s="100">
        <v>29.2</v>
      </c>
      <c r="E34" s="100">
        <v>4.75</v>
      </c>
      <c r="F34" s="100">
        <v>1.17</v>
      </c>
      <c r="G34" s="100">
        <v>80.83</v>
      </c>
      <c r="H34" s="100">
        <v>55.14</v>
      </c>
      <c r="I34" s="100">
        <v>13.75</v>
      </c>
      <c r="J34" s="100">
        <v>0.11</v>
      </c>
      <c r="K34" s="100">
        <v>177.19</v>
      </c>
      <c r="L34" s="100">
        <v>16.07</v>
      </c>
      <c r="M34" s="100">
        <v>89.13</v>
      </c>
      <c r="N34" s="100">
        <v>10.5</v>
      </c>
      <c r="O34" s="100">
        <v>0</v>
      </c>
      <c r="P34" s="100">
        <v>0.97</v>
      </c>
      <c r="Q34" s="100">
        <v>9.32</v>
      </c>
      <c r="R34" s="6"/>
      <c r="S34" s="6"/>
      <c r="T34" s="156"/>
      <c r="U34" s="6"/>
    </row>
    <row r="35" spans="1:21" customFormat="1">
      <c r="A35" s="163" t="s">
        <v>1617</v>
      </c>
      <c r="B35" s="100">
        <v>24.08</v>
      </c>
      <c r="C35" s="100">
        <v>19.28</v>
      </c>
      <c r="D35" s="100">
        <v>29.38</v>
      </c>
      <c r="E35" s="100">
        <v>4.55</v>
      </c>
      <c r="F35" s="100">
        <v>1.3</v>
      </c>
      <c r="G35" s="100">
        <v>80.83</v>
      </c>
      <c r="H35" s="100">
        <v>55.14</v>
      </c>
      <c r="I35" s="100">
        <v>13.77</v>
      </c>
      <c r="J35" s="100">
        <v>0.19</v>
      </c>
      <c r="K35" s="100">
        <v>176.56</v>
      </c>
      <c r="L35" s="100">
        <v>16.12</v>
      </c>
      <c r="M35" s="100">
        <v>88.94</v>
      </c>
      <c r="N35" s="100">
        <v>14.1</v>
      </c>
      <c r="O35" s="100">
        <v>0</v>
      </c>
      <c r="P35" s="100">
        <v>0.97</v>
      </c>
      <c r="Q35" s="100">
        <v>9.32</v>
      </c>
      <c r="R35" s="6"/>
      <c r="S35" s="6"/>
      <c r="T35" s="156"/>
      <c r="U35" s="6"/>
    </row>
    <row r="36" spans="1:21" customFormat="1">
      <c r="A36" s="163" t="s">
        <v>1618</v>
      </c>
      <c r="B36" s="100">
        <v>23.68</v>
      </c>
      <c r="C36" s="100">
        <v>19.28</v>
      </c>
      <c r="D36" s="100">
        <v>29.06</v>
      </c>
      <c r="E36" s="100">
        <v>4.47</v>
      </c>
      <c r="F36" s="100">
        <v>1.33</v>
      </c>
      <c r="G36" s="100">
        <v>80.83</v>
      </c>
      <c r="H36" s="100">
        <v>55.14</v>
      </c>
      <c r="I36" s="100">
        <v>13.79</v>
      </c>
      <c r="J36" s="100">
        <v>0.19</v>
      </c>
      <c r="K36" s="100">
        <v>185.36</v>
      </c>
      <c r="L36" s="100">
        <v>16.12</v>
      </c>
      <c r="M36" s="100">
        <v>90.8</v>
      </c>
      <c r="N36" s="100">
        <v>22.5</v>
      </c>
      <c r="O36" s="100">
        <v>0</v>
      </c>
      <c r="P36" s="100">
        <v>0.98</v>
      </c>
      <c r="Q36" s="100">
        <v>9.32</v>
      </c>
      <c r="R36" s="6"/>
      <c r="S36" s="6"/>
      <c r="T36" s="156"/>
      <c r="U36" s="6"/>
    </row>
    <row r="37" spans="1:21" customFormat="1">
      <c r="A37" s="163" t="s">
        <v>1619</v>
      </c>
      <c r="B37" s="100">
        <v>22.88</v>
      </c>
      <c r="C37" s="100">
        <v>19.04</v>
      </c>
      <c r="D37" s="100">
        <v>28.3</v>
      </c>
      <c r="E37" s="100">
        <v>4.4400000000000004</v>
      </c>
      <c r="F37" s="100">
        <v>1.19</v>
      </c>
      <c r="G37" s="100">
        <v>81.069999999999993</v>
      </c>
      <c r="H37" s="100">
        <v>55.42</v>
      </c>
      <c r="I37" s="100">
        <v>13.89</v>
      </c>
      <c r="J37" s="100">
        <v>0.14000000000000001</v>
      </c>
      <c r="K37" s="100">
        <v>175.16</v>
      </c>
      <c r="L37" s="100">
        <v>16.09</v>
      </c>
      <c r="M37" s="100">
        <v>91.68</v>
      </c>
      <c r="N37" s="100">
        <v>32.799999999999997</v>
      </c>
      <c r="O37" s="100">
        <v>0</v>
      </c>
      <c r="P37" s="100">
        <v>0.97</v>
      </c>
      <c r="Q37" s="100">
        <v>9.32</v>
      </c>
      <c r="R37" s="6"/>
      <c r="S37" s="6"/>
      <c r="T37" s="156"/>
      <c r="U37" s="6"/>
    </row>
    <row r="38" spans="1:21" customFormat="1">
      <c r="A38" s="163" t="s">
        <v>1620</v>
      </c>
      <c r="B38" s="100">
        <v>22.06</v>
      </c>
      <c r="C38" s="100">
        <v>18.559999999999999</v>
      </c>
      <c r="D38" s="100">
        <v>27.39</v>
      </c>
      <c r="E38" s="100">
        <v>4.6100000000000003</v>
      </c>
      <c r="F38" s="100">
        <v>1.0900000000000001</v>
      </c>
      <c r="G38" s="100">
        <v>81.09</v>
      </c>
      <c r="H38" s="100">
        <v>55.42</v>
      </c>
      <c r="I38" s="100">
        <v>14.03</v>
      </c>
      <c r="J38" s="100">
        <v>0.15</v>
      </c>
      <c r="K38" s="100">
        <v>194.68</v>
      </c>
      <c r="L38" s="100">
        <v>16.510000000000002</v>
      </c>
      <c r="M38" s="100">
        <v>92.13</v>
      </c>
      <c r="N38" s="100">
        <v>44.8</v>
      </c>
      <c r="O38" s="100">
        <v>0</v>
      </c>
      <c r="P38" s="100">
        <v>0.97</v>
      </c>
      <c r="Q38" s="100">
        <v>9.32</v>
      </c>
      <c r="R38" s="6"/>
      <c r="S38" s="6"/>
      <c r="T38" s="156"/>
      <c r="U38" s="6"/>
    </row>
    <row r="39" spans="1:21" customFormat="1">
      <c r="A39" s="163" t="s">
        <v>1621</v>
      </c>
      <c r="B39" s="100">
        <v>21.65</v>
      </c>
      <c r="C39" s="100">
        <v>18.350000000000001</v>
      </c>
      <c r="D39" s="100">
        <v>26.94</v>
      </c>
      <c r="E39" s="100">
        <v>4.57</v>
      </c>
      <c r="F39" s="100">
        <v>1.23</v>
      </c>
      <c r="G39" s="100">
        <v>81.09</v>
      </c>
      <c r="H39" s="100">
        <v>55.42</v>
      </c>
      <c r="I39" s="100">
        <v>14.07</v>
      </c>
      <c r="J39" s="100">
        <v>0.17</v>
      </c>
      <c r="K39" s="100">
        <v>220.38</v>
      </c>
      <c r="L39" s="100">
        <v>16.97</v>
      </c>
      <c r="M39" s="100">
        <v>89.73</v>
      </c>
      <c r="N39" s="100">
        <v>58.2</v>
      </c>
      <c r="O39" s="100">
        <v>0</v>
      </c>
      <c r="P39" s="100">
        <v>0.97</v>
      </c>
      <c r="Q39" s="100">
        <v>9.32</v>
      </c>
      <c r="R39" s="6"/>
      <c r="S39" s="6"/>
      <c r="T39" s="156"/>
      <c r="U39" s="6"/>
    </row>
    <row r="40" spans="1:21" customFormat="1">
      <c r="A40" s="163" t="s">
        <v>1622</v>
      </c>
      <c r="B40" s="100">
        <v>21.55</v>
      </c>
      <c r="C40" s="100">
        <v>18.440000000000001</v>
      </c>
      <c r="D40" s="100">
        <v>26.92</v>
      </c>
      <c r="E40" s="100">
        <v>4.46</v>
      </c>
      <c r="F40" s="100">
        <v>1.23</v>
      </c>
      <c r="G40" s="100">
        <v>81.09</v>
      </c>
      <c r="H40" s="100">
        <v>55.42</v>
      </c>
      <c r="I40" s="100">
        <v>14.09</v>
      </c>
      <c r="J40" s="100">
        <v>0.05</v>
      </c>
      <c r="K40" s="100">
        <v>228.38</v>
      </c>
      <c r="L40" s="100">
        <v>17.64</v>
      </c>
      <c r="M40" s="100">
        <v>85.47</v>
      </c>
      <c r="N40" s="100">
        <v>71.599999999999994</v>
      </c>
      <c r="O40" s="100">
        <v>0</v>
      </c>
      <c r="P40" s="100">
        <v>0.99</v>
      </c>
      <c r="Q40" s="100">
        <v>9.32</v>
      </c>
      <c r="R40" s="6"/>
      <c r="S40" s="6"/>
      <c r="T40" s="156"/>
      <c r="U40" s="6"/>
    </row>
    <row r="41" spans="1:21" customFormat="1">
      <c r="A41" s="163" t="s">
        <v>1623</v>
      </c>
      <c r="B41" s="100">
        <v>21.46</v>
      </c>
      <c r="C41" s="100">
        <v>18.73</v>
      </c>
      <c r="D41" s="100">
        <v>27</v>
      </c>
      <c r="E41" s="100">
        <v>4.58</v>
      </c>
      <c r="F41" s="100">
        <v>1.08</v>
      </c>
      <c r="G41" s="100">
        <v>79.739999999999995</v>
      </c>
      <c r="H41" s="100">
        <v>52.84</v>
      </c>
      <c r="I41" s="100">
        <v>14.16</v>
      </c>
      <c r="J41" s="100">
        <v>0.48</v>
      </c>
      <c r="K41" s="100">
        <v>43.65</v>
      </c>
      <c r="L41" s="100">
        <v>18.53</v>
      </c>
      <c r="M41" s="100">
        <v>77.489999999999995</v>
      </c>
      <c r="N41" s="100">
        <v>124</v>
      </c>
      <c r="O41" s="100">
        <v>0</v>
      </c>
      <c r="P41" s="100">
        <v>0.99</v>
      </c>
      <c r="Q41" s="100">
        <v>9.32</v>
      </c>
      <c r="R41" s="6"/>
      <c r="S41" s="6"/>
      <c r="T41" s="156"/>
      <c r="U41" s="6"/>
    </row>
    <row r="42" spans="1:21" customFormat="1">
      <c r="A42" s="163" t="s">
        <v>1624</v>
      </c>
      <c r="B42" s="100">
        <v>21.07</v>
      </c>
      <c r="C42" s="100">
        <v>19.18</v>
      </c>
      <c r="D42" s="100">
        <v>26.92</v>
      </c>
      <c r="E42" s="100">
        <v>4.3600000000000003</v>
      </c>
      <c r="F42" s="100">
        <v>1.31</v>
      </c>
      <c r="G42" s="100">
        <v>79.67</v>
      </c>
      <c r="H42" s="100">
        <v>52.84</v>
      </c>
      <c r="I42" s="100">
        <v>14.27</v>
      </c>
      <c r="J42" s="100">
        <v>0.67</v>
      </c>
      <c r="K42" s="100">
        <v>26.95</v>
      </c>
      <c r="L42" s="100">
        <v>19.21</v>
      </c>
      <c r="M42" s="100">
        <v>73.17</v>
      </c>
      <c r="N42" s="100">
        <v>162.1</v>
      </c>
      <c r="O42" s="100">
        <v>0</v>
      </c>
      <c r="P42" s="100">
        <v>1</v>
      </c>
      <c r="Q42" s="100">
        <v>9.32</v>
      </c>
      <c r="R42" s="6"/>
      <c r="S42" s="6"/>
      <c r="T42" s="156"/>
      <c r="U42" s="6"/>
    </row>
    <row r="43" spans="1:21" customFormat="1">
      <c r="A43" s="163" t="s">
        <v>1625</v>
      </c>
      <c r="B43" s="100">
        <v>20.309999999999999</v>
      </c>
      <c r="C43" s="100">
        <v>19.73</v>
      </c>
      <c r="D43" s="100">
        <v>26.6</v>
      </c>
      <c r="E43" s="100">
        <v>4.6399999999999997</v>
      </c>
      <c r="F43" s="100">
        <v>1.36</v>
      </c>
      <c r="G43" s="100">
        <v>79.67</v>
      </c>
      <c r="H43" s="100">
        <v>52.84</v>
      </c>
      <c r="I43" s="100">
        <v>14.42</v>
      </c>
      <c r="J43" s="100">
        <v>0.16</v>
      </c>
      <c r="K43" s="100">
        <v>68.66</v>
      </c>
      <c r="L43" s="100">
        <v>20.21</v>
      </c>
      <c r="M43" s="100">
        <v>68.599999999999994</v>
      </c>
      <c r="N43" s="100">
        <v>188.1</v>
      </c>
      <c r="O43" s="100">
        <v>0</v>
      </c>
      <c r="P43" s="100">
        <v>1.01</v>
      </c>
      <c r="Q43" s="100">
        <v>9.32</v>
      </c>
      <c r="R43" s="6"/>
      <c r="S43" s="6"/>
      <c r="T43" s="156"/>
      <c r="U43" s="6"/>
    </row>
    <row r="44" spans="1:21" customFormat="1">
      <c r="A44" s="163" t="s">
        <v>1626</v>
      </c>
      <c r="B44" s="100">
        <v>19.260000000000002</v>
      </c>
      <c r="C44" s="100">
        <v>20.04</v>
      </c>
      <c r="D44" s="100">
        <v>25.92</v>
      </c>
      <c r="E44" s="100">
        <v>4.79</v>
      </c>
      <c r="F44" s="100">
        <v>1.47</v>
      </c>
      <c r="G44" s="100">
        <v>79.67</v>
      </c>
      <c r="H44" s="100">
        <v>52.84</v>
      </c>
      <c r="I44" s="100">
        <v>14.51</v>
      </c>
      <c r="J44" s="100">
        <v>0.44</v>
      </c>
      <c r="K44" s="100">
        <v>46.91</v>
      </c>
      <c r="L44" s="100">
        <v>20.9</v>
      </c>
      <c r="M44" s="100">
        <v>65.53</v>
      </c>
      <c r="N44" s="100">
        <v>209</v>
      </c>
      <c r="O44" s="100">
        <v>0</v>
      </c>
      <c r="P44" s="100">
        <v>1.01</v>
      </c>
      <c r="Q44" s="100">
        <v>9.32</v>
      </c>
      <c r="R44" s="6"/>
      <c r="S44" s="6"/>
      <c r="T44" s="156"/>
      <c r="U44" s="6"/>
    </row>
    <row r="45" spans="1:21" customFormat="1">
      <c r="A45" s="163" t="s">
        <v>1627</v>
      </c>
      <c r="B45" s="100">
        <v>18.239999999999998</v>
      </c>
      <c r="C45" s="100">
        <v>20.309999999999999</v>
      </c>
      <c r="D45" s="100">
        <v>25.23</v>
      </c>
      <c r="E45" s="100">
        <v>4.8</v>
      </c>
      <c r="F45" s="100">
        <v>1.38</v>
      </c>
      <c r="G45" s="100">
        <v>88.36</v>
      </c>
      <c r="H45" s="100">
        <v>56.27</v>
      </c>
      <c r="I45" s="100">
        <v>14.53</v>
      </c>
      <c r="J45" s="100">
        <v>0.64</v>
      </c>
      <c r="K45" s="100">
        <v>50.48</v>
      </c>
      <c r="L45" s="100">
        <v>21.26</v>
      </c>
      <c r="M45" s="100">
        <v>63.88</v>
      </c>
      <c r="N45" s="100">
        <v>157.19999999999999</v>
      </c>
      <c r="O45" s="100">
        <v>0</v>
      </c>
      <c r="P45" s="100">
        <v>1.01</v>
      </c>
      <c r="Q45" s="100">
        <v>9.32</v>
      </c>
      <c r="R45" s="6"/>
      <c r="S45" s="6"/>
      <c r="T45" s="156"/>
      <c r="U45" s="6"/>
    </row>
    <row r="46" spans="1:21" customFormat="1">
      <c r="A46" s="163" t="s">
        <v>1628</v>
      </c>
      <c r="B46" s="100">
        <v>17.29</v>
      </c>
      <c r="C46" s="100">
        <v>20.82</v>
      </c>
      <c r="D46" s="100">
        <v>24.74</v>
      </c>
      <c r="E46" s="100">
        <v>4.76</v>
      </c>
      <c r="F46" s="100">
        <v>1.35</v>
      </c>
      <c r="G46" s="100">
        <v>88.87</v>
      </c>
      <c r="H46" s="100">
        <v>56.27</v>
      </c>
      <c r="I46" s="100">
        <v>14.58</v>
      </c>
      <c r="J46" s="100">
        <v>0.75</v>
      </c>
      <c r="K46" s="100">
        <v>45.1</v>
      </c>
      <c r="L46" s="100">
        <v>21.9</v>
      </c>
      <c r="M46" s="100">
        <v>61.71</v>
      </c>
      <c r="N46" s="100">
        <v>146.19999999999999</v>
      </c>
      <c r="O46" s="100">
        <v>0</v>
      </c>
      <c r="P46" s="100">
        <v>1.01</v>
      </c>
      <c r="Q46" s="100">
        <v>9.32</v>
      </c>
      <c r="R46" s="6"/>
      <c r="S46" s="6"/>
      <c r="T46" s="156"/>
      <c r="U46" s="6"/>
    </row>
    <row r="47" spans="1:21" customFormat="1">
      <c r="A47" s="163" t="s">
        <v>1629</v>
      </c>
      <c r="B47" s="100">
        <v>16.420000000000002</v>
      </c>
      <c r="C47" s="100">
        <v>21.33</v>
      </c>
      <c r="D47" s="100">
        <v>24.31</v>
      </c>
      <c r="E47" s="100">
        <v>4.75</v>
      </c>
      <c r="F47" s="100">
        <v>1.44</v>
      </c>
      <c r="G47" s="100">
        <v>88.87</v>
      </c>
      <c r="H47" s="100">
        <v>56.27</v>
      </c>
      <c r="I47" s="100">
        <v>14.63</v>
      </c>
      <c r="J47" s="100">
        <v>0.76</v>
      </c>
      <c r="K47" s="100">
        <v>34.630000000000003</v>
      </c>
      <c r="L47" s="100">
        <v>22.85</v>
      </c>
      <c r="M47" s="100">
        <v>58.59</v>
      </c>
      <c r="N47" s="100">
        <v>154.1</v>
      </c>
      <c r="O47" s="100">
        <v>0</v>
      </c>
      <c r="P47" s="100">
        <v>1</v>
      </c>
      <c r="Q47" s="100">
        <v>9.32</v>
      </c>
      <c r="R47" s="6"/>
      <c r="S47" s="6"/>
      <c r="T47" s="156"/>
      <c r="U47" s="6"/>
    </row>
    <row r="48" spans="1:21" customFormat="1">
      <c r="A48" s="163" t="s">
        <v>1630</v>
      </c>
      <c r="B48" s="100">
        <v>15.55</v>
      </c>
      <c r="C48" s="100">
        <v>21.92</v>
      </c>
      <c r="D48" s="100">
        <v>23.92</v>
      </c>
      <c r="E48" s="100">
        <v>4.78</v>
      </c>
      <c r="F48" s="100">
        <v>1.47</v>
      </c>
      <c r="G48" s="100">
        <v>88.87</v>
      </c>
      <c r="H48" s="100">
        <v>56.27</v>
      </c>
      <c r="I48" s="100">
        <v>16.79</v>
      </c>
      <c r="J48" s="100">
        <v>1</v>
      </c>
      <c r="K48" s="100">
        <v>41.44</v>
      </c>
      <c r="L48" s="100">
        <v>23.38</v>
      </c>
      <c r="M48" s="100">
        <v>56.45</v>
      </c>
      <c r="N48" s="100">
        <v>188.9</v>
      </c>
      <c r="O48" s="100">
        <v>0</v>
      </c>
      <c r="P48" s="100">
        <v>1</v>
      </c>
      <c r="Q48" s="100">
        <v>9.32</v>
      </c>
      <c r="R48" s="6"/>
      <c r="S48" s="6"/>
      <c r="T48" s="156"/>
      <c r="U48" s="6"/>
    </row>
    <row r="49" spans="1:21" customFormat="1">
      <c r="A49" s="163" t="s">
        <v>1631</v>
      </c>
      <c r="B49" s="100">
        <v>14.56</v>
      </c>
      <c r="C49" s="100">
        <v>22.34</v>
      </c>
      <c r="D49" s="100">
        <v>23.35</v>
      </c>
      <c r="E49" s="100">
        <v>4.63</v>
      </c>
      <c r="F49" s="100">
        <v>1.44</v>
      </c>
      <c r="G49" s="100">
        <v>95.52</v>
      </c>
      <c r="H49" s="100">
        <v>56.43</v>
      </c>
      <c r="I49" s="100">
        <v>16.96</v>
      </c>
      <c r="J49" s="100">
        <v>0.56999999999999995</v>
      </c>
      <c r="K49" s="100">
        <v>54.65</v>
      </c>
      <c r="L49" s="100">
        <v>24.2</v>
      </c>
      <c r="M49" s="100">
        <v>54.07</v>
      </c>
      <c r="N49" s="100">
        <v>359.4</v>
      </c>
      <c r="O49" s="100">
        <v>0</v>
      </c>
      <c r="P49" s="100">
        <v>0.98</v>
      </c>
      <c r="Q49" s="100">
        <v>9.32</v>
      </c>
      <c r="R49" s="6"/>
      <c r="S49" s="6"/>
      <c r="T49" s="156"/>
      <c r="U49" s="6"/>
    </row>
    <row r="50" spans="1:21" customFormat="1">
      <c r="A50" s="163" t="s">
        <v>1632</v>
      </c>
      <c r="B50" s="100">
        <v>13.3</v>
      </c>
      <c r="C50" s="100">
        <v>22.51</v>
      </c>
      <c r="D50" s="100">
        <v>22.43</v>
      </c>
      <c r="E50" s="100">
        <v>5.61</v>
      </c>
      <c r="F50" s="100">
        <v>1.75</v>
      </c>
      <c r="G50" s="100">
        <v>95.99</v>
      </c>
      <c r="H50" s="100">
        <v>56.43</v>
      </c>
      <c r="I50" s="100">
        <v>14.56</v>
      </c>
      <c r="J50" s="100">
        <v>0.38</v>
      </c>
      <c r="K50" s="100">
        <v>52.36</v>
      </c>
      <c r="L50" s="100">
        <v>25.02</v>
      </c>
      <c r="M50" s="100">
        <v>51.18</v>
      </c>
      <c r="N50" s="100">
        <v>395.6</v>
      </c>
      <c r="O50" s="100">
        <v>0</v>
      </c>
      <c r="P50" s="100">
        <v>0.97</v>
      </c>
      <c r="Q50" s="100">
        <v>9.32</v>
      </c>
      <c r="R50" s="6"/>
      <c r="S50" s="6"/>
      <c r="T50" s="156"/>
      <c r="U50" s="6"/>
    </row>
    <row r="51" spans="1:21" customFormat="1">
      <c r="A51" s="163" t="s">
        <v>1633</v>
      </c>
      <c r="B51" s="100">
        <v>11.99</v>
      </c>
      <c r="C51" s="100">
        <v>22.71</v>
      </c>
      <c r="D51" s="100">
        <v>21.48</v>
      </c>
      <c r="E51" s="100">
        <v>5.59</v>
      </c>
      <c r="F51" s="100">
        <v>1.7</v>
      </c>
      <c r="G51" s="100">
        <v>95.99</v>
      </c>
      <c r="H51" s="100">
        <v>56.43</v>
      </c>
      <c r="I51" s="100">
        <v>14.44</v>
      </c>
      <c r="J51" s="100">
        <v>0.54</v>
      </c>
      <c r="K51" s="100">
        <v>51.77</v>
      </c>
      <c r="L51" s="100">
        <v>25.46</v>
      </c>
      <c r="M51" s="100">
        <v>49.96</v>
      </c>
      <c r="N51" s="100">
        <v>411</v>
      </c>
      <c r="O51" s="100">
        <v>0</v>
      </c>
      <c r="P51" s="100">
        <v>0.97</v>
      </c>
      <c r="Q51" s="100">
        <v>9.32</v>
      </c>
      <c r="R51" s="6"/>
      <c r="S51" s="6"/>
      <c r="T51" s="156"/>
      <c r="U51" s="6"/>
    </row>
    <row r="52" spans="1:21" customFormat="1">
      <c r="A52" s="163" t="s">
        <v>1634</v>
      </c>
      <c r="B52" s="100">
        <v>11.11</v>
      </c>
      <c r="C52" s="100">
        <v>22.74</v>
      </c>
      <c r="D52" s="100">
        <v>20.79</v>
      </c>
      <c r="E52" s="100">
        <v>5.59</v>
      </c>
      <c r="F52" s="100">
        <v>1.58</v>
      </c>
      <c r="G52" s="100">
        <v>95.99</v>
      </c>
      <c r="H52" s="100">
        <v>56.43</v>
      </c>
      <c r="I52" s="100">
        <v>14.26</v>
      </c>
      <c r="J52" s="100">
        <v>0.28000000000000003</v>
      </c>
      <c r="K52" s="100">
        <v>354.29</v>
      </c>
      <c r="L52" s="100">
        <v>26.07</v>
      </c>
      <c r="M52" s="100">
        <v>47.94</v>
      </c>
      <c r="N52" s="100">
        <v>419.3</v>
      </c>
      <c r="O52" s="100">
        <v>0</v>
      </c>
      <c r="P52" s="100">
        <v>0.99</v>
      </c>
      <c r="Q52" s="100">
        <v>9.32</v>
      </c>
      <c r="R52" s="6"/>
      <c r="S52" s="6"/>
      <c r="T52" s="156"/>
      <c r="U52" s="6"/>
    </row>
    <row r="53" spans="1:21" customFormat="1">
      <c r="A53" s="163" t="s">
        <v>1635</v>
      </c>
      <c r="B53" s="100">
        <v>10.42</v>
      </c>
      <c r="C53" s="100">
        <v>22.37</v>
      </c>
      <c r="D53" s="100">
        <v>20.04</v>
      </c>
      <c r="E53" s="100">
        <v>5.71</v>
      </c>
      <c r="F53" s="100">
        <v>1.71</v>
      </c>
      <c r="G53" s="100">
        <v>92.84</v>
      </c>
      <c r="H53" s="100">
        <v>53.81</v>
      </c>
      <c r="I53" s="100">
        <v>14.04</v>
      </c>
      <c r="J53" s="100">
        <v>0.26</v>
      </c>
      <c r="K53" s="100">
        <v>30.53</v>
      </c>
      <c r="L53" s="100">
        <v>26.72</v>
      </c>
      <c r="M53" s="100">
        <v>44.88</v>
      </c>
      <c r="N53" s="100">
        <v>422.6</v>
      </c>
      <c r="O53" s="100">
        <v>0</v>
      </c>
      <c r="P53" s="100">
        <v>0.97</v>
      </c>
      <c r="Q53" s="100">
        <v>9.32</v>
      </c>
      <c r="R53" s="6"/>
      <c r="S53" s="6"/>
      <c r="T53" s="156"/>
      <c r="U53" s="6"/>
    </row>
    <row r="54" spans="1:21" customFormat="1">
      <c r="A54" s="163" t="s">
        <v>1636</v>
      </c>
      <c r="B54" s="100">
        <v>9.58</v>
      </c>
      <c r="C54" s="100">
        <v>22</v>
      </c>
      <c r="D54" s="100">
        <v>19.18</v>
      </c>
      <c r="E54" s="100">
        <v>5.69</v>
      </c>
      <c r="F54" s="100">
        <v>1.72</v>
      </c>
      <c r="G54" s="100">
        <v>92.66</v>
      </c>
      <c r="H54" s="100">
        <v>53.81</v>
      </c>
      <c r="I54" s="100">
        <v>13.84</v>
      </c>
      <c r="J54" s="100">
        <v>0.45</v>
      </c>
      <c r="K54" s="100">
        <v>63.27</v>
      </c>
      <c r="L54" s="100">
        <v>27.2</v>
      </c>
      <c r="M54" s="100">
        <v>42.35</v>
      </c>
      <c r="N54" s="100">
        <v>458.1</v>
      </c>
      <c r="O54" s="100">
        <v>0</v>
      </c>
      <c r="P54" s="100">
        <v>0.96</v>
      </c>
      <c r="Q54" s="100">
        <v>9.32</v>
      </c>
      <c r="R54" s="6"/>
      <c r="S54" s="6"/>
      <c r="T54" s="156"/>
      <c r="U54" s="6"/>
    </row>
    <row r="55" spans="1:21" customFormat="1">
      <c r="A55" s="163" t="s">
        <v>1637</v>
      </c>
      <c r="B55" s="100">
        <v>8.64</v>
      </c>
      <c r="C55" s="100">
        <v>21.69</v>
      </c>
      <c r="D55" s="100">
        <v>18.260000000000002</v>
      </c>
      <c r="E55" s="100">
        <v>5.92</v>
      </c>
      <c r="F55" s="100">
        <v>2.14</v>
      </c>
      <c r="G55" s="100">
        <v>92.66</v>
      </c>
      <c r="H55" s="100">
        <v>53.81</v>
      </c>
      <c r="I55" s="100">
        <v>13.7</v>
      </c>
      <c r="J55" s="100">
        <v>0.32</v>
      </c>
      <c r="K55" s="100">
        <v>48.25</v>
      </c>
      <c r="L55" s="100">
        <v>27.46</v>
      </c>
      <c r="M55" s="100">
        <v>40.39</v>
      </c>
      <c r="N55" s="100">
        <v>472</v>
      </c>
      <c r="O55" s="100">
        <v>0</v>
      </c>
      <c r="P55" s="100">
        <v>0.95</v>
      </c>
      <c r="Q55" s="100">
        <v>9.32</v>
      </c>
      <c r="R55" s="6"/>
      <c r="S55" s="6"/>
      <c r="T55" s="156"/>
      <c r="U55" s="6"/>
    </row>
    <row r="56" spans="1:21" customFormat="1">
      <c r="A56" s="163" t="s">
        <v>1638</v>
      </c>
      <c r="B56" s="100">
        <v>7.67</v>
      </c>
      <c r="C56" s="100">
        <v>21.3</v>
      </c>
      <c r="D56" s="100">
        <v>17.27</v>
      </c>
      <c r="E56" s="100">
        <v>6.16</v>
      </c>
      <c r="F56" s="100">
        <v>4.34</v>
      </c>
      <c r="G56" s="100">
        <v>92.66</v>
      </c>
      <c r="H56" s="100">
        <v>53.81</v>
      </c>
      <c r="I56" s="100">
        <v>13.54</v>
      </c>
      <c r="J56" s="100">
        <v>0.36</v>
      </c>
      <c r="K56" s="100">
        <v>353.91</v>
      </c>
      <c r="L56" s="100">
        <v>27.85</v>
      </c>
      <c r="M56" s="100">
        <v>38.68</v>
      </c>
      <c r="N56" s="100">
        <v>467.2</v>
      </c>
      <c r="O56" s="100">
        <v>0</v>
      </c>
      <c r="P56" s="100">
        <v>0.94</v>
      </c>
      <c r="Q56" s="100">
        <v>9.32</v>
      </c>
      <c r="R56" s="6"/>
      <c r="S56" s="6"/>
      <c r="T56" s="156"/>
      <c r="U56" s="6"/>
    </row>
    <row r="57" spans="1:21" customFormat="1">
      <c r="A57" s="163" t="s">
        <v>1639</v>
      </c>
      <c r="B57" s="100">
        <v>6.81</v>
      </c>
      <c r="C57" s="100">
        <v>21.12</v>
      </c>
      <c r="D57" s="100">
        <v>16.5</v>
      </c>
      <c r="E57" s="100">
        <v>5.89</v>
      </c>
      <c r="F57" s="100">
        <v>3.03</v>
      </c>
      <c r="G57" s="100">
        <v>87.79</v>
      </c>
      <c r="H57" s="100">
        <v>50.72</v>
      </c>
      <c r="I57" s="100">
        <v>14.86</v>
      </c>
      <c r="J57" s="100">
        <v>0.23</v>
      </c>
      <c r="K57" s="100">
        <v>182.42</v>
      </c>
      <c r="L57" s="100">
        <v>28.46</v>
      </c>
      <c r="M57" s="100">
        <v>37.78</v>
      </c>
      <c r="N57" s="100">
        <v>472.1</v>
      </c>
      <c r="O57" s="100">
        <v>0</v>
      </c>
      <c r="P57" s="100">
        <v>0.93</v>
      </c>
      <c r="Q57" s="100">
        <v>9.32</v>
      </c>
      <c r="R57" s="6"/>
      <c r="S57" s="6"/>
      <c r="T57" s="156"/>
      <c r="U57" s="6"/>
    </row>
    <row r="58" spans="1:21" customFormat="1">
      <c r="A58" s="163" t="s">
        <v>1640</v>
      </c>
      <c r="B58" s="100">
        <v>5.97</v>
      </c>
      <c r="C58" s="100">
        <v>20.71</v>
      </c>
      <c r="D58" s="100">
        <v>15.61</v>
      </c>
      <c r="E58" s="100">
        <v>5.87</v>
      </c>
      <c r="F58" s="100">
        <v>2.4900000000000002</v>
      </c>
      <c r="G58" s="100">
        <v>87.5</v>
      </c>
      <c r="H58" s="100">
        <v>50.72</v>
      </c>
      <c r="I58" s="100">
        <v>16.29</v>
      </c>
      <c r="J58" s="100">
        <v>0.22</v>
      </c>
      <c r="K58" s="100">
        <v>133.37</v>
      </c>
      <c r="L58" s="100">
        <v>28.95</v>
      </c>
      <c r="M58" s="100">
        <v>36.35</v>
      </c>
      <c r="N58" s="100">
        <v>476.3</v>
      </c>
      <c r="O58" s="100">
        <v>0</v>
      </c>
      <c r="P58" s="100">
        <v>0.92</v>
      </c>
      <c r="Q58" s="100">
        <v>9.32</v>
      </c>
      <c r="R58" s="6"/>
      <c r="S58" s="6"/>
      <c r="T58" s="156"/>
      <c r="U58" s="6"/>
    </row>
    <row r="59" spans="1:21" customFormat="1">
      <c r="A59" s="163" t="s">
        <v>1641</v>
      </c>
      <c r="B59" s="100">
        <v>5.22</v>
      </c>
      <c r="C59" s="100">
        <v>20.190000000000001</v>
      </c>
      <c r="D59" s="100">
        <v>14.74</v>
      </c>
      <c r="E59" s="100">
        <v>6</v>
      </c>
      <c r="F59" s="100">
        <v>3.5</v>
      </c>
      <c r="G59" s="100">
        <v>87.5</v>
      </c>
      <c r="H59" s="100">
        <v>50.72</v>
      </c>
      <c r="I59" s="100">
        <v>16.13</v>
      </c>
      <c r="J59" s="100">
        <v>0.28999999999999998</v>
      </c>
      <c r="K59" s="100">
        <v>180</v>
      </c>
      <c r="L59" s="100">
        <v>29.08</v>
      </c>
      <c r="M59" s="100">
        <v>35.32</v>
      </c>
      <c r="N59" s="100">
        <v>471.7</v>
      </c>
      <c r="O59" s="100">
        <v>0</v>
      </c>
      <c r="P59" s="100">
        <v>0.9</v>
      </c>
      <c r="Q59" s="100">
        <v>9.32</v>
      </c>
      <c r="R59" s="6"/>
      <c r="S59" s="6"/>
      <c r="T59" s="156"/>
      <c r="U59" s="6"/>
    </row>
    <row r="60" spans="1:21" customFormat="1">
      <c r="A60" s="163" t="s">
        <v>1642</v>
      </c>
      <c r="B60" s="100">
        <v>4.62</v>
      </c>
      <c r="C60" s="100">
        <v>19.68</v>
      </c>
      <c r="D60" s="100">
        <v>13.98</v>
      </c>
      <c r="E60" s="100">
        <v>6.36</v>
      </c>
      <c r="F60" s="100">
        <v>4.21</v>
      </c>
      <c r="G60" s="100">
        <v>87.5</v>
      </c>
      <c r="H60" s="100">
        <v>50.72</v>
      </c>
      <c r="I60" s="100">
        <v>16.010000000000002</v>
      </c>
      <c r="J60" s="100">
        <v>0.14000000000000001</v>
      </c>
      <c r="K60" s="100">
        <v>13.73</v>
      </c>
      <c r="L60" s="100">
        <v>29.27</v>
      </c>
      <c r="M60" s="100">
        <v>33.93</v>
      </c>
      <c r="N60" s="100">
        <v>432.6</v>
      </c>
      <c r="O60" s="100">
        <v>0</v>
      </c>
      <c r="P60" s="100">
        <v>0.89</v>
      </c>
      <c r="Q60" s="100">
        <v>9.32</v>
      </c>
      <c r="R60" s="6"/>
      <c r="S60" s="6"/>
      <c r="T60" s="156"/>
      <c r="U60" s="6"/>
    </row>
    <row r="61" spans="1:21" customFormat="1">
      <c r="A61" s="163" t="s">
        <v>1643</v>
      </c>
      <c r="B61" s="100">
        <v>4.2</v>
      </c>
      <c r="C61" s="100">
        <v>19.3</v>
      </c>
      <c r="D61" s="100">
        <v>13.45</v>
      </c>
      <c r="E61" s="100">
        <v>6.37</v>
      </c>
      <c r="F61" s="100">
        <v>4.18</v>
      </c>
      <c r="G61" s="100">
        <v>80.27</v>
      </c>
      <c r="H61" s="100">
        <v>47.38</v>
      </c>
      <c r="I61" s="100">
        <v>15.79</v>
      </c>
      <c r="J61" s="100">
        <v>0.27</v>
      </c>
      <c r="K61" s="100">
        <v>56.9</v>
      </c>
      <c r="L61" s="100">
        <v>29.03</v>
      </c>
      <c r="M61" s="100">
        <v>33.5</v>
      </c>
      <c r="N61" s="100">
        <v>360.2</v>
      </c>
      <c r="O61" s="100">
        <v>0</v>
      </c>
      <c r="P61" s="100">
        <v>0.88</v>
      </c>
      <c r="Q61" s="100">
        <v>9.32</v>
      </c>
      <c r="R61" s="6"/>
      <c r="S61" s="6"/>
      <c r="T61" s="156"/>
      <c r="U61" s="6"/>
    </row>
    <row r="62" spans="1:21" customFormat="1">
      <c r="A62" s="163" t="s">
        <v>1644</v>
      </c>
      <c r="B62" s="100">
        <v>3.94</v>
      </c>
      <c r="C62" s="100">
        <v>18.88</v>
      </c>
      <c r="D62" s="100">
        <v>13.02</v>
      </c>
      <c r="E62" s="100">
        <v>6.58</v>
      </c>
      <c r="F62" s="100">
        <v>5.33</v>
      </c>
      <c r="G62" s="100">
        <v>79.849999999999994</v>
      </c>
      <c r="H62" s="100">
        <v>47.38</v>
      </c>
      <c r="I62" s="100">
        <v>15.62</v>
      </c>
      <c r="J62" s="100">
        <v>0.33</v>
      </c>
      <c r="K62" s="100">
        <v>45.24</v>
      </c>
      <c r="L62" s="100">
        <v>28.78</v>
      </c>
      <c r="M62" s="100">
        <v>33.590000000000003</v>
      </c>
      <c r="N62" s="100">
        <v>184.1</v>
      </c>
      <c r="O62" s="100">
        <v>0</v>
      </c>
      <c r="P62" s="100">
        <v>0.87</v>
      </c>
      <c r="Q62" s="100">
        <v>9.32</v>
      </c>
      <c r="R62" s="6"/>
      <c r="S62" s="6"/>
      <c r="T62" s="156"/>
      <c r="U62" s="6"/>
    </row>
    <row r="63" spans="1:21" customFormat="1">
      <c r="A63" s="163" t="s">
        <v>1645</v>
      </c>
      <c r="B63" s="100">
        <v>3.72</v>
      </c>
      <c r="C63" s="100">
        <v>18.32</v>
      </c>
      <c r="D63" s="100">
        <v>12.56</v>
      </c>
      <c r="E63" s="100">
        <v>6.39</v>
      </c>
      <c r="F63" s="100">
        <v>4.0999999999999996</v>
      </c>
      <c r="G63" s="100">
        <v>79.849999999999994</v>
      </c>
      <c r="H63" s="100">
        <v>47.38</v>
      </c>
      <c r="I63" s="100">
        <v>15.46</v>
      </c>
      <c r="J63" s="100">
        <v>0.26</v>
      </c>
      <c r="K63" s="100">
        <v>306.04000000000002</v>
      </c>
      <c r="L63" s="100">
        <v>28.6</v>
      </c>
      <c r="M63" s="100">
        <v>34.78</v>
      </c>
      <c r="N63" s="100">
        <v>159.80000000000001</v>
      </c>
      <c r="O63" s="100">
        <v>0</v>
      </c>
      <c r="P63" s="100">
        <v>0.85</v>
      </c>
      <c r="Q63" s="100">
        <v>9.32</v>
      </c>
      <c r="R63" s="6"/>
      <c r="S63" s="6"/>
      <c r="T63" s="156"/>
      <c r="U63" s="6"/>
    </row>
    <row r="64" spans="1:21" customFormat="1">
      <c r="A64" s="163" t="s">
        <v>1646</v>
      </c>
      <c r="B64" s="100">
        <v>3.54</v>
      </c>
      <c r="C64" s="100">
        <v>17.88</v>
      </c>
      <c r="D64" s="100">
        <v>12.18</v>
      </c>
      <c r="E64" s="100">
        <v>6.45</v>
      </c>
      <c r="F64" s="100">
        <v>4.96</v>
      </c>
      <c r="G64" s="100">
        <v>79.849999999999994</v>
      </c>
      <c r="H64" s="100">
        <v>47.38</v>
      </c>
      <c r="I64" s="100">
        <v>15.24</v>
      </c>
      <c r="J64" s="100">
        <v>0.35</v>
      </c>
      <c r="K64" s="100">
        <v>60.14</v>
      </c>
      <c r="L64" s="100">
        <v>28.64</v>
      </c>
      <c r="M64" s="100">
        <v>33.44</v>
      </c>
      <c r="N64" s="100">
        <v>134.30000000000001</v>
      </c>
      <c r="O64" s="100">
        <v>0</v>
      </c>
      <c r="P64" s="100">
        <v>0.85</v>
      </c>
      <c r="Q64" s="100">
        <v>9.32</v>
      </c>
      <c r="R64" s="6"/>
      <c r="S64" s="6"/>
      <c r="T64" s="156"/>
      <c r="U64" s="6"/>
    </row>
    <row r="65" spans="1:21" customFormat="1">
      <c r="A65" s="163" t="s">
        <v>1647</v>
      </c>
      <c r="B65" s="100">
        <v>3.48</v>
      </c>
      <c r="C65" s="100">
        <v>17.510000000000002</v>
      </c>
      <c r="D65" s="100">
        <v>11.94</v>
      </c>
      <c r="E65" s="100">
        <v>6.58</v>
      </c>
      <c r="F65" s="100">
        <v>5.36</v>
      </c>
      <c r="G65" s="100">
        <v>72.67</v>
      </c>
      <c r="H65" s="100">
        <v>46.4</v>
      </c>
      <c r="I65" s="100">
        <v>14.82</v>
      </c>
      <c r="J65" s="100">
        <v>0.7</v>
      </c>
      <c r="K65" s="100">
        <v>42.05</v>
      </c>
      <c r="L65" s="100">
        <v>28.89</v>
      </c>
      <c r="M65" s="100">
        <v>29.51</v>
      </c>
      <c r="N65" s="100">
        <v>123</v>
      </c>
      <c r="O65" s="100">
        <v>0</v>
      </c>
      <c r="P65" s="100">
        <v>0.74</v>
      </c>
      <c r="Q65" s="100">
        <v>9.32</v>
      </c>
      <c r="R65" s="6"/>
      <c r="S65" s="6"/>
      <c r="T65" s="156"/>
      <c r="U65" s="6"/>
    </row>
    <row r="66" spans="1:21" customFormat="1">
      <c r="A66" s="163" t="s">
        <v>1648</v>
      </c>
      <c r="B66" s="100">
        <v>3.43</v>
      </c>
      <c r="C66" s="100">
        <v>17.3</v>
      </c>
      <c r="D66" s="100">
        <v>11.79</v>
      </c>
      <c r="E66" s="100">
        <v>6.68</v>
      </c>
      <c r="F66" s="100">
        <v>5.4</v>
      </c>
      <c r="G66" s="100">
        <v>72.239999999999995</v>
      </c>
      <c r="H66" s="100">
        <v>46.4</v>
      </c>
      <c r="I66" s="100">
        <v>14.46</v>
      </c>
      <c r="J66" s="100">
        <v>0.11</v>
      </c>
      <c r="K66" s="100">
        <v>345.72</v>
      </c>
      <c r="L66" s="100">
        <v>28.81</v>
      </c>
      <c r="M66" s="100">
        <v>29.59</v>
      </c>
      <c r="N66" s="100">
        <v>124.6</v>
      </c>
      <c r="O66" s="100">
        <v>0</v>
      </c>
      <c r="P66" s="100">
        <v>0.78</v>
      </c>
      <c r="Q66" s="100">
        <v>9.32</v>
      </c>
      <c r="R66" s="6"/>
      <c r="S66" s="6"/>
      <c r="T66" s="156"/>
      <c r="U66" s="6"/>
    </row>
    <row r="67" spans="1:21" customFormat="1">
      <c r="A67" s="163" t="s">
        <v>1649</v>
      </c>
      <c r="B67" s="100">
        <v>3.38</v>
      </c>
      <c r="C67" s="100">
        <v>16.88</v>
      </c>
      <c r="D67" s="100">
        <v>11.53</v>
      </c>
      <c r="E67" s="100">
        <v>6.7</v>
      </c>
      <c r="F67" s="100">
        <v>4.4000000000000004</v>
      </c>
      <c r="G67" s="100">
        <v>72.239999999999995</v>
      </c>
      <c r="H67" s="100">
        <v>46.4</v>
      </c>
      <c r="I67" s="100">
        <v>14.31</v>
      </c>
      <c r="J67" s="100">
        <v>0.12</v>
      </c>
      <c r="K67" s="100">
        <v>267.64999999999998</v>
      </c>
      <c r="L67" s="100">
        <v>28.71</v>
      </c>
      <c r="M67" s="100">
        <v>32.6</v>
      </c>
      <c r="N67" s="100">
        <v>112</v>
      </c>
      <c r="O67" s="100">
        <v>0</v>
      </c>
      <c r="P67" s="100">
        <v>0.77</v>
      </c>
      <c r="Q67" s="100">
        <v>9.32</v>
      </c>
      <c r="R67" s="6"/>
      <c r="S67" s="6"/>
      <c r="T67" s="156"/>
      <c r="U67" s="6"/>
    </row>
    <row r="68" spans="1:21" customFormat="1">
      <c r="A68" s="163" t="s">
        <v>1650</v>
      </c>
      <c r="B68" s="100">
        <v>3.32</v>
      </c>
      <c r="C68" s="100">
        <v>16.55</v>
      </c>
      <c r="D68" s="100">
        <v>11.31</v>
      </c>
      <c r="E68" s="100">
        <v>6.63</v>
      </c>
      <c r="F68" s="100">
        <v>8.6300000000000008</v>
      </c>
      <c r="G68" s="100">
        <v>72.239999999999995</v>
      </c>
      <c r="H68" s="100">
        <v>46.4</v>
      </c>
      <c r="I68" s="100">
        <v>14.13</v>
      </c>
      <c r="J68" s="100">
        <v>0.05</v>
      </c>
      <c r="K68" s="100">
        <v>160.94999999999999</v>
      </c>
      <c r="L68" s="100">
        <v>28.66</v>
      </c>
      <c r="M68" s="100">
        <v>31.12</v>
      </c>
      <c r="N68" s="100">
        <v>98.8</v>
      </c>
      <c r="O68" s="100">
        <v>0</v>
      </c>
      <c r="P68" s="100">
        <v>0.76</v>
      </c>
      <c r="Q68" s="100">
        <v>9.32</v>
      </c>
      <c r="R68" s="6"/>
      <c r="S68" s="6"/>
      <c r="T68" s="156"/>
      <c r="U68" s="6"/>
    </row>
    <row r="69" spans="1:21" customFormat="1">
      <c r="A69" s="163" t="s">
        <v>1651</v>
      </c>
      <c r="B69" s="100">
        <v>3.29</v>
      </c>
      <c r="C69" s="100">
        <v>16.12</v>
      </c>
      <c r="D69" s="100">
        <v>11.06</v>
      </c>
      <c r="E69" s="100">
        <v>8.64</v>
      </c>
      <c r="F69" s="100">
        <v>7.06</v>
      </c>
      <c r="G69" s="100">
        <v>62.59</v>
      </c>
      <c r="H69" s="100">
        <v>41.89</v>
      </c>
      <c r="I69" s="100">
        <v>13.91</v>
      </c>
      <c r="J69" s="100">
        <v>0.1</v>
      </c>
      <c r="K69" s="100">
        <v>88.89</v>
      </c>
      <c r="L69" s="100">
        <v>28.79</v>
      </c>
      <c r="M69" s="100">
        <v>32.979999999999997</v>
      </c>
      <c r="N69" s="100">
        <v>91.4</v>
      </c>
      <c r="O69" s="100">
        <v>0</v>
      </c>
      <c r="P69" s="100">
        <v>0.74</v>
      </c>
      <c r="Q69" s="100">
        <v>9.32</v>
      </c>
      <c r="R69" s="6"/>
      <c r="S69" s="6"/>
      <c r="T69" s="156"/>
      <c r="U69" s="6"/>
    </row>
    <row r="70" spans="1:21" customFormat="1">
      <c r="A70" s="163" t="s">
        <v>1652</v>
      </c>
      <c r="B70" s="100">
        <v>3.31</v>
      </c>
      <c r="C70" s="100">
        <v>15.88</v>
      </c>
      <c r="D70" s="100">
        <v>10.95</v>
      </c>
      <c r="E70" s="100">
        <v>6.74</v>
      </c>
      <c r="F70" s="100">
        <v>4.84</v>
      </c>
      <c r="G70" s="100">
        <v>62.02</v>
      </c>
      <c r="H70" s="100">
        <v>41.89</v>
      </c>
      <c r="I70" s="100">
        <v>13.65</v>
      </c>
      <c r="J70" s="100">
        <v>0.12</v>
      </c>
      <c r="K70" s="100">
        <v>275.52999999999997</v>
      </c>
      <c r="L70" s="100">
        <v>28.44</v>
      </c>
      <c r="M70" s="100">
        <v>34.880000000000003</v>
      </c>
      <c r="N70" s="100">
        <v>80.400000000000006</v>
      </c>
      <c r="O70" s="100">
        <v>0</v>
      </c>
      <c r="P70" s="100">
        <v>0.74</v>
      </c>
      <c r="Q70" s="100">
        <v>9.32</v>
      </c>
      <c r="R70" s="6"/>
      <c r="S70" s="6"/>
      <c r="T70" s="156"/>
      <c r="U70" s="6"/>
    </row>
    <row r="71" spans="1:21" customFormat="1">
      <c r="A71" s="163" t="s">
        <v>1653</v>
      </c>
      <c r="B71" s="100">
        <v>3.24</v>
      </c>
      <c r="C71" s="100">
        <v>15.84</v>
      </c>
      <c r="D71" s="100">
        <v>10.88</v>
      </c>
      <c r="E71" s="100">
        <v>5.33</v>
      </c>
      <c r="F71" s="100">
        <v>4.29</v>
      </c>
      <c r="G71" s="100">
        <v>62.02</v>
      </c>
      <c r="H71" s="100">
        <v>41.89</v>
      </c>
      <c r="I71" s="100">
        <v>13.53</v>
      </c>
      <c r="J71" s="100">
        <v>7.0000000000000007E-2</v>
      </c>
      <c r="K71" s="100">
        <v>265.31</v>
      </c>
      <c r="L71" s="100">
        <v>28.31</v>
      </c>
      <c r="M71" s="100">
        <v>36.51</v>
      </c>
      <c r="N71" s="100">
        <v>69.2</v>
      </c>
      <c r="O71" s="100">
        <v>0</v>
      </c>
      <c r="P71" s="100">
        <v>0.72</v>
      </c>
      <c r="Q71" s="100">
        <v>9.32</v>
      </c>
      <c r="R71" s="6"/>
      <c r="S71" s="6"/>
      <c r="T71" s="156"/>
      <c r="U71" s="6"/>
    </row>
    <row r="72" spans="1:21" customFormat="1">
      <c r="A72" s="163" t="s">
        <v>1654</v>
      </c>
      <c r="B72" s="100">
        <v>3.17</v>
      </c>
      <c r="C72" s="100">
        <v>16.07</v>
      </c>
      <c r="D72" s="100">
        <v>10.94</v>
      </c>
      <c r="E72" s="100">
        <v>6.41</v>
      </c>
      <c r="F72" s="100">
        <v>4.9400000000000004</v>
      </c>
      <c r="G72" s="100">
        <v>62.02</v>
      </c>
      <c r="H72" s="100">
        <v>41.89</v>
      </c>
      <c r="I72" s="100">
        <v>13.48</v>
      </c>
      <c r="J72" s="100">
        <v>0.13</v>
      </c>
      <c r="K72" s="100">
        <v>131.03</v>
      </c>
      <c r="L72" s="100">
        <v>28.19</v>
      </c>
      <c r="M72" s="100">
        <v>37.47</v>
      </c>
      <c r="N72" s="100">
        <v>60.1</v>
      </c>
      <c r="O72" s="100">
        <v>0</v>
      </c>
      <c r="P72" s="100">
        <v>0.71</v>
      </c>
      <c r="Q72" s="100">
        <v>9.32</v>
      </c>
      <c r="R72" s="6"/>
      <c r="S72" s="6"/>
      <c r="T72" s="156"/>
      <c r="U72" s="6"/>
    </row>
    <row r="73" spans="1:21" customFormat="1">
      <c r="A73" s="163" t="s">
        <v>1655</v>
      </c>
      <c r="B73" s="100">
        <v>3.19</v>
      </c>
      <c r="C73" s="100">
        <v>16.260000000000002</v>
      </c>
      <c r="D73" s="100">
        <v>11.05</v>
      </c>
      <c r="E73" s="100">
        <v>6.78</v>
      </c>
      <c r="F73" s="100">
        <v>5.8</v>
      </c>
      <c r="G73" s="100">
        <v>67.87</v>
      </c>
      <c r="H73" s="100">
        <v>44.34</v>
      </c>
      <c r="I73" s="100">
        <v>13.38</v>
      </c>
      <c r="J73" s="100">
        <v>0.24</v>
      </c>
      <c r="K73" s="100">
        <v>164.55</v>
      </c>
      <c r="L73" s="100">
        <v>27.74</v>
      </c>
      <c r="M73" s="100">
        <v>41.59</v>
      </c>
      <c r="N73" s="100">
        <v>51.3</v>
      </c>
      <c r="O73" s="100">
        <v>0</v>
      </c>
      <c r="P73" s="100">
        <v>0.71</v>
      </c>
      <c r="Q73" s="100">
        <v>9.32</v>
      </c>
      <c r="R73" s="6"/>
      <c r="S73" s="6"/>
      <c r="T73" s="156"/>
      <c r="U73" s="6"/>
    </row>
    <row r="74" spans="1:21" customFormat="1">
      <c r="A74" s="163" t="s">
        <v>1656</v>
      </c>
      <c r="B74" s="100">
        <v>3.2</v>
      </c>
      <c r="C74" s="100">
        <v>16.38</v>
      </c>
      <c r="D74" s="100">
        <v>11.12</v>
      </c>
      <c r="E74" s="100">
        <v>6.61</v>
      </c>
      <c r="F74" s="100">
        <v>4.4400000000000004</v>
      </c>
      <c r="G74" s="100">
        <v>68.209999999999994</v>
      </c>
      <c r="H74" s="100">
        <v>44.34</v>
      </c>
      <c r="I74" s="100">
        <v>13.24</v>
      </c>
      <c r="J74" s="100">
        <v>0.08</v>
      </c>
      <c r="K74" s="100">
        <v>108.06</v>
      </c>
      <c r="L74" s="100">
        <v>27.31</v>
      </c>
      <c r="M74" s="100">
        <v>41.67</v>
      </c>
      <c r="N74" s="100">
        <v>42.1</v>
      </c>
      <c r="O74" s="100">
        <v>0</v>
      </c>
      <c r="P74" s="100">
        <v>0.71</v>
      </c>
      <c r="Q74" s="100">
        <v>9.32</v>
      </c>
      <c r="R74" s="6"/>
      <c r="S74" s="6"/>
      <c r="T74" s="156"/>
      <c r="U74" s="6"/>
    </row>
    <row r="75" spans="1:21" customFormat="1">
      <c r="A75" s="163" t="s">
        <v>1657</v>
      </c>
      <c r="B75" s="100">
        <v>3.21</v>
      </c>
      <c r="C75" s="100">
        <v>17.010000000000002</v>
      </c>
      <c r="D75" s="100">
        <v>11.46</v>
      </c>
      <c r="E75" s="100">
        <v>6.68</v>
      </c>
      <c r="F75" s="100">
        <v>4.04</v>
      </c>
      <c r="G75" s="100">
        <v>68.209999999999994</v>
      </c>
      <c r="H75" s="100">
        <v>44.34</v>
      </c>
      <c r="I75" s="100">
        <v>13.11</v>
      </c>
      <c r="J75" s="100">
        <v>0.21</v>
      </c>
      <c r="K75" s="100">
        <v>46.39</v>
      </c>
      <c r="L75" s="100">
        <v>27.36</v>
      </c>
      <c r="M75" s="100">
        <v>40.04</v>
      </c>
      <c r="N75" s="100">
        <v>32</v>
      </c>
      <c r="O75" s="100">
        <v>0</v>
      </c>
      <c r="P75" s="100">
        <v>0.71</v>
      </c>
      <c r="Q75" s="100">
        <v>9.32</v>
      </c>
      <c r="R75" s="6"/>
      <c r="S75" s="6"/>
      <c r="T75" s="156"/>
      <c r="U75" s="6"/>
    </row>
    <row r="76" spans="1:21" customFormat="1">
      <c r="A76" s="163" t="s">
        <v>1658</v>
      </c>
      <c r="B76" s="100">
        <v>3.31</v>
      </c>
      <c r="C76" s="100">
        <v>17.84</v>
      </c>
      <c r="D76" s="100">
        <v>11.97</v>
      </c>
      <c r="E76" s="100">
        <v>6.82</v>
      </c>
      <c r="F76" s="100">
        <v>3.5</v>
      </c>
      <c r="G76" s="100">
        <v>68.209999999999994</v>
      </c>
      <c r="H76" s="100">
        <v>44.34</v>
      </c>
      <c r="I76" s="100">
        <v>13.01</v>
      </c>
      <c r="J76" s="100">
        <v>0.17</v>
      </c>
      <c r="K76" s="100">
        <v>79.23</v>
      </c>
      <c r="L76" s="100">
        <v>26.79</v>
      </c>
      <c r="M76" s="100">
        <v>42.28</v>
      </c>
      <c r="N76" s="100">
        <v>24.3</v>
      </c>
      <c r="O76" s="100">
        <v>0</v>
      </c>
      <c r="P76" s="100">
        <v>0.72</v>
      </c>
      <c r="Q76" s="100">
        <v>9.32</v>
      </c>
      <c r="R76" s="6"/>
      <c r="S76" s="6"/>
      <c r="T76" s="156"/>
      <c r="U76" s="6"/>
    </row>
    <row r="77" spans="1:21" customFormat="1">
      <c r="A77" s="163" t="s">
        <v>1659</v>
      </c>
      <c r="B77" s="100">
        <v>3.4</v>
      </c>
      <c r="C77" s="100">
        <v>18.54</v>
      </c>
      <c r="D77" s="100">
        <v>12.42</v>
      </c>
      <c r="E77" s="100">
        <v>6.52</v>
      </c>
      <c r="F77" s="100">
        <v>3.05</v>
      </c>
      <c r="G77" s="100">
        <v>87.14</v>
      </c>
      <c r="H77" s="100">
        <v>49.47</v>
      </c>
      <c r="I77" s="100">
        <v>12.94</v>
      </c>
      <c r="J77" s="100">
        <v>0.15</v>
      </c>
      <c r="K77" s="100">
        <v>78.709999999999994</v>
      </c>
      <c r="L77" s="100">
        <v>26.03</v>
      </c>
      <c r="M77" s="100">
        <v>45.81</v>
      </c>
      <c r="N77" s="100">
        <v>17.7</v>
      </c>
      <c r="O77" s="100">
        <v>0</v>
      </c>
      <c r="P77" s="100">
        <v>0.73</v>
      </c>
      <c r="Q77" s="100">
        <v>9.33</v>
      </c>
      <c r="R77" s="6"/>
      <c r="S77" s="6"/>
      <c r="T77" s="156"/>
      <c r="U77" s="6"/>
    </row>
    <row r="78" spans="1:21" customFormat="1">
      <c r="A78" s="163" t="s">
        <v>1660</v>
      </c>
      <c r="B78" s="100">
        <v>3.55</v>
      </c>
      <c r="C78" s="100">
        <v>18.96</v>
      </c>
      <c r="D78" s="100">
        <v>12.75</v>
      </c>
      <c r="E78" s="100">
        <v>6.34</v>
      </c>
      <c r="F78" s="100">
        <v>2.5499999999999998</v>
      </c>
      <c r="G78" s="100">
        <v>88.26</v>
      </c>
      <c r="H78" s="100">
        <v>49.47</v>
      </c>
      <c r="I78" s="100">
        <v>13.16</v>
      </c>
      <c r="J78" s="100">
        <v>0.19</v>
      </c>
      <c r="K78" s="100">
        <v>112.15</v>
      </c>
      <c r="L78" s="100">
        <v>25.48</v>
      </c>
      <c r="M78" s="100">
        <v>47.99</v>
      </c>
      <c r="N78" s="100">
        <v>13.8</v>
      </c>
      <c r="O78" s="100">
        <v>0</v>
      </c>
      <c r="P78" s="100">
        <v>0.74</v>
      </c>
      <c r="Q78" s="100">
        <v>9.32</v>
      </c>
      <c r="R78" s="6"/>
      <c r="S78" s="6"/>
      <c r="T78" s="156"/>
      <c r="U78" s="6"/>
    </row>
    <row r="79" spans="1:21" customFormat="1">
      <c r="A79" s="163" t="s">
        <v>1661</v>
      </c>
      <c r="B79" s="100">
        <v>3.66</v>
      </c>
      <c r="C79" s="100">
        <v>19.48</v>
      </c>
      <c r="D79" s="100">
        <v>13.12</v>
      </c>
      <c r="E79" s="100">
        <v>6.42</v>
      </c>
      <c r="F79" s="100">
        <v>2.2200000000000002</v>
      </c>
      <c r="G79" s="100">
        <v>88.26</v>
      </c>
      <c r="H79" s="100">
        <v>49.47</v>
      </c>
      <c r="I79" s="100">
        <v>14.18</v>
      </c>
      <c r="J79" s="100">
        <v>0.31</v>
      </c>
      <c r="K79" s="100">
        <v>163.72999999999999</v>
      </c>
      <c r="L79" s="100">
        <v>24.43</v>
      </c>
      <c r="M79" s="100">
        <v>54.64</v>
      </c>
      <c r="N79" s="100">
        <v>12.9</v>
      </c>
      <c r="O79" s="100">
        <v>0</v>
      </c>
      <c r="P79" s="100">
        <v>0.77</v>
      </c>
      <c r="Q79" s="100">
        <v>9.32</v>
      </c>
      <c r="R79" s="6"/>
      <c r="S79" s="6"/>
      <c r="T79" s="156"/>
      <c r="U79" s="6"/>
    </row>
    <row r="80" spans="1:21" customFormat="1">
      <c r="A80" s="163" t="s">
        <v>1662</v>
      </c>
      <c r="B80" s="100">
        <v>3.75</v>
      </c>
      <c r="C80" s="100">
        <v>19.87</v>
      </c>
      <c r="D80" s="100">
        <v>13.39</v>
      </c>
      <c r="E80" s="100">
        <v>6.41</v>
      </c>
      <c r="F80" s="100">
        <v>1.87</v>
      </c>
      <c r="G80" s="100">
        <v>88.26</v>
      </c>
      <c r="H80" s="100">
        <v>49.47</v>
      </c>
      <c r="I80" s="100">
        <v>14.52</v>
      </c>
      <c r="J80" s="100">
        <v>0.3</v>
      </c>
      <c r="K80" s="100">
        <v>165.97</v>
      </c>
      <c r="L80" s="100">
        <v>23.72</v>
      </c>
      <c r="M80" s="100">
        <v>57.05</v>
      </c>
      <c r="N80" s="100">
        <v>12.5</v>
      </c>
      <c r="O80" s="100">
        <v>0</v>
      </c>
      <c r="P80" s="100">
        <v>0.78</v>
      </c>
      <c r="Q80" s="100">
        <v>9.32</v>
      </c>
      <c r="R80" s="6"/>
      <c r="S80" s="6"/>
      <c r="T80" s="156"/>
      <c r="U80" s="6"/>
    </row>
    <row r="81" spans="1:21" customFormat="1">
      <c r="A81" s="163" t="s">
        <v>1663</v>
      </c>
      <c r="B81" s="100">
        <v>3.95</v>
      </c>
      <c r="C81" s="100">
        <v>20.37</v>
      </c>
      <c r="D81" s="100">
        <v>13.81</v>
      </c>
      <c r="E81" s="100">
        <v>4.57</v>
      </c>
      <c r="F81" s="100">
        <v>1.64</v>
      </c>
      <c r="G81" s="100">
        <v>110.01</v>
      </c>
      <c r="H81" s="100">
        <v>54.55</v>
      </c>
      <c r="I81" s="100">
        <v>14.3</v>
      </c>
      <c r="J81" s="100">
        <v>0.14000000000000001</v>
      </c>
      <c r="K81" s="100">
        <v>124.44</v>
      </c>
      <c r="L81" s="100">
        <v>23.45</v>
      </c>
      <c r="M81" s="100">
        <v>55.86</v>
      </c>
      <c r="N81" s="100">
        <v>11.9</v>
      </c>
      <c r="O81" s="100">
        <v>0</v>
      </c>
      <c r="P81" s="100">
        <v>0.8</v>
      </c>
      <c r="Q81" s="100">
        <v>9.32</v>
      </c>
      <c r="R81" s="6"/>
      <c r="S81" s="6"/>
      <c r="T81" s="156"/>
      <c r="U81" s="6"/>
    </row>
    <row r="82" spans="1:21" customFormat="1">
      <c r="A82" s="163" t="s">
        <v>1664</v>
      </c>
      <c r="B82" s="100">
        <v>4.28</v>
      </c>
      <c r="C82" s="100">
        <v>21.07</v>
      </c>
      <c r="D82" s="100">
        <v>14.44</v>
      </c>
      <c r="E82" s="100">
        <v>5.48</v>
      </c>
      <c r="F82" s="100">
        <v>1.52</v>
      </c>
      <c r="G82" s="100">
        <v>111.29</v>
      </c>
      <c r="H82" s="100">
        <v>54.55</v>
      </c>
      <c r="I82" s="100">
        <v>14.82</v>
      </c>
      <c r="J82" s="100">
        <v>0.14000000000000001</v>
      </c>
      <c r="K82" s="100">
        <v>125.47</v>
      </c>
      <c r="L82" s="100">
        <v>23.43</v>
      </c>
      <c r="M82" s="100">
        <v>54.96</v>
      </c>
      <c r="N82" s="100">
        <v>12</v>
      </c>
      <c r="O82" s="100">
        <v>0</v>
      </c>
      <c r="P82" s="100">
        <v>0.81</v>
      </c>
      <c r="Q82" s="100">
        <v>9.32</v>
      </c>
      <c r="R82" s="6"/>
      <c r="S82" s="6"/>
      <c r="T82" s="156"/>
      <c r="U82" s="6"/>
    </row>
    <row r="83" spans="1:21" customFormat="1">
      <c r="A83" s="163" t="s">
        <v>1665</v>
      </c>
      <c r="B83" s="100">
        <v>4.5199999999999996</v>
      </c>
      <c r="C83" s="100">
        <v>21.73</v>
      </c>
      <c r="D83" s="100">
        <v>14.98</v>
      </c>
      <c r="E83" s="100">
        <v>5.73</v>
      </c>
      <c r="F83" s="100">
        <v>1.32</v>
      </c>
      <c r="G83" s="100">
        <v>111.29</v>
      </c>
      <c r="H83" s="100">
        <v>54.55</v>
      </c>
      <c r="I83" s="100">
        <v>15.13</v>
      </c>
      <c r="J83" s="100">
        <v>0.12</v>
      </c>
      <c r="K83" s="100">
        <v>155.53</v>
      </c>
      <c r="L83" s="100">
        <v>22.97</v>
      </c>
      <c r="M83" s="100">
        <v>56.69</v>
      </c>
      <c r="N83" s="100">
        <v>12</v>
      </c>
      <c r="O83" s="100">
        <v>0</v>
      </c>
      <c r="P83" s="100">
        <v>0.84</v>
      </c>
      <c r="Q83" s="100">
        <v>9.42</v>
      </c>
      <c r="R83" s="6"/>
      <c r="S83" s="6"/>
      <c r="T83" s="156"/>
      <c r="U83" s="6"/>
    </row>
    <row r="84" spans="1:21" customFormat="1">
      <c r="A84" s="163" t="s">
        <v>1666</v>
      </c>
      <c r="B84" s="100">
        <v>4.79</v>
      </c>
      <c r="C84" s="100">
        <v>22.27</v>
      </c>
      <c r="D84" s="100">
        <v>15.48</v>
      </c>
      <c r="E84" s="100">
        <v>5.45</v>
      </c>
      <c r="F84" s="100">
        <v>1.36</v>
      </c>
      <c r="G84" s="100">
        <v>111.29</v>
      </c>
      <c r="H84" s="100">
        <v>54.55</v>
      </c>
      <c r="I84" s="100">
        <v>15.46</v>
      </c>
      <c r="J84" s="100">
        <v>0.11</v>
      </c>
      <c r="K84" s="100">
        <v>98.24</v>
      </c>
      <c r="L84" s="100">
        <v>22.88</v>
      </c>
      <c r="M84" s="100">
        <v>56.65</v>
      </c>
      <c r="N84" s="100">
        <v>11.8</v>
      </c>
      <c r="O84" s="100">
        <v>0</v>
      </c>
      <c r="P84" s="100">
        <v>0.87</v>
      </c>
      <c r="Q84" s="100">
        <v>9.9499999999999993</v>
      </c>
      <c r="R84" s="6"/>
      <c r="S84" s="6"/>
      <c r="T84" s="156"/>
      <c r="U84" s="6"/>
    </row>
    <row r="85" spans="1:21" customFormat="1">
      <c r="A85" s="163" t="s">
        <v>1667</v>
      </c>
      <c r="B85" s="100">
        <v>4.93</v>
      </c>
      <c r="C85" s="100">
        <v>22.43</v>
      </c>
      <c r="D85" s="100">
        <v>15.68</v>
      </c>
      <c r="E85" s="100">
        <v>5.45</v>
      </c>
      <c r="F85" s="100">
        <v>1.45</v>
      </c>
      <c r="G85" s="100">
        <v>121.55</v>
      </c>
      <c r="H85" s="100">
        <v>65.36</v>
      </c>
      <c r="I85" s="100">
        <v>15.82</v>
      </c>
      <c r="J85" s="100">
        <v>0.22</v>
      </c>
      <c r="K85" s="100">
        <v>143.38</v>
      </c>
      <c r="L85" s="100">
        <v>22.57</v>
      </c>
      <c r="M85" s="100">
        <v>58.84</v>
      </c>
      <c r="N85" s="100">
        <v>12.1</v>
      </c>
      <c r="O85" s="100">
        <v>0</v>
      </c>
      <c r="P85" s="100">
        <v>0.9</v>
      </c>
      <c r="Q85" s="100">
        <v>10.06</v>
      </c>
      <c r="R85" s="6"/>
      <c r="S85" s="6"/>
      <c r="T85" s="156"/>
      <c r="U85" s="6"/>
    </row>
    <row r="86" spans="1:21" customFormat="1">
      <c r="A86" s="163" t="s">
        <v>1668</v>
      </c>
      <c r="B86" s="100">
        <v>4.95</v>
      </c>
      <c r="C86" s="100">
        <v>22.38</v>
      </c>
      <c r="D86" s="100">
        <v>15.66</v>
      </c>
      <c r="E86" s="100">
        <v>5.34</v>
      </c>
      <c r="F86" s="100">
        <v>1.41</v>
      </c>
      <c r="G86" s="100">
        <v>122.15</v>
      </c>
      <c r="H86" s="100">
        <v>65.36</v>
      </c>
      <c r="I86" s="100">
        <v>16.149999999999999</v>
      </c>
      <c r="J86" s="100">
        <v>0.33</v>
      </c>
      <c r="K86" s="100">
        <v>166.66</v>
      </c>
      <c r="L86" s="100">
        <v>21.98</v>
      </c>
      <c r="M86" s="100">
        <v>63.72</v>
      </c>
      <c r="N86" s="100">
        <v>12.1</v>
      </c>
      <c r="O86" s="100">
        <v>0</v>
      </c>
      <c r="P86" s="100">
        <v>0.92</v>
      </c>
      <c r="Q86" s="100">
        <v>10.02</v>
      </c>
      <c r="R86" s="6"/>
      <c r="S86" s="6"/>
      <c r="T86" s="156"/>
      <c r="U86" s="6"/>
    </row>
    <row r="87" spans="1:21" customFormat="1">
      <c r="A87" s="163" t="s">
        <v>1669</v>
      </c>
      <c r="B87" s="100">
        <v>4.88</v>
      </c>
      <c r="C87" s="100">
        <v>22.3</v>
      </c>
      <c r="D87" s="100">
        <v>15.56</v>
      </c>
      <c r="E87" s="100">
        <v>5.73</v>
      </c>
      <c r="F87" s="100">
        <v>1.59</v>
      </c>
      <c r="G87" s="100">
        <v>122.15</v>
      </c>
      <c r="H87" s="100">
        <v>65.36</v>
      </c>
      <c r="I87" s="100">
        <v>16.329999999999998</v>
      </c>
      <c r="J87" s="100">
        <v>0.18</v>
      </c>
      <c r="K87" s="100">
        <v>198.62</v>
      </c>
      <c r="L87" s="100">
        <v>21.38</v>
      </c>
      <c r="M87" s="100">
        <v>70.72</v>
      </c>
      <c r="N87" s="100">
        <v>12.1</v>
      </c>
      <c r="O87" s="100">
        <v>0</v>
      </c>
      <c r="P87" s="100">
        <v>0.93</v>
      </c>
      <c r="Q87" s="100">
        <v>9.9700000000000006</v>
      </c>
      <c r="R87" s="6"/>
      <c r="S87" s="6"/>
      <c r="T87" s="156"/>
      <c r="U87" s="6"/>
    </row>
    <row r="88" spans="1:21" customFormat="1">
      <c r="A88" s="163" t="s">
        <v>1670</v>
      </c>
      <c r="B88" s="100">
        <v>4.8</v>
      </c>
      <c r="C88" s="100">
        <v>22.03</v>
      </c>
      <c r="D88" s="100">
        <v>15.36</v>
      </c>
      <c r="E88" s="100">
        <v>5.56</v>
      </c>
      <c r="F88" s="100">
        <v>1.5</v>
      </c>
      <c r="G88" s="100">
        <v>122.15</v>
      </c>
      <c r="H88" s="100">
        <v>65.36</v>
      </c>
      <c r="I88" s="100">
        <v>16.43</v>
      </c>
      <c r="J88" s="100">
        <v>0.21</v>
      </c>
      <c r="K88" s="100">
        <v>202.47</v>
      </c>
      <c r="L88" s="100">
        <v>20.8</v>
      </c>
      <c r="M88" s="100">
        <v>76.34</v>
      </c>
      <c r="N88" s="100">
        <v>11.9</v>
      </c>
      <c r="O88" s="100">
        <v>0</v>
      </c>
      <c r="P88" s="100">
        <v>0.96</v>
      </c>
      <c r="Q88" s="100">
        <v>9.5</v>
      </c>
      <c r="R88" s="6"/>
      <c r="S88" s="6"/>
      <c r="T88" s="156"/>
      <c r="U88" s="6"/>
    </row>
    <row r="89" spans="1:21" customFormat="1">
      <c r="A89" s="163" t="s">
        <v>1671</v>
      </c>
      <c r="B89" s="100">
        <v>4.8099999999999996</v>
      </c>
      <c r="C89" s="100">
        <v>21.38</v>
      </c>
      <c r="D89" s="100">
        <v>15.03</v>
      </c>
      <c r="E89" s="100">
        <v>5.53</v>
      </c>
      <c r="F89" s="100">
        <v>1.47</v>
      </c>
      <c r="G89" s="100">
        <v>125.22</v>
      </c>
      <c r="H89" s="100">
        <v>70.400000000000006</v>
      </c>
      <c r="I89" s="100">
        <v>16.559999999999999</v>
      </c>
      <c r="J89" s="100">
        <v>0.2</v>
      </c>
      <c r="K89" s="100">
        <v>205.62</v>
      </c>
      <c r="L89" s="100">
        <v>20.239999999999998</v>
      </c>
      <c r="M89" s="100">
        <v>79.88</v>
      </c>
      <c r="N89" s="100">
        <v>12</v>
      </c>
      <c r="O89" s="100">
        <v>0</v>
      </c>
      <c r="P89" s="100">
        <v>0.97</v>
      </c>
      <c r="Q89" s="100">
        <v>9.32</v>
      </c>
      <c r="R89" s="6"/>
      <c r="S89" s="6"/>
      <c r="T89" s="156"/>
      <c r="U89" s="6"/>
    </row>
    <row r="90" spans="1:21" customFormat="1">
      <c r="A90" s="163" t="s">
        <v>1672</v>
      </c>
      <c r="B90" s="100">
        <v>4.83</v>
      </c>
      <c r="C90" s="100">
        <v>20.96</v>
      </c>
      <c r="D90" s="100">
        <v>14.82</v>
      </c>
      <c r="E90" s="100">
        <v>5.47</v>
      </c>
      <c r="F90" s="100">
        <v>1.46</v>
      </c>
      <c r="G90" s="100">
        <v>125.4</v>
      </c>
      <c r="H90" s="100">
        <v>70.400000000000006</v>
      </c>
      <c r="I90" s="100">
        <v>16.82</v>
      </c>
      <c r="J90" s="100">
        <v>0.16</v>
      </c>
      <c r="K90" s="100">
        <v>198.7</v>
      </c>
      <c r="L90" s="100">
        <v>19.940000000000001</v>
      </c>
      <c r="M90" s="100">
        <v>80.05</v>
      </c>
      <c r="N90" s="100">
        <v>11.8</v>
      </c>
      <c r="O90" s="100">
        <v>0</v>
      </c>
      <c r="P90" s="100">
        <v>0.99</v>
      </c>
      <c r="Q90" s="100">
        <v>9.32</v>
      </c>
      <c r="R90" s="6"/>
      <c r="S90" s="6"/>
      <c r="T90" s="156"/>
      <c r="U90" s="6"/>
    </row>
    <row r="91" spans="1:21" customFormat="1">
      <c r="A91" s="163" t="s">
        <v>1673</v>
      </c>
      <c r="B91" s="100">
        <v>4.95</v>
      </c>
      <c r="C91" s="100">
        <v>20.309999999999999</v>
      </c>
      <c r="D91" s="100">
        <v>14.58</v>
      </c>
      <c r="E91" s="100">
        <v>5.25</v>
      </c>
      <c r="F91" s="100">
        <v>1.58</v>
      </c>
      <c r="G91" s="100">
        <v>125.4</v>
      </c>
      <c r="H91" s="100">
        <v>70.400000000000006</v>
      </c>
      <c r="I91" s="100">
        <v>16.96</v>
      </c>
      <c r="J91" s="100">
        <v>0.19</v>
      </c>
      <c r="K91" s="100">
        <v>192.72</v>
      </c>
      <c r="L91" s="100">
        <v>19.66</v>
      </c>
      <c r="M91" s="100">
        <v>81.069999999999993</v>
      </c>
      <c r="N91" s="100">
        <v>11.6</v>
      </c>
      <c r="O91" s="100">
        <v>0</v>
      </c>
      <c r="P91" s="100">
        <v>1.02</v>
      </c>
      <c r="Q91" s="100">
        <v>9.32</v>
      </c>
      <c r="R91" s="6"/>
      <c r="S91" s="6"/>
      <c r="T91" s="156"/>
      <c r="U91" s="6"/>
    </row>
    <row r="92" spans="1:21" customFormat="1">
      <c r="A92" s="163" t="s">
        <v>1674</v>
      </c>
      <c r="B92" s="100">
        <v>5.1100000000000003</v>
      </c>
      <c r="C92" s="100">
        <v>19.86</v>
      </c>
      <c r="D92" s="100">
        <v>14.47</v>
      </c>
      <c r="E92" s="100">
        <v>5.27</v>
      </c>
      <c r="F92" s="100">
        <v>1.51</v>
      </c>
      <c r="G92" s="100">
        <v>125.4</v>
      </c>
      <c r="H92" s="100">
        <v>70.400000000000006</v>
      </c>
      <c r="I92" s="100">
        <v>16.91</v>
      </c>
      <c r="J92" s="100">
        <v>0.15</v>
      </c>
      <c r="K92" s="100">
        <v>210</v>
      </c>
      <c r="L92" s="100">
        <v>19.34</v>
      </c>
      <c r="M92" s="100">
        <v>84.72</v>
      </c>
      <c r="N92" s="100">
        <v>11.7</v>
      </c>
      <c r="O92" s="100">
        <v>0</v>
      </c>
      <c r="P92" s="100">
        <v>1.03</v>
      </c>
      <c r="Q92" s="100">
        <v>9.32</v>
      </c>
      <c r="R92" s="6"/>
      <c r="S92" s="6"/>
      <c r="T92" s="156"/>
      <c r="U92" s="6"/>
    </row>
    <row r="93" spans="1:21" customFormat="1">
      <c r="A93" s="163" t="s">
        <v>1675</v>
      </c>
      <c r="B93" s="100">
        <v>5.27</v>
      </c>
      <c r="C93" s="100">
        <v>19.440000000000001</v>
      </c>
      <c r="D93" s="100">
        <v>14.38</v>
      </c>
      <c r="E93" s="100">
        <v>5.26</v>
      </c>
      <c r="F93" s="100">
        <v>1.36</v>
      </c>
      <c r="G93" s="100">
        <v>114.44</v>
      </c>
      <c r="H93" s="100">
        <v>70.95</v>
      </c>
      <c r="I93" s="100">
        <v>16.8</v>
      </c>
      <c r="J93" s="100">
        <v>0.15</v>
      </c>
      <c r="K93" s="100">
        <v>189.55</v>
      </c>
      <c r="L93" s="100">
        <v>19.190000000000001</v>
      </c>
      <c r="M93" s="100">
        <v>85.35</v>
      </c>
      <c r="N93" s="100">
        <v>11.6</v>
      </c>
      <c r="O93" s="100">
        <v>0</v>
      </c>
      <c r="P93" s="100">
        <v>1.04</v>
      </c>
      <c r="Q93" s="100">
        <v>9.32</v>
      </c>
      <c r="R93" s="6"/>
      <c r="S93" s="6"/>
      <c r="T93" s="156"/>
      <c r="U93" s="6"/>
    </row>
    <row r="94" spans="1:21" customFormat="1">
      <c r="A94" s="163" t="s">
        <v>1676</v>
      </c>
      <c r="B94" s="100">
        <v>5.43</v>
      </c>
      <c r="C94" s="100">
        <v>18.95</v>
      </c>
      <c r="D94" s="100">
        <v>14.25</v>
      </c>
      <c r="E94" s="100">
        <v>5.23</v>
      </c>
      <c r="F94" s="100">
        <v>1.44</v>
      </c>
      <c r="G94" s="100">
        <v>113.79</v>
      </c>
      <c r="H94" s="100">
        <v>70.95</v>
      </c>
      <c r="I94" s="100">
        <v>16.71</v>
      </c>
      <c r="J94" s="100">
        <v>0.15</v>
      </c>
      <c r="K94" s="100">
        <v>222.57</v>
      </c>
      <c r="L94" s="100">
        <v>19.010000000000002</v>
      </c>
      <c r="M94" s="100">
        <v>84.59</v>
      </c>
      <c r="N94" s="100">
        <v>11.7</v>
      </c>
      <c r="O94" s="100">
        <v>0</v>
      </c>
      <c r="P94" s="100">
        <v>1.04</v>
      </c>
      <c r="Q94" s="100">
        <v>9.32</v>
      </c>
      <c r="R94" s="6"/>
      <c r="S94" s="6"/>
      <c r="T94" s="156"/>
      <c r="U94" s="6"/>
    </row>
    <row r="95" spans="1:21" customFormat="1">
      <c r="A95" s="163" t="s">
        <v>1677</v>
      </c>
      <c r="B95" s="100">
        <v>5.55</v>
      </c>
      <c r="C95" s="100">
        <v>18.510000000000002</v>
      </c>
      <c r="D95" s="100">
        <v>14.12</v>
      </c>
      <c r="E95" s="100">
        <v>5</v>
      </c>
      <c r="F95" s="100">
        <v>1.31</v>
      </c>
      <c r="G95" s="100">
        <v>113.79</v>
      </c>
      <c r="H95" s="100">
        <v>70.95</v>
      </c>
      <c r="I95" s="100">
        <v>16.64</v>
      </c>
      <c r="J95" s="100">
        <v>0.13</v>
      </c>
      <c r="K95" s="100">
        <v>223.32</v>
      </c>
      <c r="L95" s="100">
        <v>18.82</v>
      </c>
      <c r="M95" s="100">
        <v>85.01</v>
      </c>
      <c r="N95" s="100">
        <v>11.6</v>
      </c>
      <c r="O95" s="100">
        <v>0</v>
      </c>
      <c r="P95" s="100">
        <v>1.05</v>
      </c>
      <c r="Q95" s="100">
        <v>9.32</v>
      </c>
      <c r="R95" s="6"/>
      <c r="S95" s="6"/>
      <c r="T95" s="156"/>
      <c r="U95" s="6"/>
    </row>
    <row r="96" spans="1:21" customFormat="1">
      <c r="A96" s="163" t="s">
        <v>1678</v>
      </c>
      <c r="B96" s="100">
        <v>5.64</v>
      </c>
      <c r="C96" s="100">
        <v>18.23</v>
      </c>
      <c r="D96" s="100">
        <v>14.05</v>
      </c>
      <c r="E96" s="100">
        <v>5.18</v>
      </c>
      <c r="F96" s="100">
        <v>1.52</v>
      </c>
      <c r="G96" s="100">
        <v>113.79</v>
      </c>
      <c r="H96" s="100">
        <v>70.95</v>
      </c>
      <c r="I96" s="100">
        <v>16.579999999999998</v>
      </c>
      <c r="J96" s="100">
        <v>0.15</v>
      </c>
      <c r="K96" s="100">
        <v>188.5</v>
      </c>
      <c r="L96" s="100">
        <v>18.78</v>
      </c>
      <c r="M96" s="100">
        <v>86.25</v>
      </c>
      <c r="N96" s="100">
        <v>11.6</v>
      </c>
      <c r="O96" s="100">
        <v>0</v>
      </c>
      <c r="P96" s="100">
        <v>1.06</v>
      </c>
      <c r="Q96" s="100">
        <v>9.32</v>
      </c>
      <c r="R96" s="6"/>
      <c r="S96" s="6"/>
      <c r="T96" s="156"/>
      <c r="U96" s="6"/>
    </row>
    <row r="97" spans="1:28" customFormat="1">
      <c r="A97" s="163" t="s">
        <v>1679</v>
      </c>
      <c r="B97" s="100">
        <v>5.73</v>
      </c>
      <c r="C97" s="100">
        <v>17.84</v>
      </c>
      <c r="D97" s="100">
        <v>13.92</v>
      </c>
      <c r="E97" s="100">
        <v>5</v>
      </c>
      <c r="F97" s="100">
        <v>1.53</v>
      </c>
      <c r="G97" s="100">
        <v>112.13</v>
      </c>
      <c r="H97" s="100">
        <v>71.099999999999994</v>
      </c>
      <c r="I97" s="100">
        <v>16.53</v>
      </c>
      <c r="J97" s="100">
        <v>0.14000000000000001</v>
      </c>
      <c r="K97" s="100">
        <v>228.69</v>
      </c>
      <c r="L97" s="100">
        <v>18.8</v>
      </c>
      <c r="M97" s="100">
        <v>84.81</v>
      </c>
      <c r="N97" s="100">
        <v>11.7</v>
      </c>
      <c r="O97" s="100">
        <v>0</v>
      </c>
      <c r="P97" s="100">
        <v>1.06</v>
      </c>
      <c r="Q97" s="100">
        <v>9.32</v>
      </c>
      <c r="R97" s="6"/>
      <c r="S97" s="6"/>
      <c r="T97" s="156"/>
      <c r="U97" s="6"/>
    </row>
    <row r="98" spans="1:28" customFormat="1">
      <c r="A98" s="163" t="s">
        <v>1680</v>
      </c>
      <c r="B98" s="100">
        <v>5.79</v>
      </c>
      <c r="C98" s="100">
        <v>17.53</v>
      </c>
      <c r="D98" s="100">
        <v>13.8</v>
      </c>
      <c r="E98" s="100">
        <v>4.84</v>
      </c>
      <c r="F98" s="100">
        <v>1.45</v>
      </c>
      <c r="G98" s="100">
        <v>112.04</v>
      </c>
      <c r="H98" s="100">
        <v>71.099999999999994</v>
      </c>
      <c r="I98" s="100">
        <v>16.45</v>
      </c>
      <c r="J98" s="100">
        <v>0.13</v>
      </c>
      <c r="K98" s="100">
        <v>160.9</v>
      </c>
      <c r="L98" s="100">
        <v>18.670000000000002</v>
      </c>
      <c r="M98" s="100">
        <v>82.96</v>
      </c>
      <c r="N98" s="100">
        <v>11.7</v>
      </c>
      <c r="O98" s="100">
        <v>0</v>
      </c>
      <c r="P98" s="100">
        <v>1.06</v>
      </c>
      <c r="Q98" s="100">
        <v>9.32</v>
      </c>
      <c r="R98" s="6"/>
      <c r="S98" s="6"/>
      <c r="T98" s="156"/>
      <c r="U98" s="6"/>
    </row>
    <row r="99" spans="1:28" customFormat="1">
      <c r="A99" s="163" t="s">
        <v>1681</v>
      </c>
      <c r="B99" s="100">
        <v>5.78</v>
      </c>
      <c r="C99" s="100">
        <v>17.329999999999998</v>
      </c>
      <c r="D99" s="100">
        <v>13.69</v>
      </c>
      <c r="E99" s="100">
        <v>4.8899999999999997</v>
      </c>
      <c r="F99" s="100">
        <v>1.33</v>
      </c>
      <c r="G99" s="100">
        <v>112.04</v>
      </c>
      <c r="H99" s="100">
        <v>71.099999999999994</v>
      </c>
      <c r="I99" s="100">
        <v>16.34</v>
      </c>
      <c r="J99" s="100">
        <v>0.14000000000000001</v>
      </c>
      <c r="K99" s="100">
        <v>208.51</v>
      </c>
      <c r="L99" s="100">
        <v>18.71</v>
      </c>
      <c r="M99" s="100">
        <v>85.2</v>
      </c>
      <c r="N99" s="100">
        <v>11.6</v>
      </c>
      <c r="O99" s="100">
        <v>0</v>
      </c>
      <c r="P99" s="100">
        <v>1.05</v>
      </c>
      <c r="Q99" s="100">
        <v>9.32</v>
      </c>
      <c r="R99" s="6"/>
      <c r="S99" s="6"/>
      <c r="T99" s="156"/>
      <c r="U99" s="6"/>
    </row>
    <row r="100" spans="1:28" customFormat="1">
      <c r="A100" s="163" t="s">
        <v>1682</v>
      </c>
      <c r="B100" s="100">
        <v>5.79</v>
      </c>
      <c r="C100" s="100">
        <v>17.13</v>
      </c>
      <c r="D100" s="100">
        <v>13.59</v>
      </c>
      <c r="E100" s="100">
        <v>4.78</v>
      </c>
      <c r="F100" s="100">
        <v>1.37</v>
      </c>
      <c r="G100" s="100">
        <v>112.04</v>
      </c>
      <c r="H100" s="100">
        <v>71.099999999999994</v>
      </c>
      <c r="I100" s="100">
        <v>16.170000000000002</v>
      </c>
      <c r="J100" s="100">
        <v>0.14000000000000001</v>
      </c>
      <c r="K100" s="100">
        <v>189.81</v>
      </c>
      <c r="L100" s="100">
        <v>18.54</v>
      </c>
      <c r="M100" s="100">
        <v>84.41</v>
      </c>
      <c r="N100" s="100">
        <v>11.7</v>
      </c>
      <c r="O100" s="100">
        <v>0</v>
      </c>
      <c r="P100" s="100">
        <v>1.05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1683</v>
      </c>
      <c r="B101" s="100">
        <v>5.98</v>
      </c>
      <c r="C101" s="100">
        <v>17.23</v>
      </c>
      <c r="D101" s="100">
        <v>13.8</v>
      </c>
      <c r="E101" s="100">
        <v>5.09</v>
      </c>
      <c r="F101" s="100">
        <v>1.34</v>
      </c>
      <c r="G101" s="100">
        <v>104</v>
      </c>
      <c r="H101" s="100">
        <v>69.209999999999994</v>
      </c>
      <c r="I101" s="100">
        <v>15.99</v>
      </c>
      <c r="J101" s="100">
        <v>0.18</v>
      </c>
      <c r="K101" s="100">
        <v>230.53</v>
      </c>
      <c r="L101" s="100">
        <v>18.5</v>
      </c>
      <c r="M101" s="100">
        <v>85.18</v>
      </c>
      <c r="N101" s="100">
        <v>11.6</v>
      </c>
      <c r="O101" s="100">
        <v>0</v>
      </c>
      <c r="P101" s="100">
        <v>1.05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1684</v>
      </c>
      <c r="B102" s="100">
        <v>6.12</v>
      </c>
      <c r="C102" s="100">
        <v>17.14</v>
      </c>
      <c r="D102" s="100">
        <v>13.86</v>
      </c>
      <c r="E102" s="100">
        <v>4.9000000000000004</v>
      </c>
      <c r="F102" s="100">
        <v>1.38</v>
      </c>
      <c r="G102" s="100">
        <v>103.52</v>
      </c>
      <c r="H102" s="100">
        <v>69.209999999999994</v>
      </c>
      <c r="I102" s="100">
        <v>15.79</v>
      </c>
      <c r="J102" s="100">
        <v>0.17</v>
      </c>
      <c r="K102" s="100">
        <v>209.26</v>
      </c>
      <c r="L102" s="100">
        <v>18.100000000000001</v>
      </c>
      <c r="M102" s="100">
        <v>87.86</v>
      </c>
      <c r="N102" s="100">
        <v>12</v>
      </c>
      <c r="O102" s="100">
        <v>0</v>
      </c>
      <c r="P102" s="100">
        <v>1.04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1685</v>
      </c>
      <c r="B103" s="100">
        <v>6.16</v>
      </c>
      <c r="C103" s="100">
        <v>16.899999999999999</v>
      </c>
      <c r="D103" s="100">
        <v>13.77</v>
      </c>
      <c r="E103" s="100">
        <v>4.7</v>
      </c>
      <c r="F103" s="100">
        <v>1.21</v>
      </c>
      <c r="G103" s="100">
        <v>103.52</v>
      </c>
      <c r="H103" s="100">
        <v>69.209999999999994</v>
      </c>
      <c r="I103" s="100">
        <v>15.6</v>
      </c>
      <c r="J103" s="100">
        <v>0.1</v>
      </c>
      <c r="K103" s="100">
        <v>170.57</v>
      </c>
      <c r="L103" s="100">
        <v>17.829999999999998</v>
      </c>
      <c r="M103" s="100">
        <v>88.77</v>
      </c>
      <c r="N103" s="100">
        <v>11.9</v>
      </c>
      <c r="O103" s="100">
        <v>0</v>
      </c>
      <c r="P103" s="100">
        <v>1.04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1686</v>
      </c>
      <c r="B104" s="100">
        <v>6.21</v>
      </c>
      <c r="C104" s="100">
        <v>16.690000000000001</v>
      </c>
      <c r="D104" s="100">
        <v>13.7</v>
      </c>
      <c r="E104" s="100">
        <v>4.8899999999999997</v>
      </c>
      <c r="F104" s="100">
        <v>1.27</v>
      </c>
      <c r="G104" s="100">
        <v>103.52</v>
      </c>
      <c r="H104" s="100">
        <v>69.209999999999994</v>
      </c>
      <c r="I104" s="100">
        <v>15.5</v>
      </c>
      <c r="J104" s="100">
        <v>0.16</v>
      </c>
      <c r="K104" s="100">
        <v>224.24</v>
      </c>
      <c r="L104" s="100">
        <v>17.71</v>
      </c>
      <c r="M104" s="100">
        <v>89.85</v>
      </c>
      <c r="N104" s="100">
        <v>11.8</v>
      </c>
      <c r="O104" s="100">
        <v>0</v>
      </c>
      <c r="P104" s="100">
        <v>1.04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3.17</v>
      </c>
      <c r="C106" s="158">
        <f>MIN(C9:C104)</f>
        <v>15.84</v>
      </c>
      <c r="D106" s="158">
        <f t="shared" ref="D106:Q106" si="0">MIN(D9:D104)</f>
        <v>10.88</v>
      </c>
      <c r="E106" s="158">
        <f t="shared" si="0"/>
        <v>3.91</v>
      </c>
      <c r="F106" s="158">
        <f t="shared" si="0"/>
        <v>0.98</v>
      </c>
      <c r="G106" s="158">
        <f t="shared" si="0"/>
        <v>62.02</v>
      </c>
      <c r="H106" s="158">
        <f t="shared" si="0"/>
        <v>41.89</v>
      </c>
      <c r="I106" s="158">
        <f t="shared" si="0"/>
        <v>12.94</v>
      </c>
      <c r="J106" s="158">
        <f t="shared" si="0"/>
        <v>0.05</v>
      </c>
      <c r="K106" s="158">
        <f t="shared" si="0"/>
        <v>13.73</v>
      </c>
      <c r="L106" s="158">
        <f t="shared" si="0"/>
        <v>15.96</v>
      </c>
      <c r="M106" s="158">
        <f t="shared" si="0"/>
        <v>29.51</v>
      </c>
      <c r="N106" s="158">
        <f t="shared" si="0"/>
        <v>9.1</v>
      </c>
      <c r="O106" s="158">
        <f t="shared" si="0"/>
        <v>0</v>
      </c>
      <c r="P106" s="158">
        <f t="shared" si="0"/>
        <v>0.71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24.08</v>
      </c>
      <c r="C107" s="157">
        <f t="shared" ref="C107:Q107" si="1">MAX(C9:C104)</f>
        <v>22.74</v>
      </c>
      <c r="D107" s="157">
        <f t="shared" si="1"/>
        <v>29.38</v>
      </c>
      <c r="E107" s="157">
        <f t="shared" si="1"/>
        <v>8.64</v>
      </c>
      <c r="F107" s="157">
        <f t="shared" si="1"/>
        <v>8.6300000000000008</v>
      </c>
      <c r="G107" s="157">
        <f t="shared" si="1"/>
        <v>125.4</v>
      </c>
      <c r="H107" s="157">
        <f t="shared" si="1"/>
        <v>71.099999999999994</v>
      </c>
      <c r="I107" s="157">
        <f t="shared" si="1"/>
        <v>17.920000000000002</v>
      </c>
      <c r="J107" s="157">
        <f t="shared" si="1"/>
        <v>1</v>
      </c>
      <c r="K107" s="157">
        <f t="shared" si="1"/>
        <v>354.29</v>
      </c>
      <c r="L107" s="157">
        <f t="shared" si="1"/>
        <v>29.27</v>
      </c>
      <c r="M107" s="157">
        <f t="shared" si="1"/>
        <v>92.13</v>
      </c>
      <c r="N107" s="157">
        <f t="shared" si="1"/>
        <v>476.3</v>
      </c>
      <c r="O107" s="157">
        <f t="shared" si="1"/>
        <v>0</v>
      </c>
      <c r="P107" s="157">
        <f t="shared" si="1"/>
        <v>1.1000000000000001</v>
      </c>
      <c r="Q107" s="157">
        <f t="shared" si="1"/>
        <v>10.06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11.597187499999995</v>
      </c>
      <c r="C108" s="158">
        <f t="shared" ref="C108:Q108" si="2">AVERAGE(C9:C104)</f>
        <v>19.482812500000001</v>
      </c>
      <c r="D108" s="158">
        <f t="shared" si="2"/>
        <v>19.479270833333331</v>
      </c>
      <c r="E108" s="158">
        <f t="shared" si="2"/>
        <v>5.2960416666666648</v>
      </c>
      <c r="F108" s="158">
        <f t="shared" si="2"/>
        <v>2.1261458333333336</v>
      </c>
      <c r="G108" s="158">
        <f t="shared" si="2"/>
        <v>91.610208333333375</v>
      </c>
      <c r="H108" s="158">
        <f t="shared" si="2"/>
        <v>56.911249999999974</v>
      </c>
      <c r="I108" s="158">
        <f t="shared" si="2"/>
        <v>14.903854166666667</v>
      </c>
      <c r="J108" s="158">
        <f t="shared" si="2"/>
        <v>0.22656249999999992</v>
      </c>
      <c r="K108" s="158">
        <f t="shared" si="2"/>
        <v>158.4734374999999</v>
      </c>
      <c r="L108" s="158">
        <f t="shared" si="2"/>
        <v>21.470833333333335</v>
      </c>
      <c r="M108" s="158">
        <f t="shared" si="2"/>
        <v>67.723645833333364</v>
      </c>
      <c r="N108" s="158">
        <f t="shared" si="2"/>
        <v>95.47083333333336</v>
      </c>
      <c r="O108" s="158">
        <f t="shared" si="2"/>
        <v>0</v>
      </c>
      <c r="P108" s="158">
        <f t="shared" si="2"/>
        <v>0.95333333333333359</v>
      </c>
      <c r="Q108" s="158">
        <f t="shared" si="2"/>
        <v>9.3513541666666811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7.7616971425645671</v>
      </c>
      <c r="C109" s="158">
        <f t="shared" ref="C109:Q109" si="3">STDEV(C9:C104)</f>
        <v>1.7831915226859245</v>
      </c>
      <c r="D109" s="158">
        <f t="shared" si="3"/>
        <v>6.4939095749773346</v>
      </c>
      <c r="E109" s="158">
        <f t="shared" si="3"/>
        <v>0.87267704180771233</v>
      </c>
      <c r="F109" s="158">
        <f t="shared" si="3"/>
        <v>1.5320027276268597</v>
      </c>
      <c r="G109" s="158">
        <f t="shared" si="3"/>
        <v>16.138394362132676</v>
      </c>
      <c r="H109" s="158">
        <f t="shared" si="3"/>
        <v>8.1534464459744633</v>
      </c>
      <c r="I109" s="158">
        <f t="shared" si="3"/>
        <v>1.162861597223954</v>
      </c>
      <c r="J109" s="158">
        <f t="shared" si="3"/>
        <v>0.17189242734613813</v>
      </c>
      <c r="K109" s="158">
        <f t="shared" si="3"/>
        <v>76.581958859747658</v>
      </c>
      <c r="L109" s="158">
        <f t="shared" si="3"/>
        <v>4.7329725091035391</v>
      </c>
      <c r="M109" s="158">
        <f t="shared" si="3"/>
        <v>22.121542685321554</v>
      </c>
      <c r="N109" s="158">
        <f t="shared" si="3"/>
        <v>144.32130303171445</v>
      </c>
      <c r="O109" s="158">
        <f t="shared" si="3"/>
        <v>0</v>
      </c>
      <c r="P109" s="158">
        <f t="shared" si="3"/>
        <v>0.11700352371361755</v>
      </c>
      <c r="Q109" s="158">
        <f t="shared" si="3"/>
        <v>0.13784522053579287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E11" sqref="E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1687</v>
      </c>
      <c r="B9" s="100">
        <v>6.27</v>
      </c>
      <c r="C9" s="100">
        <v>15.79</v>
      </c>
      <c r="D9" s="100">
        <v>13.28</v>
      </c>
      <c r="E9" s="100">
        <v>4.66</v>
      </c>
      <c r="F9" s="100">
        <v>1.36</v>
      </c>
      <c r="G9" s="100">
        <v>94.92</v>
      </c>
      <c r="H9" s="100">
        <v>67.52</v>
      </c>
      <c r="I9" s="100">
        <v>15.43</v>
      </c>
      <c r="J9" s="100">
        <v>0.15</v>
      </c>
      <c r="K9" s="100">
        <v>223.68</v>
      </c>
      <c r="L9" s="100">
        <v>17.64</v>
      </c>
      <c r="M9" s="100">
        <v>89.7</v>
      </c>
      <c r="N9" s="100">
        <v>11.7</v>
      </c>
      <c r="O9" s="100">
        <v>0</v>
      </c>
      <c r="P9" s="100">
        <v>1.04</v>
      </c>
      <c r="Q9" s="100">
        <v>9.32</v>
      </c>
      <c r="R9" s="6"/>
      <c r="S9" s="6"/>
      <c r="T9" s="156"/>
      <c r="U9" s="6"/>
    </row>
    <row r="10" spans="1:21" customFormat="1">
      <c r="A10" s="163" t="s">
        <v>1688</v>
      </c>
      <c r="B10" s="100">
        <v>6.31</v>
      </c>
      <c r="C10" s="100">
        <v>16.03</v>
      </c>
      <c r="D10" s="100">
        <v>13.44</v>
      </c>
      <c r="E10" s="100">
        <v>4.42</v>
      </c>
      <c r="F10" s="100">
        <v>1.4</v>
      </c>
      <c r="G10" s="100">
        <v>94.41</v>
      </c>
      <c r="H10" s="100">
        <v>67.52</v>
      </c>
      <c r="I10" s="100">
        <v>15.36</v>
      </c>
      <c r="J10" s="100">
        <v>0.15</v>
      </c>
      <c r="K10" s="100">
        <v>219.9</v>
      </c>
      <c r="L10" s="100">
        <v>17.579999999999998</v>
      </c>
      <c r="M10" s="100">
        <v>88.6</v>
      </c>
      <c r="N10" s="100">
        <v>11.6</v>
      </c>
      <c r="O10" s="100">
        <v>0</v>
      </c>
      <c r="P10" s="100">
        <v>1.03</v>
      </c>
      <c r="Q10" s="100">
        <v>9.32</v>
      </c>
      <c r="R10" s="6"/>
      <c r="S10" s="6"/>
      <c r="T10" s="156"/>
      <c r="U10" s="6"/>
    </row>
    <row r="11" spans="1:21" customFormat="1">
      <c r="A11" s="163" t="s">
        <v>1689</v>
      </c>
      <c r="B11" s="100">
        <v>6.36</v>
      </c>
      <c r="C11" s="100">
        <v>16</v>
      </c>
      <c r="D11" s="100">
        <v>13.46</v>
      </c>
      <c r="E11" s="100">
        <v>4.66</v>
      </c>
      <c r="F11" s="100">
        <v>1.43</v>
      </c>
      <c r="G11" s="100">
        <v>94.41</v>
      </c>
      <c r="H11" s="100">
        <v>67.52</v>
      </c>
      <c r="I11" s="100">
        <v>15.27</v>
      </c>
      <c r="J11" s="100">
        <v>0.17</v>
      </c>
      <c r="K11" s="100">
        <v>214.38</v>
      </c>
      <c r="L11" s="100">
        <v>17.559999999999999</v>
      </c>
      <c r="M11" s="100">
        <v>88.1</v>
      </c>
      <c r="N11" s="100">
        <v>11.6</v>
      </c>
      <c r="O11" s="100">
        <v>0</v>
      </c>
      <c r="P11" s="100">
        <v>1.03</v>
      </c>
      <c r="Q11" s="100">
        <v>9.32</v>
      </c>
      <c r="R11" s="6"/>
      <c r="S11" s="6"/>
      <c r="T11" s="156"/>
      <c r="U11" s="6"/>
    </row>
    <row r="12" spans="1:21" customFormat="1">
      <c r="A12" s="163" t="s">
        <v>1690</v>
      </c>
      <c r="B12" s="100">
        <v>6.42</v>
      </c>
      <c r="C12" s="100">
        <v>15.92</v>
      </c>
      <c r="D12" s="100">
        <v>13.47</v>
      </c>
      <c r="E12" s="100">
        <v>4.7699999999999996</v>
      </c>
      <c r="F12" s="100">
        <v>1.37</v>
      </c>
      <c r="G12" s="100">
        <v>94.41</v>
      </c>
      <c r="H12" s="100">
        <v>67.52</v>
      </c>
      <c r="I12" s="100">
        <v>15.17</v>
      </c>
      <c r="J12" s="100">
        <v>0.14000000000000001</v>
      </c>
      <c r="K12" s="100">
        <v>221.02</v>
      </c>
      <c r="L12" s="100">
        <v>17.489999999999998</v>
      </c>
      <c r="M12" s="100">
        <v>89.26</v>
      </c>
      <c r="N12" s="100">
        <v>11.8</v>
      </c>
      <c r="O12" s="100">
        <v>0</v>
      </c>
      <c r="P12" s="100">
        <v>1.03</v>
      </c>
      <c r="Q12" s="100">
        <v>9.32</v>
      </c>
      <c r="R12" s="6"/>
      <c r="S12" s="6"/>
      <c r="T12" s="156"/>
      <c r="U12" s="6"/>
    </row>
    <row r="13" spans="1:21" customFormat="1">
      <c r="A13" s="163" t="s">
        <v>1691</v>
      </c>
      <c r="B13" s="100">
        <v>6.58</v>
      </c>
      <c r="C13" s="100">
        <v>15.76</v>
      </c>
      <c r="D13" s="100">
        <v>13.51</v>
      </c>
      <c r="E13" s="100">
        <v>4.4000000000000004</v>
      </c>
      <c r="F13" s="100">
        <v>1.17</v>
      </c>
      <c r="G13" s="100">
        <v>93.51</v>
      </c>
      <c r="H13" s="100">
        <v>65.930000000000007</v>
      </c>
      <c r="I13" s="100">
        <v>15.07</v>
      </c>
      <c r="J13" s="100">
        <v>0.13</v>
      </c>
      <c r="K13" s="100">
        <v>149.19</v>
      </c>
      <c r="L13" s="100">
        <v>17.45</v>
      </c>
      <c r="M13" s="100">
        <v>88.81</v>
      </c>
      <c r="N13" s="100">
        <v>11.7</v>
      </c>
      <c r="O13" s="100">
        <v>0</v>
      </c>
      <c r="P13" s="100">
        <v>1.03</v>
      </c>
      <c r="Q13" s="100">
        <v>9.32</v>
      </c>
      <c r="R13" s="6"/>
      <c r="S13" s="6"/>
      <c r="T13" s="156"/>
      <c r="U13" s="6"/>
    </row>
    <row r="14" spans="1:21" customFormat="1">
      <c r="A14" s="163" t="s">
        <v>1692</v>
      </c>
      <c r="B14" s="100">
        <v>7.06</v>
      </c>
      <c r="C14" s="100">
        <v>15.93</v>
      </c>
      <c r="D14" s="100">
        <v>13.99</v>
      </c>
      <c r="E14" s="100">
        <v>4.6399999999999997</v>
      </c>
      <c r="F14" s="100">
        <v>1.1599999999999999</v>
      </c>
      <c r="G14" s="100">
        <v>93.45</v>
      </c>
      <c r="H14" s="100">
        <v>65.930000000000007</v>
      </c>
      <c r="I14" s="100">
        <v>15.08</v>
      </c>
      <c r="J14" s="100">
        <v>0.14000000000000001</v>
      </c>
      <c r="K14" s="100">
        <v>171.36</v>
      </c>
      <c r="L14" s="100">
        <v>17.37</v>
      </c>
      <c r="M14" s="100">
        <v>87.77</v>
      </c>
      <c r="N14" s="100">
        <v>11.6</v>
      </c>
      <c r="O14" s="100">
        <v>0</v>
      </c>
      <c r="P14" s="100">
        <v>1.02</v>
      </c>
      <c r="Q14" s="100">
        <v>9.32</v>
      </c>
      <c r="R14" s="6"/>
      <c r="S14" s="6"/>
      <c r="T14" s="156"/>
      <c r="U14" s="6"/>
    </row>
    <row r="15" spans="1:21" customFormat="1">
      <c r="A15" s="163" t="s">
        <v>1693</v>
      </c>
      <c r="B15" s="100">
        <v>8.3699999999999992</v>
      </c>
      <c r="C15" s="100">
        <v>16.66</v>
      </c>
      <c r="D15" s="100">
        <v>15.42</v>
      </c>
      <c r="E15" s="100">
        <v>4.6900000000000004</v>
      </c>
      <c r="F15" s="100">
        <v>1.1599999999999999</v>
      </c>
      <c r="G15" s="100">
        <v>93.45</v>
      </c>
      <c r="H15" s="100">
        <v>65.930000000000007</v>
      </c>
      <c r="I15" s="100">
        <v>15.16</v>
      </c>
      <c r="J15" s="100">
        <v>0.24</v>
      </c>
      <c r="K15" s="100">
        <v>41</v>
      </c>
      <c r="L15" s="100">
        <v>17.53</v>
      </c>
      <c r="M15" s="100">
        <v>86.28</v>
      </c>
      <c r="N15" s="100">
        <v>11.3</v>
      </c>
      <c r="O15" s="100">
        <v>0</v>
      </c>
      <c r="P15" s="100">
        <v>1.02</v>
      </c>
      <c r="Q15" s="100">
        <v>9.32</v>
      </c>
      <c r="R15" s="6"/>
      <c r="S15" s="6"/>
      <c r="T15" s="156"/>
      <c r="U15" s="6"/>
    </row>
    <row r="16" spans="1:21" customFormat="1">
      <c r="A16" s="163" t="s">
        <v>1694</v>
      </c>
      <c r="B16" s="100">
        <v>9.6999999999999993</v>
      </c>
      <c r="C16" s="100">
        <v>17.43</v>
      </c>
      <c r="D16" s="100">
        <v>16.88</v>
      </c>
      <c r="E16" s="100">
        <v>4.88</v>
      </c>
      <c r="F16" s="100">
        <v>1.38</v>
      </c>
      <c r="G16" s="100">
        <v>93.45</v>
      </c>
      <c r="H16" s="100">
        <v>65.930000000000007</v>
      </c>
      <c r="I16" s="100">
        <v>15.3</v>
      </c>
      <c r="J16" s="100">
        <v>0.22</v>
      </c>
      <c r="K16" s="100">
        <v>37.44</v>
      </c>
      <c r="L16" s="100">
        <v>17.75</v>
      </c>
      <c r="M16" s="100">
        <v>84.47</v>
      </c>
      <c r="N16" s="100">
        <v>11.2</v>
      </c>
      <c r="O16" s="100">
        <v>0</v>
      </c>
      <c r="P16" s="100">
        <v>1.03</v>
      </c>
      <c r="Q16" s="100">
        <v>9.32</v>
      </c>
      <c r="R16" s="6"/>
      <c r="S16" s="6"/>
      <c r="T16" s="156"/>
      <c r="U16" s="6"/>
    </row>
    <row r="17" spans="1:21" customFormat="1">
      <c r="A17" s="163" t="s">
        <v>1695</v>
      </c>
      <c r="B17" s="100">
        <v>10.3</v>
      </c>
      <c r="C17" s="100">
        <v>17.920000000000002</v>
      </c>
      <c r="D17" s="100">
        <v>17.63</v>
      </c>
      <c r="E17" s="100">
        <v>4.1900000000000004</v>
      </c>
      <c r="F17" s="100">
        <v>1.45</v>
      </c>
      <c r="G17" s="100">
        <v>94.71</v>
      </c>
      <c r="H17" s="100">
        <v>68.22</v>
      </c>
      <c r="I17" s="100">
        <v>15.46</v>
      </c>
      <c r="J17" s="100">
        <v>0.09</v>
      </c>
      <c r="K17" s="100">
        <v>254.07</v>
      </c>
      <c r="L17" s="100">
        <v>17.850000000000001</v>
      </c>
      <c r="M17" s="100">
        <v>83.69</v>
      </c>
      <c r="N17" s="100">
        <v>11.3</v>
      </c>
      <c r="O17" s="100">
        <v>0</v>
      </c>
      <c r="P17" s="100">
        <v>1.05</v>
      </c>
      <c r="Q17" s="100">
        <v>9.32</v>
      </c>
      <c r="R17" s="6"/>
      <c r="S17" s="6"/>
      <c r="T17" s="156"/>
      <c r="U17" s="6"/>
    </row>
    <row r="18" spans="1:21" customFormat="1">
      <c r="A18" s="163" t="s">
        <v>1696</v>
      </c>
      <c r="B18" s="100">
        <v>10.92</v>
      </c>
      <c r="C18" s="100">
        <v>18.25</v>
      </c>
      <c r="D18" s="100">
        <v>18.29</v>
      </c>
      <c r="E18" s="100">
        <v>5.52</v>
      </c>
      <c r="F18" s="100">
        <v>1.21</v>
      </c>
      <c r="G18" s="100">
        <v>94.8</v>
      </c>
      <c r="H18" s="100">
        <v>68.22</v>
      </c>
      <c r="I18" s="100">
        <v>15.61</v>
      </c>
      <c r="J18" s="100">
        <v>0.04</v>
      </c>
      <c r="K18" s="100">
        <v>131.24</v>
      </c>
      <c r="L18" s="100">
        <v>17.72</v>
      </c>
      <c r="M18" s="100">
        <v>83.59</v>
      </c>
      <c r="N18" s="100">
        <v>11.6</v>
      </c>
      <c r="O18" s="100">
        <v>0</v>
      </c>
      <c r="P18" s="100">
        <v>1.07</v>
      </c>
      <c r="Q18" s="100">
        <v>9.32</v>
      </c>
      <c r="R18" s="6"/>
      <c r="S18" s="6"/>
      <c r="T18" s="156"/>
      <c r="U18" s="6"/>
    </row>
    <row r="19" spans="1:21" customFormat="1">
      <c r="A19" s="163" t="s">
        <v>1697</v>
      </c>
      <c r="B19" s="100">
        <v>11.38</v>
      </c>
      <c r="C19" s="100">
        <v>18.43</v>
      </c>
      <c r="D19" s="100">
        <v>18.75</v>
      </c>
      <c r="E19" s="100">
        <v>5.2</v>
      </c>
      <c r="F19" s="100">
        <v>1.25</v>
      </c>
      <c r="G19" s="100">
        <v>94.8</v>
      </c>
      <c r="H19" s="100">
        <v>68.22</v>
      </c>
      <c r="I19" s="100">
        <v>15.81</v>
      </c>
      <c r="J19" s="100">
        <v>0.15</v>
      </c>
      <c r="K19" s="100">
        <v>138.53</v>
      </c>
      <c r="L19" s="100">
        <v>17.62</v>
      </c>
      <c r="M19" s="100">
        <v>83.54</v>
      </c>
      <c r="N19" s="100">
        <v>11.8</v>
      </c>
      <c r="O19" s="100">
        <v>0</v>
      </c>
      <c r="P19" s="100">
        <v>1.08</v>
      </c>
      <c r="Q19" s="100">
        <v>9.32</v>
      </c>
      <c r="R19" s="6"/>
      <c r="S19" s="6"/>
      <c r="T19" s="156"/>
      <c r="U19" s="6"/>
    </row>
    <row r="20" spans="1:21" customFormat="1">
      <c r="A20" s="163" t="s">
        <v>1698</v>
      </c>
      <c r="B20" s="100">
        <v>11.67</v>
      </c>
      <c r="C20" s="100">
        <v>18.59</v>
      </c>
      <c r="D20" s="100">
        <v>19.07</v>
      </c>
      <c r="E20" s="100">
        <v>5.32</v>
      </c>
      <c r="F20" s="100">
        <v>1.1599999999999999</v>
      </c>
      <c r="G20" s="100">
        <v>94.8</v>
      </c>
      <c r="H20" s="100">
        <v>68.22</v>
      </c>
      <c r="I20" s="100">
        <v>15.99</v>
      </c>
      <c r="J20" s="100">
        <v>0.14000000000000001</v>
      </c>
      <c r="K20" s="100">
        <v>118.88</v>
      </c>
      <c r="L20" s="100">
        <v>17.440000000000001</v>
      </c>
      <c r="M20" s="100">
        <v>83.41</v>
      </c>
      <c r="N20" s="100">
        <v>11.8</v>
      </c>
      <c r="O20" s="100">
        <v>0</v>
      </c>
      <c r="P20" s="100">
        <v>1.1000000000000001</v>
      </c>
      <c r="Q20" s="100">
        <v>9.32</v>
      </c>
      <c r="R20" s="6"/>
      <c r="S20" s="6"/>
      <c r="T20" s="156"/>
      <c r="U20" s="6"/>
    </row>
    <row r="21" spans="1:21" customFormat="1">
      <c r="A21" s="163" t="s">
        <v>1699</v>
      </c>
      <c r="B21" s="100">
        <v>12.03</v>
      </c>
      <c r="C21" s="100">
        <v>18.690000000000001</v>
      </c>
      <c r="D21" s="100">
        <v>19.41</v>
      </c>
      <c r="E21" s="100">
        <v>5</v>
      </c>
      <c r="F21" s="100">
        <v>1.28</v>
      </c>
      <c r="G21" s="100">
        <v>99</v>
      </c>
      <c r="H21" s="100">
        <v>70.900000000000006</v>
      </c>
      <c r="I21" s="100">
        <v>16.16</v>
      </c>
      <c r="J21" s="100">
        <v>0.14000000000000001</v>
      </c>
      <c r="K21" s="100">
        <v>195.12</v>
      </c>
      <c r="L21" s="100">
        <v>17.2</v>
      </c>
      <c r="M21" s="100">
        <v>84.94</v>
      </c>
      <c r="N21" s="100">
        <v>11.7</v>
      </c>
      <c r="O21" s="100">
        <v>0</v>
      </c>
      <c r="P21" s="100">
        <v>1.1200000000000001</v>
      </c>
      <c r="Q21" s="100">
        <v>9.32</v>
      </c>
      <c r="R21" s="6"/>
      <c r="S21" s="6"/>
      <c r="T21" s="156"/>
      <c r="U21" s="6"/>
    </row>
    <row r="22" spans="1:21" customFormat="1">
      <c r="A22" s="163" t="s">
        <v>1700</v>
      </c>
      <c r="B22" s="100">
        <v>12.21</v>
      </c>
      <c r="C22" s="100">
        <v>18.64</v>
      </c>
      <c r="D22" s="100">
        <v>19.53</v>
      </c>
      <c r="E22" s="100">
        <v>4.93</v>
      </c>
      <c r="F22" s="100">
        <v>1.18</v>
      </c>
      <c r="G22" s="100">
        <v>99.3</v>
      </c>
      <c r="H22" s="100">
        <v>70.900000000000006</v>
      </c>
      <c r="I22" s="100">
        <v>16.28</v>
      </c>
      <c r="J22" s="100">
        <v>0.16</v>
      </c>
      <c r="K22" s="100">
        <v>151.22999999999999</v>
      </c>
      <c r="L22" s="100">
        <v>17.04</v>
      </c>
      <c r="M22" s="100">
        <v>86.04</v>
      </c>
      <c r="N22" s="100">
        <v>11.8</v>
      </c>
      <c r="O22" s="100">
        <v>0</v>
      </c>
      <c r="P22" s="100">
        <v>1.1299999999999999</v>
      </c>
      <c r="Q22" s="100">
        <v>9.32</v>
      </c>
      <c r="R22" s="6"/>
      <c r="S22" s="6"/>
      <c r="T22" s="156"/>
      <c r="U22" s="6"/>
    </row>
    <row r="23" spans="1:21" customFormat="1">
      <c r="A23" s="163" t="s">
        <v>1701</v>
      </c>
      <c r="B23" s="100">
        <v>12.27</v>
      </c>
      <c r="C23" s="100">
        <v>18.64</v>
      </c>
      <c r="D23" s="100">
        <v>19.579999999999998</v>
      </c>
      <c r="E23" s="100">
        <v>5.05</v>
      </c>
      <c r="F23" s="100">
        <v>1.1599999999999999</v>
      </c>
      <c r="G23" s="100">
        <v>99.3</v>
      </c>
      <c r="H23" s="100">
        <v>70.900000000000006</v>
      </c>
      <c r="I23" s="100">
        <v>16.309999999999999</v>
      </c>
      <c r="J23" s="100">
        <v>0.16</v>
      </c>
      <c r="K23" s="100">
        <v>136.02000000000001</v>
      </c>
      <c r="L23" s="100">
        <v>17.09</v>
      </c>
      <c r="M23" s="100">
        <v>85.41</v>
      </c>
      <c r="N23" s="100">
        <v>11.7</v>
      </c>
      <c r="O23" s="100">
        <v>0</v>
      </c>
      <c r="P23" s="100">
        <v>1.1399999999999999</v>
      </c>
      <c r="Q23" s="100">
        <v>9.32</v>
      </c>
      <c r="R23" s="6"/>
      <c r="S23" s="6"/>
      <c r="T23" s="156"/>
      <c r="U23" s="6"/>
    </row>
    <row r="24" spans="1:21" customFormat="1">
      <c r="A24" s="163" t="s">
        <v>1702</v>
      </c>
      <c r="B24" s="100">
        <v>12.51</v>
      </c>
      <c r="C24" s="100">
        <v>18.690000000000001</v>
      </c>
      <c r="D24" s="100">
        <v>19.79</v>
      </c>
      <c r="E24" s="100">
        <v>5.35</v>
      </c>
      <c r="F24" s="100">
        <v>1.1200000000000001</v>
      </c>
      <c r="G24" s="100">
        <v>99.3</v>
      </c>
      <c r="H24" s="100">
        <v>70.900000000000006</v>
      </c>
      <c r="I24" s="100">
        <v>16.329999999999998</v>
      </c>
      <c r="J24" s="100">
        <v>0.46</v>
      </c>
      <c r="K24" s="100">
        <v>53.72</v>
      </c>
      <c r="L24" s="100">
        <v>17.3</v>
      </c>
      <c r="M24" s="100">
        <v>83.25</v>
      </c>
      <c r="N24" s="100">
        <v>11.2</v>
      </c>
      <c r="O24" s="100">
        <v>0</v>
      </c>
      <c r="P24" s="100">
        <v>1.1499999999999999</v>
      </c>
      <c r="Q24" s="100">
        <v>9.32</v>
      </c>
      <c r="R24" s="6"/>
      <c r="S24" s="6"/>
      <c r="T24" s="156"/>
      <c r="U24" s="6"/>
    </row>
    <row r="25" spans="1:21" customFormat="1">
      <c r="A25" s="163" t="s">
        <v>1703</v>
      </c>
      <c r="B25" s="100">
        <v>12.54</v>
      </c>
      <c r="C25" s="100">
        <v>18.78</v>
      </c>
      <c r="D25" s="100">
        <v>19.87</v>
      </c>
      <c r="E25" s="100">
        <v>5.24</v>
      </c>
      <c r="F25" s="100">
        <v>1.18</v>
      </c>
      <c r="G25" s="100">
        <v>106.2</v>
      </c>
      <c r="H25" s="100">
        <v>71.19</v>
      </c>
      <c r="I25" s="100">
        <v>16.3</v>
      </c>
      <c r="J25" s="100">
        <v>0.42</v>
      </c>
      <c r="K25" s="100">
        <v>45.69</v>
      </c>
      <c r="L25" s="100">
        <v>17.579999999999998</v>
      </c>
      <c r="M25" s="100">
        <v>80.95</v>
      </c>
      <c r="N25" s="100">
        <v>11.4</v>
      </c>
      <c r="O25" s="100">
        <v>0</v>
      </c>
      <c r="P25" s="100">
        <v>1.1399999999999999</v>
      </c>
      <c r="Q25" s="100">
        <v>9.32</v>
      </c>
      <c r="R25" s="6"/>
      <c r="S25" s="6"/>
      <c r="T25" s="156"/>
      <c r="U25" s="6"/>
    </row>
    <row r="26" spans="1:21" customFormat="1">
      <c r="A26" s="163" t="s">
        <v>1704</v>
      </c>
      <c r="B26" s="100">
        <v>12.31</v>
      </c>
      <c r="C26" s="100">
        <v>18.8</v>
      </c>
      <c r="D26" s="100">
        <v>19.7</v>
      </c>
      <c r="E26" s="100">
        <v>5.18</v>
      </c>
      <c r="F26" s="100">
        <v>1.25</v>
      </c>
      <c r="G26" s="100">
        <v>106.6</v>
      </c>
      <c r="H26" s="100">
        <v>71.19</v>
      </c>
      <c r="I26" s="100">
        <v>16.23</v>
      </c>
      <c r="J26" s="100">
        <v>0.17</v>
      </c>
      <c r="K26" s="100">
        <v>177.98</v>
      </c>
      <c r="L26" s="100">
        <v>17.32</v>
      </c>
      <c r="M26" s="100">
        <v>83.91</v>
      </c>
      <c r="N26" s="100">
        <v>11.9</v>
      </c>
      <c r="O26" s="100">
        <v>0</v>
      </c>
      <c r="P26" s="100">
        <v>1.1399999999999999</v>
      </c>
      <c r="Q26" s="100">
        <v>9.32</v>
      </c>
      <c r="R26" s="6"/>
      <c r="S26" s="6"/>
      <c r="T26" s="156"/>
      <c r="U26" s="6"/>
    </row>
    <row r="27" spans="1:21" customFormat="1">
      <c r="A27" s="163" t="s">
        <v>1705</v>
      </c>
      <c r="B27" s="100">
        <v>11.95</v>
      </c>
      <c r="C27" s="100">
        <v>18.73</v>
      </c>
      <c r="D27" s="100">
        <v>19.37</v>
      </c>
      <c r="E27" s="100">
        <v>4.8099999999999996</v>
      </c>
      <c r="F27" s="100">
        <v>1.31</v>
      </c>
      <c r="G27" s="100">
        <v>106.6</v>
      </c>
      <c r="H27" s="100">
        <v>71.19</v>
      </c>
      <c r="I27" s="100">
        <v>16.079999999999998</v>
      </c>
      <c r="J27" s="100">
        <v>0.2</v>
      </c>
      <c r="K27" s="100">
        <v>206.9</v>
      </c>
      <c r="L27" s="100">
        <v>16.649999999999999</v>
      </c>
      <c r="M27" s="100">
        <v>88.95</v>
      </c>
      <c r="N27" s="100">
        <v>12.3</v>
      </c>
      <c r="O27" s="100">
        <v>0</v>
      </c>
      <c r="P27" s="100">
        <v>1.1200000000000001</v>
      </c>
      <c r="Q27" s="100">
        <v>9.32</v>
      </c>
      <c r="R27" s="6"/>
      <c r="S27" s="6"/>
      <c r="T27" s="156"/>
      <c r="U27" s="6"/>
    </row>
    <row r="28" spans="1:21" customFormat="1">
      <c r="A28" s="163" t="s">
        <v>1706</v>
      </c>
      <c r="B28" s="100">
        <v>11.51</v>
      </c>
      <c r="C28" s="100">
        <v>18.34</v>
      </c>
      <c r="D28" s="100">
        <v>18.809999999999999</v>
      </c>
      <c r="E28" s="100">
        <v>4.7699999999999996</v>
      </c>
      <c r="F28" s="100">
        <v>0.99</v>
      </c>
      <c r="G28" s="100">
        <v>106.6</v>
      </c>
      <c r="H28" s="100">
        <v>71.19</v>
      </c>
      <c r="I28" s="100">
        <v>15.91</v>
      </c>
      <c r="J28" s="100">
        <v>0.16</v>
      </c>
      <c r="K28" s="100">
        <v>213.29</v>
      </c>
      <c r="L28" s="100">
        <v>16.27</v>
      </c>
      <c r="M28" s="100">
        <v>90.8</v>
      </c>
      <c r="N28" s="100">
        <v>12.2</v>
      </c>
      <c r="O28" s="100">
        <v>0</v>
      </c>
      <c r="P28" s="100">
        <v>1.1200000000000001</v>
      </c>
      <c r="Q28" s="100">
        <v>9.32</v>
      </c>
      <c r="R28" s="6"/>
      <c r="S28" s="6"/>
      <c r="T28" s="156"/>
      <c r="U28" s="6"/>
    </row>
    <row r="29" spans="1:21" customFormat="1">
      <c r="A29" s="163" t="s">
        <v>1707</v>
      </c>
      <c r="B29" s="100">
        <v>11.12</v>
      </c>
      <c r="C29" s="100">
        <v>17.91</v>
      </c>
      <c r="D29" s="100">
        <v>18.27</v>
      </c>
      <c r="E29" s="100">
        <v>4.57</v>
      </c>
      <c r="F29" s="100">
        <v>1.1200000000000001</v>
      </c>
      <c r="G29" s="100">
        <v>104.16</v>
      </c>
      <c r="H29" s="100">
        <v>70.34</v>
      </c>
      <c r="I29" s="100">
        <v>15.8</v>
      </c>
      <c r="J29" s="100">
        <v>7.0000000000000007E-2</v>
      </c>
      <c r="K29" s="100">
        <v>194.61</v>
      </c>
      <c r="L29" s="100">
        <v>15.96</v>
      </c>
      <c r="M29" s="100">
        <v>91.48</v>
      </c>
      <c r="N29" s="100">
        <v>12.1</v>
      </c>
      <c r="O29" s="100">
        <v>0</v>
      </c>
      <c r="P29" s="100">
        <v>1.1200000000000001</v>
      </c>
      <c r="Q29" s="100">
        <v>9.32</v>
      </c>
      <c r="R29" s="6"/>
      <c r="S29" s="6"/>
      <c r="T29" s="156"/>
      <c r="U29" s="6"/>
    </row>
    <row r="30" spans="1:21" customFormat="1">
      <c r="A30" s="163" t="s">
        <v>1708</v>
      </c>
      <c r="B30" s="100">
        <v>10.8</v>
      </c>
      <c r="C30" s="100">
        <v>17.3</v>
      </c>
      <c r="D30" s="100">
        <v>17.71</v>
      </c>
      <c r="E30" s="100">
        <v>5.03</v>
      </c>
      <c r="F30" s="100">
        <v>1.1399999999999999</v>
      </c>
      <c r="G30" s="100">
        <v>104.02</v>
      </c>
      <c r="H30" s="100">
        <v>70.34</v>
      </c>
      <c r="I30" s="100">
        <v>15.73</v>
      </c>
      <c r="J30" s="100">
        <v>0.13</v>
      </c>
      <c r="K30" s="100">
        <v>187.41</v>
      </c>
      <c r="L30" s="100">
        <v>15.8</v>
      </c>
      <c r="M30" s="100">
        <v>91.82</v>
      </c>
      <c r="N30" s="100">
        <v>11.9</v>
      </c>
      <c r="O30" s="100">
        <v>0</v>
      </c>
      <c r="P30" s="100">
        <v>1.1100000000000001</v>
      </c>
      <c r="Q30" s="100">
        <v>9.32</v>
      </c>
      <c r="R30" s="6"/>
      <c r="S30" s="6"/>
      <c r="T30" s="156"/>
      <c r="U30" s="6"/>
    </row>
    <row r="31" spans="1:21" customFormat="1">
      <c r="A31" s="163" t="s">
        <v>1709</v>
      </c>
      <c r="B31" s="100">
        <v>10.52</v>
      </c>
      <c r="C31" s="100">
        <v>16.989999999999998</v>
      </c>
      <c r="D31" s="100">
        <v>17.309999999999999</v>
      </c>
      <c r="E31" s="100">
        <v>4.78</v>
      </c>
      <c r="F31" s="100">
        <v>1.0900000000000001</v>
      </c>
      <c r="G31" s="100">
        <v>104.02</v>
      </c>
      <c r="H31" s="100">
        <v>70.34</v>
      </c>
      <c r="I31" s="100">
        <v>15.64</v>
      </c>
      <c r="J31" s="100">
        <v>0.14000000000000001</v>
      </c>
      <c r="K31" s="100">
        <v>165.26</v>
      </c>
      <c r="L31" s="100">
        <v>15.86</v>
      </c>
      <c r="M31" s="100">
        <v>92.01</v>
      </c>
      <c r="N31" s="100">
        <v>11.7</v>
      </c>
      <c r="O31" s="100">
        <v>0</v>
      </c>
      <c r="P31" s="100">
        <v>1.0900000000000001</v>
      </c>
      <c r="Q31" s="100">
        <v>9.32</v>
      </c>
      <c r="R31" s="6"/>
      <c r="S31" s="6"/>
      <c r="T31" s="156"/>
      <c r="U31" s="6"/>
    </row>
    <row r="32" spans="1:21" customFormat="1">
      <c r="A32" s="163" t="s">
        <v>1710</v>
      </c>
      <c r="B32" s="100">
        <v>10.35</v>
      </c>
      <c r="C32" s="100">
        <v>16.66</v>
      </c>
      <c r="D32" s="100">
        <v>17</v>
      </c>
      <c r="E32" s="100">
        <v>4.71</v>
      </c>
      <c r="F32" s="100">
        <v>1.22</v>
      </c>
      <c r="G32" s="100">
        <v>104.02</v>
      </c>
      <c r="H32" s="100">
        <v>70.34</v>
      </c>
      <c r="I32" s="100">
        <v>15.52</v>
      </c>
      <c r="J32" s="100">
        <v>0.16</v>
      </c>
      <c r="K32" s="100">
        <v>224.57</v>
      </c>
      <c r="L32" s="100">
        <v>15.9</v>
      </c>
      <c r="M32" s="100">
        <v>92.5</v>
      </c>
      <c r="N32" s="100">
        <v>11.8</v>
      </c>
      <c r="O32" s="100">
        <v>0</v>
      </c>
      <c r="P32" s="100">
        <v>1.08</v>
      </c>
      <c r="Q32" s="100">
        <v>9.32</v>
      </c>
      <c r="R32" s="6"/>
      <c r="S32" s="6"/>
      <c r="T32" s="156"/>
      <c r="U32" s="6"/>
    </row>
    <row r="33" spans="1:21" customFormat="1">
      <c r="A33" s="163" t="s">
        <v>1711</v>
      </c>
      <c r="B33" s="100">
        <v>10.42</v>
      </c>
      <c r="C33" s="100">
        <v>16.41</v>
      </c>
      <c r="D33" s="100">
        <v>16.93</v>
      </c>
      <c r="E33" s="100">
        <v>4.6399999999999997</v>
      </c>
      <c r="F33" s="100">
        <v>1.25</v>
      </c>
      <c r="G33" s="100">
        <v>97.08</v>
      </c>
      <c r="H33" s="100">
        <v>65.459999999999994</v>
      </c>
      <c r="I33" s="100">
        <v>15.39</v>
      </c>
      <c r="J33" s="100">
        <v>0.2</v>
      </c>
      <c r="K33" s="100">
        <v>237.94</v>
      </c>
      <c r="L33" s="100">
        <v>15.76</v>
      </c>
      <c r="M33" s="100">
        <v>92.64</v>
      </c>
      <c r="N33" s="100">
        <v>12</v>
      </c>
      <c r="O33" s="100">
        <v>0</v>
      </c>
      <c r="P33" s="100">
        <v>1.08</v>
      </c>
      <c r="Q33" s="100">
        <v>9.32</v>
      </c>
      <c r="R33" s="6"/>
      <c r="S33" s="6"/>
      <c r="T33" s="156"/>
      <c r="U33" s="6"/>
    </row>
    <row r="34" spans="1:21" customFormat="1">
      <c r="A34" s="163" t="s">
        <v>1712</v>
      </c>
      <c r="B34" s="100">
        <v>10.32</v>
      </c>
      <c r="C34" s="100">
        <v>16.11</v>
      </c>
      <c r="D34" s="100">
        <v>16.690000000000001</v>
      </c>
      <c r="E34" s="100">
        <v>4.6399999999999997</v>
      </c>
      <c r="F34" s="100">
        <v>1.35</v>
      </c>
      <c r="G34" s="100">
        <v>96.67</v>
      </c>
      <c r="H34" s="100">
        <v>65.459999999999994</v>
      </c>
      <c r="I34" s="100">
        <v>15.27</v>
      </c>
      <c r="J34" s="100">
        <v>0.17</v>
      </c>
      <c r="K34" s="100">
        <v>239.5</v>
      </c>
      <c r="L34" s="100">
        <v>15.46</v>
      </c>
      <c r="M34" s="100">
        <v>92.47</v>
      </c>
      <c r="N34" s="100">
        <v>13</v>
      </c>
      <c r="O34" s="100">
        <v>0</v>
      </c>
      <c r="P34" s="100">
        <v>1.08</v>
      </c>
      <c r="Q34" s="100">
        <v>9.32</v>
      </c>
      <c r="R34" s="6"/>
      <c r="S34" s="6"/>
      <c r="T34" s="156"/>
      <c r="U34" s="6"/>
    </row>
    <row r="35" spans="1:21" customFormat="1">
      <c r="A35" s="163" t="s">
        <v>1713</v>
      </c>
      <c r="B35" s="100">
        <v>10.27</v>
      </c>
      <c r="C35" s="100">
        <v>15.74</v>
      </c>
      <c r="D35" s="100">
        <v>16.46</v>
      </c>
      <c r="E35" s="100">
        <v>4.54</v>
      </c>
      <c r="F35" s="100">
        <v>1.26</v>
      </c>
      <c r="G35" s="100">
        <v>96.67</v>
      </c>
      <c r="H35" s="100">
        <v>65.459999999999994</v>
      </c>
      <c r="I35" s="100">
        <v>15.15</v>
      </c>
      <c r="J35" s="100">
        <v>0.13</v>
      </c>
      <c r="K35" s="100">
        <v>236.79</v>
      </c>
      <c r="L35" s="100">
        <v>15.27</v>
      </c>
      <c r="M35" s="100">
        <v>92.87</v>
      </c>
      <c r="N35" s="100">
        <v>16.600000000000001</v>
      </c>
      <c r="O35" s="100">
        <v>0</v>
      </c>
      <c r="P35" s="100">
        <v>1.08</v>
      </c>
      <c r="Q35" s="100">
        <v>9.32</v>
      </c>
      <c r="R35" s="6"/>
      <c r="S35" s="6"/>
      <c r="T35" s="156"/>
      <c r="U35" s="6"/>
    </row>
    <row r="36" spans="1:21" customFormat="1">
      <c r="A36" s="163" t="s">
        <v>1714</v>
      </c>
      <c r="B36" s="100">
        <v>10.15</v>
      </c>
      <c r="C36" s="100">
        <v>15.43</v>
      </c>
      <c r="D36" s="100">
        <v>16.2</v>
      </c>
      <c r="E36" s="100">
        <v>4.42</v>
      </c>
      <c r="F36" s="100">
        <v>1.23</v>
      </c>
      <c r="G36" s="100">
        <v>96.67</v>
      </c>
      <c r="H36" s="100">
        <v>65.459999999999994</v>
      </c>
      <c r="I36" s="100">
        <v>14.97</v>
      </c>
      <c r="J36" s="100">
        <v>0.11</v>
      </c>
      <c r="K36" s="100">
        <v>193.08</v>
      </c>
      <c r="L36" s="100">
        <v>15.4</v>
      </c>
      <c r="M36" s="100">
        <v>93.39</v>
      </c>
      <c r="N36" s="100">
        <v>24.3</v>
      </c>
      <c r="O36" s="100">
        <v>0</v>
      </c>
      <c r="P36" s="100">
        <v>1.07</v>
      </c>
      <c r="Q36" s="100">
        <v>9.32</v>
      </c>
      <c r="R36" s="6"/>
      <c r="S36" s="6"/>
      <c r="T36" s="156"/>
      <c r="U36" s="6"/>
    </row>
    <row r="37" spans="1:21" customFormat="1">
      <c r="A37" s="163" t="s">
        <v>1715</v>
      </c>
      <c r="B37" s="100">
        <v>10.119999999999999</v>
      </c>
      <c r="C37" s="100">
        <v>15.27</v>
      </c>
      <c r="D37" s="100">
        <v>16.09</v>
      </c>
      <c r="E37" s="100">
        <v>4.1100000000000003</v>
      </c>
      <c r="F37" s="100">
        <v>1.32</v>
      </c>
      <c r="G37" s="100">
        <v>89.87</v>
      </c>
      <c r="H37" s="100">
        <v>65.83</v>
      </c>
      <c r="I37" s="100">
        <v>14.82</v>
      </c>
      <c r="J37" s="100">
        <v>0.1</v>
      </c>
      <c r="K37" s="100">
        <v>162.54</v>
      </c>
      <c r="L37" s="100">
        <v>15.76</v>
      </c>
      <c r="M37" s="100">
        <v>93.51</v>
      </c>
      <c r="N37" s="100">
        <v>35.200000000000003</v>
      </c>
      <c r="O37" s="100">
        <v>0</v>
      </c>
      <c r="P37" s="100">
        <v>1.06</v>
      </c>
      <c r="Q37" s="100">
        <v>9.32</v>
      </c>
      <c r="R37" s="6"/>
      <c r="S37" s="6"/>
      <c r="T37" s="156"/>
      <c r="U37" s="6"/>
    </row>
    <row r="38" spans="1:21" customFormat="1">
      <c r="A38" s="163" t="s">
        <v>1716</v>
      </c>
      <c r="B38" s="100">
        <v>10.11</v>
      </c>
      <c r="C38" s="100">
        <v>15.08</v>
      </c>
      <c r="D38" s="100">
        <v>15.98</v>
      </c>
      <c r="E38" s="100">
        <v>4.3499999999999996</v>
      </c>
      <c r="F38" s="100">
        <v>1.24</v>
      </c>
      <c r="G38" s="100">
        <v>89.47</v>
      </c>
      <c r="H38" s="100">
        <v>65.83</v>
      </c>
      <c r="I38" s="100">
        <v>14.69</v>
      </c>
      <c r="J38" s="100">
        <v>0.12</v>
      </c>
      <c r="K38" s="100">
        <v>225.71</v>
      </c>
      <c r="L38" s="100">
        <v>16.23</v>
      </c>
      <c r="M38" s="100">
        <v>93.84</v>
      </c>
      <c r="N38" s="100">
        <v>47.3</v>
      </c>
      <c r="O38" s="100">
        <v>0</v>
      </c>
      <c r="P38" s="100">
        <v>1.06</v>
      </c>
      <c r="Q38" s="100">
        <v>9.32</v>
      </c>
      <c r="R38" s="6"/>
      <c r="S38" s="6"/>
      <c r="T38" s="156"/>
      <c r="U38" s="6"/>
    </row>
    <row r="39" spans="1:21" customFormat="1">
      <c r="A39" s="163" t="s">
        <v>1717</v>
      </c>
      <c r="B39" s="100">
        <v>10.220000000000001</v>
      </c>
      <c r="C39" s="100">
        <v>14.85</v>
      </c>
      <c r="D39" s="100">
        <v>15.96</v>
      </c>
      <c r="E39" s="100">
        <v>4.41</v>
      </c>
      <c r="F39" s="100">
        <v>1.25</v>
      </c>
      <c r="G39" s="100">
        <v>89.47</v>
      </c>
      <c r="H39" s="100">
        <v>65.83</v>
      </c>
      <c r="I39" s="100">
        <v>14.57</v>
      </c>
      <c r="J39" s="100">
        <v>0.2</v>
      </c>
      <c r="K39" s="100">
        <v>241.02</v>
      </c>
      <c r="L39" s="100">
        <v>16.829999999999998</v>
      </c>
      <c r="M39" s="100">
        <v>92.56</v>
      </c>
      <c r="N39" s="100">
        <v>60.8</v>
      </c>
      <c r="O39" s="100">
        <v>0</v>
      </c>
      <c r="P39" s="100">
        <v>1.05</v>
      </c>
      <c r="Q39" s="100">
        <v>9.32</v>
      </c>
      <c r="R39" s="6"/>
      <c r="S39" s="6"/>
      <c r="T39" s="156"/>
      <c r="U39" s="6"/>
    </row>
    <row r="40" spans="1:21" customFormat="1">
      <c r="A40" s="163" t="s">
        <v>1718</v>
      </c>
      <c r="B40" s="100">
        <v>11.11</v>
      </c>
      <c r="C40" s="100">
        <v>15.53</v>
      </c>
      <c r="D40" s="100">
        <v>17.03</v>
      </c>
      <c r="E40" s="100">
        <v>4.3099999999999996</v>
      </c>
      <c r="F40" s="100">
        <v>1.24</v>
      </c>
      <c r="G40" s="100">
        <v>89.47</v>
      </c>
      <c r="H40" s="100">
        <v>65.83</v>
      </c>
      <c r="I40" s="100">
        <v>14.52</v>
      </c>
      <c r="J40" s="100">
        <v>0.03</v>
      </c>
      <c r="K40" s="100">
        <v>120.75</v>
      </c>
      <c r="L40" s="100">
        <v>17.510000000000002</v>
      </c>
      <c r="M40" s="100">
        <v>89.02</v>
      </c>
      <c r="N40" s="100">
        <v>75.099999999999994</v>
      </c>
      <c r="O40" s="100">
        <v>0</v>
      </c>
      <c r="P40" s="100">
        <v>1.06</v>
      </c>
      <c r="Q40" s="100">
        <v>9.32</v>
      </c>
      <c r="R40" s="6"/>
      <c r="S40" s="6"/>
      <c r="T40" s="156"/>
      <c r="U40" s="6"/>
    </row>
    <row r="41" spans="1:21" customFormat="1">
      <c r="A41" s="163" t="s">
        <v>1719</v>
      </c>
      <c r="B41" s="100">
        <v>12.79</v>
      </c>
      <c r="C41" s="100">
        <v>16.61</v>
      </c>
      <c r="D41" s="100">
        <v>18.93</v>
      </c>
      <c r="E41" s="100">
        <v>4.58</v>
      </c>
      <c r="F41" s="100">
        <v>1.23</v>
      </c>
      <c r="G41" s="100">
        <v>91.67</v>
      </c>
      <c r="H41" s="100">
        <v>63.84</v>
      </c>
      <c r="I41" s="100">
        <v>14.5</v>
      </c>
      <c r="J41" s="100">
        <v>0.27</v>
      </c>
      <c r="K41" s="100">
        <v>55.41</v>
      </c>
      <c r="L41" s="100">
        <v>18.61</v>
      </c>
      <c r="M41" s="100">
        <v>81.88</v>
      </c>
      <c r="N41" s="100">
        <v>121.6</v>
      </c>
      <c r="O41" s="100">
        <v>0</v>
      </c>
      <c r="P41" s="100">
        <v>1.07</v>
      </c>
      <c r="Q41" s="100">
        <v>9.32</v>
      </c>
      <c r="R41" s="6"/>
      <c r="S41" s="6"/>
      <c r="T41" s="156"/>
      <c r="U41" s="6"/>
    </row>
    <row r="42" spans="1:21" customFormat="1">
      <c r="A42" s="163" t="s">
        <v>1720</v>
      </c>
      <c r="B42" s="100">
        <v>13.61</v>
      </c>
      <c r="C42" s="100">
        <v>17.73</v>
      </c>
      <c r="D42" s="100">
        <v>20.18</v>
      </c>
      <c r="E42" s="100">
        <v>4.57</v>
      </c>
      <c r="F42" s="100">
        <v>1.29</v>
      </c>
      <c r="G42" s="100">
        <v>91.8</v>
      </c>
      <c r="H42" s="100">
        <v>63.84</v>
      </c>
      <c r="I42" s="100">
        <v>14.62</v>
      </c>
      <c r="J42" s="100">
        <v>0.33</v>
      </c>
      <c r="K42" s="100">
        <v>56.12</v>
      </c>
      <c r="L42" s="100">
        <v>19.510000000000002</v>
      </c>
      <c r="M42" s="100">
        <v>76.87</v>
      </c>
      <c r="N42" s="100">
        <v>157.6</v>
      </c>
      <c r="O42" s="100">
        <v>0</v>
      </c>
      <c r="P42" s="100">
        <v>1.08</v>
      </c>
      <c r="Q42" s="100">
        <v>9.32</v>
      </c>
      <c r="R42" s="6"/>
      <c r="S42" s="6"/>
      <c r="T42" s="156"/>
      <c r="U42" s="6"/>
    </row>
    <row r="43" spans="1:21" customFormat="1">
      <c r="A43" s="163" t="s">
        <v>1721</v>
      </c>
      <c r="B43" s="100">
        <v>13.57</v>
      </c>
      <c r="C43" s="100">
        <v>18.16</v>
      </c>
      <c r="D43" s="100">
        <v>20.37</v>
      </c>
      <c r="E43" s="100">
        <v>4.78</v>
      </c>
      <c r="F43" s="100">
        <v>1.25</v>
      </c>
      <c r="G43" s="100">
        <v>91.8</v>
      </c>
      <c r="H43" s="100">
        <v>63.84</v>
      </c>
      <c r="I43" s="100">
        <v>14.75</v>
      </c>
      <c r="J43" s="100">
        <v>0.64</v>
      </c>
      <c r="K43" s="100">
        <v>44.07</v>
      </c>
      <c r="L43" s="100">
        <v>20.11</v>
      </c>
      <c r="M43" s="100">
        <v>73.5</v>
      </c>
      <c r="N43" s="100">
        <v>189.3</v>
      </c>
      <c r="O43" s="100">
        <v>0</v>
      </c>
      <c r="P43" s="100">
        <v>1.08</v>
      </c>
      <c r="Q43" s="100">
        <v>9.32</v>
      </c>
      <c r="R43" s="6"/>
      <c r="S43" s="6"/>
      <c r="T43" s="156"/>
      <c r="U43" s="6"/>
    </row>
    <row r="44" spans="1:21" customFormat="1">
      <c r="A44" s="163" t="s">
        <v>1722</v>
      </c>
      <c r="B44" s="100">
        <v>13.19</v>
      </c>
      <c r="C44" s="100">
        <v>18.62</v>
      </c>
      <c r="D44" s="100">
        <v>20.309999999999999</v>
      </c>
      <c r="E44" s="100">
        <v>4.8099999999999996</v>
      </c>
      <c r="F44" s="100">
        <v>1.35</v>
      </c>
      <c r="G44" s="100">
        <v>91.8</v>
      </c>
      <c r="H44" s="100">
        <v>63.84</v>
      </c>
      <c r="I44" s="100">
        <v>14.76</v>
      </c>
      <c r="J44" s="100">
        <v>0.21</v>
      </c>
      <c r="K44" s="100">
        <v>87.26</v>
      </c>
      <c r="L44" s="100">
        <v>21.07</v>
      </c>
      <c r="M44" s="100">
        <v>68.47</v>
      </c>
      <c r="N44" s="100">
        <v>213.1</v>
      </c>
      <c r="O44" s="100">
        <v>0</v>
      </c>
      <c r="P44" s="100">
        <v>1.08</v>
      </c>
      <c r="Q44" s="100">
        <v>9.32</v>
      </c>
      <c r="R44" s="6"/>
      <c r="S44" s="6"/>
      <c r="T44" s="156"/>
      <c r="U44" s="6"/>
    </row>
    <row r="45" spans="1:21" customFormat="1">
      <c r="A45" s="163" t="s">
        <v>1723</v>
      </c>
      <c r="B45" s="100">
        <v>12.57</v>
      </c>
      <c r="C45" s="100">
        <v>19.149999999999999</v>
      </c>
      <c r="D45" s="100">
        <v>20.09</v>
      </c>
      <c r="E45" s="100">
        <v>4.76</v>
      </c>
      <c r="F45" s="100">
        <v>1.4</v>
      </c>
      <c r="G45" s="100">
        <v>95.61</v>
      </c>
      <c r="H45" s="100">
        <v>67.650000000000006</v>
      </c>
      <c r="I45" s="100">
        <v>14.73</v>
      </c>
      <c r="J45" s="100">
        <v>0.26</v>
      </c>
      <c r="K45" s="100">
        <v>138.94</v>
      </c>
      <c r="L45" s="100">
        <v>22.34</v>
      </c>
      <c r="M45" s="100">
        <v>61.46</v>
      </c>
      <c r="N45" s="100">
        <v>163.19999999999999</v>
      </c>
      <c r="O45" s="100">
        <v>0</v>
      </c>
      <c r="P45" s="100">
        <v>1.07</v>
      </c>
      <c r="Q45" s="100">
        <v>9.32</v>
      </c>
      <c r="R45" s="6"/>
      <c r="S45" s="6"/>
      <c r="T45" s="156"/>
      <c r="U45" s="6"/>
    </row>
    <row r="46" spans="1:21" customFormat="1">
      <c r="A46" s="163" t="s">
        <v>1724</v>
      </c>
      <c r="B46" s="100">
        <v>11.68</v>
      </c>
      <c r="C46" s="100">
        <v>19.149999999999999</v>
      </c>
      <c r="D46" s="100">
        <v>19.37</v>
      </c>
      <c r="E46" s="100">
        <v>4.68</v>
      </c>
      <c r="F46" s="100">
        <v>1.31</v>
      </c>
      <c r="G46" s="100">
        <v>95.84</v>
      </c>
      <c r="H46" s="100">
        <v>67.650000000000006</v>
      </c>
      <c r="I46" s="100">
        <v>14.67</v>
      </c>
      <c r="J46" s="100">
        <v>0.5</v>
      </c>
      <c r="K46" s="100">
        <v>62.29</v>
      </c>
      <c r="L46" s="100">
        <v>22.87</v>
      </c>
      <c r="M46" s="100">
        <v>57.69</v>
      </c>
      <c r="N46" s="100">
        <v>150.9</v>
      </c>
      <c r="O46" s="100">
        <v>0</v>
      </c>
      <c r="P46" s="100">
        <v>1.06</v>
      </c>
      <c r="Q46" s="100">
        <v>9.32</v>
      </c>
      <c r="R46" s="6"/>
      <c r="S46" s="6"/>
      <c r="T46" s="156"/>
      <c r="U46" s="6"/>
    </row>
    <row r="47" spans="1:21" customFormat="1">
      <c r="A47" s="163" t="s">
        <v>1725</v>
      </c>
      <c r="B47" s="100">
        <v>10.96</v>
      </c>
      <c r="C47" s="100">
        <v>19.3</v>
      </c>
      <c r="D47" s="100">
        <v>18.87</v>
      </c>
      <c r="E47" s="100">
        <v>4.96</v>
      </c>
      <c r="F47" s="100">
        <v>1.32</v>
      </c>
      <c r="G47" s="100">
        <v>95.84</v>
      </c>
      <c r="H47" s="100">
        <v>67.650000000000006</v>
      </c>
      <c r="I47" s="100">
        <v>14.57</v>
      </c>
      <c r="J47" s="100">
        <v>0.47</v>
      </c>
      <c r="K47" s="100">
        <v>56.93</v>
      </c>
      <c r="L47" s="100">
        <v>23.52</v>
      </c>
      <c r="M47" s="100">
        <v>55.86</v>
      </c>
      <c r="N47" s="100">
        <v>158.80000000000001</v>
      </c>
      <c r="O47" s="100">
        <v>0</v>
      </c>
      <c r="P47" s="100">
        <v>1.05</v>
      </c>
      <c r="Q47" s="100">
        <v>9.32</v>
      </c>
      <c r="R47" s="6"/>
      <c r="S47" s="6"/>
      <c r="T47" s="156"/>
      <c r="U47" s="6"/>
    </row>
    <row r="48" spans="1:21" customFormat="1">
      <c r="A48" s="163" t="s">
        <v>1726</v>
      </c>
      <c r="B48" s="100">
        <v>10.58</v>
      </c>
      <c r="C48" s="100">
        <v>19.47</v>
      </c>
      <c r="D48" s="100">
        <v>18.66</v>
      </c>
      <c r="E48" s="100">
        <v>5.43</v>
      </c>
      <c r="F48" s="100">
        <v>1.27</v>
      </c>
      <c r="G48" s="100">
        <v>95.84</v>
      </c>
      <c r="H48" s="100">
        <v>67.650000000000006</v>
      </c>
      <c r="I48" s="100">
        <v>14.44</v>
      </c>
      <c r="J48" s="100">
        <v>0.46</v>
      </c>
      <c r="K48" s="100">
        <v>59.73</v>
      </c>
      <c r="L48" s="100">
        <v>24.37</v>
      </c>
      <c r="M48" s="100">
        <v>52.58</v>
      </c>
      <c r="N48" s="100">
        <v>188.3</v>
      </c>
      <c r="O48" s="100">
        <v>0</v>
      </c>
      <c r="P48" s="100">
        <v>1.04</v>
      </c>
      <c r="Q48" s="100">
        <v>9.32</v>
      </c>
      <c r="R48" s="6"/>
      <c r="S48" s="6"/>
      <c r="T48" s="156"/>
      <c r="U48" s="6"/>
    </row>
    <row r="49" spans="1:21" customFormat="1">
      <c r="A49" s="163" t="s">
        <v>1727</v>
      </c>
      <c r="B49" s="100">
        <v>10.31</v>
      </c>
      <c r="C49" s="100">
        <v>19.59</v>
      </c>
      <c r="D49" s="100">
        <v>18.5</v>
      </c>
      <c r="E49" s="100">
        <v>5.4</v>
      </c>
      <c r="F49" s="100">
        <v>1.37</v>
      </c>
      <c r="G49" s="100">
        <v>93.75</v>
      </c>
      <c r="H49" s="100">
        <v>62.49</v>
      </c>
      <c r="I49" s="100">
        <v>14.29</v>
      </c>
      <c r="J49" s="100">
        <v>0.38</v>
      </c>
      <c r="K49" s="100">
        <v>73.599999999999994</v>
      </c>
      <c r="L49" s="100">
        <v>25.14</v>
      </c>
      <c r="M49" s="100">
        <v>49.6</v>
      </c>
      <c r="N49" s="100">
        <v>355.7</v>
      </c>
      <c r="O49" s="100">
        <v>0</v>
      </c>
      <c r="P49" s="100">
        <v>1.03</v>
      </c>
      <c r="Q49" s="100">
        <v>9.32</v>
      </c>
      <c r="R49" s="6"/>
      <c r="S49" s="6"/>
      <c r="T49" s="156"/>
      <c r="U49" s="6"/>
    </row>
    <row r="50" spans="1:21" customFormat="1">
      <c r="A50" s="163" t="s">
        <v>1728</v>
      </c>
      <c r="B50" s="100">
        <v>9.9700000000000006</v>
      </c>
      <c r="C50" s="100">
        <v>19.79</v>
      </c>
      <c r="D50" s="100">
        <v>18.34</v>
      </c>
      <c r="E50" s="100">
        <v>6.14</v>
      </c>
      <c r="F50" s="100">
        <v>1.54</v>
      </c>
      <c r="G50" s="100">
        <v>93.63</v>
      </c>
      <c r="H50" s="100">
        <v>62.49</v>
      </c>
      <c r="I50" s="100">
        <v>14.18</v>
      </c>
      <c r="J50" s="100">
        <v>0.28999999999999998</v>
      </c>
      <c r="K50" s="100">
        <v>84.25</v>
      </c>
      <c r="L50" s="100">
        <v>25.99</v>
      </c>
      <c r="M50" s="100">
        <v>47.18</v>
      </c>
      <c r="N50" s="100">
        <v>401.4</v>
      </c>
      <c r="O50" s="100">
        <v>0</v>
      </c>
      <c r="P50" s="100">
        <v>1.03</v>
      </c>
      <c r="Q50" s="100">
        <v>9.32</v>
      </c>
      <c r="R50" s="6"/>
      <c r="S50" s="6"/>
      <c r="T50" s="156"/>
      <c r="U50" s="6"/>
    </row>
    <row r="51" spans="1:21" customFormat="1">
      <c r="A51" s="163" t="s">
        <v>1729</v>
      </c>
      <c r="B51" s="100">
        <v>9.5299999999999994</v>
      </c>
      <c r="C51" s="100">
        <v>19.89</v>
      </c>
      <c r="D51" s="100">
        <v>18.03</v>
      </c>
      <c r="E51" s="100">
        <v>4.92</v>
      </c>
      <c r="F51" s="100">
        <v>1.68</v>
      </c>
      <c r="G51" s="100">
        <v>93.63</v>
      </c>
      <c r="H51" s="100">
        <v>62.49</v>
      </c>
      <c r="I51" s="100">
        <v>14.06</v>
      </c>
      <c r="J51" s="100">
        <v>0.52</v>
      </c>
      <c r="K51" s="100">
        <v>55.86</v>
      </c>
      <c r="L51" s="100">
        <v>26.26</v>
      </c>
      <c r="M51" s="100">
        <v>45.65</v>
      </c>
      <c r="N51" s="100">
        <v>423.4</v>
      </c>
      <c r="O51" s="100">
        <v>0</v>
      </c>
      <c r="P51" s="100">
        <v>1.01</v>
      </c>
      <c r="Q51" s="100">
        <v>9.32</v>
      </c>
      <c r="R51" s="6"/>
      <c r="S51" s="6"/>
      <c r="T51" s="156"/>
      <c r="U51" s="6"/>
    </row>
    <row r="52" spans="1:21" customFormat="1">
      <c r="A52" s="163" t="s">
        <v>1730</v>
      </c>
      <c r="B52" s="100">
        <v>9.06</v>
      </c>
      <c r="C52" s="100">
        <v>20.079999999999998</v>
      </c>
      <c r="D52" s="100">
        <v>17.75</v>
      </c>
      <c r="E52" s="100">
        <v>6.33</v>
      </c>
      <c r="F52" s="100">
        <v>1.79</v>
      </c>
      <c r="G52" s="100">
        <v>93.63</v>
      </c>
      <c r="H52" s="100">
        <v>62.49</v>
      </c>
      <c r="I52" s="100">
        <v>13.9</v>
      </c>
      <c r="J52" s="100">
        <v>0.59</v>
      </c>
      <c r="K52" s="100">
        <v>56.97</v>
      </c>
      <c r="L52" s="100">
        <v>26.43</v>
      </c>
      <c r="M52" s="100">
        <v>44.61</v>
      </c>
      <c r="N52" s="100">
        <v>440.4</v>
      </c>
      <c r="O52" s="100">
        <v>0</v>
      </c>
      <c r="P52" s="100">
        <v>1</v>
      </c>
      <c r="Q52" s="100">
        <v>9.32</v>
      </c>
      <c r="R52" s="6"/>
      <c r="S52" s="6"/>
      <c r="T52" s="156"/>
      <c r="U52" s="6"/>
    </row>
    <row r="53" spans="1:21" customFormat="1">
      <c r="A53" s="163" t="s">
        <v>1731</v>
      </c>
      <c r="B53" s="100">
        <v>8.52</v>
      </c>
      <c r="C53" s="100">
        <v>20.12</v>
      </c>
      <c r="D53" s="100">
        <v>17.34</v>
      </c>
      <c r="E53" s="100">
        <v>6.68</v>
      </c>
      <c r="F53" s="100">
        <v>2.0099999999999998</v>
      </c>
      <c r="G53" s="100">
        <v>86.57</v>
      </c>
      <c r="H53" s="100">
        <v>59.42</v>
      </c>
      <c r="I53" s="100">
        <v>13.76</v>
      </c>
      <c r="J53" s="100">
        <v>0.52</v>
      </c>
      <c r="K53" s="100">
        <v>58.45</v>
      </c>
      <c r="L53" s="100">
        <v>27.04</v>
      </c>
      <c r="M53" s="100">
        <v>42.65</v>
      </c>
      <c r="N53" s="100">
        <v>422.4</v>
      </c>
      <c r="O53" s="100">
        <v>0</v>
      </c>
      <c r="P53" s="100">
        <v>0.98</v>
      </c>
      <c r="Q53" s="100">
        <v>9.32</v>
      </c>
      <c r="R53" s="6"/>
      <c r="S53" s="6"/>
      <c r="T53" s="156"/>
      <c r="U53" s="6"/>
    </row>
    <row r="54" spans="1:21" customFormat="1">
      <c r="A54" s="163" t="s">
        <v>1732</v>
      </c>
      <c r="B54" s="100">
        <v>7.57</v>
      </c>
      <c r="C54" s="100">
        <v>20.52</v>
      </c>
      <c r="D54" s="100">
        <v>16.8</v>
      </c>
      <c r="E54" s="100">
        <v>6.17</v>
      </c>
      <c r="F54" s="100">
        <v>2.3199999999999998</v>
      </c>
      <c r="G54" s="100">
        <v>86.16</v>
      </c>
      <c r="H54" s="100">
        <v>59.42</v>
      </c>
      <c r="I54" s="100">
        <v>13.59</v>
      </c>
      <c r="J54" s="100">
        <v>0.57999999999999996</v>
      </c>
      <c r="K54" s="100">
        <v>34.86</v>
      </c>
      <c r="L54" s="100">
        <v>27.34</v>
      </c>
      <c r="M54" s="100">
        <v>41.11</v>
      </c>
      <c r="N54" s="100">
        <v>471.7</v>
      </c>
      <c r="O54" s="100">
        <v>0</v>
      </c>
      <c r="P54" s="100">
        <v>0.95</v>
      </c>
      <c r="Q54" s="100">
        <v>9.32</v>
      </c>
      <c r="R54" s="6"/>
      <c r="S54" s="6"/>
      <c r="T54" s="156"/>
      <c r="U54" s="6"/>
    </row>
    <row r="55" spans="1:21" customFormat="1">
      <c r="A55" s="163" t="s">
        <v>1733</v>
      </c>
      <c r="B55" s="100">
        <v>6.45</v>
      </c>
      <c r="C55" s="100">
        <v>20.9</v>
      </c>
      <c r="D55" s="100">
        <v>16.09</v>
      </c>
      <c r="E55" s="100">
        <v>6.8</v>
      </c>
      <c r="F55" s="100">
        <v>2.74</v>
      </c>
      <c r="G55" s="100">
        <v>86.16</v>
      </c>
      <c r="H55" s="100">
        <v>59.42</v>
      </c>
      <c r="I55" s="100">
        <v>13.43</v>
      </c>
      <c r="J55" s="100">
        <v>0.1</v>
      </c>
      <c r="K55" s="100">
        <v>196.17</v>
      </c>
      <c r="L55" s="100">
        <v>28.02</v>
      </c>
      <c r="M55" s="100">
        <v>39.729999999999997</v>
      </c>
      <c r="N55" s="100">
        <v>485.4</v>
      </c>
      <c r="O55" s="100">
        <v>0</v>
      </c>
      <c r="P55" s="100">
        <v>0.93</v>
      </c>
      <c r="Q55" s="100">
        <v>9.32</v>
      </c>
      <c r="R55" s="6"/>
      <c r="S55" s="6"/>
      <c r="T55" s="156"/>
      <c r="U55" s="6"/>
    </row>
    <row r="56" spans="1:21" customFormat="1">
      <c r="A56" s="163" t="s">
        <v>1734</v>
      </c>
      <c r="B56" s="100">
        <v>5.31</v>
      </c>
      <c r="C56" s="100">
        <v>20.97</v>
      </c>
      <c r="D56" s="100">
        <v>15.21</v>
      </c>
      <c r="E56" s="100">
        <v>6.5</v>
      </c>
      <c r="F56" s="100">
        <v>3.26</v>
      </c>
      <c r="G56" s="100">
        <v>86.16</v>
      </c>
      <c r="H56" s="100">
        <v>59.42</v>
      </c>
      <c r="I56" s="100">
        <v>13.26</v>
      </c>
      <c r="J56" s="100">
        <v>0.4</v>
      </c>
      <c r="K56" s="100">
        <v>163.55000000000001</v>
      </c>
      <c r="L56" s="100">
        <v>28.71</v>
      </c>
      <c r="M56" s="100">
        <v>36.56</v>
      </c>
      <c r="N56" s="100">
        <v>501.5</v>
      </c>
      <c r="O56" s="100">
        <v>0</v>
      </c>
      <c r="P56" s="100">
        <v>0.91</v>
      </c>
      <c r="Q56" s="100">
        <v>9.32</v>
      </c>
      <c r="R56" s="6"/>
      <c r="S56" s="6"/>
      <c r="T56" s="156"/>
      <c r="U56" s="6"/>
    </row>
    <row r="57" spans="1:21" customFormat="1">
      <c r="A57" s="163" t="s">
        <v>1735</v>
      </c>
      <c r="B57" s="100">
        <v>4.38</v>
      </c>
      <c r="C57" s="100">
        <v>20.61</v>
      </c>
      <c r="D57" s="100">
        <v>14.29</v>
      </c>
      <c r="E57" s="100">
        <v>6.55</v>
      </c>
      <c r="F57" s="100">
        <v>3.73</v>
      </c>
      <c r="G57" s="100">
        <v>78.349999999999994</v>
      </c>
      <c r="H57" s="100">
        <v>55.72</v>
      </c>
      <c r="I57" s="100">
        <v>13.1</v>
      </c>
      <c r="J57" s="100">
        <v>0.2</v>
      </c>
      <c r="K57" s="100">
        <v>182.69</v>
      </c>
      <c r="L57" s="100">
        <v>28.74</v>
      </c>
      <c r="M57" s="100">
        <v>37.049999999999997</v>
      </c>
      <c r="N57" s="100">
        <v>497.3</v>
      </c>
      <c r="O57" s="100">
        <v>0</v>
      </c>
      <c r="P57" s="100">
        <v>0.89</v>
      </c>
      <c r="Q57" s="100">
        <v>9.32</v>
      </c>
      <c r="R57" s="6"/>
      <c r="S57" s="6"/>
      <c r="T57" s="156"/>
      <c r="U57" s="6"/>
    </row>
    <row r="58" spans="1:21" customFormat="1">
      <c r="A58" s="163" t="s">
        <v>1736</v>
      </c>
      <c r="B58" s="100">
        <v>3.82</v>
      </c>
      <c r="C58" s="100">
        <v>20.03</v>
      </c>
      <c r="D58" s="100">
        <v>13.53</v>
      </c>
      <c r="E58" s="100">
        <v>6.63</v>
      </c>
      <c r="F58" s="100">
        <v>4.18</v>
      </c>
      <c r="G58" s="100">
        <v>77.89</v>
      </c>
      <c r="H58" s="100">
        <v>55.73</v>
      </c>
      <c r="I58" s="100">
        <v>12.9</v>
      </c>
      <c r="J58" s="100">
        <v>0.36</v>
      </c>
      <c r="K58" s="100">
        <v>73.42</v>
      </c>
      <c r="L58" s="100">
        <v>29.12</v>
      </c>
      <c r="M58" s="100">
        <v>34.93</v>
      </c>
      <c r="N58" s="100">
        <v>493.1</v>
      </c>
      <c r="O58" s="100">
        <v>0</v>
      </c>
      <c r="P58" s="100">
        <v>0.87</v>
      </c>
      <c r="Q58" s="100">
        <v>9.32</v>
      </c>
      <c r="R58" s="6"/>
      <c r="S58" s="6"/>
      <c r="T58" s="156"/>
      <c r="U58" s="6"/>
    </row>
    <row r="59" spans="1:21" customFormat="1">
      <c r="A59" s="163" t="s">
        <v>1737</v>
      </c>
      <c r="B59" s="100">
        <v>3.49</v>
      </c>
      <c r="C59" s="100">
        <v>19.59</v>
      </c>
      <c r="D59" s="100">
        <v>13.04</v>
      </c>
      <c r="E59" s="100">
        <v>6.53</v>
      </c>
      <c r="F59" s="100">
        <v>4.62</v>
      </c>
      <c r="G59" s="100">
        <v>77.89</v>
      </c>
      <c r="H59" s="100">
        <v>55.73</v>
      </c>
      <c r="I59" s="100">
        <v>12.61</v>
      </c>
      <c r="J59" s="100">
        <v>0.45</v>
      </c>
      <c r="K59" s="100">
        <v>25.58</v>
      </c>
      <c r="L59" s="100">
        <v>29.33</v>
      </c>
      <c r="M59" s="100">
        <v>33.9</v>
      </c>
      <c r="N59" s="100">
        <v>489.6</v>
      </c>
      <c r="O59" s="100">
        <v>0</v>
      </c>
      <c r="P59" s="100">
        <v>0.85</v>
      </c>
      <c r="Q59" s="100">
        <v>9.32</v>
      </c>
      <c r="R59" s="6"/>
      <c r="S59" s="6"/>
      <c r="T59" s="156"/>
      <c r="U59" s="6"/>
    </row>
    <row r="60" spans="1:21" customFormat="1">
      <c r="A60" s="163" t="s">
        <v>1738</v>
      </c>
      <c r="B60" s="100">
        <v>3.36</v>
      </c>
      <c r="C60" s="100">
        <v>19.239999999999998</v>
      </c>
      <c r="D60" s="100">
        <v>12.75</v>
      </c>
      <c r="E60" s="100">
        <v>6.85</v>
      </c>
      <c r="F60" s="100">
        <v>5.03</v>
      </c>
      <c r="G60" s="100">
        <v>77.89</v>
      </c>
      <c r="H60" s="100">
        <v>55.72</v>
      </c>
      <c r="I60" s="100">
        <v>12.34</v>
      </c>
      <c r="J60" s="100">
        <v>0.69</v>
      </c>
      <c r="K60" s="100">
        <v>28.31</v>
      </c>
      <c r="L60" s="100">
        <v>29.34</v>
      </c>
      <c r="M60" s="100">
        <v>33.28</v>
      </c>
      <c r="N60" s="100">
        <v>458.2</v>
      </c>
      <c r="O60" s="100">
        <v>0</v>
      </c>
      <c r="P60" s="100">
        <v>0.83</v>
      </c>
      <c r="Q60" s="100">
        <v>9.32</v>
      </c>
      <c r="R60" s="6"/>
      <c r="S60" s="6"/>
      <c r="T60" s="156"/>
      <c r="U60" s="6"/>
    </row>
    <row r="61" spans="1:21" customFormat="1">
      <c r="A61" s="163" t="s">
        <v>1739</v>
      </c>
      <c r="B61" s="100">
        <v>3.3</v>
      </c>
      <c r="C61" s="100">
        <v>18.899999999999999</v>
      </c>
      <c r="D61" s="100">
        <v>12.52</v>
      </c>
      <c r="E61" s="100">
        <v>7.32</v>
      </c>
      <c r="F61" s="100">
        <v>6.1</v>
      </c>
      <c r="G61" s="100">
        <v>66.47</v>
      </c>
      <c r="H61" s="100">
        <v>48.69</v>
      </c>
      <c r="I61" s="100">
        <v>13.47</v>
      </c>
      <c r="J61" s="100">
        <v>0.1</v>
      </c>
      <c r="K61" s="100">
        <v>252.12</v>
      </c>
      <c r="L61" s="100">
        <v>29.18</v>
      </c>
      <c r="M61" s="100">
        <v>35.340000000000003</v>
      </c>
      <c r="N61" s="100">
        <v>378</v>
      </c>
      <c r="O61" s="100">
        <v>0</v>
      </c>
      <c r="P61" s="100">
        <v>0.82</v>
      </c>
      <c r="Q61" s="100">
        <v>9.32</v>
      </c>
      <c r="R61" s="6"/>
      <c r="S61" s="6"/>
      <c r="T61" s="156"/>
      <c r="U61" s="6"/>
    </row>
    <row r="62" spans="1:21" customFormat="1">
      <c r="A62" s="163" t="s">
        <v>1740</v>
      </c>
      <c r="B62" s="100">
        <v>3.25</v>
      </c>
      <c r="C62" s="100">
        <v>18.399999999999999</v>
      </c>
      <c r="D62" s="100">
        <v>12.22</v>
      </c>
      <c r="E62" s="100">
        <v>6.85</v>
      </c>
      <c r="F62" s="100">
        <v>5.62</v>
      </c>
      <c r="G62" s="100">
        <v>65.790000000000006</v>
      </c>
      <c r="H62" s="100">
        <v>48.69</v>
      </c>
      <c r="I62" s="100">
        <v>14.73</v>
      </c>
      <c r="J62" s="100">
        <v>0.14000000000000001</v>
      </c>
      <c r="K62" s="100">
        <v>150.88</v>
      </c>
      <c r="L62" s="100">
        <v>29.12</v>
      </c>
      <c r="M62" s="100">
        <v>33.909999999999997</v>
      </c>
      <c r="N62" s="100">
        <v>178.8</v>
      </c>
      <c r="O62" s="100">
        <v>0</v>
      </c>
      <c r="P62" s="100">
        <v>0.8</v>
      </c>
      <c r="Q62" s="100">
        <v>9.32</v>
      </c>
      <c r="R62" s="6"/>
      <c r="S62" s="6"/>
      <c r="T62" s="156"/>
      <c r="U62" s="6"/>
    </row>
    <row r="63" spans="1:21" customFormat="1">
      <c r="A63" s="163" t="s">
        <v>1741</v>
      </c>
      <c r="B63" s="100">
        <v>3.21</v>
      </c>
      <c r="C63" s="100">
        <v>17.95</v>
      </c>
      <c r="D63" s="100">
        <v>11.95</v>
      </c>
      <c r="E63" s="100">
        <v>7.11</v>
      </c>
      <c r="F63" s="100">
        <v>5.74</v>
      </c>
      <c r="G63" s="100">
        <v>65.790000000000006</v>
      </c>
      <c r="H63" s="100">
        <v>48.69</v>
      </c>
      <c r="I63" s="100">
        <v>14.32</v>
      </c>
      <c r="J63" s="100">
        <v>0.37</v>
      </c>
      <c r="K63" s="100">
        <v>91.45</v>
      </c>
      <c r="L63" s="100">
        <v>29.09</v>
      </c>
      <c r="M63" s="100">
        <v>33.6</v>
      </c>
      <c r="N63" s="100">
        <v>157.30000000000001</v>
      </c>
      <c r="O63" s="100">
        <v>0</v>
      </c>
      <c r="P63" s="100">
        <v>0.78</v>
      </c>
      <c r="Q63" s="100">
        <v>9.32</v>
      </c>
      <c r="R63" s="6"/>
      <c r="S63" s="6"/>
      <c r="T63" s="156"/>
      <c r="U63" s="6"/>
    </row>
    <row r="64" spans="1:21" customFormat="1">
      <c r="A64" s="163" t="s">
        <v>1742</v>
      </c>
      <c r="B64" s="100">
        <v>3.18</v>
      </c>
      <c r="C64" s="100">
        <v>17.670000000000002</v>
      </c>
      <c r="D64" s="100">
        <v>11.78</v>
      </c>
      <c r="E64" s="100">
        <v>7.4</v>
      </c>
      <c r="F64" s="100">
        <v>7.84</v>
      </c>
      <c r="G64" s="100">
        <v>65.790000000000006</v>
      </c>
      <c r="H64" s="100">
        <v>48.69</v>
      </c>
      <c r="I64" s="100">
        <v>13.88</v>
      </c>
      <c r="J64" s="100">
        <v>0.47</v>
      </c>
      <c r="K64" s="100">
        <v>21.34</v>
      </c>
      <c r="L64" s="100">
        <v>29.12</v>
      </c>
      <c r="M64" s="100">
        <v>33.04</v>
      </c>
      <c r="N64" s="100">
        <v>137.9</v>
      </c>
      <c r="O64" s="100">
        <v>0</v>
      </c>
      <c r="P64" s="100">
        <v>0.77</v>
      </c>
      <c r="Q64" s="100">
        <v>9.32</v>
      </c>
      <c r="R64" s="6"/>
      <c r="S64" s="6"/>
      <c r="T64" s="156"/>
      <c r="U64" s="6"/>
    </row>
    <row r="65" spans="1:21" customFormat="1">
      <c r="A65" s="163" t="s">
        <v>1743</v>
      </c>
      <c r="B65" s="100">
        <v>3.18</v>
      </c>
      <c r="C65" s="100">
        <v>17.71</v>
      </c>
      <c r="D65" s="100">
        <v>11.8</v>
      </c>
      <c r="E65" s="100">
        <v>7.53</v>
      </c>
      <c r="F65" s="100">
        <v>6.42</v>
      </c>
      <c r="G65" s="100">
        <v>60.88</v>
      </c>
      <c r="H65" s="100">
        <v>43.44</v>
      </c>
      <c r="I65" s="100">
        <v>13.62</v>
      </c>
      <c r="J65" s="100">
        <v>0.24</v>
      </c>
      <c r="K65" s="100">
        <v>29.62</v>
      </c>
      <c r="L65" s="100">
        <v>29.19</v>
      </c>
      <c r="M65" s="100">
        <v>32.01</v>
      </c>
      <c r="N65" s="100">
        <v>126.6</v>
      </c>
      <c r="O65" s="100">
        <v>0</v>
      </c>
      <c r="P65" s="100">
        <v>0.71</v>
      </c>
      <c r="Q65" s="100">
        <v>9.32</v>
      </c>
      <c r="R65" s="6"/>
      <c r="S65" s="6"/>
      <c r="T65" s="156"/>
      <c r="U65" s="6"/>
    </row>
    <row r="66" spans="1:21" customFormat="1">
      <c r="A66" s="163" t="s">
        <v>1744</v>
      </c>
      <c r="B66" s="100">
        <v>3.18</v>
      </c>
      <c r="C66" s="100">
        <v>17.559999999999999</v>
      </c>
      <c r="D66" s="100">
        <v>11.73</v>
      </c>
      <c r="E66" s="100">
        <v>7.05</v>
      </c>
      <c r="F66" s="100">
        <v>5.58</v>
      </c>
      <c r="G66" s="100">
        <v>60.59</v>
      </c>
      <c r="H66" s="100">
        <v>43.44</v>
      </c>
      <c r="I66" s="100">
        <v>13.4</v>
      </c>
      <c r="J66" s="100">
        <v>0.42</v>
      </c>
      <c r="K66" s="100">
        <v>54.03</v>
      </c>
      <c r="L66" s="100">
        <v>29.37</v>
      </c>
      <c r="M66" s="100">
        <v>32.57</v>
      </c>
      <c r="N66" s="100">
        <v>128.69999999999999</v>
      </c>
      <c r="O66" s="100">
        <v>0</v>
      </c>
      <c r="P66" s="100">
        <v>0.74</v>
      </c>
      <c r="Q66" s="100">
        <v>9.32</v>
      </c>
      <c r="R66" s="6"/>
      <c r="S66" s="6"/>
      <c r="T66" s="156"/>
      <c r="U66" s="6"/>
    </row>
    <row r="67" spans="1:21" customFormat="1">
      <c r="A67" s="163" t="s">
        <v>1745</v>
      </c>
      <c r="B67" s="100">
        <v>3.18</v>
      </c>
      <c r="C67" s="100">
        <v>17.46</v>
      </c>
      <c r="D67" s="100">
        <v>11.67</v>
      </c>
      <c r="E67" s="100">
        <v>6.81</v>
      </c>
      <c r="F67" s="100">
        <v>5.66</v>
      </c>
      <c r="G67" s="100">
        <v>60.59</v>
      </c>
      <c r="H67" s="100">
        <v>43.44</v>
      </c>
      <c r="I67" s="100">
        <v>13.19</v>
      </c>
      <c r="J67" s="100">
        <v>0.28999999999999998</v>
      </c>
      <c r="K67" s="100">
        <v>138.24</v>
      </c>
      <c r="L67" s="100">
        <v>29.45</v>
      </c>
      <c r="M67" s="100">
        <v>31.62</v>
      </c>
      <c r="N67" s="100">
        <v>112.5</v>
      </c>
      <c r="O67" s="100">
        <v>0</v>
      </c>
      <c r="P67" s="100">
        <v>0.73</v>
      </c>
      <c r="Q67" s="100">
        <v>9.32</v>
      </c>
      <c r="R67" s="6"/>
      <c r="S67" s="6"/>
      <c r="T67" s="156"/>
      <c r="U67" s="6"/>
    </row>
    <row r="68" spans="1:21" customFormat="1">
      <c r="A68" s="163" t="s">
        <v>1746</v>
      </c>
      <c r="B68" s="100">
        <v>3.15</v>
      </c>
      <c r="C68" s="100">
        <v>17.190000000000001</v>
      </c>
      <c r="D68" s="100">
        <v>11.5</v>
      </c>
      <c r="E68" s="100">
        <v>6.88</v>
      </c>
      <c r="F68" s="100">
        <v>5.94</v>
      </c>
      <c r="G68" s="100">
        <v>60.59</v>
      </c>
      <c r="H68" s="100">
        <v>43.44</v>
      </c>
      <c r="I68" s="100">
        <v>12.99</v>
      </c>
      <c r="J68" s="100">
        <v>0.39</v>
      </c>
      <c r="K68" s="100">
        <v>355.24</v>
      </c>
      <c r="L68" s="100">
        <v>29.22</v>
      </c>
      <c r="M68" s="100">
        <v>30.18</v>
      </c>
      <c r="N68" s="100">
        <v>100.9</v>
      </c>
      <c r="O68" s="100">
        <v>0</v>
      </c>
      <c r="P68" s="100">
        <v>0.72</v>
      </c>
      <c r="Q68" s="100">
        <v>9.32</v>
      </c>
      <c r="R68" s="6"/>
      <c r="S68" s="6"/>
      <c r="T68" s="156"/>
      <c r="U68" s="6"/>
    </row>
    <row r="69" spans="1:21" customFormat="1">
      <c r="A69" s="163" t="s">
        <v>1747</v>
      </c>
      <c r="B69" s="100">
        <v>3.18</v>
      </c>
      <c r="C69" s="100">
        <v>17.28</v>
      </c>
      <c r="D69" s="100">
        <v>11.58</v>
      </c>
      <c r="E69" s="100">
        <v>6.99</v>
      </c>
      <c r="F69" s="100">
        <v>6.33</v>
      </c>
      <c r="G69" s="100">
        <v>62.37</v>
      </c>
      <c r="H69" s="100">
        <v>44.61</v>
      </c>
      <c r="I69" s="100">
        <v>12.77</v>
      </c>
      <c r="J69" s="100">
        <v>0.11</v>
      </c>
      <c r="K69" s="100">
        <v>6.85</v>
      </c>
      <c r="L69" s="100">
        <v>29.28</v>
      </c>
      <c r="M69" s="100">
        <v>30.74</v>
      </c>
      <c r="N69" s="100">
        <v>96</v>
      </c>
      <c r="O69" s="100">
        <v>0</v>
      </c>
      <c r="P69" s="100">
        <v>0.71</v>
      </c>
      <c r="Q69" s="100">
        <v>9.32</v>
      </c>
      <c r="R69" s="6"/>
      <c r="S69" s="6"/>
      <c r="T69" s="156"/>
      <c r="U69" s="6"/>
    </row>
    <row r="70" spans="1:21" customFormat="1">
      <c r="A70" s="163" t="s">
        <v>1748</v>
      </c>
      <c r="B70" s="100">
        <v>3.15</v>
      </c>
      <c r="C70" s="100">
        <v>17.02</v>
      </c>
      <c r="D70" s="100">
        <v>11.42</v>
      </c>
      <c r="E70" s="100">
        <v>6.94</v>
      </c>
      <c r="F70" s="100">
        <v>5.87</v>
      </c>
      <c r="G70" s="100">
        <v>62.47</v>
      </c>
      <c r="H70" s="100">
        <v>44.61</v>
      </c>
      <c r="I70" s="100">
        <v>12.54</v>
      </c>
      <c r="J70" s="100">
        <v>0.18</v>
      </c>
      <c r="K70" s="100">
        <v>237.15</v>
      </c>
      <c r="L70" s="100">
        <v>28.96</v>
      </c>
      <c r="M70" s="100">
        <v>33.450000000000003</v>
      </c>
      <c r="N70" s="100">
        <v>86</v>
      </c>
      <c r="O70" s="100">
        <v>0</v>
      </c>
      <c r="P70" s="100">
        <v>0.7</v>
      </c>
      <c r="Q70" s="100">
        <v>9.32</v>
      </c>
      <c r="R70" s="6"/>
      <c r="S70" s="6"/>
      <c r="T70" s="156"/>
      <c r="U70" s="6"/>
    </row>
    <row r="71" spans="1:21" customFormat="1">
      <c r="A71" s="163" t="s">
        <v>1749</v>
      </c>
      <c r="B71" s="100">
        <v>3.13</v>
      </c>
      <c r="C71" s="100">
        <v>16.510000000000002</v>
      </c>
      <c r="D71" s="100">
        <v>11.13</v>
      </c>
      <c r="E71" s="100">
        <v>6.72</v>
      </c>
      <c r="F71" s="100">
        <v>5.74</v>
      </c>
      <c r="G71" s="100">
        <v>62.47</v>
      </c>
      <c r="H71" s="100">
        <v>44.61</v>
      </c>
      <c r="I71" s="100">
        <v>12.36</v>
      </c>
      <c r="J71" s="100">
        <v>0.19</v>
      </c>
      <c r="K71" s="100">
        <v>171.31</v>
      </c>
      <c r="L71" s="100">
        <v>28.72</v>
      </c>
      <c r="M71" s="100">
        <v>35.64</v>
      </c>
      <c r="N71" s="100">
        <v>74.599999999999994</v>
      </c>
      <c r="O71" s="100">
        <v>0</v>
      </c>
      <c r="P71" s="100">
        <v>0.69</v>
      </c>
      <c r="Q71" s="100">
        <v>9.32</v>
      </c>
      <c r="R71" s="6"/>
      <c r="S71" s="6"/>
      <c r="T71" s="156"/>
      <c r="U71" s="6"/>
    </row>
    <row r="72" spans="1:21" customFormat="1">
      <c r="A72" s="163" t="s">
        <v>1750</v>
      </c>
      <c r="B72" s="100">
        <v>3.13</v>
      </c>
      <c r="C72" s="100">
        <v>16.149999999999999</v>
      </c>
      <c r="D72" s="100">
        <v>10.95</v>
      </c>
      <c r="E72" s="100">
        <v>6.57</v>
      </c>
      <c r="F72" s="100">
        <v>5.81</v>
      </c>
      <c r="G72" s="100">
        <v>62.47</v>
      </c>
      <c r="H72" s="100">
        <v>44.61</v>
      </c>
      <c r="I72" s="100">
        <v>12.17</v>
      </c>
      <c r="J72" s="100">
        <v>0.28000000000000003</v>
      </c>
      <c r="K72" s="100">
        <v>165</v>
      </c>
      <c r="L72" s="100">
        <v>28.36</v>
      </c>
      <c r="M72" s="100">
        <v>37.549999999999997</v>
      </c>
      <c r="N72" s="100">
        <v>65</v>
      </c>
      <c r="O72" s="100">
        <v>0</v>
      </c>
      <c r="P72" s="100">
        <v>0.67</v>
      </c>
      <c r="Q72" s="100">
        <v>9.32</v>
      </c>
      <c r="R72" s="6"/>
      <c r="S72" s="6"/>
      <c r="T72" s="156"/>
      <c r="U72" s="6"/>
    </row>
    <row r="73" spans="1:21" customFormat="1">
      <c r="A73" s="163" t="s">
        <v>1751</v>
      </c>
      <c r="B73" s="100">
        <v>3.13</v>
      </c>
      <c r="C73" s="100">
        <v>15.75</v>
      </c>
      <c r="D73" s="100">
        <v>10.74</v>
      </c>
      <c r="E73" s="100">
        <v>6.86</v>
      </c>
      <c r="F73" s="100">
        <v>6.95</v>
      </c>
      <c r="G73" s="100">
        <v>60.69</v>
      </c>
      <c r="H73" s="100">
        <v>43.1</v>
      </c>
      <c r="I73" s="100">
        <v>11.96</v>
      </c>
      <c r="J73" s="100">
        <v>0.28000000000000003</v>
      </c>
      <c r="K73" s="100">
        <v>170.52</v>
      </c>
      <c r="L73" s="100">
        <v>27.98</v>
      </c>
      <c r="M73" s="100">
        <v>36.630000000000003</v>
      </c>
      <c r="N73" s="100">
        <v>55.9</v>
      </c>
      <c r="O73" s="100">
        <v>0</v>
      </c>
      <c r="P73" s="100">
        <v>0.67</v>
      </c>
      <c r="Q73" s="100">
        <v>9.32</v>
      </c>
      <c r="R73" s="6"/>
      <c r="S73" s="6"/>
      <c r="T73" s="156"/>
      <c r="U73" s="6"/>
    </row>
    <row r="74" spans="1:21" customFormat="1">
      <c r="A74" s="163" t="s">
        <v>1752</v>
      </c>
      <c r="B74" s="100">
        <v>3.18</v>
      </c>
      <c r="C74" s="100">
        <v>15.54</v>
      </c>
      <c r="D74" s="100">
        <v>10.67</v>
      </c>
      <c r="E74" s="100">
        <v>6.52</v>
      </c>
      <c r="F74" s="100">
        <v>4.1399999999999997</v>
      </c>
      <c r="G74" s="100">
        <v>60.59</v>
      </c>
      <c r="H74" s="100">
        <v>43.1</v>
      </c>
      <c r="I74" s="100">
        <v>11.77</v>
      </c>
      <c r="J74" s="100">
        <v>0.17</v>
      </c>
      <c r="K74" s="100">
        <v>176.21</v>
      </c>
      <c r="L74" s="100">
        <v>27.31</v>
      </c>
      <c r="M74" s="100">
        <v>40.32</v>
      </c>
      <c r="N74" s="100">
        <v>47.3</v>
      </c>
      <c r="O74" s="100">
        <v>0</v>
      </c>
      <c r="P74" s="100">
        <v>0.68</v>
      </c>
      <c r="Q74" s="100">
        <v>9.32</v>
      </c>
      <c r="R74" s="6"/>
      <c r="S74" s="6"/>
      <c r="T74" s="156"/>
      <c r="U74" s="6"/>
    </row>
    <row r="75" spans="1:21" customFormat="1">
      <c r="A75" s="163" t="s">
        <v>1753</v>
      </c>
      <c r="B75" s="100">
        <v>3.3</v>
      </c>
      <c r="C75" s="100">
        <v>15.31</v>
      </c>
      <c r="D75" s="100">
        <v>10.65</v>
      </c>
      <c r="E75" s="100">
        <v>6.48</v>
      </c>
      <c r="F75" s="100">
        <v>5.28</v>
      </c>
      <c r="G75" s="100">
        <v>60.59</v>
      </c>
      <c r="H75" s="100">
        <v>43.1</v>
      </c>
      <c r="I75" s="100">
        <v>11.58</v>
      </c>
      <c r="J75" s="100">
        <v>0.15</v>
      </c>
      <c r="K75" s="100">
        <v>169.84</v>
      </c>
      <c r="L75" s="100">
        <v>26.64</v>
      </c>
      <c r="M75" s="100">
        <v>44.09</v>
      </c>
      <c r="N75" s="100">
        <v>36.4</v>
      </c>
      <c r="O75" s="100">
        <v>0</v>
      </c>
      <c r="P75" s="100">
        <v>0.67</v>
      </c>
      <c r="Q75" s="100">
        <v>9.32</v>
      </c>
      <c r="R75" s="6"/>
      <c r="S75" s="6"/>
      <c r="T75" s="156"/>
      <c r="U75" s="6"/>
    </row>
    <row r="76" spans="1:21" customFormat="1">
      <c r="A76" s="163" t="s">
        <v>1754</v>
      </c>
      <c r="B76" s="100">
        <v>3.39</v>
      </c>
      <c r="C76" s="100">
        <v>15.19</v>
      </c>
      <c r="D76" s="100">
        <v>10.65</v>
      </c>
      <c r="E76" s="100">
        <v>6.62</v>
      </c>
      <c r="F76" s="100">
        <v>4.08</v>
      </c>
      <c r="G76" s="100">
        <v>60.59</v>
      </c>
      <c r="H76" s="100">
        <v>43.1</v>
      </c>
      <c r="I76" s="100">
        <v>11.55</v>
      </c>
      <c r="J76" s="100">
        <v>0.22</v>
      </c>
      <c r="K76" s="100">
        <v>163.18</v>
      </c>
      <c r="L76" s="100">
        <v>26.09</v>
      </c>
      <c r="M76" s="100">
        <v>44.88</v>
      </c>
      <c r="N76" s="100">
        <v>27.3</v>
      </c>
      <c r="O76" s="100">
        <v>0</v>
      </c>
      <c r="P76" s="100">
        <v>0.67</v>
      </c>
      <c r="Q76" s="100">
        <v>9.32</v>
      </c>
      <c r="R76" s="6"/>
      <c r="S76" s="6"/>
      <c r="T76" s="156"/>
      <c r="U76" s="6"/>
    </row>
    <row r="77" spans="1:21" customFormat="1">
      <c r="A77" s="163" t="s">
        <v>1755</v>
      </c>
      <c r="B77" s="100">
        <v>3.57</v>
      </c>
      <c r="C77" s="100">
        <v>16.53</v>
      </c>
      <c r="D77" s="100">
        <v>11.5</v>
      </c>
      <c r="E77" s="100">
        <v>6.89</v>
      </c>
      <c r="F77" s="100">
        <v>3.11</v>
      </c>
      <c r="G77" s="100">
        <v>53.08</v>
      </c>
      <c r="H77" s="100">
        <v>33.049999999999997</v>
      </c>
      <c r="I77" s="100">
        <v>11.61</v>
      </c>
      <c r="J77" s="100">
        <v>0.19</v>
      </c>
      <c r="K77" s="100">
        <v>169.46</v>
      </c>
      <c r="L77" s="100">
        <v>25.65</v>
      </c>
      <c r="M77" s="100">
        <v>46.5</v>
      </c>
      <c r="N77" s="100">
        <v>20</v>
      </c>
      <c r="O77" s="100">
        <v>0</v>
      </c>
      <c r="P77" s="100">
        <v>0.67</v>
      </c>
      <c r="Q77" s="100">
        <v>9.32</v>
      </c>
      <c r="R77" s="6"/>
      <c r="S77" s="6"/>
      <c r="T77" s="156"/>
      <c r="U77" s="6"/>
    </row>
    <row r="78" spans="1:21" customFormat="1">
      <c r="A78" s="163" t="s">
        <v>1756</v>
      </c>
      <c r="B78" s="100">
        <v>3.81</v>
      </c>
      <c r="C78" s="100">
        <v>16.57</v>
      </c>
      <c r="D78" s="100">
        <v>11.71</v>
      </c>
      <c r="E78" s="100">
        <v>6.35</v>
      </c>
      <c r="F78" s="100">
        <v>2.06</v>
      </c>
      <c r="G78" s="100">
        <v>52.64</v>
      </c>
      <c r="H78" s="100">
        <v>33.049999999999997</v>
      </c>
      <c r="I78" s="100">
        <v>11.56</v>
      </c>
      <c r="J78" s="100">
        <v>0.26</v>
      </c>
      <c r="K78" s="100">
        <v>166.39</v>
      </c>
      <c r="L78" s="100">
        <v>24.81</v>
      </c>
      <c r="M78" s="100">
        <v>52.1</v>
      </c>
      <c r="N78" s="100">
        <v>15.9</v>
      </c>
      <c r="O78" s="100">
        <v>0</v>
      </c>
      <c r="P78" s="100">
        <v>0.68</v>
      </c>
      <c r="Q78" s="100">
        <v>9.32</v>
      </c>
      <c r="R78" s="6"/>
      <c r="S78" s="6"/>
      <c r="T78" s="156"/>
      <c r="U78" s="6"/>
    </row>
    <row r="79" spans="1:21" customFormat="1">
      <c r="A79" s="163" t="s">
        <v>1757</v>
      </c>
      <c r="B79" s="100">
        <v>4.05</v>
      </c>
      <c r="C79" s="100">
        <v>17.149999999999999</v>
      </c>
      <c r="D79" s="100">
        <v>12.21</v>
      </c>
      <c r="E79" s="100">
        <v>6.5</v>
      </c>
      <c r="F79" s="100">
        <v>1.92</v>
      </c>
      <c r="G79" s="100">
        <v>52.64</v>
      </c>
      <c r="H79" s="100">
        <v>33.049999999999997</v>
      </c>
      <c r="I79" s="100">
        <v>11.48</v>
      </c>
      <c r="J79" s="100">
        <v>0.21</v>
      </c>
      <c r="K79" s="100">
        <v>168.98</v>
      </c>
      <c r="L79" s="100">
        <v>24.05</v>
      </c>
      <c r="M79" s="100">
        <v>57.4</v>
      </c>
      <c r="N79" s="100">
        <v>14.3</v>
      </c>
      <c r="O79" s="100">
        <v>0</v>
      </c>
      <c r="P79" s="100">
        <v>0.69</v>
      </c>
      <c r="Q79" s="100">
        <v>9.32</v>
      </c>
      <c r="R79" s="6"/>
      <c r="S79" s="6"/>
      <c r="T79" s="156"/>
      <c r="U79" s="6"/>
    </row>
    <row r="80" spans="1:21" customFormat="1">
      <c r="A80" s="163" t="s">
        <v>1758</v>
      </c>
      <c r="B80" s="100">
        <v>4.58</v>
      </c>
      <c r="C80" s="100">
        <v>17.97</v>
      </c>
      <c r="D80" s="100">
        <v>13.06</v>
      </c>
      <c r="E80" s="100">
        <v>6.3</v>
      </c>
      <c r="F80" s="100">
        <v>1.62</v>
      </c>
      <c r="G80" s="100">
        <v>52.64</v>
      </c>
      <c r="H80" s="100">
        <v>33.049999999999997</v>
      </c>
      <c r="I80" s="100">
        <v>11.4</v>
      </c>
      <c r="J80" s="100">
        <v>0.11</v>
      </c>
      <c r="K80" s="100">
        <v>169.69</v>
      </c>
      <c r="L80" s="100">
        <v>23.58</v>
      </c>
      <c r="M80" s="100">
        <v>58.67</v>
      </c>
      <c r="N80" s="100">
        <v>13.9</v>
      </c>
      <c r="O80" s="100">
        <v>0</v>
      </c>
      <c r="P80" s="100">
        <v>0.71</v>
      </c>
      <c r="Q80" s="100">
        <v>9.32</v>
      </c>
      <c r="R80" s="6"/>
      <c r="S80" s="6"/>
      <c r="T80" s="156"/>
      <c r="U80" s="6"/>
    </row>
    <row r="81" spans="1:21" customFormat="1">
      <c r="A81" s="163" t="s">
        <v>1759</v>
      </c>
      <c r="B81" s="100">
        <v>5.46</v>
      </c>
      <c r="C81" s="100">
        <v>19.07</v>
      </c>
      <c r="D81" s="100">
        <v>14.35</v>
      </c>
      <c r="E81" s="100">
        <v>4.87</v>
      </c>
      <c r="F81" s="100">
        <v>1.39</v>
      </c>
      <c r="G81" s="100">
        <v>107</v>
      </c>
      <c r="H81" s="100">
        <v>35.82</v>
      </c>
      <c r="I81" s="100">
        <v>11.4</v>
      </c>
      <c r="J81" s="100">
        <v>0.23</v>
      </c>
      <c r="K81" s="100">
        <v>139.66</v>
      </c>
      <c r="L81" s="100">
        <v>23.36</v>
      </c>
      <c r="M81" s="100">
        <v>59.88</v>
      </c>
      <c r="N81" s="100">
        <v>13.9</v>
      </c>
      <c r="O81" s="100">
        <v>0</v>
      </c>
      <c r="P81" s="100">
        <v>0.73</v>
      </c>
      <c r="Q81" s="100">
        <v>9.32</v>
      </c>
      <c r="R81" s="6"/>
      <c r="S81" s="6"/>
      <c r="T81" s="156"/>
      <c r="U81" s="6"/>
    </row>
    <row r="82" spans="1:21" customFormat="1">
      <c r="A82" s="163" t="s">
        <v>1760</v>
      </c>
      <c r="B82" s="100">
        <v>6.37</v>
      </c>
      <c r="C82" s="100">
        <v>19.88</v>
      </c>
      <c r="D82" s="100">
        <v>15.5</v>
      </c>
      <c r="E82" s="100">
        <v>6.08</v>
      </c>
      <c r="F82" s="100">
        <v>1.1399999999999999</v>
      </c>
      <c r="G82" s="100">
        <v>110.2</v>
      </c>
      <c r="H82" s="100">
        <v>35.82</v>
      </c>
      <c r="I82" s="100">
        <v>11.57</v>
      </c>
      <c r="J82" s="100">
        <v>0.25</v>
      </c>
      <c r="K82" s="100">
        <v>136.55000000000001</v>
      </c>
      <c r="L82" s="100">
        <v>23.15</v>
      </c>
      <c r="M82" s="100">
        <v>59.47</v>
      </c>
      <c r="N82" s="100">
        <v>13.8</v>
      </c>
      <c r="O82" s="100">
        <v>0</v>
      </c>
      <c r="P82" s="100">
        <v>0.76</v>
      </c>
      <c r="Q82" s="100">
        <v>9.32</v>
      </c>
      <c r="R82" s="6"/>
      <c r="S82" s="6"/>
      <c r="T82" s="156"/>
      <c r="U82" s="6"/>
    </row>
    <row r="83" spans="1:21" customFormat="1">
      <c r="A83" s="163" t="s">
        <v>1761</v>
      </c>
      <c r="B83" s="100">
        <v>7.15</v>
      </c>
      <c r="C83" s="100">
        <v>20.56</v>
      </c>
      <c r="D83" s="100">
        <v>16.48</v>
      </c>
      <c r="E83" s="100">
        <v>5.9</v>
      </c>
      <c r="F83" s="100">
        <v>1.33</v>
      </c>
      <c r="G83" s="100">
        <v>110.2</v>
      </c>
      <c r="H83" s="100">
        <v>35.82</v>
      </c>
      <c r="I83" s="100">
        <v>11.74</v>
      </c>
      <c r="J83" s="100">
        <v>7.0000000000000007E-2</v>
      </c>
      <c r="K83" s="100">
        <v>169.63</v>
      </c>
      <c r="L83" s="100">
        <v>22.93</v>
      </c>
      <c r="M83" s="100">
        <v>59.86</v>
      </c>
      <c r="N83" s="100">
        <v>13.8</v>
      </c>
      <c r="O83" s="100">
        <v>0</v>
      </c>
      <c r="P83" s="100">
        <v>0.78</v>
      </c>
      <c r="Q83" s="100">
        <v>9.32</v>
      </c>
      <c r="R83" s="6"/>
      <c r="S83" s="6"/>
      <c r="T83" s="156"/>
      <c r="U83" s="6"/>
    </row>
    <row r="84" spans="1:21" customFormat="1">
      <c r="A84" s="163" t="s">
        <v>1762</v>
      </c>
      <c r="B84" s="100">
        <v>8.02</v>
      </c>
      <c r="C84" s="100">
        <v>21.1</v>
      </c>
      <c r="D84" s="100">
        <v>17.45</v>
      </c>
      <c r="E84" s="100">
        <v>6.06</v>
      </c>
      <c r="F84" s="100">
        <v>1.26</v>
      </c>
      <c r="G84" s="100">
        <v>110.2</v>
      </c>
      <c r="H84" s="100">
        <v>35.82</v>
      </c>
      <c r="I84" s="100">
        <v>11.87</v>
      </c>
      <c r="J84" s="100">
        <v>0.23</v>
      </c>
      <c r="K84" s="100">
        <v>178.07</v>
      </c>
      <c r="L84" s="100">
        <v>22.7</v>
      </c>
      <c r="M84" s="100">
        <v>62.49</v>
      </c>
      <c r="N84" s="100">
        <v>13.9</v>
      </c>
      <c r="O84" s="100">
        <v>0</v>
      </c>
      <c r="P84" s="100">
        <v>0.81</v>
      </c>
      <c r="Q84" s="100">
        <v>9.32</v>
      </c>
      <c r="R84" s="6"/>
      <c r="S84" s="6"/>
      <c r="T84" s="156"/>
      <c r="U84" s="6"/>
    </row>
    <row r="85" spans="1:21" customFormat="1">
      <c r="A85" s="163" t="s">
        <v>1763</v>
      </c>
      <c r="B85" s="100">
        <v>8.52</v>
      </c>
      <c r="C85" s="100">
        <v>21.66</v>
      </c>
      <c r="D85" s="100">
        <v>18.149999999999999</v>
      </c>
      <c r="E85" s="100">
        <v>6</v>
      </c>
      <c r="F85" s="100">
        <v>1.29</v>
      </c>
      <c r="G85" s="100">
        <v>106.1</v>
      </c>
      <c r="H85" s="100">
        <v>44.35</v>
      </c>
      <c r="I85" s="100">
        <v>12.21</v>
      </c>
      <c r="J85" s="100">
        <v>0.25</v>
      </c>
      <c r="K85" s="100">
        <v>168.9</v>
      </c>
      <c r="L85" s="100">
        <v>22.45</v>
      </c>
      <c r="M85" s="100">
        <v>65.260000000000005</v>
      </c>
      <c r="N85" s="100">
        <v>13.7</v>
      </c>
      <c r="O85" s="100">
        <v>0</v>
      </c>
      <c r="P85" s="100">
        <v>0.83</v>
      </c>
      <c r="Q85" s="100">
        <v>9.32</v>
      </c>
      <c r="R85" s="6"/>
      <c r="S85" s="6"/>
      <c r="T85" s="156"/>
      <c r="U85" s="6"/>
    </row>
    <row r="86" spans="1:21" customFormat="1">
      <c r="A86" s="163" t="s">
        <v>1764</v>
      </c>
      <c r="B86" s="100">
        <v>8.61</v>
      </c>
      <c r="C86" s="100">
        <v>21.6</v>
      </c>
      <c r="D86" s="100">
        <v>18.190000000000001</v>
      </c>
      <c r="E86" s="100">
        <v>6.18</v>
      </c>
      <c r="F86" s="100">
        <v>1.27</v>
      </c>
      <c r="G86" s="100">
        <v>105.86</v>
      </c>
      <c r="H86" s="100">
        <v>44.35</v>
      </c>
      <c r="I86" s="100">
        <v>12.89</v>
      </c>
      <c r="J86" s="100">
        <v>0.28000000000000003</v>
      </c>
      <c r="K86" s="100">
        <v>166.27</v>
      </c>
      <c r="L86" s="100">
        <v>21.88</v>
      </c>
      <c r="M86" s="100">
        <v>75.69</v>
      </c>
      <c r="N86" s="100">
        <v>13.9</v>
      </c>
      <c r="O86" s="100">
        <v>0</v>
      </c>
      <c r="P86" s="100">
        <v>0.85</v>
      </c>
      <c r="Q86" s="100">
        <v>9.32</v>
      </c>
      <c r="R86" s="6"/>
      <c r="S86" s="6"/>
      <c r="T86" s="156"/>
      <c r="U86" s="6"/>
    </row>
    <row r="87" spans="1:21" customFormat="1">
      <c r="A87" s="163" t="s">
        <v>1765</v>
      </c>
      <c r="B87" s="100">
        <v>8.5500000000000007</v>
      </c>
      <c r="C87" s="100">
        <v>21.44</v>
      </c>
      <c r="D87" s="100">
        <v>18.059999999999999</v>
      </c>
      <c r="E87" s="100">
        <v>6.29</v>
      </c>
      <c r="F87" s="100">
        <v>1.25</v>
      </c>
      <c r="G87" s="100">
        <v>105.86</v>
      </c>
      <c r="H87" s="100">
        <v>44.35</v>
      </c>
      <c r="I87" s="100">
        <v>13.55</v>
      </c>
      <c r="J87" s="100">
        <v>0.22</v>
      </c>
      <c r="K87" s="100">
        <v>177.9</v>
      </c>
      <c r="L87" s="100">
        <v>21.38</v>
      </c>
      <c r="M87" s="100">
        <v>78.5</v>
      </c>
      <c r="N87" s="100">
        <v>13.8</v>
      </c>
      <c r="O87" s="100">
        <v>0</v>
      </c>
      <c r="P87" s="100">
        <v>0.88</v>
      </c>
      <c r="Q87" s="100">
        <v>9.32</v>
      </c>
      <c r="R87" s="6"/>
      <c r="S87" s="6"/>
      <c r="T87" s="156"/>
      <c r="U87" s="6"/>
    </row>
    <row r="88" spans="1:21" customFormat="1">
      <c r="A88" s="163" t="s">
        <v>1766</v>
      </c>
      <c r="B88" s="100">
        <v>8.5</v>
      </c>
      <c r="C88" s="100">
        <v>21.31</v>
      </c>
      <c r="D88" s="100">
        <v>17.95</v>
      </c>
      <c r="E88" s="100">
        <v>5.8</v>
      </c>
      <c r="F88" s="100">
        <v>1.24</v>
      </c>
      <c r="G88" s="100">
        <v>105.86</v>
      </c>
      <c r="H88" s="100">
        <v>44.35</v>
      </c>
      <c r="I88" s="100">
        <v>14.01</v>
      </c>
      <c r="J88" s="100">
        <v>0.22</v>
      </c>
      <c r="K88" s="100">
        <v>158.75</v>
      </c>
      <c r="L88" s="100">
        <v>20.93</v>
      </c>
      <c r="M88" s="100">
        <v>80.319999999999993</v>
      </c>
      <c r="N88" s="100">
        <v>13.7</v>
      </c>
      <c r="O88" s="100">
        <v>0</v>
      </c>
      <c r="P88" s="100">
        <v>0.9</v>
      </c>
      <c r="Q88" s="100">
        <v>9.32</v>
      </c>
      <c r="R88" s="6"/>
      <c r="S88" s="6"/>
      <c r="T88" s="156"/>
      <c r="U88" s="6"/>
    </row>
    <row r="89" spans="1:21" customFormat="1">
      <c r="A89" s="163" t="s">
        <v>1767</v>
      </c>
      <c r="B89" s="100">
        <v>8.5</v>
      </c>
      <c r="C89" s="100">
        <v>21.06</v>
      </c>
      <c r="D89" s="100">
        <v>17.82</v>
      </c>
      <c r="E89" s="100">
        <v>6.23</v>
      </c>
      <c r="F89" s="100">
        <v>1.23</v>
      </c>
      <c r="G89" s="100">
        <v>97.47</v>
      </c>
      <c r="H89" s="100">
        <v>49.65</v>
      </c>
      <c r="I89" s="100">
        <v>14.59</v>
      </c>
      <c r="J89" s="100">
        <v>0.2</v>
      </c>
      <c r="K89" s="100">
        <v>175.54</v>
      </c>
      <c r="L89" s="100">
        <v>20.68</v>
      </c>
      <c r="M89" s="100">
        <v>80.510000000000005</v>
      </c>
      <c r="N89" s="100">
        <v>13.7</v>
      </c>
      <c r="O89" s="100">
        <v>0</v>
      </c>
      <c r="P89" s="100">
        <v>0.92</v>
      </c>
      <c r="Q89" s="100">
        <v>9.32</v>
      </c>
      <c r="R89" s="6"/>
      <c r="S89" s="6"/>
      <c r="T89" s="156"/>
      <c r="U89" s="6"/>
    </row>
    <row r="90" spans="1:21" customFormat="1">
      <c r="A90" s="163" t="s">
        <v>1768</v>
      </c>
      <c r="B90" s="100">
        <v>8.67</v>
      </c>
      <c r="C90" s="100">
        <v>20.93</v>
      </c>
      <c r="D90" s="100">
        <v>17.89</v>
      </c>
      <c r="E90" s="100">
        <v>6.28</v>
      </c>
      <c r="F90" s="100">
        <v>1.1599999999999999</v>
      </c>
      <c r="G90" s="100">
        <v>96.98</v>
      </c>
      <c r="H90" s="100">
        <v>49.65</v>
      </c>
      <c r="I90" s="100">
        <v>15.18</v>
      </c>
      <c r="J90" s="100">
        <v>0.18</v>
      </c>
      <c r="K90" s="100">
        <v>199.13</v>
      </c>
      <c r="L90" s="100">
        <v>20.41</v>
      </c>
      <c r="M90" s="100">
        <v>82.12</v>
      </c>
      <c r="N90" s="100">
        <v>13.7</v>
      </c>
      <c r="O90" s="100">
        <v>0</v>
      </c>
      <c r="P90" s="100">
        <v>0.95</v>
      </c>
      <c r="Q90" s="100">
        <v>9.32</v>
      </c>
      <c r="R90" s="6"/>
      <c r="S90" s="6"/>
      <c r="T90" s="156"/>
      <c r="U90" s="6"/>
    </row>
    <row r="91" spans="1:21" customFormat="1">
      <c r="A91" s="163" t="s">
        <v>1769</v>
      </c>
      <c r="B91" s="100">
        <v>8.76</v>
      </c>
      <c r="C91" s="100">
        <v>20.76</v>
      </c>
      <c r="D91" s="100">
        <v>17.87</v>
      </c>
      <c r="E91" s="100">
        <v>5.98</v>
      </c>
      <c r="F91" s="100">
        <v>1.1000000000000001</v>
      </c>
      <c r="G91" s="100">
        <v>96.98</v>
      </c>
      <c r="H91" s="100">
        <v>49.65</v>
      </c>
      <c r="I91" s="100">
        <v>15.73</v>
      </c>
      <c r="J91" s="100">
        <v>0.18</v>
      </c>
      <c r="K91" s="100">
        <v>172.29</v>
      </c>
      <c r="L91" s="100">
        <v>19.89</v>
      </c>
      <c r="M91" s="100">
        <v>85.09</v>
      </c>
      <c r="N91" s="100">
        <v>13.8</v>
      </c>
      <c r="O91" s="100">
        <v>0</v>
      </c>
      <c r="P91" s="100">
        <v>0.97</v>
      </c>
      <c r="Q91" s="100">
        <v>9.32</v>
      </c>
      <c r="R91" s="6"/>
      <c r="S91" s="6"/>
      <c r="T91" s="156"/>
      <c r="U91" s="6"/>
    </row>
    <row r="92" spans="1:21" customFormat="1">
      <c r="A92" s="163" t="s">
        <v>1770</v>
      </c>
      <c r="B92" s="100">
        <v>8.68</v>
      </c>
      <c r="C92" s="100">
        <v>20.420000000000002</v>
      </c>
      <c r="D92" s="100">
        <v>17.63</v>
      </c>
      <c r="E92" s="100">
        <v>5.88</v>
      </c>
      <c r="F92" s="100">
        <v>1.18</v>
      </c>
      <c r="G92" s="100">
        <v>96.98</v>
      </c>
      <c r="H92" s="100">
        <v>49.65</v>
      </c>
      <c r="I92" s="100">
        <v>16.23</v>
      </c>
      <c r="J92" s="100">
        <v>0.17</v>
      </c>
      <c r="K92" s="100">
        <v>147.1</v>
      </c>
      <c r="L92" s="100">
        <v>19.59</v>
      </c>
      <c r="M92" s="100">
        <v>85.06</v>
      </c>
      <c r="N92" s="100">
        <v>13.7</v>
      </c>
      <c r="O92" s="100">
        <v>0</v>
      </c>
      <c r="P92" s="100">
        <v>0.99</v>
      </c>
      <c r="Q92" s="100">
        <v>9.32</v>
      </c>
      <c r="R92" s="6"/>
      <c r="S92" s="6"/>
      <c r="T92" s="156"/>
      <c r="U92" s="6"/>
    </row>
    <row r="93" spans="1:21" customFormat="1">
      <c r="A93" s="163" t="s">
        <v>1771</v>
      </c>
      <c r="B93" s="100">
        <v>8.57</v>
      </c>
      <c r="C93" s="100">
        <v>19.89</v>
      </c>
      <c r="D93" s="100">
        <v>17.260000000000002</v>
      </c>
      <c r="E93" s="100">
        <v>6.23</v>
      </c>
      <c r="F93" s="100">
        <v>1.27</v>
      </c>
      <c r="G93" s="100">
        <v>63.53</v>
      </c>
      <c r="H93" s="100">
        <v>25.32</v>
      </c>
      <c r="I93" s="100">
        <v>16.760000000000002</v>
      </c>
      <c r="J93" s="100">
        <v>0.17</v>
      </c>
      <c r="K93" s="100">
        <v>189.63</v>
      </c>
      <c r="L93" s="100">
        <v>19.73</v>
      </c>
      <c r="M93" s="100">
        <v>86.28</v>
      </c>
      <c r="N93" s="100">
        <v>13.2</v>
      </c>
      <c r="O93" s="100">
        <v>0</v>
      </c>
      <c r="P93" s="100">
        <v>0.98</v>
      </c>
      <c r="Q93" s="100">
        <v>9.32</v>
      </c>
      <c r="R93" s="6"/>
      <c r="S93" s="6"/>
      <c r="T93" s="156"/>
      <c r="U93" s="6"/>
    </row>
    <row r="94" spans="1:21" customFormat="1">
      <c r="A94" s="163" t="s">
        <v>1772</v>
      </c>
      <c r="B94" s="100">
        <v>8.3699999999999992</v>
      </c>
      <c r="C94" s="100">
        <v>19.41</v>
      </c>
      <c r="D94" s="100">
        <v>16.850000000000001</v>
      </c>
      <c r="E94" s="100">
        <v>6.22</v>
      </c>
      <c r="F94" s="100">
        <v>1.28</v>
      </c>
      <c r="G94" s="100">
        <v>61.47</v>
      </c>
      <c r="H94" s="100">
        <v>25.32</v>
      </c>
      <c r="I94" s="100">
        <v>17.149999999999999</v>
      </c>
      <c r="J94" s="100">
        <v>0.14000000000000001</v>
      </c>
      <c r="K94" s="100">
        <v>201.19</v>
      </c>
      <c r="L94" s="100">
        <v>19.579999999999998</v>
      </c>
      <c r="M94" s="100">
        <v>87.41</v>
      </c>
      <c r="N94" s="100">
        <v>13.4</v>
      </c>
      <c r="O94" s="100">
        <v>0</v>
      </c>
      <c r="P94" s="100">
        <v>0.98</v>
      </c>
      <c r="Q94" s="100">
        <v>9.32</v>
      </c>
      <c r="R94" s="6"/>
      <c r="S94" s="6"/>
      <c r="T94" s="156"/>
      <c r="U94" s="6"/>
    </row>
    <row r="95" spans="1:21" customFormat="1">
      <c r="A95" s="163" t="s">
        <v>1773</v>
      </c>
      <c r="B95" s="100">
        <v>8.24</v>
      </c>
      <c r="C95" s="100">
        <v>19.04</v>
      </c>
      <c r="D95" s="100">
        <v>16.55</v>
      </c>
      <c r="E95" s="100">
        <v>6.28</v>
      </c>
      <c r="F95" s="100">
        <v>1.37</v>
      </c>
      <c r="G95" s="100">
        <v>61.47</v>
      </c>
      <c r="H95" s="100">
        <v>25.32</v>
      </c>
      <c r="I95" s="100">
        <v>17.45</v>
      </c>
      <c r="J95" s="100">
        <v>0.17</v>
      </c>
      <c r="K95" s="100">
        <v>215.21</v>
      </c>
      <c r="L95" s="100">
        <v>19.420000000000002</v>
      </c>
      <c r="M95" s="100">
        <v>87.1</v>
      </c>
      <c r="N95" s="100">
        <v>13.4</v>
      </c>
      <c r="O95" s="100">
        <v>0</v>
      </c>
      <c r="P95" s="100">
        <v>0.98</v>
      </c>
      <c r="Q95" s="100">
        <v>9.32</v>
      </c>
      <c r="R95" s="6"/>
      <c r="S95" s="6"/>
      <c r="T95" s="156"/>
      <c r="U95" s="6"/>
    </row>
    <row r="96" spans="1:21" customFormat="1">
      <c r="A96" s="163" t="s">
        <v>1774</v>
      </c>
      <c r="B96" s="100">
        <v>8.15</v>
      </c>
      <c r="C96" s="100">
        <v>18.75</v>
      </c>
      <c r="D96" s="100">
        <v>16.34</v>
      </c>
      <c r="E96" s="100">
        <v>6.32</v>
      </c>
      <c r="F96" s="100">
        <v>1.33</v>
      </c>
      <c r="G96" s="100">
        <v>61.47</v>
      </c>
      <c r="H96" s="100">
        <v>25.32</v>
      </c>
      <c r="I96" s="100">
        <v>17.66</v>
      </c>
      <c r="J96" s="100">
        <v>0.15</v>
      </c>
      <c r="K96" s="100">
        <v>193.31</v>
      </c>
      <c r="L96" s="100">
        <v>19.190000000000001</v>
      </c>
      <c r="M96" s="100">
        <v>86.75</v>
      </c>
      <c r="N96" s="100">
        <v>13.6</v>
      </c>
      <c r="O96" s="100">
        <v>0</v>
      </c>
      <c r="P96" s="100">
        <v>0.98</v>
      </c>
      <c r="Q96" s="100">
        <v>9.32</v>
      </c>
      <c r="R96" s="6"/>
      <c r="S96" s="6"/>
      <c r="T96" s="156"/>
      <c r="U96" s="6"/>
    </row>
    <row r="97" spans="1:28" customFormat="1">
      <c r="A97" s="163" t="s">
        <v>1775</v>
      </c>
      <c r="B97" s="100">
        <v>8.1199999999999992</v>
      </c>
      <c r="C97" s="100">
        <v>18.52</v>
      </c>
      <c r="D97" s="100">
        <v>16.18</v>
      </c>
      <c r="E97" s="100">
        <v>6.32</v>
      </c>
      <c r="F97" s="100">
        <v>1.37</v>
      </c>
      <c r="G97" s="100">
        <v>48.44</v>
      </c>
      <c r="H97" s="100">
        <v>23.83</v>
      </c>
      <c r="I97" s="100">
        <v>17.89</v>
      </c>
      <c r="J97" s="100">
        <v>0.15</v>
      </c>
      <c r="K97" s="100">
        <v>186.22</v>
      </c>
      <c r="L97" s="100">
        <v>19.100000000000001</v>
      </c>
      <c r="M97" s="100">
        <v>87.37</v>
      </c>
      <c r="N97" s="100">
        <v>13.4</v>
      </c>
      <c r="O97" s="100">
        <v>0</v>
      </c>
      <c r="P97" s="100">
        <v>0.98</v>
      </c>
      <c r="Q97" s="100">
        <v>9.32</v>
      </c>
      <c r="R97" s="6"/>
      <c r="S97" s="6"/>
      <c r="T97" s="156"/>
      <c r="U97" s="6"/>
    </row>
    <row r="98" spans="1:28" customFormat="1">
      <c r="A98" s="163" t="s">
        <v>1776</v>
      </c>
      <c r="B98" s="100">
        <v>8.1</v>
      </c>
      <c r="C98" s="100">
        <v>18.27</v>
      </c>
      <c r="D98" s="100">
        <v>16.04</v>
      </c>
      <c r="E98" s="100">
        <v>6.4</v>
      </c>
      <c r="F98" s="100">
        <v>1.4</v>
      </c>
      <c r="G98" s="100">
        <v>47.65</v>
      </c>
      <c r="H98" s="100">
        <v>23.83</v>
      </c>
      <c r="I98" s="100">
        <v>18.13</v>
      </c>
      <c r="J98" s="100">
        <v>0.17</v>
      </c>
      <c r="K98" s="100">
        <v>182.87</v>
      </c>
      <c r="L98" s="100">
        <v>18.91</v>
      </c>
      <c r="M98" s="100">
        <v>88.33</v>
      </c>
      <c r="N98" s="100">
        <v>13.4</v>
      </c>
      <c r="O98" s="100">
        <v>0</v>
      </c>
      <c r="P98" s="100">
        <v>0.97</v>
      </c>
      <c r="Q98" s="100">
        <v>9.32</v>
      </c>
      <c r="R98" s="6"/>
      <c r="S98" s="6"/>
      <c r="T98" s="156"/>
      <c r="U98" s="6"/>
    </row>
    <row r="99" spans="1:28" customFormat="1">
      <c r="A99" s="163" t="s">
        <v>1777</v>
      </c>
      <c r="B99" s="100">
        <v>8.1199999999999992</v>
      </c>
      <c r="C99" s="100">
        <v>17.98</v>
      </c>
      <c r="D99" s="100">
        <v>15.91</v>
      </c>
      <c r="E99" s="100">
        <v>6.4</v>
      </c>
      <c r="F99" s="100">
        <v>1.2</v>
      </c>
      <c r="G99" s="100">
        <v>47.65</v>
      </c>
      <c r="H99" s="100">
        <v>23.83</v>
      </c>
      <c r="I99" s="100">
        <v>18.2</v>
      </c>
      <c r="J99" s="100">
        <v>0.21</v>
      </c>
      <c r="K99" s="100">
        <v>157.62</v>
      </c>
      <c r="L99" s="100">
        <v>19.04</v>
      </c>
      <c r="M99" s="100">
        <v>87.09</v>
      </c>
      <c r="N99" s="100">
        <v>13.4</v>
      </c>
      <c r="O99" s="100">
        <v>0</v>
      </c>
      <c r="P99" s="100">
        <v>0.99</v>
      </c>
      <c r="Q99" s="100">
        <v>9.32</v>
      </c>
      <c r="R99" s="6"/>
      <c r="S99" s="6"/>
      <c r="T99" s="156"/>
      <c r="U99" s="6"/>
    </row>
    <row r="100" spans="1:28" customFormat="1">
      <c r="A100" s="163" t="s">
        <v>1778</v>
      </c>
      <c r="B100" s="100">
        <v>8.15</v>
      </c>
      <c r="C100" s="100">
        <v>17.739999999999998</v>
      </c>
      <c r="D100" s="100">
        <v>15.8</v>
      </c>
      <c r="E100" s="100">
        <v>6.13</v>
      </c>
      <c r="F100" s="100">
        <v>1.37</v>
      </c>
      <c r="G100" s="100">
        <v>47.65</v>
      </c>
      <c r="H100" s="100">
        <v>23.83</v>
      </c>
      <c r="I100" s="100">
        <v>16.59</v>
      </c>
      <c r="J100" s="100">
        <v>0.23</v>
      </c>
      <c r="K100" s="100">
        <v>229.39</v>
      </c>
      <c r="L100" s="100">
        <v>18.829999999999998</v>
      </c>
      <c r="M100" s="100">
        <v>88.24</v>
      </c>
      <c r="N100" s="100">
        <v>13.5</v>
      </c>
      <c r="O100" s="100">
        <v>0</v>
      </c>
      <c r="P100" s="100">
        <v>0.99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1779</v>
      </c>
      <c r="B101" s="100">
        <v>8.15</v>
      </c>
      <c r="C101" s="100">
        <v>17.63</v>
      </c>
      <c r="D101" s="100">
        <v>15.75</v>
      </c>
      <c r="E101" s="100">
        <v>6.26</v>
      </c>
      <c r="F101" s="100">
        <v>1.39</v>
      </c>
      <c r="G101" s="100">
        <v>50.61</v>
      </c>
      <c r="H101" s="100">
        <v>23.96</v>
      </c>
      <c r="I101" s="100">
        <v>14.87</v>
      </c>
      <c r="J101" s="100">
        <v>0.12</v>
      </c>
      <c r="K101" s="100">
        <v>217.76</v>
      </c>
      <c r="L101" s="100">
        <v>18.420000000000002</v>
      </c>
      <c r="M101" s="100">
        <v>87.4</v>
      </c>
      <c r="N101" s="100">
        <v>13.7</v>
      </c>
      <c r="O101" s="100">
        <v>0</v>
      </c>
      <c r="P101" s="100">
        <v>1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1780</v>
      </c>
      <c r="B102" s="100">
        <v>8.14</v>
      </c>
      <c r="C102" s="100">
        <v>17.41</v>
      </c>
      <c r="D102" s="100">
        <v>15.63</v>
      </c>
      <c r="E102" s="100">
        <v>6.02</v>
      </c>
      <c r="F102" s="100">
        <v>1.32</v>
      </c>
      <c r="G102" s="100">
        <v>50.79</v>
      </c>
      <c r="H102" s="100">
        <v>23.96</v>
      </c>
      <c r="I102" s="100">
        <v>14.96</v>
      </c>
      <c r="J102" s="100">
        <v>0.12</v>
      </c>
      <c r="K102" s="100">
        <v>164.58</v>
      </c>
      <c r="L102" s="100">
        <v>18.350000000000001</v>
      </c>
      <c r="M102" s="100">
        <v>89.2</v>
      </c>
      <c r="N102" s="100">
        <v>13.5</v>
      </c>
      <c r="O102" s="100">
        <v>0</v>
      </c>
      <c r="P102" s="100">
        <v>1.01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1781</v>
      </c>
      <c r="B103" s="100">
        <v>8.16</v>
      </c>
      <c r="C103" s="100">
        <v>17.21</v>
      </c>
      <c r="D103" s="100">
        <v>15.53</v>
      </c>
      <c r="E103" s="100">
        <v>5.93</v>
      </c>
      <c r="F103" s="100">
        <v>1.25</v>
      </c>
      <c r="G103" s="100">
        <v>50.79</v>
      </c>
      <c r="H103" s="100">
        <v>23.96</v>
      </c>
      <c r="I103" s="100">
        <v>15.07</v>
      </c>
      <c r="J103" s="100">
        <v>0.16</v>
      </c>
      <c r="K103" s="100">
        <v>160.83000000000001</v>
      </c>
      <c r="L103" s="100">
        <v>18.329999999999998</v>
      </c>
      <c r="M103" s="100">
        <v>88.89</v>
      </c>
      <c r="N103" s="100">
        <v>13.4</v>
      </c>
      <c r="O103" s="100">
        <v>0</v>
      </c>
      <c r="P103" s="100">
        <v>1.02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1782</v>
      </c>
      <c r="B104" s="100">
        <v>8.14</v>
      </c>
      <c r="C104" s="100">
        <v>17.05</v>
      </c>
      <c r="D104" s="100">
        <v>15.43</v>
      </c>
      <c r="E104" s="100">
        <v>6.12</v>
      </c>
      <c r="F104" s="100">
        <v>1.35</v>
      </c>
      <c r="G104" s="100">
        <v>50.79</v>
      </c>
      <c r="H104" s="100">
        <v>23.96</v>
      </c>
      <c r="I104" s="100">
        <v>15.18</v>
      </c>
      <c r="J104" s="100">
        <v>0.15</v>
      </c>
      <c r="K104" s="100">
        <v>205.66</v>
      </c>
      <c r="L104" s="100">
        <v>18.37</v>
      </c>
      <c r="M104" s="100">
        <v>88.66</v>
      </c>
      <c r="N104" s="100">
        <v>13.2</v>
      </c>
      <c r="O104" s="100">
        <v>0</v>
      </c>
      <c r="P104" s="100">
        <v>1.04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3.13</v>
      </c>
      <c r="C106" s="158">
        <f>MIN(C9:C104)</f>
        <v>14.85</v>
      </c>
      <c r="D106" s="158">
        <f t="shared" ref="D106:Q106" si="0">MIN(D9:D104)</f>
        <v>10.65</v>
      </c>
      <c r="E106" s="158">
        <f t="shared" si="0"/>
        <v>4.1100000000000003</v>
      </c>
      <c r="F106" s="158">
        <f t="shared" si="0"/>
        <v>0.99</v>
      </c>
      <c r="G106" s="158">
        <f t="shared" si="0"/>
        <v>47.65</v>
      </c>
      <c r="H106" s="158">
        <f t="shared" si="0"/>
        <v>23.83</v>
      </c>
      <c r="I106" s="158">
        <f t="shared" si="0"/>
        <v>11.4</v>
      </c>
      <c r="J106" s="158">
        <f t="shared" si="0"/>
        <v>0.03</v>
      </c>
      <c r="K106" s="158">
        <f t="shared" si="0"/>
        <v>6.85</v>
      </c>
      <c r="L106" s="158">
        <f t="shared" si="0"/>
        <v>15.27</v>
      </c>
      <c r="M106" s="158">
        <f t="shared" si="0"/>
        <v>30.18</v>
      </c>
      <c r="N106" s="158">
        <f t="shared" si="0"/>
        <v>11.2</v>
      </c>
      <c r="O106" s="158">
        <f t="shared" si="0"/>
        <v>0</v>
      </c>
      <c r="P106" s="158">
        <f t="shared" si="0"/>
        <v>0.67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13.61</v>
      </c>
      <c r="C107" s="157">
        <f t="shared" ref="C107:Q107" si="1">MAX(C9:C104)</f>
        <v>21.66</v>
      </c>
      <c r="D107" s="157">
        <f t="shared" si="1"/>
        <v>20.37</v>
      </c>
      <c r="E107" s="157">
        <f t="shared" si="1"/>
        <v>7.53</v>
      </c>
      <c r="F107" s="157">
        <f t="shared" si="1"/>
        <v>7.84</v>
      </c>
      <c r="G107" s="157">
        <f t="shared" si="1"/>
        <v>110.2</v>
      </c>
      <c r="H107" s="157">
        <f t="shared" si="1"/>
        <v>71.19</v>
      </c>
      <c r="I107" s="157">
        <f t="shared" si="1"/>
        <v>18.2</v>
      </c>
      <c r="J107" s="157">
        <f t="shared" si="1"/>
        <v>0.69</v>
      </c>
      <c r="K107" s="157">
        <f t="shared" si="1"/>
        <v>355.24</v>
      </c>
      <c r="L107" s="157">
        <f t="shared" si="1"/>
        <v>29.45</v>
      </c>
      <c r="M107" s="157">
        <f t="shared" si="1"/>
        <v>93.84</v>
      </c>
      <c r="N107" s="157">
        <f t="shared" si="1"/>
        <v>501.5</v>
      </c>
      <c r="O107" s="157">
        <f t="shared" si="1"/>
        <v>0</v>
      </c>
      <c r="P107" s="157">
        <f t="shared" si="1"/>
        <v>1.1499999999999999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7.9826041666666603</v>
      </c>
      <c r="C108" s="158">
        <f t="shared" ref="C108:Q108" si="2">AVERAGE(C9:C104)</f>
        <v>18.159583333333337</v>
      </c>
      <c r="D108" s="158">
        <f t="shared" si="2"/>
        <v>15.889375000000001</v>
      </c>
      <c r="E108" s="158">
        <f t="shared" si="2"/>
        <v>5.7201041666666663</v>
      </c>
      <c r="F108" s="158">
        <f t="shared" si="2"/>
        <v>2.2595833333333335</v>
      </c>
      <c r="G108" s="158">
        <f t="shared" si="2"/>
        <v>83.325520833333329</v>
      </c>
      <c r="H108" s="158">
        <f t="shared" si="2"/>
        <v>52.930624999999992</v>
      </c>
      <c r="I108" s="158">
        <f t="shared" si="2"/>
        <v>14.459062500000003</v>
      </c>
      <c r="J108" s="158">
        <f t="shared" si="2"/>
        <v>0.23541666666666675</v>
      </c>
      <c r="K108" s="158">
        <f t="shared" si="2"/>
        <v>150.47749999999994</v>
      </c>
      <c r="L108" s="158">
        <f t="shared" si="2"/>
        <v>21.717083333333335</v>
      </c>
      <c r="M108" s="158">
        <f t="shared" si="2"/>
        <v>68.243229166666666</v>
      </c>
      <c r="N108" s="158">
        <f t="shared" si="2"/>
        <v>99.455208333333317</v>
      </c>
      <c r="O108" s="158">
        <f t="shared" si="2"/>
        <v>0</v>
      </c>
      <c r="P108" s="158">
        <f t="shared" si="2"/>
        <v>0.94697916666666682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3.2006713916702303</v>
      </c>
      <c r="C109" s="158">
        <f t="shared" ref="C109:Q109" si="3">STDEV(C9:C104)</f>
        <v>1.7791972859849294</v>
      </c>
      <c r="D109" s="158">
        <f t="shared" si="3"/>
        <v>2.8498010318358529</v>
      </c>
      <c r="E109" s="158">
        <f t="shared" si="3"/>
        <v>0.92211826481110859</v>
      </c>
      <c r="F109" s="158">
        <f t="shared" si="3"/>
        <v>1.785012408429032</v>
      </c>
      <c r="G109" s="158">
        <f t="shared" si="3"/>
        <v>19.499095248635268</v>
      </c>
      <c r="H109" s="158">
        <f t="shared" si="3"/>
        <v>15.721477419022657</v>
      </c>
      <c r="I109" s="158">
        <f t="shared" si="3"/>
        <v>1.6909163371410227</v>
      </c>
      <c r="J109" s="158">
        <f t="shared" si="3"/>
        <v>0.13890486457827436</v>
      </c>
      <c r="K109" s="158">
        <f t="shared" si="3"/>
        <v>68.420861115521603</v>
      </c>
      <c r="L109" s="158">
        <f t="shared" si="3"/>
        <v>4.7751609323481716</v>
      </c>
      <c r="M109" s="158">
        <f t="shared" si="3"/>
        <v>22.588908945707271</v>
      </c>
      <c r="N109" s="158">
        <f t="shared" si="3"/>
        <v>148.71520070240348</v>
      </c>
      <c r="O109" s="158">
        <f t="shared" si="3"/>
        <v>0</v>
      </c>
      <c r="P109" s="158">
        <f t="shared" si="3"/>
        <v>0.14860133732958003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E14" sqref="E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1783</v>
      </c>
      <c r="B9" s="100">
        <v>8.17</v>
      </c>
      <c r="C9" s="100">
        <v>16.5</v>
      </c>
      <c r="D9" s="100">
        <v>15.18</v>
      </c>
      <c r="E9" s="100">
        <v>6.11</v>
      </c>
      <c r="F9" s="100">
        <v>1.27</v>
      </c>
      <c r="G9" s="100">
        <v>48.09</v>
      </c>
      <c r="H9" s="100">
        <v>26.25</v>
      </c>
      <c r="I9" s="100">
        <v>15.3</v>
      </c>
      <c r="J9" s="100">
        <v>0.14000000000000001</v>
      </c>
      <c r="K9" s="100">
        <v>204.42</v>
      </c>
      <c r="L9" s="100">
        <v>18.309999999999999</v>
      </c>
      <c r="M9" s="100">
        <v>90.06</v>
      </c>
      <c r="N9" s="100">
        <v>13.4</v>
      </c>
      <c r="O9" s="100">
        <v>0</v>
      </c>
      <c r="P9" s="100">
        <v>1.06</v>
      </c>
      <c r="Q9" s="100">
        <v>9.32</v>
      </c>
      <c r="R9" s="6"/>
      <c r="S9" s="6"/>
      <c r="T9" s="156"/>
      <c r="U9" s="6"/>
    </row>
    <row r="10" spans="1:21" customFormat="1">
      <c r="A10" s="163" t="s">
        <v>1784</v>
      </c>
      <c r="B10" s="100">
        <v>8.1199999999999992</v>
      </c>
      <c r="C10" s="100">
        <v>16.79</v>
      </c>
      <c r="D10" s="100">
        <v>15.28</v>
      </c>
      <c r="E10" s="100">
        <v>6.09</v>
      </c>
      <c r="F10" s="100">
        <v>1.26</v>
      </c>
      <c r="G10" s="100">
        <v>47.92</v>
      </c>
      <c r="H10" s="100">
        <v>26.25</v>
      </c>
      <c r="I10" s="100">
        <v>15.5</v>
      </c>
      <c r="J10" s="100">
        <v>0.14000000000000001</v>
      </c>
      <c r="K10" s="100">
        <v>167.97</v>
      </c>
      <c r="L10" s="100">
        <v>18.14</v>
      </c>
      <c r="M10" s="100">
        <v>90.46</v>
      </c>
      <c r="N10" s="100">
        <v>13.5</v>
      </c>
      <c r="O10" s="100">
        <v>0</v>
      </c>
      <c r="P10" s="100">
        <v>1.08</v>
      </c>
      <c r="Q10" s="100">
        <v>9.32</v>
      </c>
      <c r="R10" s="6"/>
      <c r="S10" s="6"/>
      <c r="T10" s="156"/>
      <c r="U10" s="6"/>
    </row>
    <row r="11" spans="1:21" customFormat="1">
      <c r="A11" s="163" t="s">
        <v>1785</v>
      </c>
      <c r="B11" s="100">
        <v>8.2200000000000006</v>
      </c>
      <c r="C11" s="100">
        <v>16.7</v>
      </c>
      <c r="D11" s="100">
        <v>15.32</v>
      </c>
      <c r="E11" s="100">
        <v>6.08</v>
      </c>
      <c r="F11" s="100">
        <v>1.26</v>
      </c>
      <c r="G11" s="100">
        <v>47.92</v>
      </c>
      <c r="H11" s="100">
        <v>26.25</v>
      </c>
      <c r="I11" s="100">
        <v>15.73</v>
      </c>
      <c r="J11" s="100">
        <v>0.18</v>
      </c>
      <c r="K11" s="100">
        <v>164.52</v>
      </c>
      <c r="L11" s="100">
        <v>18.05</v>
      </c>
      <c r="M11" s="100">
        <v>90.96</v>
      </c>
      <c r="N11" s="100">
        <v>13.5</v>
      </c>
      <c r="O11" s="100">
        <v>0</v>
      </c>
      <c r="P11" s="100">
        <v>1.0900000000000001</v>
      </c>
      <c r="Q11" s="100">
        <v>9.32</v>
      </c>
      <c r="R11" s="6"/>
      <c r="S11" s="6"/>
      <c r="T11" s="156"/>
      <c r="U11" s="6"/>
    </row>
    <row r="12" spans="1:21" customFormat="1">
      <c r="A12" s="163" t="s">
        <v>1786</v>
      </c>
      <c r="B12" s="100">
        <v>8.3800000000000008</v>
      </c>
      <c r="C12" s="100">
        <v>16.57</v>
      </c>
      <c r="D12" s="100">
        <v>15.37</v>
      </c>
      <c r="E12" s="100">
        <v>6.2</v>
      </c>
      <c r="F12" s="100">
        <v>1.18</v>
      </c>
      <c r="G12" s="100">
        <v>47.92</v>
      </c>
      <c r="H12" s="100">
        <v>26.25</v>
      </c>
      <c r="I12" s="100">
        <v>16.010000000000002</v>
      </c>
      <c r="J12" s="100">
        <v>0.14000000000000001</v>
      </c>
      <c r="K12" s="100">
        <v>170.73</v>
      </c>
      <c r="L12" s="100">
        <v>17.829999999999998</v>
      </c>
      <c r="M12" s="100">
        <v>91.45</v>
      </c>
      <c r="N12" s="100">
        <v>13.6</v>
      </c>
      <c r="O12" s="100">
        <v>0</v>
      </c>
      <c r="P12" s="100">
        <v>1.1100000000000001</v>
      </c>
      <c r="Q12" s="100">
        <v>9.32</v>
      </c>
      <c r="R12" s="6"/>
      <c r="S12" s="6"/>
      <c r="T12" s="156"/>
      <c r="U12" s="6"/>
    </row>
    <row r="13" spans="1:21" customFormat="1">
      <c r="A13" s="163" t="s">
        <v>1787</v>
      </c>
      <c r="B13" s="100">
        <v>8.69</v>
      </c>
      <c r="C13" s="100">
        <v>16.5</v>
      </c>
      <c r="D13" s="100">
        <v>15.59</v>
      </c>
      <c r="E13" s="100">
        <v>6.08</v>
      </c>
      <c r="F13" s="100">
        <v>1.26</v>
      </c>
      <c r="G13" s="100">
        <v>50.28</v>
      </c>
      <c r="H13" s="100">
        <v>26.57</v>
      </c>
      <c r="I13" s="100">
        <v>16.23</v>
      </c>
      <c r="J13" s="100">
        <v>0.18</v>
      </c>
      <c r="K13" s="100">
        <v>145.01</v>
      </c>
      <c r="L13" s="100">
        <v>17.71</v>
      </c>
      <c r="M13" s="100">
        <v>91.54</v>
      </c>
      <c r="N13" s="100">
        <v>13.4</v>
      </c>
      <c r="O13" s="100">
        <v>0</v>
      </c>
      <c r="P13" s="100">
        <v>1.1399999999999999</v>
      </c>
      <c r="Q13" s="100">
        <v>9.32</v>
      </c>
      <c r="R13" s="6"/>
      <c r="S13" s="6"/>
      <c r="T13" s="156"/>
      <c r="U13" s="6"/>
    </row>
    <row r="14" spans="1:21" customFormat="1">
      <c r="A14" s="163" t="s">
        <v>1788</v>
      </c>
      <c r="B14" s="100">
        <v>9.01</v>
      </c>
      <c r="C14" s="100">
        <v>16.36</v>
      </c>
      <c r="D14" s="100">
        <v>15.78</v>
      </c>
      <c r="E14" s="100">
        <v>6.23</v>
      </c>
      <c r="F14" s="100">
        <v>1.27</v>
      </c>
      <c r="G14" s="100">
        <v>50.41</v>
      </c>
      <c r="H14" s="100">
        <v>26.57</v>
      </c>
      <c r="I14" s="100">
        <v>16.47</v>
      </c>
      <c r="J14" s="100">
        <v>0.13</v>
      </c>
      <c r="K14" s="100">
        <v>138.71</v>
      </c>
      <c r="L14" s="100">
        <v>17.55</v>
      </c>
      <c r="M14" s="100">
        <v>91.56</v>
      </c>
      <c r="N14" s="100">
        <v>13.6</v>
      </c>
      <c r="O14" s="100">
        <v>0</v>
      </c>
      <c r="P14" s="100">
        <v>1.1599999999999999</v>
      </c>
      <c r="Q14" s="100">
        <v>9.32</v>
      </c>
      <c r="R14" s="6"/>
      <c r="S14" s="6"/>
      <c r="T14" s="156"/>
      <c r="U14" s="6"/>
    </row>
    <row r="15" spans="1:21" customFormat="1">
      <c r="A15" s="163" t="s">
        <v>1789</v>
      </c>
      <c r="B15" s="100">
        <v>9.24</v>
      </c>
      <c r="C15" s="100">
        <v>16.27</v>
      </c>
      <c r="D15" s="100">
        <v>15.91</v>
      </c>
      <c r="E15" s="100">
        <v>6.05</v>
      </c>
      <c r="F15" s="100">
        <v>1.43</v>
      </c>
      <c r="G15" s="100">
        <v>50.41</v>
      </c>
      <c r="H15" s="100">
        <v>26.57</v>
      </c>
      <c r="I15" s="100">
        <v>16.73</v>
      </c>
      <c r="J15" s="100">
        <v>0.1</v>
      </c>
      <c r="K15" s="100">
        <v>181.5</v>
      </c>
      <c r="L15" s="100">
        <v>17.46</v>
      </c>
      <c r="M15" s="100">
        <v>91.56</v>
      </c>
      <c r="N15" s="100">
        <v>13.4</v>
      </c>
      <c r="O15" s="100">
        <v>0</v>
      </c>
      <c r="P15" s="100">
        <v>1.19</v>
      </c>
      <c r="Q15" s="100">
        <v>9.32</v>
      </c>
      <c r="R15" s="6"/>
      <c r="S15" s="6"/>
      <c r="T15" s="156"/>
      <c r="U15" s="6"/>
    </row>
    <row r="16" spans="1:21" customFormat="1">
      <c r="A16" s="163" t="s">
        <v>1790</v>
      </c>
      <c r="B16" s="100">
        <v>9.35</v>
      </c>
      <c r="C16" s="100">
        <v>16.2</v>
      </c>
      <c r="D16" s="100">
        <v>15.96</v>
      </c>
      <c r="E16" s="100">
        <v>6.53</v>
      </c>
      <c r="F16" s="100">
        <v>1.32</v>
      </c>
      <c r="G16" s="100">
        <v>50.41</v>
      </c>
      <c r="H16" s="100">
        <v>26.57</v>
      </c>
      <c r="I16" s="100">
        <v>16.940000000000001</v>
      </c>
      <c r="J16" s="100">
        <v>0.13</v>
      </c>
      <c r="K16" s="100">
        <v>230.42</v>
      </c>
      <c r="L16" s="100">
        <v>17.329999999999998</v>
      </c>
      <c r="M16" s="100">
        <v>92.34</v>
      </c>
      <c r="N16" s="100">
        <v>13.5</v>
      </c>
      <c r="O16" s="100">
        <v>0</v>
      </c>
      <c r="P16" s="100">
        <v>1.2</v>
      </c>
      <c r="Q16" s="100">
        <v>9.32</v>
      </c>
      <c r="R16" s="6"/>
      <c r="S16" s="6"/>
      <c r="T16" s="156"/>
      <c r="U16" s="6"/>
    </row>
    <row r="17" spans="1:21" customFormat="1">
      <c r="A17" s="163" t="s">
        <v>1791</v>
      </c>
      <c r="B17" s="100">
        <v>9.49</v>
      </c>
      <c r="C17" s="100">
        <v>16.18</v>
      </c>
      <c r="D17" s="100">
        <v>16.059999999999999</v>
      </c>
      <c r="E17" s="100">
        <v>4.46</v>
      </c>
      <c r="F17" s="100">
        <v>1.35</v>
      </c>
      <c r="G17" s="100">
        <v>53.17</v>
      </c>
      <c r="H17" s="100">
        <v>27.03</v>
      </c>
      <c r="I17" s="100">
        <v>17.21</v>
      </c>
      <c r="J17" s="100">
        <v>0.1</v>
      </c>
      <c r="K17" s="100">
        <v>166.51</v>
      </c>
      <c r="L17" s="100">
        <v>17.09</v>
      </c>
      <c r="M17" s="100">
        <v>92.44</v>
      </c>
      <c r="N17" s="100">
        <v>13.6</v>
      </c>
      <c r="O17" s="100">
        <v>0</v>
      </c>
      <c r="P17" s="100">
        <v>1.23</v>
      </c>
      <c r="Q17" s="100">
        <v>9.32</v>
      </c>
      <c r="R17" s="6"/>
      <c r="S17" s="6"/>
      <c r="T17" s="156"/>
      <c r="U17" s="6"/>
    </row>
    <row r="18" spans="1:21" customFormat="1">
      <c r="A18" s="163" t="s">
        <v>1792</v>
      </c>
      <c r="B18" s="100">
        <v>9.81</v>
      </c>
      <c r="C18" s="100">
        <v>16.18</v>
      </c>
      <c r="D18" s="100">
        <v>16.32</v>
      </c>
      <c r="E18" s="100">
        <v>5.18</v>
      </c>
      <c r="F18" s="100">
        <v>1.39</v>
      </c>
      <c r="G18" s="100">
        <v>53.34</v>
      </c>
      <c r="H18" s="100">
        <v>27.03</v>
      </c>
      <c r="I18" s="100">
        <v>17.43</v>
      </c>
      <c r="J18" s="100">
        <v>0.21</v>
      </c>
      <c r="K18" s="100">
        <v>154.47999999999999</v>
      </c>
      <c r="L18" s="100">
        <v>17.23</v>
      </c>
      <c r="M18" s="100">
        <v>92.24</v>
      </c>
      <c r="N18" s="100">
        <v>13.3</v>
      </c>
      <c r="O18" s="100">
        <v>0</v>
      </c>
      <c r="P18" s="100">
        <v>1.25</v>
      </c>
      <c r="Q18" s="100">
        <v>9.32</v>
      </c>
      <c r="R18" s="6"/>
      <c r="S18" s="6"/>
      <c r="T18" s="156"/>
      <c r="U18" s="6"/>
    </row>
    <row r="19" spans="1:21" customFormat="1">
      <c r="A19" s="163" t="s">
        <v>1793</v>
      </c>
      <c r="B19" s="100">
        <v>10.14</v>
      </c>
      <c r="C19" s="100">
        <v>16.25</v>
      </c>
      <c r="D19" s="100">
        <v>16.62</v>
      </c>
      <c r="E19" s="100">
        <v>5.18</v>
      </c>
      <c r="F19" s="100">
        <v>1.23</v>
      </c>
      <c r="G19" s="100">
        <v>53.34</v>
      </c>
      <c r="H19" s="100">
        <v>27.03</v>
      </c>
      <c r="I19" s="100">
        <v>17.55</v>
      </c>
      <c r="J19" s="100">
        <v>0.19</v>
      </c>
      <c r="K19" s="100">
        <v>168.25</v>
      </c>
      <c r="L19" s="100">
        <v>17.16</v>
      </c>
      <c r="M19" s="100">
        <v>92.11</v>
      </c>
      <c r="N19" s="100">
        <v>13.5</v>
      </c>
      <c r="O19" s="100">
        <v>0</v>
      </c>
      <c r="P19" s="100">
        <v>1.26</v>
      </c>
      <c r="Q19" s="100">
        <v>9.32</v>
      </c>
      <c r="R19" s="6"/>
      <c r="S19" s="6"/>
      <c r="T19" s="156"/>
      <c r="U19" s="6"/>
    </row>
    <row r="20" spans="1:21" customFormat="1">
      <c r="A20" s="163" t="s">
        <v>1794</v>
      </c>
      <c r="B20" s="100">
        <v>10.210000000000001</v>
      </c>
      <c r="C20" s="100">
        <v>16.29</v>
      </c>
      <c r="D20" s="100">
        <v>16.7</v>
      </c>
      <c r="E20" s="100">
        <v>5.15</v>
      </c>
      <c r="F20" s="100">
        <v>1.34</v>
      </c>
      <c r="G20" s="100">
        <v>53.34</v>
      </c>
      <c r="H20" s="100">
        <v>27.03</v>
      </c>
      <c r="I20" s="100">
        <v>17.690000000000001</v>
      </c>
      <c r="J20" s="100">
        <v>0.1</v>
      </c>
      <c r="K20" s="100">
        <v>223.79</v>
      </c>
      <c r="L20" s="100">
        <v>16.89</v>
      </c>
      <c r="M20" s="100">
        <v>92.91</v>
      </c>
      <c r="N20" s="100">
        <v>13.7</v>
      </c>
      <c r="O20" s="100">
        <v>0</v>
      </c>
      <c r="P20" s="100">
        <v>1.27</v>
      </c>
      <c r="Q20" s="100">
        <v>9.32</v>
      </c>
      <c r="R20" s="6"/>
      <c r="S20" s="6"/>
      <c r="T20" s="156"/>
      <c r="U20" s="6"/>
    </row>
    <row r="21" spans="1:21" customFormat="1">
      <c r="A21" s="163" t="s">
        <v>1795</v>
      </c>
      <c r="B21" s="100">
        <v>10.16</v>
      </c>
      <c r="C21" s="100">
        <v>16.329999999999998</v>
      </c>
      <c r="D21" s="100">
        <v>16.68</v>
      </c>
      <c r="E21" s="100">
        <v>5.38</v>
      </c>
      <c r="F21" s="100">
        <v>1.4</v>
      </c>
      <c r="G21" s="100">
        <v>53.07</v>
      </c>
      <c r="H21" s="100">
        <v>26.84</v>
      </c>
      <c r="I21" s="100">
        <v>17.84</v>
      </c>
      <c r="J21" s="100">
        <v>0.13</v>
      </c>
      <c r="K21" s="100">
        <v>143.93</v>
      </c>
      <c r="L21" s="100">
        <v>16.66</v>
      </c>
      <c r="M21" s="100">
        <v>93.28</v>
      </c>
      <c r="N21" s="100">
        <v>13.7</v>
      </c>
      <c r="O21" s="100">
        <v>0</v>
      </c>
      <c r="P21" s="100">
        <v>1.27</v>
      </c>
      <c r="Q21" s="100">
        <v>9.32</v>
      </c>
      <c r="R21" s="6"/>
      <c r="S21" s="6"/>
      <c r="T21" s="156"/>
      <c r="U21" s="6"/>
    </row>
    <row r="22" spans="1:21" customFormat="1">
      <c r="A22" s="163" t="s">
        <v>1796</v>
      </c>
      <c r="B22" s="100">
        <v>10.19</v>
      </c>
      <c r="C22" s="100">
        <v>16.079999999999998</v>
      </c>
      <c r="D22" s="100">
        <v>16.57</v>
      </c>
      <c r="E22" s="100">
        <v>5.16</v>
      </c>
      <c r="F22" s="100">
        <v>1.22</v>
      </c>
      <c r="G22" s="100">
        <v>53.06</v>
      </c>
      <c r="H22" s="100">
        <v>26.84</v>
      </c>
      <c r="I22" s="100">
        <v>17.93</v>
      </c>
      <c r="J22" s="100">
        <v>0.16</v>
      </c>
      <c r="K22" s="100">
        <v>156.41</v>
      </c>
      <c r="L22" s="100">
        <v>16.670000000000002</v>
      </c>
      <c r="M22" s="100">
        <v>93.11</v>
      </c>
      <c r="N22" s="100">
        <v>13.4</v>
      </c>
      <c r="O22" s="100">
        <v>0</v>
      </c>
      <c r="P22" s="100">
        <v>1.28</v>
      </c>
      <c r="Q22" s="100">
        <v>9.32</v>
      </c>
      <c r="R22" s="6"/>
      <c r="S22" s="6"/>
      <c r="T22" s="156"/>
      <c r="U22" s="6"/>
    </row>
    <row r="23" spans="1:21" customFormat="1">
      <c r="A23" s="163" t="s">
        <v>1797</v>
      </c>
      <c r="B23" s="100">
        <v>10.17</v>
      </c>
      <c r="C23" s="100">
        <v>15.94</v>
      </c>
      <c r="D23" s="100">
        <v>16.489999999999998</v>
      </c>
      <c r="E23" s="100">
        <v>5.08</v>
      </c>
      <c r="F23" s="100">
        <v>1.37</v>
      </c>
      <c r="G23" s="100">
        <v>53.06</v>
      </c>
      <c r="H23" s="100">
        <v>26.84</v>
      </c>
      <c r="I23" s="100">
        <v>17.989999999999998</v>
      </c>
      <c r="J23" s="100">
        <v>0.12</v>
      </c>
      <c r="K23" s="100">
        <v>211.39</v>
      </c>
      <c r="L23" s="100">
        <v>16.670000000000002</v>
      </c>
      <c r="M23" s="100">
        <v>93.26</v>
      </c>
      <c r="N23" s="100">
        <v>13.4</v>
      </c>
      <c r="O23" s="100">
        <v>0</v>
      </c>
      <c r="P23" s="100">
        <v>1.28</v>
      </c>
      <c r="Q23" s="100">
        <v>9.32</v>
      </c>
      <c r="R23" s="6"/>
      <c r="S23" s="6"/>
      <c r="T23" s="156"/>
      <c r="U23" s="6"/>
    </row>
    <row r="24" spans="1:21" customFormat="1">
      <c r="A24" s="163" t="s">
        <v>1798</v>
      </c>
      <c r="B24" s="100">
        <v>10.119999999999999</v>
      </c>
      <c r="C24" s="100">
        <v>15.85</v>
      </c>
      <c r="D24" s="100">
        <v>16.399999999999999</v>
      </c>
      <c r="E24" s="100">
        <v>5.23</v>
      </c>
      <c r="F24" s="100">
        <v>1.3</v>
      </c>
      <c r="G24" s="100">
        <v>53.06</v>
      </c>
      <c r="H24" s="100">
        <v>26.84</v>
      </c>
      <c r="I24" s="100">
        <v>18.079999999999998</v>
      </c>
      <c r="J24" s="100">
        <v>0.28000000000000003</v>
      </c>
      <c r="K24" s="100">
        <v>252.2</v>
      </c>
      <c r="L24" s="100">
        <v>16.36</v>
      </c>
      <c r="M24" s="100">
        <v>93.56</v>
      </c>
      <c r="N24" s="100">
        <v>13.8</v>
      </c>
      <c r="O24" s="100">
        <v>0</v>
      </c>
      <c r="P24" s="100">
        <v>1.29</v>
      </c>
      <c r="Q24" s="100">
        <v>9.32</v>
      </c>
      <c r="R24" s="6"/>
      <c r="S24" s="6"/>
      <c r="T24" s="156"/>
      <c r="U24" s="6"/>
    </row>
    <row r="25" spans="1:21" customFormat="1">
      <c r="A25" s="163" t="s">
        <v>1799</v>
      </c>
      <c r="B25" s="100">
        <v>10.11</v>
      </c>
      <c r="C25" s="100">
        <v>15.7</v>
      </c>
      <c r="D25" s="100">
        <v>16.309999999999999</v>
      </c>
      <c r="E25" s="100">
        <v>4.8600000000000003</v>
      </c>
      <c r="F25" s="100">
        <v>1.17</v>
      </c>
      <c r="G25" s="100">
        <v>50.37</v>
      </c>
      <c r="H25" s="100">
        <v>27.66</v>
      </c>
      <c r="I25" s="100">
        <v>18.22</v>
      </c>
      <c r="J25" s="100">
        <v>0.06</v>
      </c>
      <c r="K25" s="100">
        <v>217.27</v>
      </c>
      <c r="L25" s="100">
        <v>15.93</v>
      </c>
      <c r="M25" s="100">
        <v>93.13</v>
      </c>
      <c r="N25" s="100">
        <v>13.7</v>
      </c>
      <c r="O25" s="100">
        <v>0</v>
      </c>
      <c r="P25" s="100">
        <v>1.29</v>
      </c>
      <c r="Q25" s="100">
        <v>9.32</v>
      </c>
      <c r="R25" s="6"/>
      <c r="S25" s="6"/>
      <c r="T25" s="156"/>
      <c r="U25" s="6"/>
    </row>
    <row r="26" spans="1:21" customFormat="1">
      <c r="A26" s="163" t="s">
        <v>1800</v>
      </c>
      <c r="B26" s="100">
        <v>10.119999999999999</v>
      </c>
      <c r="C26" s="100">
        <v>15.5</v>
      </c>
      <c r="D26" s="100">
        <v>16.22</v>
      </c>
      <c r="E26" s="100">
        <v>5.0999999999999996</v>
      </c>
      <c r="F26" s="100">
        <v>1.0900000000000001</v>
      </c>
      <c r="G26" s="100">
        <v>50.13</v>
      </c>
      <c r="H26" s="100">
        <v>27.66</v>
      </c>
      <c r="I26" s="100">
        <v>18.25</v>
      </c>
      <c r="J26" s="100">
        <v>0.08</v>
      </c>
      <c r="K26" s="100">
        <v>149.13</v>
      </c>
      <c r="L26" s="100">
        <v>15.88</v>
      </c>
      <c r="M26" s="100">
        <v>93.63</v>
      </c>
      <c r="N26" s="100">
        <v>13.4</v>
      </c>
      <c r="O26" s="100">
        <v>0</v>
      </c>
      <c r="P26" s="100">
        <v>1.29</v>
      </c>
      <c r="Q26" s="100">
        <v>9.32</v>
      </c>
      <c r="R26" s="6"/>
      <c r="S26" s="6"/>
      <c r="T26" s="156"/>
      <c r="U26" s="6"/>
    </row>
    <row r="27" spans="1:21" customFormat="1">
      <c r="A27" s="163" t="s">
        <v>1801</v>
      </c>
      <c r="B27" s="100">
        <v>10.09</v>
      </c>
      <c r="C27" s="100">
        <v>15.39</v>
      </c>
      <c r="D27" s="100">
        <v>16.13</v>
      </c>
      <c r="E27" s="100">
        <v>4.7699999999999996</v>
      </c>
      <c r="F27" s="100">
        <v>1.1399999999999999</v>
      </c>
      <c r="G27" s="100">
        <v>50.13</v>
      </c>
      <c r="H27" s="100">
        <v>27.66</v>
      </c>
      <c r="I27" s="100">
        <v>18.23</v>
      </c>
      <c r="J27" s="100">
        <v>0.12</v>
      </c>
      <c r="K27" s="100">
        <v>156.91999999999999</v>
      </c>
      <c r="L27" s="100">
        <v>15.94</v>
      </c>
      <c r="M27" s="100">
        <v>93.85</v>
      </c>
      <c r="N27" s="100">
        <v>13.5</v>
      </c>
      <c r="O27" s="100">
        <v>0</v>
      </c>
      <c r="P27" s="100">
        <v>1.29</v>
      </c>
      <c r="Q27" s="100">
        <v>9.32</v>
      </c>
      <c r="R27" s="6"/>
      <c r="S27" s="6"/>
      <c r="T27" s="156"/>
      <c r="U27" s="6"/>
    </row>
    <row r="28" spans="1:21" customFormat="1">
      <c r="A28" s="163" t="s">
        <v>1802</v>
      </c>
      <c r="B28" s="100">
        <v>10.119999999999999</v>
      </c>
      <c r="C28" s="100">
        <v>15.19</v>
      </c>
      <c r="D28" s="100">
        <v>16.059999999999999</v>
      </c>
      <c r="E28" s="100">
        <v>5.31</v>
      </c>
      <c r="F28" s="100">
        <v>1.1100000000000001</v>
      </c>
      <c r="G28" s="100">
        <v>50.13</v>
      </c>
      <c r="H28" s="100">
        <v>27.66</v>
      </c>
      <c r="I28" s="100">
        <v>18.28</v>
      </c>
      <c r="J28" s="100">
        <v>0.03</v>
      </c>
      <c r="K28" s="100">
        <v>192.47</v>
      </c>
      <c r="L28" s="100">
        <v>15.84</v>
      </c>
      <c r="M28" s="100">
        <v>93.86</v>
      </c>
      <c r="N28" s="100">
        <v>13.5</v>
      </c>
      <c r="O28" s="100">
        <v>0</v>
      </c>
      <c r="P28" s="100">
        <v>1.29</v>
      </c>
      <c r="Q28" s="100">
        <v>9.32</v>
      </c>
      <c r="R28" s="6"/>
      <c r="S28" s="6"/>
      <c r="T28" s="156"/>
      <c r="U28" s="6"/>
    </row>
    <row r="29" spans="1:21" customFormat="1">
      <c r="A29" s="163" t="s">
        <v>1803</v>
      </c>
      <c r="B29" s="100">
        <v>10.07</v>
      </c>
      <c r="C29" s="100">
        <v>15.07</v>
      </c>
      <c r="D29" s="100">
        <v>15.95</v>
      </c>
      <c r="E29" s="100">
        <v>4.99</v>
      </c>
      <c r="F29" s="100">
        <v>1.26</v>
      </c>
      <c r="G29" s="100">
        <v>48.81</v>
      </c>
      <c r="H29" s="100">
        <v>27.96</v>
      </c>
      <c r="I29" s="100">
        <v>18.3</v>
      </c>
      <c r="J29" s="100">
        <v>0.11</v>
      </c>
      <c r="K29" s="100">
        <v>140.07</v>
      </c>
      <c r="L29" s="100">
        <v>15.68</v>
      </c>
      <c r="M29" s="100">
        <v>93.9</v>
      </c>
      <c r="N29" s="100">
        <v>13.6</v>
      </c>
      <c r="O29" s="100">
        <v>0</v>
      </c>
      <c r="P29" s="100">
        <v>1.29</v>
      </c>
      <c r="Q29" s="100">
        <v>9.32</v>
      </c>
      <c r="R29" s="6"/>
      <c r="S29" s="6"/>
      <c r="T29" s="156"/>
      <c r="U29" s="6"/>
    </row>
    <row r="30" spans="1:21" customFormat="1">
      <c r="A30" s="163" t="s">
        <v>1804</v>
      </c>
      <c r="B30" s="100">
        <v>9.9499999999999993</v>
      </c>
      <c r="C30" s="100">
        <v>15.07</v>
      </c>
      <c r="D30" s="100">
        <v>15.85</v>
      </c>
      <c r="E30" s="100">
        <v>4.71</v>
      </c>
      <c r="F30" s="100">
        <v>1.26</v>
      </c>
      <c r="G30" s="100">
        <v>48.73</v>
      </c>
      <c r="H30" s="100">
        <v>27.96</v>
      </c>
      <c r="I30" s="100">
        <v>18.28</v>
      </c>
      <c r="J30" s="100">
        <v>0.13</v>
      </c>
      <c r="K30" s="100">
        <v>137.07</v>
      </c>
      <c r="L30" s="100">
        <v>15.68</v>
      </c>
      <c r="M30" s="100">
        <v>93.9</v>
      </c>
      <c r="N30" s="100">
        <v>13.4</v>
      </c>
      <c r="O30" s="100">
        <v>0</v>
      </c>
      <c r="P30" s="100">
        <v>1.28</v>
      </c>
      <c r="Q30" s="100">
        <v>9.32</v>
      </c>
      <c r="R30" s="6"/>
      <c r="S30" s="6"/>
      <c r="T30" s="156"/>
      <c r="U30" s="6"/>
    </row>
    <row r="31" spans="1:21" customFormat="1">
      <c r="A31" s="163" t="s">
        <v>1805</v>
      </c>
      <c r="B31" s="100">
        <v>9.84</v>
      </c>
      <c r="C31" s="100">
        <v>14.92</v>
      </c>
      <c r="D31" s="100">
        <v>15.69</v>
      </c>
      <c r="E31" s="100">
        <v>3.62</v>
      </c>
      <c r="F31" s="100">
        <v>1.24</v>
      </c>
      <c r="G31" s="100">
        <v>48.73</v>
      </c>
      <c r="H31" s="100">
        <v>27.96</v>
      </c>
      <c r="I31" s="100">
        <v>18.239999999999998</v>
      </c>
      <c r="J31" s="100">
        <v>0.11</v>
      </c>
      <c r="K31" s="100">
        <v>204.97</v>
      </c>
      <c r="L31" s="100">
        <v>15.68</v>
      </c>
      <c r="M31" s="100">
        <v>93.9</v>
      </c>
      <c r="N31" s="100">
        <v>13.2</v>
      </c>
      <c r="O31" s="100">
        <v>0</v>
      </c>
      <c r="P31" s="100">
        <v>1.27</v>
      </c>
      <c r="Q31" s="100">
        <v>9.32</v>
      </c>
      <c r="R31" s="6"/>
      <c r="S31" s="6"/>
      <c r="T31" s="156"/>
      <c r="U31" s="6"/>
    </row>
    <row r="32" spans="1:21" customFormat="1">
      <c r="A32" s="163" t="s">
        <v>1806</v>
      </c>
      <c r="B32" s="100">
        <v>9.7899999999999991</v>
      </c>
      <c r="C32" s="100">
        <v>14.69</v>
      </c>
      <c r="D32" s="100">
        <v>15.52</v>
      </c>
      <c r="E32" s="100">
        <v>4.3099999999999996</v>
      </c>
      <c r="F32" s="100">
        <v>1.1499999999999999</v>
      </c>
      <c r="G32" s="100">
        <v>48.73</v>
      </c>
      <c r="H32" s="100">
        <v>27.96</v>
      </c>
      <c r="I32" s="100">
        <v>20.71</v>
      </c>
      <c r="J32" s="100">
        <v>0.16</v>
      </c>
      <c r="K32" s="100">
        <v>219.3</v>
      </c>
      <c r="L32" s="100">
        <v>15.73</v>
      </c>
      <c r="M32" s="100">
        <v>93.9</v>
      </c>
      <c r="N32" s="100">
        <v>13.4</v>
      </c>
      <c r="O32" s="100">
        <v>0</v>
      </c>
      <c r="P32" s="100">
        <v>1.26</v>
      </c>
      <c r="Q32" s="100">
        <v>9.32</v>
      </c>
      <c r="R32" s="6"/>
      <c r="S32" s="6"/>
      <c r="T32" s="156"/>
      <c r="U32" s="6"/>
    </row>
    <row r="33" spans="1:21" customFormat="1">
      <c r="A33" s="163" t="s">
        <v>1807</v>
      </c>
      <c r="B33" s="100">
        <v>9.6999999999999993</v>
      </c>
      <c r="C33" s="100">
        <v>14.65</v>
      </c>
      <c r="D33" s="100">
        <v>15.43</v>
      </c>
      <c r="E33" s="100">
        <v>4.7699999999999996</v>
      </c>
      <c r="F33" s="100">
        <v>1.04</v>
      </c>
      <c r="G33" s="100">
        <v>40.96</v>
      </c>
      <c r="H33" s="100">
        <v>27.58</v>
      </c>
      <c r="I33" s="100">
        <v>20.8</v>
      </c>
      <c r="J33" s="100">
        <v>0.16</v>
      </c>
      <c r="K33" s="100">
        <v>221.58</v>
      </c>
      <c r="L33" s="100">
        <v>15.62</v>
      </c>
      <c r="M33" s="100">
        <v>93.9</v>
      </c>
      <c r="N33" s="100">
        <v>13.6</v>
      </c>
      <c r="O33" s="100">
        <v>0</v>
      </c>
      <c r="P33" s="100">
        <v>1.25</v>
      </c>
      <c r="Q33" s="100">
        <v>9.32</v>
      </c>
      <c r="R33" s="6"/>
      <c r="S33" s="6"/>
      <c r="T33" s="156"/>
      <c r="U33" s="6"/>
    </row>
    <row r="34" spans="1:21" customFormat="1">
      <c r="A34" s="163" t="s">
        <v>1808</v>
      </c>
      <c r="B34" s="100">
        <v>9.5399999999999991</v>
      </c>
      <c r="C34" s="100">
        <v>14.66</v>
      </c>
      <c r="D34" s="100">
        <v>15.31</v>
      </c>
      <c r="E34" s="100">
        <v>4.83</v>
      </c>
      <c r="F34" s="100">
        <v>1.1599999999999999</v>
      </c>
      <c r="G34" s="100">
        <v>40.49</v>
      </c>
      <c r="H34" s="100">
        <v>27.58</v>
      </c>
      <c r="I34" s="100">
        <v>20.47</v>
      </c>
      <c r="J34" s="100">
        <v>0.15</v>
      </c>
      <c r="K34" s="100">
        <v>222.08</v>
      </c>
      <c r="L34" s="100">
        <v>15.57</v>
      </c>
      <c r="M34" s="100">
        <v>93.9</v>
      </c>
      <c r="N34" s="100">
        <v>14.6</v>
      </c>
      <c r="O34" s="100">
        <v>0</v>
      </c>
      <c r="P34" s="100">
        <v>1.25</v>
      </c>
      <c r="Q34" s="100">
        <v>9.32</v>
      </c>
      <c r="R34" s="6"/>
      <c r="S34" s="6"/>
      <c r="T34" s="156"/>
      <c r="U34" s="6"/>
    </row>
    <row r="35" spans="1:21" customFormat="1">
      <c r="A35" s="163" t="s">
        <v>1809</v>
      </c>
      <c r="B35" s="100">
        <v>9.33</v>
      </c>
      <c r="C35" s="100">
        <v>14.67</v>
      </c>
      <c r="D35" s="100">
        <v>15.15</v>
      </c>
      <c r="E35" s="100">
        <v>4.7300000000000004</v>
      </c>
      <c r="F35" s="100">
        <v>1.41</v>
      </c>
      <c r="G35" s="100">
        <v>40.49</v>
      </c>
      <c r="H35" s="100">
        <v>27.58</v>
      </c>
      <c r="I35" s="100">
        <v>20.68</v>
      </c>
      <c r="J35" s="100">
        <v>0.12</v>
      </c>
      <c r="K35" s="100">
        <v>190.04</v>
      </c>
      <c r="L35" s="100">
        <v>15.53</v>
      </c>
      <c r="M35" s="100">
        <v>93.9</v>
      </c>
      <c r="N35" s="100">
        <v>18.2</v>
      </c>
      <c r="O35" s="100">
        <v>0</v>
      </c>
      <c r="P35" s="100">
        <v>1.24</v>
      </c>
      <c r="Q35" s="100">
        <v>9.32</v>
      </c>
      <c r="R35" s="6"/>
      <c r="S35" s="6"/>
      <c r="T35" s="156"/>
      <c r="U35" s="6"/>
    </row>
    <row r="36" spans="1:21" customFormat="1">
      <c r="A36" s="163" t="s">
        <v>1810</v>
      </c>
      <c r="B36" s="100">
        <v>9.02</v>
      </c>
      <c r="C36" s="100">
        <v>14.84</v>
      </c>
      <c r="D36" s="100">
        <v>14.99</v>
      </c>
      <c r="E36" s="100">
        <v>4.57</v>
      </c>
      <c r="F36" s="100">
        <v>1.31</v>
      </c>
      <c r="G36" s="100">
        <v>40.49</v>
      </c>
      <c r="H36" s="100">
        <v>27.58</v>
      </c>
      <c r="I36" s="100">
        <v>20.34</v>
      </c>
      <c r="J36" s="100">
        <v>0.22</v>
      </c>
      <c r="K36" s="100">
        <v>165.33</v>
      </c>
      <c r="L36" s="100">
        <v>15.62</v>
      </c>
      <c r="M36" s="100">
        <v>93.9</v>
      </c>
      <c r="N36" s="100">
        <v>26.5</v>
      </c>
      <c r="O36" s="100">
        <v>0</v>
      </c>
      <c r="P36" s="100">
        <v>1.22</v>
      </c>
      <c r="Q36" s="100">
        <v>9.32</v>
      </c>
      <c r="R36" s="6"/>
      <c r="S36" s="6"/>
      <c r="T36" s="156"/>
      <c r="U36" s="6"/>
    </row>
    <row r="37" spans="1:21" customFormat="1">
      <c r="A37" s="163" t="s">
        <v>1811</v>
      </c>
      <c r="B37" s="100">
        <v>8.67</v>
      </c>
      <c r="C37" s="100">
        <v>14.99</v>
      </c>
      <c r="D37" s="100">
        <v>14.78</v>
      </c>
      <c r="E37" s="100">
        <v>4.83</v>
      </c>
      <c r="F37" s="100">
        <v>1.38</v>
      </c>
      <c r="G37" s="100">
        <v>45.24</v>
      </c>
      <c r="H37" s="100">
        <v>28.3</v>
      </c>
      <c r="I37" s="100">
        <v>22.88</v>
      </c>
      <c r="J37" s="100">
        <v>0.24</v>
      </c>
      <c r="K37" s="100">
        <v>160.5</v>
      </c>
      <c r="L37" s="100">
        <v>15.83</v>
      </c>
      <c r="M37" s="100">
        <v>93.9</v>
      </c>
      <c r="N37" s="100">
        <v>37.5</v>
      </c>
      <c r="O37" s="100">
        <v>0</v>
      </c>
      <c r="P37" s="100">
        <v>1.21</v>
      </c>
      <c r="Q37" s="100">
        <v>9.32</v>
      </c>
      <c r="R37" s="6"/>
      <c r="S37" s="6"/>
      <c r="T37" s="156"/>
      <c r="U37" s="6"/>
    </row>
    <row r="38" spans="1:21" customFormat="1">
      <c r="A38" s="163" t="s">
        <v>1812</v>
      </c>
      <c r="B38" s="100">
        <v>8.34</v>
      </c>
      <c r="C38" s="100">
        <v>15.19</v>
      </c>
      <c r="D38" s="100">
        <v>14.62</v>
      </c>
      <c r="E38" s="100">
        <v>4.82</v>
      </c>
      <c r="F38" s="100">
        <v>1.42</v>
      </c>
      <c r="G38" s="100">
        <v>45.66</v>
      </c>
      <c r="H38" s="100">
        <v>28.3</v>
      </c>
      <c r="I38" s="100">
        <v>22.85</v>
      </c>
      <c r="J38" s="100">
        <v>0.16</v>
      </c>
      <c r="K38" s="100">
        <v>166.18</v>
      </c>
      <c r="L38" s="100">
        <v>16.170000000000002</v>
      </c>
      <c r="M38" s="100">
        <v>93.9</v>
      </c>
      <c r="N38" s="100">
        <v>50.3</v>
      </c>
      <c r="O38" s="100">
        <v>0</v>
      </c>
      <c r="P38" s="100">
        <v>1.22</v>
      </c>
      <c r="Q38" s="100">
        <v>9.32</v>
      </c>
      <c r="R38" s="6"/>
      <c r="S38" s="6"/>
      <c r="T38" s="156"/>
      <c r="U38" s="6"/>
    </row>
    <row r="39" spans="1:21" customFormat="1">
      <c r="A39" s="163" t="s">
        <v>1813</v>
      </c>
      <c r="B39" s="100">
        <v>7.92</v>
      </c>
      <c r="C39" s="100">
        <v>15.42</v>
      </c>
      <c r="D39" s="100">
        <v>14.41</v>
      </c>
      <c r="E39" s="100">
        <v>5.0599999999999996</v>
      </c>
      <c r="F39" s="100">
        <v>1.35</v>
      </c>
      <c r="G39" s="100">
        <v>45.66</v>
      </c>
      <c r="H39" s="100">
        <v>28.3</v>
      </c>
      <c r="I39" s="100">
        <v>22.82</v>
      </c>
      <c r="J39" s="100">
        <v>0.19</v>
      </c>
      <c r="K39" s="100">
        <v>148.82</v>
      </c>
      <c r="L39" s="100">
        <v>16.670000000000002</v>
      </c>
      <c r="M39" s="100">
        <v>93.9</v>
      </c>
      <c r="N39" s="100">
        <v>63.7</v>
      </c>
      <c r="O39" s="100">
        <v>0</v>
      </c>
      <c r="P39" s="100">
        <v>1.23</v>
      </c>
      <c r="Q39" s="100">
        <v>9.32</v>
      </c>
      <c r="R39" s="6"/>
      <c r="S39" s="6"/>
      <c r="T39" s="156"/>
      <c r="U39" s="6"/>
    </row>
    <row r="40" spans="1:21" customFormat="1">
      <c r="A40" s="163" t="s">
        <v>1814</v>
      </c>
      <c r="B40" s="100">
        <v>7.59</v>
      </c>
      <c r="C40" s="100">
        <v>15.88</v>
      </c>
      <c r="D40" s="100">
        <v>14.38</v>
      </c>
      <c r="E40" s="100">
        <v>4.92</v>
      </c>
      <c r="F40" s="100">
        <v>1.36</v>
      </c>
      <c r="G40" s="100">
        <v>45.66</v>
      </c>
      <c r="H40" s="100">
        <v>28.3</v>
      </c>
      <c r="I40" s="100">
        <v>22.79</v>
      </c>
      <c r="J40" s="100">
        <v>0.12</v>
      </c>
      <c r="K40" s="100">
        <v>132.93</v>
      </c>
      <c r="L40" s="100">
        <v>17.28</v>
      </c>
      <c r="M40" s="100">
        <v>93.88</v>
      </c>
      <c r="N40" s="100">
        <v>78</v>
      </c>
      <c r="O40" s="100">
        <v>0</v>
      </c>
      <c r="P40" s="100">
        <v>1.24</v>
      </c>
      <c r="Q40" s="100">
        <v>9.32</v>
      </c>
      <c r="R40" s="6"/>
      <c r="S40" s="6"/>
      <c r="T40" s="156"/>
      <c r="U40" s="6"/>
    </row>
    <row r="41" spans="1:21" customFormat="1">
      <c r="A41" s="163" t="s">
        <v>1815</v>
      </c>
      <c r="B41" s="100">
        <v>7.36</v>
      </c>
      <c r="C41" s="100">
        <v>16.149999999999999</v>
      </c>
      <c r="D41" s="100">
        <v>14.34</v>
      </c>
      <c r="E41" s="100">
        <v>5</v>
      </c>
      <c r="F41" s="100">
        <v>1.43</v>
      </c>
      <c r="G41" s="100">
        <v>49.42</v>
      </c>
      <c r="H41" s="100">
        <v>29.42</v>
      </c>
      <c r="I41" s="100">
        <v>22.83</v>
      </c>
      <c r="J41" s="100">
        <v>0.04</v>
      </c>
      <c r="K41" s="100">
        <v>239.23</v>
      </c>
      <c r="L41" s="100">
        <v>18.12</v>
      </c>
      <c r="M41" s="100">
        <v>91.5</v>
      </c>
      <c r="N41" s="100">
        <v>138.5</v>
      </c>
      <c r="O41" s="100">
        <v>0</v>
      </c>
      <c r="P41" s="100">
        <v>1.25</v>
      </c>
      <c r="Q41" s="100">
        <v>9.32</v>
      </c>
      <c r="R41" s="6"/>
      <c r="S41" s="6"/>
      <c r="T41" s="156"/>
      <c r="U41" s="6"/>
    </row>
    <row r="42" spans="1:21" customFormat="1">
      <c r="A42" s="163" t="s">
        <v>1816</v>
      </c>
      <c r="B42" s="100">
        <v>7.07</v>
      </c>
      <c r="C42" s="100">
        <v>16.75</v>
      </c>
      <c r="D42" s="100">
        <v>14.42</v>
      </c>
      <c r="E42" s="100">
        <v>5.18</v>
      </c>
      <c r="F42" s="100">
        <v>1.63</v>
      </c>
      <c r="G42" s="100">
        <v>49.64</v>
      </c>
      <c r="H42" s="100">
        <v>29.42</v>
      </c>
      <c r="I42" s="100">
        <v>22.91</v>
      </c>
      <c r="J42" s="100">
        <v>0.12</v>
      </c>
      <c r="K42" s="100">
        <v>153.54</v>
      </c>
      <c r="L42" s="100">
        <v>19.89</v>
      </c>
      <c r="M42" s="100">
        <v>79.84</v>
      </c>
      <c r="N42" s="100">
        <v>181.1</v>
      </c>
      <c r="O42" s="100">
        <v>0</v>
      </c>
      <c r="P42" s="100">
        <v>1.26</v>
      </c>
      <c r="Q42" s="100">
        <v>9.32</v>
      </c>
      <c r="R42" s="6"/>
      <c r="S42" s="6"/>
      <c r="T42" s="156"/>
      <c r="U42" s="6"/>
    </row>
    <row r="43" spans="1:21" customFormat="1">
      <c r="A43" s="163" t="s">
        <v>1817</v>
      </c>
      <c r="B43" s="100">
        <v>6.79</v>
      </c>
      <c r="C43" s="100">
        <v>17.36</v>
      </c>
      <c r="D43" s="100">
        <v>14.52</v>
      </c>
      <c r="E43" s="100">
        <v>4.93</v>
      </c>
      <c r="F43" s="100">
        <v>1.56</v>
      </c>
      <c r="G43" s="100">
        <v>49.64</v>
      </c>
      <c r="H43" s="100">
        <v>29.42</v>
      </c>
      <c r="I43" s="100">
        <v>23.05</v>
      </c>
      <c r="J43" s="100">
        <v>0.22</v>
      </c>
      <c r="K43" s="100">
        <v>161.16</v>
      </c>
      <c r="L43" s="100">
        <v>21.18</v>
      </c>
      <c r="M43" s="100">
        <v>72.569999999999993</v>
      </c>
      <c r="N43" s="100">
        <v>214.4</v>
      </c>
      <c r="O43" s="100">
        <v>0</v>
      </c>
      <c r="P43" s="100">
        <v>1.27</v>
      </c>
      <c r="Q43" s="100">
        <v>9.32</v>
      </c>
      <c r="R43" s="6"/>
      <c r="S43" s="6"/>
      <c r="T43" s="156"/>
      <c r="U43" s="6"/>
    </row>
    <row r="44" spans="1:21" customFormat="1">
      <c r="A44" s="163" t="s">
        <v>1818</v>
      </c>
      <c r="B44" s="100">
        <v>6.52</v>
      </c>
      <c r="C44" s="100">
        <v>18.04</v>
      </c>
      <c r="D44" s="100">
        <v>14.66</v>
      </c>
      <c r="E44" s="100">
        <v>5.45</v>
      </c>
      <c r="F44" s="100">
        <v>1.8</v>
      </c>
      <c r="G44" s="100">
        <v>49.64</v>
      </c>
      <c r="H44" s="100">
        <v>29.42</v>
      </c>
      <c r="I44" s="100">
        <v>23.31</v>
      </c>
      <c r="J44" s="100">
        <v>0.15</v>
      </c>
      <c r="K44" s="100">
        <v>169.39</v>
      </c>
      <c r="L44" s="100">
        <v>22.23</v>
      </c>
      <c r="M44" s="100">
        <v>67.75</v>
      </c>
      <c r="N44" s="100">
        <v>235.2</v>
      </c>
      <c r="O44" s="100">
        <v>0</v>
      </c>
      <c r="P44" s="100">
        <v>1.29</v>
      </c>
      <c r="Q44" s="100">
        <v>9.32</v>
      </c>
      <c r="R44" s="6"/>
      <c r="S44" s="6"/>
      <c r="T44" s="156"/>
      <c r="U44" s="6"/>
    </row>
    <row r="45" spans="1:21" customFormat="1">
      <c r="A45" s="163" t="s">
        <v>1819</v>
      </c>
      <c r="B45" s="100">
        <v>6.15</v>
      </c>
      <c r="C45" s="100">
        <v>18.32</v>
      </c>
      <c r="D45" s="100">
        <v>14.5</v>
      </c>
      <c r="E45" s="100">
        <v>5.17</v>
      </c>
      <c r="F45" s="100">
        <v>1.74</v>
      </c>
      <c r="G45" s="100">
        <v>56.56</v>
      </c>
      <c r="H45" s="100">
        <v>32.520000000000003</v>
      </c>
      <c r="I45" s="100">
        <v>23.57</v>
      </c>
      <c r="J45" s="100">
        <v>0.1</v>
      </c>
      <c r="K45" s="100">
        <v>201.66</v>
      </c>
      <c r="L45" s="100">
        <v>23.01</v>
      </c>
      <c r="M45" s="100">
        <v>64.5</v>
      </c>
      <c r="N45" s="100">
        <v>167.6</v>
      </c>
      <c r="O45" s="100">
        <v>0</v>
      </c>
      <c r="P45" s="100">
        <v>1.29</v>
      </c>
      <c r="Q45" s="100">
        <v>9.32</v>
      </c>
      <c r="R45" s="6"/>
      <c r="S45" s="6"/>
      <c r="T45" s="156"/>
      <c r="U45" s="6"/>
    </row>
    <row r="46" spans="1:21" customFormat="1">
      <c r="A46" s="163" t="s">
        <v>1820</v>
      </c>
      <c r="B46" s="100">
        <v>5.68</v>
      </c>
      <c r="C46" s="100">
        <v>18.39</v>
      </c>
      <c r="D46" s="100">
        <v>14.16</v>
      </c>
      <c r="E46" s="100">
        <v>5.24</v>
      </c>
      <c r="F46" s="100">
        <v>1.87</v>
      </c>
      <c r="G46" s="100">
        <v>56.97</v>
      </c>
      <c r="H46" s="100">
        <v>32.520000000000003</v>
      </c>
      <c r="I46" s="100">
        <v>23.79</v>
      </c>
      <c r="J46" s="100">
        <v>0.19</v>
      </c>
      <c r="K46" s="100">
        <v>249.23</v>
      </c>
      <c r="L46" s="100">
        <v>23.7</v>
      </c>
      <c r="M46" s="100">
        <v>61.08</v>
      </c>
      <c r="N46" s="100">
        <v>146.19999999999999</v>
      </c>
      <c r="O46" s="100">
        <v>0</v>
      </c>
      <c r="P46" s="100">
        <v>1.29</v>
      </c>
      <c r="Q46" s="100">
        <v>9.32</v>
      </c>
      <c r="R46" s="6"/>
      <c r="S46" s="6"/>
      <c r="T46" s="156"/>
      <c r="U46" s="6"/>
    </row>
    <row r="47" spans="1:21" customFormat="1">
      <c r="A47" s="163" t="s">
        <v>1821</v>
      </c>
      <c r="B47" s="100">
        <v>5.16</v>
      </c>
      <c r="C47" s="100">
        <v>18.489999999999998</v>
      </c>
      <c r="D47" s="100">
        <v>13.8</v>
      </c>
      <c r="E47" s="100">
        <v>5.33</v>
      </c>
      <c r="F47" s="100">
        <v>2.0699999999999998</v>
      </c>
      <c r="G47" s="100">
        <v>56.97</v>
      </c>
      <c r="H47" s="100">
        <v>32.520000000000003</v>
      </c>
      <c r="I47" s="100">
        <v>23.98</v>
      </c>
      <c r="J47" s="100">
        <v>0.28999999999999998</v>
      </c>
      <c r="K47" s="100">
        <v>277.63</v>
      </c>
      <c r="L47" s="100">
        <v>23.93</v>
      </c>
      <c r="M47" s="100">
        <v>59.25</v>
      </c>
      <c r="N47" s="100">
        <v>157.6</v>
      </c>
      <c r="O47" s="100">
        <v>0</v>
      </c>
      <c r="P47" s="100">
        <v>1.29</v>
      </c>
      <c r="Q47" s="100">
        <v>9.32</v>
      </c>
      <c r="R47" s="6"/>
      <c r="S47" s="6"/>
      <c r="T47" s="156"/>
      <c r="U47" s="6"/>
    </row>
    <row r="48" spans="1:21" customFormat="1">
      <c r="A48" s="163" t="s">
        <v>1822</v>
      </c>
      <c r="B48" s="100">
        <v>4.6500000000000004</v>
      </c>
      <c r="C48" s="100">
        <v>18.600000000000001</v>
      </c>
      <c r="D48" s="100">
        <v>13.45</v>
      </c>
      <c r="E48" s="100">
        <v>5.22</v>
      </c>
      <c r="F48" s="100">
        <v>2.4</v>
      </c>
      <c r="G48" s="100">
        <v>56.97</v>
      </c>
      <c r="H48" s="100">
        <v>32.520000000000003</v>
      </c>
      <c r="I48" s="100">
        <v>23.99</v>
      </c>
      <c r="J48" s="100">
        <v>0.1</v>
      </c>
      <c r="K48" s="100">
        <v>86.55</v>
      </c>
      <c r="L48" s="100">
        <v>25.05</v>
      </c>
      <c r="M48" s="100">
        <v>53.36</v>
      </c>
      <c r="N48" s="100">
        <v>180.6</v>
      </c>
      <c r="O48" s="100">
        <v>0</v>
      </c>
      <c r="P48" s="100">
        <v>1.28</v>
      </c>
      <c r="Q48" s="100">
        <v>9.32</v>
      </c>
      <c r="R48" s="6"/>
      <c r="S48" s="6"/>
      <c r="T48" s="156"/>
      <c r="U48" s="6"/>
    </row>
    <row r="49" spans="1:21" customFormat="1">
      <c r="A49" s="163" t="s">
        <v>1823</v>
      </c>
      <c r="B49" s="100">
        <v>4.32</v>
      </c>
      <c r="C49" s="100">
        <v>18.77</v>
      </c>
      <c r="D49" s="100">
        <v>13.27</v>
      </c>
      <c r="E49" s="100">
        <v>4.33</v>
      </c>
      <c r="F49" s="100">
        <v>2.4900000000000002</v>
      </c>
      <c r="G49" s="100">
        <v>55</v>
      </c>
      <c r="H49" s="100">
        <v>32.31</v>
      </c>
      <c r="I49" s="100">
        <v>23.87</v>
      </c>
      <c r="J49" s="100">
        <v>0.47</v>
      </c>
      <c r="K49" s="100">
        <v>62.88</v>
      </c>
      <c r="L49" s="100">
        <v>25.65</v>
      </c>
      <c r="M49" s="100">
        <v>46.95</v>
      </c>
      <c r="N49" s="100">
        <v>367.4</v>
      </c>
      <c r="O49" s="100">
        <v>0</v>
      </c>
      <c r="P49" s="100">
        <v>1.27</v>
      </c>
      <c r="Q49" s="100">
        <v>9.32</v>
      </c>
      <c r="R49" s="6"/>
      <c r="S49" s="6"/>
      <c r="T49" s="156"/>
      <c r="U49" s="6"/>
    </row>
    <row r="50" spans="1:21" customFormat="1">
      <c r="A50" s="163" t="s">
        <v>1824</v>
      </c>
      <c r="B50" s="100">
        <v>4.13</v>
      </c>
      <c r="C50" s="100">
        <v>18.97</v>
      </c>
      <c r="D50" s="100">
        <v>13.23</v>
      </c>
      <c r="E50" s="100">
        <v>5.29</v>
      </c>
      <c r="F50" s="100">
        <v>3.27</v>
      </c>
      <c r="G50" s="100">
        <v>54.88</v>
      </c>
      <c r="H50" s="100">
        <v>32.31</v>
      </c>
      <c r="I50" s="100">
        <v>23.7</v>
      </c>
      <c r="J50" s="100">
        <v>0.27</v>
      </c>
      <c r="K50" s="100">
        <v>100.5</v>
      </c>
      <c r="L50" s="100">
        <v>26.4</v>
      </c>
      <c r="M50" s="100">
        <v>44.46</v>
      </c>
      <c r="N50" s="100">
        <v>426.4</v>
      </c>
      <c r="O50" s="100">
        <v>0</v>
      </c>
      <c r="P50" s="100">
        <v>1.24</v>
      </c>
      <c r="Q50" s="100">
        <v>9.32</v>
      </c>
      <c r="R50" s="6"/>
      <c r="S50" s="6"/>
      <c r="T50" s="156"/>
      <c r="U50" s="6"/>
    </row>
    <row r="51" spans="1:21" customFormat="1">
      <c r="A51" s="163" t="s">
        <v>1825</v>
      </c>
      <c r="B51" s="100">
        <v>3.81</v>
      </c>
      <c r="C51" s="100">
        <v>20.16</v>
      </c>
      <c r="D51" s="100">
        <v>13.59</v>
      </c>
      <c r="E51" s="100">
        <v>6.23</v>
      </c>
      <c r="F51" s="100">
        <v>6.88</v>
      </c>
      <c r="G51" s="100">
        <v>54.88</v>
      </c>
      <c r="H51" s="100">
        <v>32.31</v>
      </c>
      <c r="I51" s="100">
        <v>23.46</v>
      </c>
      <c r="J51" s="100">
        <v>0.57999999999999996</v>
      </c>
      <c r="K51" s="100">
        <v>36.9</v>
      </c>
      <c r="L51" s="100">
        <v>26.87</v>
      </c>
      <c r="M51" s="100">
        <v>42.66</v>
      </c>
      <c r="N51" s="100">
        <v>446.8</v>
      </c>
      <c r="O51" s="100">
        <v>0</v>
      </c>
      <c r="P51" s="100">
        <v>1.18</v>
      </c>
      <c r="Q51" s="100">
        <v>9.32</v>
      </c>
      <c r="R51" s="6"/>
      <c r="S51" s="6"/>
      <c r="T51" s="156"/>
      <c r="U51" s="6"/>
    </row>
    <row r="52" spans="1:21" customFormat="1">
      <c r="A52" s="163" t="s">
        <v>1826</v>
      </c>
      <c r="B52" s="100">
        <v>3.5</v>
      </c>
      <c r="C52" s="100">
        <v>22.16</v>
      </c>
      <c r="D52" s="100">
        <v>14.39</v>
      </c>
      <c r="E52" s="100">
        <v>5.75</v>
      </c>
      <c r="F52" s="100">
        <v>8.1300000000000008</v>
      </c>
      <c r="G52" s="100">
        <v>54.88</v>
      </c>
      <c r="H52" s="100">
        <v>32.31</v>
      </c>
      <c r="I52" s="100">
        <v>22.86</v>
      </c>
      <c r="J52" s="100">
        <v>0.3</v>
      </c>
      <c r="K52" s="100">
        <v>58.66</v>
      </c>
      <c r="L52" s="100">
        <v>27.43</v>
      </c>
      <c r="M52" s="100">
        <v>39.869999999999997</v>
      </c>
      <c r="N52" s="100">
        <v>487</v>
      </c>
      <c r="O52" s="100">
        <v>0</v>
      </c>
      <c r="P52" s="100">
        <v>1.1299999999999999</v>
      </c>
      <c r="Q52" s="100">
        <v>9.32</v>
      </c>
      <c r="R52" s="6"/>
      <c r="S52" s="6"/>
      <c r="T52" s="156"/>
      <c r="U52" s="6"/>
    </row>
    <row r="53" spans="1:21" customFormat="1">
      <c r="A53" s="163" t="s">
        <v>1827</v>
      </c>
      <c r="B53" s="100">
        <v>3.37</v>
      </c>
      <c r="C53" s="100">
        <v>22.01</v>
      </c>
      <c r="D53" s="100">
        <v>14.2</v>
      </c>
      <c r="E53" s="100">
        <v>5.05</v>
      </c>
      <c r="F53" s="100">
        <v>7.75</v>
      </c>
      <c r="G53" s="100">
        <v>49.7</v>
      </c>
      <c r="H53" s="100">
        <v>28.6</v>
      </c>
      <c r="I53" s="100">
        <v>21.63</v>
      </c>
      <c r="J53" s="100">
        <v>0.28999999999999998</v>
      </c>
      <c r="K53" s="100">
        <v>52.74</v>
      </c>
      <c r="L53" s="100">
        <v>28.03</v>
      </c>
      <c r="M53" s="100">
        <v>36.94</v>
      </c>
      <c r="N53" s="100">
        <v>460.1</v>
      </c>
      <c r="O53" s="100">
        <v>0</v>
      </c>
      <c r="P53" s="100">
        <v>1.08</v>
      </c>
      <c r="Q53" s="100">
        <v>9.32</v>
      </c>
      <c r="R53" s="6"/>
      <c r="S53" s="6"/>
      <c r="T53" s="156"/>
      <c r="U53" s="6"/>
    </row>
    <row r="54" spans="1:21" customFormat="1">
      <c r="A54" s="163" t="s">
        <v>1828</v>
      </c>
      <c r="B54" s="100">
        <v>3.29</v>
      </c>
      <c r="C54" s="100">
        <v>21.31</v>
      </c>
      <c r="D54" s="100">
        <v>13.77</v>
      </c>
      <c r="E54" s="100">
        <v>5.33</v>
      </c>
      <c r="F54" s="100">
        <v>9.14</v>
      </c>
      <c r="G54" s="100">
        <v>49.4</v>
      </c>
      <c r="H54" s="100">
        <v>28.6</v>
      </c>
      <c r="I54" s="100">
        <v>20.45</v>
      </c>
      <c r="J54" s="100">
        <v>0.19</v>
      </c>
      <c r="K54" s="100">
        <v>211.35</v>
      </c>
      <c r="L54" s="100">
        <v>28.54</v>
      </c>
      <c r="M54" s="100">
        <v>35.75</v>
      </c>
      <c r="N54" s="100">
        <v>512.4</v>
      </c>
      <c r="O54" s="100">
        <v>0</v>
      </c>
      <c r="P54" s="100">
        <v>1.01</v>
      </c>
      <c r="Q54" s="100">
        <v>9.32</v>
      </c>
      <c r="R54" s="6"/>
      <c r="S54" s="6"/>
      <c r="T54" s="156"/>
      <c r="U54" s="6"/>
    </row>
    <row r="55" spans="1:21" customFormat="1">
      <c r="A55" s="163" t="s">
        <v>1829</v>
      </c>
      <c r="B55" s="100">
        <v>3.16</v>
      </c>
      <c r="C55" s="100">
        <v>20.04</v>
      </c>
      <c r="D55" s="100">
        <v>13</v>
      </c>
      <c r="E55" s="100">
        <v>5.0999999999999996</v>
      </c>
      <c r="F55" s="100">
        <v>13</v>
      </c>
      <c r="G55" s="100">
        <v>49.4</v>
      </c>
      <c r="H55" s="100">
        <v>28.6</v>
      </c>
      <c r="I55" s="100">
        <v>19.54</v>
      </c>
      <c r="J55" s="100">
        <v>-0.48</v>
      </c>
      <c r="K55" s="100">
        <v>-0.03</v>
      </c>
      <c r="L55" s="100">
        <v>28.36</v>
      </c>
      <c r="M55" s="100">
        <v>35.590000000000003</v>
      </c>
      <c r="N55" s="100">
        <v>546.9</v>
      </c>
      <c r="O55" s="100">
        <v>0</v>
      </c>
      <c r="P55" s="100">
        <v>0.93</v>
      </c>
      <c r="Q55" s="100">
        <v>9.32</v>
      </c>
      <c r="R55" s="6"/>
      <c r="S55" s="6"/>
      <c r="T55" s="156"/>
      <c r="U55" s="6"/>
    </row>
    <row r="56" spans="1:21" customFormat="1">
      <c r="A56" s="163" t="s">
        <v>1830</v>
      </c>
      <c r="B56" s="100">
        <v>3.13</v>
      </c>
      <c r="C56" s="100">
        <v>18.93</v>
      </c>
      <c r="D56" s="100">
        <v>12.49</v>
      </c>
      <c r="E56" s="100">
        <v>4.78</v>
      </c>
      <c r="F56" s="100">
        <v>13.13</v>
      </c>
      <c r="G56" s="100">
        <v>49.4</v>
      </c>
      <c r="H56" s="100">
        <v>28.6</v>
      </c>
      <c r="I56" s="100">
        <v>18.399999999999999</v>
      </c>
      <c r="J56" s="100">
        <v>0.49</v>
      </c>
      <c r="K56" s="100">
        <v>299.35000000000002</v>
      </c>
      <c r="L56" s="100">
        <v>28.93</v>
      </c>
      <c r="M56" s="100">
        <v>33.96</v>
      </c>
      <c r="N56" s="100">
        <v>515.70000000000005</v>
      </c>
      <c r="O56" s="100">
        <v>0</v>
      </c>
      <c r="P56" s="100">
        <v>0.89</v>
      </c>
      <c r="Q56" s="100">
        <v>9.32</v>
      </c>
      <c r="R56" s="6"/>
      <c r="S56" s="6"/>
      <c r="T56" s="156"/>
      <c r="U56" s="6"/>
    </row>
    <row r="57" spans="1:21" customFormat="1">
      <c r="A57" s="163" t="s">
        <v>1831</v>
      </c>
      <c r="B57" s="100">
        <v>3.14</v>
      </c>
      <c r="C57" s="100">
        <v>18.899999999999999</v>
      </c>
      <c r="D57" s="100">
        <v>12.39</v>
      </c>
      <c r="E57" s="100">
        <v>4.45</v>
      </c>
      <c r="F57" s="100">
        <v>14.2</v>
      </c>
      <c r="G57" s="100">
        <v>37.6</v>
      </c>
      <c r="H57" s="100">
        <v>22.7</v>
      </c>
      <c r="I57" s="100">
        <v>17.28</v>
      </c>
      <c r="J57" s="100">
        <v>0.02</v>
      </c>
      <c r="K57" s="100">
        <v>49.01</v>
      </c>
      <c r="L57" s="100">
        <v>29.36</v>
      </c>
      <c r="M57" s="100">
        <v>32.799999999999997</v>
      </c>
      <c r="N57" s="100">
        <v>531.1</v>
      </c>
      <c r="O57" s="100">
        <v>0</v>
      </c>
      <c r="P57" s="100">
        <v>0.86</v>
      </c>
      <c r="Q57" s="100">
        <v>9.32</v>
      </c>
      <c r="R57" s="6"/>
      <c r="S57" s="6"/>
      <c r="T57" s="156"/>
      <c r="U57" s="6"/>
    </row>
    <row r="58" spans="1:21" customFormat="1">
      <c r="A58" s="163" t="s">
        <v>1832</v>
      </c>
      <c r="B58" s="100">
        <v>3.13</v>
      </c>
      <c r="C58" s="100">
        <v>18.41</v>
      </c>
      <c r="D58" s="100">
        <v>12.13</v>
      </c>
      <c r="E58" s="100">
        <v>4.33</v>
      </c>
      <c r="F58" s="100">
        <v>15.76</v>
      </c>
      <c r="G58" s="100">
        <v>36.76</v>
      </c>
      <c r="H58" s="100">
        <v>22.7</v>
      </c>
      <c r="I58" s="100">
        <v>16.41</v>
      </c>
      <c r="J58" s="100">
        <v>0.17</v>
      </c>
      <c r="K58" s="100">
        <v>289.83999999999997</v>
      </c>
      <c r="L58" s="100">
        <v>29.32</v>
      </c>
      <c r="M58" s="100">
        <v>32.81</v>
      </c>
      <c r="N58" s="100">
        <v>531.70000000000005</v>
      </c>
      <c r="O58" s="100">
        <v>0</v>
      </c>
      <c r="P58" s="100">
        <v>0.8</v>
      </c>
      <c r="Q58" s="100">
        <v>9.32</v>
      </c>
      <c r="R58" s="6"/>
      <c r="S58" s="6"/>
      <c r="T58" s="156"/>
      <c r="U58" s="6"/>
    </row>
    <row r="59" spans="1:21" customFormat="1">
      <c r="A59" s="163" t="s">
        <v>1833</v>
      </c>
      <c r="B59" s="100">
        <v>3.13</v>
      </c>
      <c r="C59" s="100">
        <v>18.37</v>
      </c>
      <c r="D59" s="100">
        <v>12.11</v>
      </c>
      <c r="E59" s="100">
        <v>4.4000000000000004</v>
      </c>
      <c r="F59" s="100">
        <v>16.77</v>
      </c>
      <c r="G59" s="100">
        <v>36.76</v>
      </c>
      <c r="H59" s="100">
        <v>22.7</v>
      </c>
      <c r="I59" s="100">
        <v>15.46</v>
      </c>
      <c r="J59" s="100">
        <v>0.14000000000000001</v>
      </c>
      <c r="K59" s="100">
        <v>348.05</v>
      </c>
      <c r="L59" s="100">
        <v>30.01</v>
      </c>
      <c r="M59" s="100">
        <v>31.08</v>
      </c>
      <c r="N59" s="100">
        <v>535.4</v>
      </c>
      <c r="O59" s="100">
        <v>0</v>
      </c>
      <c r="P59" s="100">
        <v>0.76</v>
      </c>
      <c r="Q59" s="100">
        <v>9.32</v>
      </c>
      <c r="R59" s="6"/>
      <c r="S59" s="6"/>
      <c r="T59" s="156"/>
      <c r="U59" s="6"/>
    </row>
    <row r="60" spans="1:21" customFormat="1">
      <c r="A60" s="163" t="s">
        <v>1834</v>
      </c>
      <c r="B60" s="100">
        <v>3.12</v>
      </c>
      <c r="C60" s="100">
        <v>18.55</v>
      </c>
      <c r="D60" s="100">
        <v>12.19</v>
      </c>
      <c r="E60" s="100">
        <v>4.79</v>
      </c>
      <c r="F60" s="100">
        <v>26.83</v>
      </c>
      <c r="G60" s="100">
        <v>36.76</v>
      </c>
      <c r="H60" s="100">
        <v>22.7</v>
      </c>
      <c r="I60" s="100">
        <v>14.61</v>
      </c>
      <c r="J60" s="100">
        <v>0.38</v>
      </c>
      <c r="K60" s="100">
        <v>303.2</v>
      </c>
      <c r="L60" s="100">
        <v>30.19</v>
      </c>
      <c r="M60" s="100">
        <v>29.85</v>
      </c>
      <c r="N60" s="100">
        <v>509.7</v>
      </c>
      <c r="O60" s="100">
        <v>0</v>
      </c>
      <c r="P60" s="100">
        <v>0.73</v>
      </c>
      <c r="Q60" s="100">
        <v>9.32</v>
      </c>
      <c r="R60" s="6"/>
      <c r="S60" s="6"/>
      <c r="T60" s="156"/>
      <c r="U60" s="6"/>
    </row>
    <row r="61" spans="1:21" customFormat="1">
      <c r="A61" s="163" t="s">
        <v>1835</v>
      </c>
      <c r="B61" s="100">
        <v>3.2</v>
      </c>
      <c r="C61" s="100">
        <v>19.77</v>
      </c>
      <c r="D61" s="100">
        <v>12.89</v>
      </c>
      <c r="E61" s="100">
        <v>5.5</v>
      </c>
      <c r="F61" s="100">
        <v>27.69</v>
      </c>
      <c r="G61" s="100">
        <v>32.49</v>
      </c>
      <c r="H61" s="100">
        <v>18.86</v>
      </c>
      <c r="I61" s="100">
        <v>13.96</v>
      </c>
      <c r="J61" s="100">
        <v>0.12</v>
      </c>
      <c r="K61" s="100">
        <v>347.74</v>
      </c>
      <c r="L61" s="100">
        <v>30.33</v>
      </c>
      <c r="M61" s="100">
        <v>28.95</v>
      </c>
      <c r="N61" s="100">
        <v>402.5</v>
      </c>
      <c r="O61" s="100">
        <v>0</v>
      </c>
      <c r="P61" s="100">
        <v>0.69</v>
      </c>
      <c r="Q61" s="100">
        <v>9.32</v>
      </c>
      <c r="R61" s="6"/>
      <c r="S61" s="6"/>
      <c r="T61" s="156"/>
      <c r="U61" s="6"/>
    </row>
    <row r="62" spans="1:21" customFormat="1">
      <c r="A62" s="163" t="s">
        <v>1836</v>
      </c>
      <c r="B62" s="100">
        <v>3.21</v>
      </c>
      <c r="C62" s="100">
        <v>21.64</v>
      </c>
      <c r="D62" s="100">
        <v>13.88</v>
      </c>
      <c r="E62" s="100">
        <v>5.92</v>
      </c>
      <c r="F62" s="100">
        <v>26.74</v>
      </c>
      <c r="G62" s="100">
        <v>32.19</v>
      </c>
      <c r="H62" s="100">
        <v>18.86</v>
      </c>
      <c r="I62" s="100">
        <v>13.11</v>
      </c>
      <c r="J62" s="100">
        <v>0.28000000000000003</v>
      </c>
      <c r="K62" s="100">
        <v>6.26</v>
      </c>
      <c r="L62" s="100">
        <v>30.16</v>
      </c>
      <c r="M62" s="100">
        <v>25.83</v>
      </c>
      <c r="N62" s="100">
        <v>176.9</v>
      </c>
      <c r="O62" s="100">
        <v>0</v>
      </c>
      <c r="P62" s="100">
        <v>0.66</v>
      </c>
      <c r="Q62" s="100">
        <v>9.32</v>
      </c>
      <c r="R62" s="6"/>
      <c r="S62" s="6"/>
      <c r="T62" s="156"/>
      <c r="U62" s="6"/>
    </row>
    <row r="63" spans="1:21" customFormat="1">
      <c r="A63" s="163" t="s">
        <v>1837</v>
      </c>
      <c r="B63" s="100">
        <v>3.18</v>
      </c>
      <c r="C63" s="100">
        <v>21.98</v>
      </c>
      <c r="D63" s="100">
        <v>14.04</v>
      </c>
      <c r="E63" s="100">
        <v>6.35</v>
      </c>
      <c r="F63" s="100">
        <v>19.72</v>
      </c>
      <c r="G63" s="100">
        <v>32.19</v>
      </c>
      <c r="H63" s="100">
        <v>18.86</v>
      </c>
      <c r="I63" s="100">
        <v>12.23</v>
      </c>
      <c r="J63" s="100">
        <v>0.21</v>
      </c>
      <c r="K63" s="100">
        <v>278.81</v>
      </c>
      <c r="L63" s="100">
        <v>29.88</v>
      </c>
      <c r="M63" s="100">
        <v>27.51</v>
      </c>
      <c r="N63" s="100">
        <v>152.4</v>
      </c>
      <c r="O63" s="100">
        <v>0</v>
      </c>
      <c r="P63" s="100">
        <v>0.65</v>
      </c>
      <c r="Q63" s="100">
        <v>9.32</v>
      </c>
      <c r="R63" s="6"/>
      <c r="S63" s="6"/>
      <c r="T63" s="156"/>
      <c r="U63" s="6"/>
    </row>
    <row r="64" spans="1:21" customFormat="1">
      <c r="A64" s="163" t="s">
        <v>1838</v>
      </c>
      <c r="B64" s="100">
        <v>3.25</v>
      </c>
      <c r="C64" s="100">
        <v>22.48</v>
      </c>
      <c r="D64" s="100">
        <v>14.36</v>
      </c>
      <c r="E64" s="100">
        <v>9.25</v>
      </c>
      <c r="F64" s="100">
        <v>21.06</v>
      </c>
      <c r="G64" s="100">
        <v>32.19</v>
      </c>
      <c r="H64" s="100">
        <v>18.86</v>
      </c>
      <c r="I64" s="100">
        <v>11.63</v>
      </c>
      <c r="J64" s="100">
        <v>0.21</v>
      </c>
      <c r="K64" s="100">
        <v>347.79</v>
      </c>
      <c r="L64" s="100">
        <v>30</v>
      </c>
      <c r="M64" s="100">
        <v>27.48</v>
      </c>
      <c r="N64" s="100">
        <v>135.6</v>
      </c>
      <c r="O64" s="100">
        <v>0</v>
      </c>
      <c r="P64" s="100">
        <v>0.67</v>
      </c>
      <c r="Q64" s="100">
        <v>9.32</v>
      </c>
      <c r="R64" s="6"/>
      <c r="S64" s="6"/>
      <c r="T64" s="156"/>
      <c r="U64" s="6"/>
    </row>
    <row r="65" spans="1:21" customFormat="1">
      <c r="A65" s="163" t="s">
        <v>1839</v>
      </c>
      <c r="B65" s="100">
        <v>3.31</v>
      </c>
      <c r="C65" s="100">
        <v>24.15</v>
      </c>
      <c r="D65" s="100">
        <v>15.27</v>
      </c>
      <c r="E65" s="100">
        <v>11.54</v>
      </c>
      <c r="F65" s="100">
        <v>20.79</v>
      </c>
      <c r="G65" s="100">
        <v>34.21</v>
      </c>
      <c r="H65" s="100">
        <v>17.28</v>
      </c>
      <c r="I65" s="100">
        <v>11.3</v>
      </c>
      <c r="J65" s="100">
        <v>0.53</v>
      </c>
      <c r="K65" s="100">
        <v>54.86</v>
      </c>
      <c r="L65" s="100">
        <v>30.24</v>
      </c>
      <c r="M65" s="100">
        <v>27.11</v>
      </c>
      <c r="N65" s="100">
        <v>129.1</v>
      </c>
      <c r="O65" s="100">
        <v>0</v>
      </c>
      <c r="P65" s="100">
        <v>0.57999999999999996</v>
      </c>
      <c r="Q65" s="100">
        <v>9.32</v>
      </c>
      <c r="R65" s="6"/>
      <c r="S65" s="6"/>
      <c r="T65" s="156"/>
      <c r="U65" s="6"/>
    </row>
    <row r="66" spans="1:21" customFormat="1">
      <c r="A66" s="163" t="s">
        <v>1840</v>
      </c>
      <c r="B66" s="100">
        <v>3.88</v>
      </c>
      <c r="C66" s="100">
        <v>28.4</v>
      </c>
      <c r="D66" s="100">
        <v>17.95</v>
      </c>
      <c r="E66" s="100">
        <v>17.149999999999999</v>
      </c>
      <c r="F66" s="100">
        <v>26</v>
      </c>
      <c r="G66" s="100">
        <v>34.33</v>
      </c>
      <c r="H66" s="100">
        <v>17.28</v>
      </c>
      <c r="I66" s="100">
        <v>11.17</v>
      </c>
      <c r="J66" s="100">
        <v>0.51</v>
      </c>
      <c r="K66" s="100">
        <v>49.11</v>
      </c>
      <c r="L66" s="100">
        <v>30.35</v>
      </c>
      <c r="M66" s="100">
        <v>27.55</v>
      </c>
      <c r="N66" s="100">
        <v>132.6</v>
      </c>
      <c r="O66" s="100">
        <v>0</v>
      </c>
      <c r="P66" s="100">
        <v>0.67</v>
      </c>
      <c r="Q66" s="100">
        <v>9.32</v>
      </c>
      <c r="R66" s="6"/>
      <c r="S66" s="6"/>
      <c r="T66" s="156"/>
      <c r="U66" s="6"/>
    </row>
    <row r="67" spans="1:21" customFormat="1">
      <c r="A67" s="163" t="s">
        <v>1841</v>
      </c>
      <c r="B67" s="100">
        <v>3.39</v>
      </c>
      <c r="C67" s="100">
        <v>29.01</v>
      </c>
      <c r="D67" s="100">
        <v>17.88</v>
      </c>
      <c r="E67" s="100">
        <v>15.57</v>
      </c>
      <c r="F67" s="100">
        <v>30.24</v>
      </c>
      <c r="G67" s="100">
        <v>34.33</v>
      </c>
      <c r="H67" s="100">
        <v>17.28</v>
      </c>
      <c r="I67" s="100">
        <v>11.13</v>
      </c>
      <c r="J67" s="100">
        <v>0.15</v>
      </c>
      <c r="K67" s="100">
        <v>154.32</v>
      </c>
      <c r="L67" s="100">
        <v>30</v>
      </c>
      <c r="M67" s="100">
        <v>30.28</v>
      </c>
      <c r="N67" s="100">
        <v>117.5</v>
      </c>
      <c r="O67" s="100">
        <v>0</v>
      </c>
      <c r="P67" s="100">
        <v>0.68</v>
      </c>
      <c r="Q67" s="100">
        <v>9.32</v>
      </c>
      <c r="R67" s="6"/>
      <c r="S67" s="6"/>
      <c r="T67" s="156"/>
      <c r="U67" s="6"/>
    </row>
    <row r="68" spans="1:21" customFormat="1">
      <c r="A68" s="163" t="s">
        <v>1842</v>
      </c>
      <c r="B68" s="100">
        <v>3.16</v>
      </c>
      <c r="C68" s="100">
        <v>27.98</v>
      </c>
      <c r="D68" s="100">
        <v>17.149999999999999</v>
      </c>
      <c r="E68" s="100">
        <v>16.97</v>
      </c>
      <c r="F68" s="100">
        <v>27.73</v>
      </c>
      <c r="G68" s="100">
        <v>34.33</v>
      </c>
      <c r="H68" s="100">
        <v>17.28</v>
      </c>
      <c r="I68" s="100">
        <v>11.16</v>
      </c>
      <c r="J68" s="100">
        <v>0.33</v>
      </c>
      <c r="K68" s="100">
        <v>168.01</v>
      </c>
      <c r="L68" s="100">
        <v>29.63</v>
      </c>
      <c r="M68" s="100">
        <v>33.659999999999997</v>
      </c>
      <c r="N68" s="100">
        <v>104.4</v>
      </c>
      <c r="O68" s="100">
        <v>0</v>
      </c>
      <c r="P68" s="100">
        <v>0.69</v>
      </c>
      <c r="Q68" s="100">
        <v>9.32</v>
      </c>
      <c r="R68" s="6"/>
      <c r="S68" s="6"/>
      <c r="T68" s="156"/>
      <c r="U68" s="6"/>
    </row>
    <row r="69" spans="1:21" customFormat="1">
      <c r="A69" s="163" t="s">
        <v>1843</v>
      </c>
      <c r="B69" s="100">
        <v>3.17</v>
      </c>
      <c r="C69" s="100">
        <v>26.14</v>
      </c>
      <c r="D69" s="100">
        <v>16.2</v>
      </c>
      <c r="E69" s="100">
        <v>13.29</v>
      </c>
      <c r="F69" s="100">
        <v>25.95</v>
      </c>
      <c r="G69" s="100">
        <v>39.39</v>
      </c>
      <c r="H69" s="100">
        <v>17.62</v>
      </c>
      <c r="I69" s="100">
        <v>11.17</v>
      </c>
      <c r="J69" s="100">
        <v>0.2</v>
      </c>
      <c r="K69" s="100">
        <v>188.51</v>
      </c>
      <c r="L69" s="100">
        <v>29.34</v>
      </c>
      <c r="M69" s="100">
        <v>35.72</v>
      </c>
      <c r="N69" s="100">
        <v>95</v>
      </c>
      <c r="O69" s="100">
        <v>0</v>
      </c>
      <c r="P69" s="100">
        <v>0.71</v>
      </c>
      <c r="Q69" s="100">
        <v>9.32</v>
      </c>
      <c r="R69" s="6"/>
      <c r="S69" s="6"/>
      <c r="T69" s="156"/>
      <c r="U69" s="6"/>
    </row>
    <row r="70" spans="1:21" customFormat="1">
      <c r="A70" s="163" t="s">
        <v>1844</v>
      </c>
      <c r="B70" s="100">
        <v>3.19</v>
      </c>
      <c r="C70" s="100">
        <v>25.15</v>
      </c>
      <c r="D70" s="100">
        <v>15.69</v>
      </c>
      <c r="E70" s="100">
        <v>14.11</v>
      </c>
      <c r="F70" s="100">
        <v>27.58</v>
      </c>
      <c r="G70" s="100">
        <v>39.69</v>
      </c>
      <c r="H70" s="100">
        <v>17.62</v>
      </c>
      <c r="I70" s="100">
        <v>11.23</v>
      </c>
      <c r="J70" s="100">
        <v>0.16</v>
      </c>
      <c r="K70" s="100">
        <v>175.91</v>
      </c>
      <c r="L70" s="100">
        <v>29.2</v>
      </c>
      <c r="M70" s="100">
        <v>36.9</v>
      </c>
      <c r="N70" s="100">
        <v>84.5</v>
      </c>
      <c r="O70" s="100">
        <v>0</v>
      </c>
      <c r="P70" s="100">
        <v>0.73</v>
      </c>
      <c r="Q70" s="100">
        <v>9.32</v>
      </c>
      <c r="R70" s="6"/>
      <c r="S70" s="6"/>
      <c r="T70" s="156"/>
      <c r="U70" s="6"/>
    </row>
    <row r="71" spans="1:21" customFormat="1">
      <c r="A71" s="163" t="s">
        <v>1845</v>
      </c>
      <c r="B71" s="100">
        <v>3.17</v>
      </c>
      <c r="C71" s="100">
        <v>23.77</v>
      </c>
      <c r="D71" s="100">
        <v>14.96</v>
      </c>
      <c r="E71" s="100">
        <v>10.62</v>
      </c>
      <c r="F71" s="100">
        <v>27.31</v>
      </c>
      <c r="G71" s="100">
        <v>39.69</v>
      </c>
      <c r="H71" s="100">
        <v>17.62</v>
      </c>
      <c r="I71" s="100">
        <v>11.51</v>
      </c>
      <c r="J71" s="100">
        <v>0.19</v>
      </c>
      <c r="K71" s="100">
        <v>166.19</v>
      </c>
      <c r="L71" s="100">
        <v>28.91</v>
      </c>
      <c r="M71" s="100">
        <v>38.83</v>
      </c>
      <c r="N71" s="100">
        <v>74.5</v>
      </c>
      <c r="O71" s="100">
        <v>0</v>
      </c>
      <c r="P71" s="100">
        <v>0.74</v>
      </c>
      <c r="Q71" s="100">
        <v>9.32</v>
      </c>
      <c r="R71" s="6"/>
      <c r="S71" s="6"/>
      <c r="T71" s="156"/>
      <c r="U71" s="6"/>
    </row>
    <row r="72" spans="1:21" customFormat="1">
      <c r="A72" s="163" t="s">
        <v>1846</v>
      </c>
      <c r="B72" s="100">
        <v>3.16</v>
      </c>
      <c r="C72" s="100">
        <v>22.56</v>
      </c>
      <c r="D72" s="100">
        <v>14.32</v>
      </c>
      <c r="E72" s="100">
        <v>7.15</v>
      </c>
      <c r="F72" s="100">
        <v>18.75</v>
      </c>
      <c r="G72" s="100">
        <v>39.69</v>
      </c>
      <c r="H72" s="100">
        <v>17.62</v>
      </c>
      <c r="I72" s="100">
        <v>11.89</v>
      </c>
      <c r="J72" s="100">
        <v>0.23</v>
      </c>
      <c r="K72" s="100">
        <v>166.33</v>
      </c>
      <c r="L72" s="100">
        <v>28.76</v>
      </c>
      <c r="M72" s="100">
        <v>39.159999999999997</v>
      </c>
      <c r="N72" s="100">
        <v>65.5</v>
      </c>
      <c r="O72" s="100">
        <v>0</v>
      </c>
      <c r="P72" s="100">
        <v>0.75</v>
      </c>
      <c r="Q72" s="100">
        <v>9.32</v>
      </c>
      <c r="R72" s="6"/>
      <c r="S72" s="6"/>
      <c r="T72" s="156"/>
      <c r="U72" s="6"/>
    </row>
    <row r="73" spans="1:21" customFormat="1">
      <c r="A73" s="163" t="s">
        <v>1847</v>
      </c>
      <c r="B73" s="100">
        <v>3.19</v>
      </c>
      <c r="C73" s="100">
        <v>21.52</v>
      </c>
      <c r="D73" s="100">
        <v>13.8</v>
      </c>
      <c r="E73" s="100">
        <v>6.25</v>
      </c>
      <c r="F73" s="100">
        <v>15.13</v>
      </c>
      <c r="G73" s="100">
        <v>47.62</v>
      </c>
      <c r="H73" s="100">
        <v>20.97</v>
      </c>
      <c r="I73" s="100">
        <v>12.22</v>
      </c>
      <c r="J73" s="100">
        <v>0.24</v>
      </c>
      <c r="K73" s="100">
        <v>170.66</v>
      </c>
      <c r="L73" s="100">
        <v>28.38</v>
      </c>
      <c r="M73" s="100">
        <v>39.89</v>
      </c>
      <c r="N73" s="100">
        <v>57.7</v>
      </c>
      <c r="O73" s="100">
        <v>0</v>
      </c>
      <c r="P73" s="100">
        <v>0.76</v>
      </c>
      <c r="Q73" s="100">
        <v>9.32</v>
      </c>
      <c r="R73" s="6"/>
      <c r="S73" s="6"/>
      <c r="T73" s="156"/>
      <c r="U73" s="6"/>
    </row>
    <row r="74" spans="1:21" customFormat="1">
      <c r="A74" s="163" t="s">
        <v>1848</v>
      </c>
      <c r="B74" s="100">
        <v>3.24</v>
      </c>
      <c r="C74" s="100">
        <v>20.7</v>
      </c>
      <c r="D74" s="100">
        <v>13.41</v>
      </c>
      <c r="E74" s="100">
        <v>5.26</v>
      </c>
      <c r="F74" s="100">
        <v>11.56</v>
      </c>
      <c r="G74" s="100">
        <v>48.08</v>
      </c>
      <c r="H74" s="100">
        <v>20.97</v>
      </c>
      <c r="I74" s="100">
        <v>12.53</v>
      </c>
      <c r="J74" s="100">
        <v>0.2</v>
      </c>
      <c r="K74" s="100">
        <v>171.48</v>
      </c>
      <c r="L74" s="100">
        <v>27.91</v>
      </c>
      <c r="M74" s="100">
        <v>41.3</v>
      </c>
      <c r="N74" s="100">
        <v>50.1</v>
      </c>
      <c r="O74" s="100">
        <v>0</v>
      </c>
      <c r="P74" s="100">
        <v>0.77</v>
      </c>
      <c r="Q74" s="100">
        <v>9.32</v>
      </c>
      <c r="R74" s="6"/>
      <c r="S74" s="6"/>
      <c r="T74" s="156"/>
      <c r="U74" s="6"/>
    </row>
    <row r="75" spans="1:21" customFormat="1">
      <c r="A75" s="163" t="s">
        <v>1849</v>
      </c>
      <c r="B75" s="100">
        <v>3.24</v>
      </c>
      <c r="C75" s="100">
        <v>20.49</v>
      </c>
      <c r="D75" s="100">
        <v>13.31</v>
      </c>
      <c r="E75" s="100">
        <v>5.26</v>
      </c>
      <c r="F75" s="100">
        <v>11.63</v>
      </c>
      <c r="G75" s="100">
        <v>48.08</v>
      </c>
      <c r="H75" s="100">
        <v>20.97</v>
      </c>
      <c r="I75" s="100">
        <v>12.87</v>
      </c>
      <c r="J75" s="100">
        <v>0.22</v>
      </c>
      <c r="K75" s="100">
        <v>151.59</v>
      </c>
      <c r="L75" s="100">
        <v>27.33</v>
      </c>
      <c r="M75" s="100">
        <v>44.93</v>
      </c>
      <c r="N75" s="100">
        <v>40.5</v>
      </c>
      <c r="O75" s="100">
        <v>0</v>
      </c>
      <c r="P75" s="100">
        <v>0.77</v>
      </c>
      <c r="Q75" s="100">
        <v>9.32</v>
      </c>
      <c r="R75" s="6"/>
      <c r="S75" s="6"/>
      <c r="T75" s="156"/>
      <c r="U75" s="6"/>
    </row>
    <row r="76" spans="1:21" customFormat="1">
      <c r="A76" s="163" t="s">
        <v>1850</v>
      </c>
      <c r="B76" s="100">
        <v>3.27</v>
      </c>
      <c r="C76" s="100">
        <v>21.03</v>
      </c>
      <c r="D76" s="100">
        <v>13.61</v>
      </c>
      <c r="E76" s="100">
        <v>4.9400000000000004</v>
      </c>
      <c r="F76" s="100">
        <v>8.69</v>
      </c>
      <c r="G76" s="100">
        <v>48.08</v>
      </c>
      <c r="H76" s="100">
        <v>20.97</v>
      </c>
      <c r="I76" s="100">
        <v>13.23</v>
      </c>
      <c r="J76" s="100">
        <v>0.3</v>
      </c>
      <c r="K76" s="100">
        <v>161.49</v>
      </c>
      <c r="L76" s="100">
        <v>26.79</v>
      </c>
      <c r="M76" s="100">
        <v>48.56</v>
      </c>
      <c r="N76" s="100">
        <v>32.4</v>
      </c>
      <c r="O76" s="100">
        <v>0</v>
      </c>
      <c r="P76" s="100">
        <v>0.78</v>
      </c>
      <c r="Q76" s="100">
        <v>9.32</v>
      </c>
      <c r="R76" s="6"/>
      <c r="S76" s="6"/>
      <c r="T76" s="156"/>
      <c r="U76" s="6"/>
    </row>
    <row r="77" spans="1:21" customFormat="1">
      <c r="A77" s="163" t="s">
        <v>1851</v>
      </c>
      <c r="B77" s="100">
        <v>3.42</v>
      </c>
      <c r="C77" s="100">
        <v>22.23</v>
      </c>
      <c r="D77" s="100">
        <v>14.36</v>
      </c>
      <c r="E77" s="100">
        <v>4.97</v>
      </c>
      <c r="F77" s="100">
        <v>5.74</v>
      </c>
      <c r="G77" s="100">
        <v>53.1</v>
      </c>
      <c r="H77" s="100">
        <v>21.08</v>
      </c>
      <c r="I77" s="100">
        <v>13.58</v>
      </c>
      <c r="J77" s="100">
        <v>0.34</v>
      </c>
      <c r="K77" s="100">
        <v>165.57</v>
      </c>
      <c r="L77" s="100">
        <v>25.95</v>
      </c>
      <c r="M77" s="100">
        <v>50.43</v>
      </c>
      <c r="N77" s="100">
        <v>25.8</v>
      </c>
      <c r="O77" s="100">
        <v>0</v>
      </c>
      <c r="P77" s="100">
        <v>0.81</v>
      </c>
      <c r="Q77" s="100">
        <v>9.32</v>
      </c>
      <c r="R77" s="6"/>
      <c r="S77" s="6"/>
      <c r="T77" s="156"/>
      <c r="U77" s="6"/>
    </row>
    <row r="78" spans="1:21" customFormat="1">
      <c r="A78" s="163" t="s">
        <v>1852</v>
      </c>
      <c r="B78" s="100">
        <v>3.64</v>
      </c>
      <c r="C78" s="100">
        <v>23.68</v>
      </c>
      <c r="D78" s="100">
        <v>15.29</v>
      </c>
      <c r="E78" s="100">
        <v>4.82</v>
      </c>
      <c r="F78" s="100">
        <v>4.7</v>
      </c>
      <c r="G78" s="100">
        <v>53.4</v>
      </c>
      <c r="H78" s="100">
        <v>21.08</v>
      </c>
      <c r="I78" s="100">
        <v>13.86</v>
      </c>
      <c r="J78" s="100">
        <v>0.25</v>
      </c>
      <c r="K78" s="100">
        <v>164.3</v>
      </c>
      <c r="L78" s="100">
        <v>25.04</v>
      </c>
      <c r="M78" s="100">
        <v>51.86</v>
      </c>
      <c r="N78" s="100">
        <v>21.3</v>
      </c>
      <c r="O78" s="100">
        <v>0</v>
      </c>
      <c r="P78" s="100">
        <v>0.82</v>
      </c>
      <c r="Q78" s="100">
        <v>9.32</v>
      </c>
      <c r="R78" s="6"/>
      <c r="S78" s="6"/>
      <c r="T78" s="156"/>
      <c r="U78" s="6"/>
    </row>
    <row r="79" spans="1:21" customFormat="1">
      <c r="A79" s="163" t="s">
        <v>1853</v>
      </c>
      <c r="B79" s="100">
        <v>3.96</v>
      </c>
      <c r="C79" s="100">
        <v>26.38</v>
      </c>
      <c r="D79" s="100">
        <v>16.96</v>
      </c>
      <c r="E79" s="100">
        <v>4.68</v>
      </c>
      <c r="F79" s="100">
        <v>3.96</v>
      </c>
      <c r="G79" s="100">
        <v>53.4</v>
      </c>
      <c r="H79" s="100">
        <v>21.08</v>
      </c>
      <c r="I79" s="100">
        <v>14.3</v>
      </c>
      <c r="J79" s="100">
        <v>0.22</v>
      </c>
      <c r="K79" s="100">
        <v>168.55</v>
      </c>
      <c r="L79" s="100">
        <v>24.48</v>
      </c>
      <c r="M79" s="100">
        <v>51.36</v>
      </c>
      <c r="N79" s="100">
        <v>19.399999999999999</v>
      </c>
      <c r="O79" s="100">
        <v>0</v>
      </c>
      <c r="P79" s="100">
        <v>0.85</v>
      </c>
      <c r="Q79" s="100">
        <v>9.32</v>
      </c>
      <c r="R79" s="6"/>
      <c r="S79" s="6"/>
      <c r="T79" s="156"/>
      <c r="U79" s="6"/>
    </row>
    <row r="80" spans="1:21" customFormat="1">
      <c r="A80" s="163" t="s">
        <v>1854</v>
      </c>
      <c r="B80" s="100">
        <v>4.45</v>
      </c>
      <c r="C80" s="100">
        <v>27.71</v>
      </c>
      <c r="D80" s="100">
        <v>18.05</v>
      </c>
      <c r="E80" s="100">
        <v>4.8099999999999996</v>
      </c>
      <c r="F80" s="100">
        <v>2.5099999999999998</v>
      </c>
      <c r="G80" s="100">
        <v>53.4</v>
      </c>
      <c r="H80" s="100">
        <v>21.08</v>
      </c>
      <c r="I80" s="100">
        <v>15.24</v>
      </c>
      <c r="J80" s="100">
        <v>0.27</v>
      </c>
      <c r="K80" s="100">
        <v>169.3</v>
      </c>
      <c r="L80" s="100">
        <v>23.8</v>
      </c>
      <c r="M80" s="100">
        <v>52.29</v>
      </c>
      <c r="N80" s="100">
        <v>19.2</v>
      </c>
      <c r="O80" s="100">
        <v>0</v>
      </c>
      <c r="P80" s="100">
        <v>0.88</v>
      </c>
      <c r="Q80" s="100">
        <v>9.32</v>
      </c>
      <c r="R80" s="6"/>
      <c r="S80" s="6"/>
      <c r="T80" s="156"/>
      <c r="U80" s="6"/>
    </row>
    <row r="81" spans="1:21" customFormat="1">
      <c r="A81" s="163" t="s">
        <v>1855</v>
      </c>
      <c r="B81" s="100">
        <v>4.8499999999999996</v>
      </c>
      <c r="C81" s="100">
        <v>27.2</v>
      </c>
      <c r="D81" s="100">
        <v>18.100000000000001</v>
      </c>
      <c r="E81" s="100">
        <v>3.18</v>
      </c>
      <c r="F81" s="100">
        <v>1.84</v>
      </c>
      <c r="G81" s="100">
        <v>55.53</v>
      </c>
      <c r="H81" s="100">
        <v>20.89</v>
      </c>
      <c r="I81" s="100">
        <v>16.170000000000002</v>
      </c>
      <c r="J81" s="100">
        <v>0.2</v>
      </c>
      <c r="K81" s="100">
        <v>167.56</v>
      </c>
      <c r="L81" s="100">
        <v>22.93</v>
      </c>
      <c r="M81" s="100">
        <v>67.239999999999995</v>
      </c>
      <c r="N81" s="100">
        <v>19.2</v>
      </c>
      <c r="O81" s="100">
        <v>0</v>
      </c>
      <c r="P81" s="100">
        <v>0.89</v>
      </c>
      <c r="Q81" s="100">
        <v>9.32</v>
      </c>
      <c r="R81" s="6"/>
      <c r="S81" s="6"/>
      <c r="T81" s="156"/>
      <c r="U81" s="6"/>
    </row>
    <row r="82" spans="1:21" customFormat="1">
      <c r="A82" s="163" t="s">
        <v>1856</v>
      </c>
      <c r="B82" s="100">
        <v>4.92</v>
      </c>
      <c r="C82" s="100">
        <v>26.08</v>
      </c>
      <c r="D82" s="100">
        <v>17.57</v>
      </c>
      <c r="E82" s="100">
        <v>3.25</v>
      </c>
      <c r="F82" s="100">
        <v>1.64</v>
      </c>
      <c r="G82" s="100">
        <v>55.65</v>
      </c>
      <c r="H82" s="100">
        <v>20.89</v>
      </c>
      <c r="I82" s="100">
        <v>16.53</v>
      </c>
      <c r="J82" s="100">
        <v>0.26</v>
      </c>
      <c r="K82" s="100">
        <v>161.47999999999999</v>
      </c>
      <c r="L82" s="100">
        <v>22.39</v>
      </c>
      <c r="M82" s="100">
        <v>66.22</v>
      </c>
      <c r="N82" s="100">
        <v>19</v>
      </c>
      <c r="O82" s="100">
        <v>0</v>
      </c>
      <c r="P82" s="100">
        <v>0.88</v>
      </c>
      <c r="Q82" s="100">
        <v>9.32</v>
      </c>
      <c r="R82" s="6"/>
      <c r="S82" s="6"/>
      <c r="T82" s="156"/>
      <c r="U82" s="6"/>
    </row>
    <row r="83" spans="1:21" customFormat="1">
      <c r="A83" s="163" t="s">
        <v>1857</v>
      </c>
      <c r="B83" s="100">
        <v>4.97</v>
      </c>
      <c r="C83" s="100">
        <v>25.15</v>
      </c>
      <c r="D83" s="100">
        <v>17.12</v>
      </c>
      <c r="E83" s="100">
        <v>3.63</v>
      </c>
      <c r="F83" s="100">
        <v>1.58</v>
      </c>
      <c r="G83" s="100">
        <v>55.65</v>
      </c>
      <c r="H83" s="100">
        <v>20.89</v>
      </c>
      <c r="I83" s="100">
        <v>16.649999999999999</v>
      </c>
      <c r="J83" s="100">
        <v>0.24</v>
      </c>
      <c r="K83" s="100">
        <v>179.05</v>
      </c>
      <c r="L83" s="100">
        <v>22.07</v>
      </c>
      <c r="M83" s="100">
        <v>67.17</v>
      </c>
      <c r="N83" s="100">
        <v>18.899999999999999</v>
      </c>
      <c r="O83" s="100">
        <v>0</v>
      </c>
      <c r="P83" s="100">
        <v>0.89</v>
      </c>
      <c r="Q83" s="100">
        <v>9.32</v>
      </c>
      <c r="R83" s="6"/>
      <c r="S83" s="6"/>
      <c r="T83" s="156"/>
      <c r="U83" s="6"/>
    </row>
    <row r="84" spans="1:21" customFormat="1">
      <c r="A84" s="163" t="s">
        <v>1858</v>
      </c>
      <c r="B84" s="100">
        <v>5.0199999999999996</v>
      </c>
      <c r="C84" s="100">
        <v>24.04</v>
      </c>
      <c r="D84" s="100">
        <v>16.59</v>
      </c>
      <c r="E84" s="100">
        <v>3.69</v>
      </c>
      <c r="F84" s="100">
        <v>1.8</v>
      </c>
      <c r="G84" s="100">
        <v>55.65</v>
      </c>
      <c r="H84" s="100">
        <v>20.89</v>
      </c>
      <c r="I84" s="100">
        <v>16.78</v>
      </c>
      <c r="J84" s="100">
        <v>0.22</v>
      </c>
      <c r="K84" s="100">
        <v>152.31</v>
      </c>
      <c r="L84" s="100">
        <v>21.5</v>
      </c>
      <c r="M84" s="100">
        <v>71.650000000000006</v>
      </c>
      <c r="N84" s="100">
        <v>19.100000000000001</v>
      </c>
      <c r="O84" s="100">
        <v>0</v>
      </c>
      <c r="P84" s="100">
        <v>0.9</v>
      </c>
      <c r="Q84" s="100">
        <v>9.32</v>
      </c>
      <c r="R84" s="6"/>
      <c r="S84" s="6"/>
      <c r="T84" s="156"/>
      <c r="U84" s="6"/>
    </row>
    <row r="85" spans="1:21" customFormat="1">
      <c r="A85" s="163" t="s">
        <v>1859</v>
      </c>
      <c r="B85" s="100">
        <v>5.07</v>
      </c>
      <c r="C85" s="100">
        <v>23.18</v>
      </c>
      <c r="D85" s="100">
        <v>16.170000000000002</v>
      </c>
      <c r="E85" s="100">
        <v>3.71</v>
      </c>
      <c r="F85" s="100">
        <v>1.61</v>
      </c>
      <c r="G85" s="100">
        <v>55.19</v>
      </c>
      <c r="H85" s="100">
        <v>20.81</v>
      </c>
      <c r="I85" s="100">
        <v>16.940000000000001</v>
      </c>
      <c r="J85" s="100">
        <v>0.27</v>
      </c>
      <c r="K85" s="100">
        <v>149.13999999999999</v>
      </c>
      <c r="L85" s="100">
        <v>21.3</v>
      </c>
      <c r="M85" s="100">
        <v>71.25</v>
      </c>
      <c r="N85" s="100">
        <v>18.899999999999999</v>
      </c>
      <c r="O85" s="100">
        <v>0</v>
      </c>
      <c r="P85" s="100">
        <v>0.92</v>
      </c>
      <c r="Q85" s="100">
        <v>9.32</v>
      </c>
      <c r="R85" s="6"/>
      <c r="S85" s="6"/>
      <c r="T85" s="156"/>
      <c r="U85" s="6"/>
    </row>
    <row r="86" spans="1:21" customFormat="1">
      <c r="A86" s="163" t="s">
        <v>1860</v>
      </c>
      <c r="B86" s="100">
        <v>5.08</v>
      </c>
      <c r="C86" s="100">
        <v>22.39</v>
      </c>
      <c r="D86" s="100">
        <v>15.77</v>
      </c>
      <c r="E86" s="100">
        <v>4</v>
      </c>
      <c r="F86" s="100">
        <v>1.65</v>
      </c>
      <c r="G86" s="100">
        <v>55.16</v>
      </c>
      <c r="H86" s="100">
        <v>20.81</v>
      </c>
      <c r="I86" s="100">
        <v>17.09</v>
      </c>
      <c r="J86" s="100">
        <v>0.15</v>
      </c>
      <c r="K86" s="100">
        <v>183.02</v>
      </c>
      <c r="L86" s="100">
        <v>21.12</v>
      </c>
      <c r="M86" s="100">
        <v>72.14</v>
      </c>
      <c r="N86" s="100">
        <v>18.7</v>
      </c>
      <c r="O86" s="100">
        <v>0</v>
      </c>
      <c r="P86" s="100">
        <v>0.92</v>
      </c>
      <c r="Q86" s="100">
        <v>9.32</v>
      </c>
      <c r="R86" s="6"/>
      <c r="S86" s="6"/>
      <c r="T86" s="156"/>
      <c r="U86" s="6"/>
    </row>
    <row r="87" spans="1:21" customFormat="1">
      <c r="A87" s="163" t="s">
        <v>1861</v>
      </c>
      <c r="B87" s="100">
        <v>5.14</v>
      </c>
      <c r="C87" s="100">
        <v>21.68</v>
      </c>
      <c r="D87" s="100">
        <v>15.44</v>
      </c>
      <c r="E87" s="100">
        <v>4.03</v>
      </c>
      <c r="F87" s="100">
        <v>1.63</v>
      </c>
      <c r="G87" s="100">
        <v>55.16</v>
      </c>
      <c r="H87" s="100">
        <v>20.81</v>
      </c>
      <c r="I87" s="100">
        <v>17.37</v>
      </c>
      <c r="J87" s="100">
        <v>0.16</v>
      </c>
      <c r="K87" s="100">
        <v>175.22</v>
      </c>
      <c r="L87" s="100">
        <v>20.92</v>
      </c>
      <c r="M87" s="100">
        <v>77.650000000000006</v>
      </c>
      <c r="N87" s="100">
        <v>18.7</v>
      </c>
      <c r="O87" s="100">
        <v>0</v>
      </c>
      <c r="P87" s="100">
        <v>0.94</v>
      </c>
      <c r="Q87" s="100">
        <v>9.32</v>
      </c>
      <c r="R87" s="6"/>
      <c r="S87" s="6"/>
      <c r="T87" s="156"/>
      <c r="U87" s="6"/>
    </row>
    <row r="88" spans="1:21" customFormat="1">
      <c r="A88" s="163" t="s">
        <v>1862</v>
      </c>
      <c r="B88" s="100">
        <v>5.31</v>
      </c>
      <c r="C88" s="100">
        <v>21.24</v>
      </c>
      <c r="D88" s="100">
        <v>15.35</v>
      </c>
      <c r="E88" s="100">
        <v>3.95</v>
      </c>
      <c r="F88" s="100">
        <v>1.34</v>
      </c>
      <c r="G88" s="100">
        <v>55.16</v>
      </c>
      <c r="H88" s="100">
        <v>20.81</v>
      </c>
      <c r="I88" s="100">
        <v>17.75</v>
      </c>
      <c r="J88" s="100">
        <v>0.2</v>
      </c>
      <c r="K88" s="100">
        <v>209.43</v>
      </c>
      <c r="L88" s="100">
        <v>20.62</v>
      </c>
      <c r="M88" s="100">
        <v>78.66</v>
      </c>
      <c r="N88" s="100">
        <v>18.7</v>
      </c>
      <c r="O88" s="100">
        <v>0</v>
      </c>
      <c r="P88" s="100">
        <v>0.94</v>
      </c>
      <c r="Q88" s="100">
        <v>9.32</v>
      </c>
      <c r="R88" s="6"/>
      <c r="S88" s="6"/>
      <c r="T88" s="156"/>
      <c r="U88" s="6"/>
    </row>
    <row r="89" spans="1:21" customFormat="1">
      <c r="A89" s="163" t="s">
        <v>1863</v>
      </c>
      <c r="B89" s="100">
        <v>5.75</v>
      </c>
      <c r="C89" s="100">
        <v>20.96</v>
      </c>
      <c r="D89" s="100">
        <v>15.56</v>
      </c>
      <c r="E89" s="100">
        <v>4.26</v>
      </c>
      <c r="F89" s="100">
        <v>1.59</v>
      </c>
      <c r="G89" s="100">
        <v>60.74</v>
      </c>
      <c r="H89" s="100">
        <v>21.42</v>
      </c>
      <c r="I89" s="100">
        <v>18.11</v>
      </c>
      <c r="J89" s="100">
        <v>0.24</v>
      </c>
      <c r="K89" s="100">
        <v>164.06</v>
      </c>
      <c r="L89" s="100">
        <v>20.5</v>
      </c>
      <c r="M89" s="100">
        <v>77.349999999999994</v>
      </c>
      <c r="N89" s="100">
        <v>18.8</v>
      </c>
      <c r="O89" s="100">
        <v>0</v>
      </c>
      <c r="P89" s="100">
        <v>0.94</v>
      </c>
      <c r="Q89" s="100">
        <v>9.32</v>
      </c>
      <c r="R89" s="6"/>
      <c r="S89" s="6"/>
      <c r="T89" s="156"/>
      <c r="U89" s="6"/>
    </row>
    <row r="90" spans="1:21" customFormat="1">
      <c r="A90" s="163" t="s">
        <v>1864</v>
      </c>
      <c r="B90" s="100">
        <v>6.65</v>
      </c>
      <c r="C90" s="100">
        <v>21.07</v>
      </c>
      <c r="D90" s="100">
        <v>16.34</v>
      </c>
      <c r="E90" s="100">
        <v>3.9</v>
      </c>
      <c r="F90" s="100">
        <v>1.42</v>
      </c>
      <c r="G90" s="100">
        <v>61.06</v>
      </c>
      <c r="H90" s="100">
        <v>21.42</v>
      </c>
      <c r="I90" s="100">
        <v>18.45</v>
      </c>
      <c r="J90" s="100">
        <v>0.17</v>
      </c>
      <c r="K90" s="100">
        <v>189.17</v>
      </c>
      <c r="L90" s="100">
        <v>20.28</v>
      </c>
      <c r="M90" s="100">
        <v>78.33</v>
      </c>
      <c r="N90" s="100">
        <v>18.899999999999999</v>
      </c>
      <c r="O90" s="100">
        <v>0</v>
      </c>
      <c r="P90" s="100">
        <v>0.94</v>
      </c>
      <c r="Q90" s="100">
        <v>9.32</v>
      </c>
      <c r="R90" s="6"/>
      <c r="S90" s="6"/>
      <c r="T90" s="156"/>
      <c r="U90" s="6"/>
    </row>
    <row r="91" spans="1:21" customFormat="1">
      <c r="A91" s="163" t="s">
        <v>1865</v>
      </c>
      <c r="B91" s="100">
        <v>8.3699999999999992</v>
      </c>
      <c r="C91" s="100">
        <v>21.41</v>
      </c>
      <c r="D91" s="100">
        <v>17.899999999999999</v>
      </c>
      <c r="E91" s="100">
        <v>4.0599999999999996</v>
      </c>
      <c r="F91" s="100">
        <v>1.23</v>
      </c>
      <c r="G91" s="100">
        <v>61.06</v>
      </c>
      <c r="H91" s="100">
        <v>21.42</v>
      </c>
      <c r="I91" s="100">
        <v>18.71</v>
      </c>
      <c r="J91" s="100">
        <v>0.21</v>
      </c>
      <c r="K91" s="100">
        <v>179.6</v>
      </c>
      <c r="L91" s="100">
        <v>20.100000000000001</v>
      </c>
      <c r="M91" s="100">
        <v>78.02</v>
      </c>
      <c r="N91" s="100">
        <v>18.7</v>
      </c>
      <c r="O91" s="100">
        <v>0</v>
      </c>
      <c r="P91" s="100">
        <v>0.96</v>
      </c>
      <c r="Q91" s="100">
        <v>9.32</v>
      </c>
      <c r="R91" s="6"/>
      <c r="S91" s="6"/>
      <c r="T91" s="156"/>
      <c r="U91" s="6"/>
    </row>
    <row r="92" spans="1:21" customFormat="1">
      <c r="A92" s="163" t="s">
        <v>1866</v>
      </c>
      <c r="B92" s="100">
        <v>10.07</v>
      </c>
      <c r="C92" s="100">
        <v>21.65</v>
      </c>
      <c r="D92" s="100">
        <v>19.39</v>
      </c>
      <c r="E92" s="100">
        <v>4.1399999999999997</v>
      </c>
      <c r="F92" s="100">
        <v>1.21</v>
      </c>
      <c r="G92" s="100">
        <v>61.06</v>
      </c>
      <c r="H92" s="100">
        <v>21.42</v>
      </c>
      <c r="I92" s="100">
        <v>18.97</v>
      </c>
      <c r="J92" s="100">
        <v>0.21</v>
      </c>
      <c r="K92" s="100">
        <v>199.7</v>
      </c>
      <c r="L92" s="100">
        <v>19.989999999999998</v>
      </c>
      <c r="M92" s="100">
        <v>83.08</v>
      </c>
      <c r="N92" s="100">
        <v>18.899999999999999</v>
      </c>
      <c r="O92" s="100">
        <v>0</v>
      </c>
      <c r="P92" s="100">
        <v>0.98</v>
      </c>
      <c r="Q92" s="100">
        <v>9.32</v>
      </c>
      <c r="R92" s="6"/>
      <c r="S92" s="6"/>
      <c r="T92" s="156"/>
      <c r="U92" s="6"/>
    </row>
    <row r="93" spans="1:21" customFormat="1">
      <c r="A93" s="163" t="s">
        <v>1867</v>
      </c>
      <c r="B93" s="100">
        <v>11.05</v>
      </c>
      <c r="C93" s="100">
        <v>21.72</v>
      </c>
      <c r="D93" s="100">
        <v>20.21</v>
      </c>
      <c r="E93" s="100">
        <v>4.1500000000000004</v>
      </c>
      <c r="F93" s="100">
        <v>1.24</v>
      </c>
      <c r="G93" s="100">
        <v>110.75</v>
      </c>
      <c r="H93" s="100">
        <v>24.24</v>
      </c>
      <c r="I93" s="100">
        <v>19.22</v>
      </c>
      <c r="J93" s="100">
        <v>0.14000000000000001</v>
      </c>
      <c r="K93" s="100">
        <v>213.32</v>
      </c>
      <c r="L93" s="100">
        <v>19.41</v>
      </c>
      <c r="M93" s="100">
        <v>83.79</v>
      </c>
      <c r="N93" s="100">
        <v>19</v>
      </c>
      <c r="O93" s="100">
        <v>0</v>
      </c>
      <c r="P93" s="100">
        <v>0.98</v>
      </c>
      <c r="Q93" s="100">
        <v>9.32</v>
      </c>
      <c r="R93" s="6"/>
      <c r="S93" s="6"/>
      <c r="T93" s="156"/>
      <c r="U93" s="6"/>
    </row>
    <row r="94" spans="1:21" customFormat="1">
      <c r="A94" s="163" t="s">
        <v>1868</v>
      </c>
      <c r="B94" s="100">
        <v>11.68</v>
      </c>
      <c r="C94" s="100">
        <v>21.69</v>
      </c>
      <c r="D94" s="100">
        <v>20.7</v>
      </c>
      <c r="E94" s="100">
        <v>4.37</v>
      </c>
      <c r="F94" s="100">
        <v>1.18</v>
      </c>
      <c r="G94" s="100">
        <v>113.67</v>
      </c>
      <c r="H94" s="100">
        <v>24.24</v>
      </c>
      <c r="I94" s="100">
        <v>19.45</v>
      </c>
      <c r="J94" s="100">
        <v>0.22</v>
      </c>
      <c r="K94" s="100">
        <v>157.19</v>
      </c>
      <c r="L94" s="100">
        <v>19.36</v>
      </c>
      <c r="M94" s="100">
        <v>81.040000000000006</v>
      </c>
      <c r="N94" s="100">
        <v>18.899999999999999</v>
      </c>
      <c r="O94" s="100">
        <v>0</v>
      </c>
      <c r="P94" s="100">
        <v>1</v>
      </c>
      <c r="Q94" s="100">
        <v>9.32</v>
      </c>
      <c r="R94" s="6"/>
      <c r="S94" s="6"/>
      <c r="T94" s="156"/>
      <c r="U94" s="6"/>
    </row>
    <row r="95" spans="1:21" customFormat="1">
      <c r="A95" s="163" t="s">
        <v>1869</v>
      </c>
      <c r="B95" s="100">
        <v>12.08</v>
      </c>
      <c r="C95" s="100">
        <v>21.53</v>
      </c>
      <c r="D95" s="100">
        <v>20.93</v>
      </c>
      <c r="E95" s="100">
        <v>4.1399999999999997</v>
      </c>
      <c r="F95" s="100">
        <v>1.22</v>
      </c>
      <c r="G95" s="100">
        <v>113.67</v>
      </c>
      <c r="H95" s="100">
        <v>24.24</v>
      </c>
      <c r="I95" s="100">
        <v>19.649999999999999</v>
      </c>
      <c r="J95" s="100">
        <v>0.14000000000000001</v>
      </c>
      <c r="K95" s="100">
        <v>181.48</v>
      </c>
      <c r="L95" s="100">
        <v>19.21</v>
      </c>
      <c r="M95" s="100">
        <v>81.459999999999994</v>
      </c>
      <c r="N95" s="100">
        <v>18.7</v>
      </c>
      <c r="O95" s="100">
        <v>0</v>
      </c>
      <c r="P95" s="100">
        <v>0.99</v>
      </c>
      <c r="Q95" s="100">
        <v>9.32</v>
      </c>
      <c r="R95" s="6"/>
      <c r="S95" s="6"/>
      <c r="T95" s="156"/>
      <c r="U95" s="6"/>
    </row>
    <row r="96" spans="1:21" customFormat="1">
      <c r="A96" s="163" t="s">
        <v>1870</v>
      </c>
      <c r="B96" s="100">
        <v>12.7</v>
      </c>
      <c r="C96" s="100">
        <v>21.25</v>
      </c>
      <c r="D96" s="100">
        <v>21.29</v>
      </c>
      <c r="E96" s="100">
        <v>4.0199999999999996</v>
      </c>
      <c r="F96" s="100">
        <v>1.31</v>
      </c>
      <c r="G96" s="100">
        <v>113.67</v>
      </c>
      <c r="H96" s="100">
        <v>24.24</v>
      </c>
      <c r="I96" s="100">
        <v>19.760000000000002</v>
      </c>
      <c r="J96" s="100">
        <v>0.17</v>
      </c>
      <c r="K96" s="100">
        <v>221.14</v>
      </c>
      <c r="L96" s="100">
        <v>19.12</v>
      </c>
      <c r="M96" s="100">
        <v>81.17</v>
      </c>
      <c r="N96" s="100">
        <v>18.8</v>
      </c>
      <c r="O96" s="100">
        <v>0</v>
      </c>
      <c r="P96" s="100">
        <v>1.02</v>
      </c>
      <c r="Q96" s="100">
        <v>9.32</v>
      </c>
      <c r="R96" s="6"/>
      <c r="S96" s="6"/>
      <c r="T96" s="156"/>
      <c r="U96" s="6"/>
    </row>
    <row r="97" spans="1:28" customFormat="1">
      <c r="A97" s="163" t="s">
        <v>1871</v>
      </c>
      <c r="B97" s="100">
        <v>13.21</v>
      </c>
      <c r="C97" s="100">
        <v>20.63</v>
      </c>
      <c r="D97" s="100">
        <v>21.37</v>
      </c>
      <c r="E97" s="100">
        <v>4.1900000000000004</v>
      </c>
      <c r="F97" s="100">
        <v>1.41</v>
      </c>
      <c r="G97" s="100">
        <v>76.459999999999994</v>
      </c>
      <c r="H97" s="100">
        <v>25.1</v>
      </c>
      <c r="I97" s="100">
        <v>17.75</v>
      </c>
      <c r="J97" s="100">
        <v>0.21</v>
      </c>
      <c r="K97" s="100">
        <v>173.8</v>
      </c>
      <c r="L97" s="100">
        <v>18.88</v>
      </c>
      <c r="M97" s="100">
        <v>84.09</v>
      </c>
      <c r="N97" s="100">
        <v>19.2</v>
      </c>
      <c r="O97" s="100">
        <v>0</v>
      </c>
      <c r="P97" s="100">
        <v>1.02</v>
      </c>
      <c r="Q97" s="100">
        <v>9.32</v>
      </c>
      <c r="R97" s="6"/>
      <c r="S97" s="6"/>
      <c r="T97" s="156"/>
      <c r="U97" s="6"/>
    </row>
    <row r="98" spans="1:28" customFormat="1">
      <c r="A98" s="163" t="s">
        <v>1872</v>
      </c>
      <c r="B98" s="100">
        <v>13.49</v>
      </c>
      <c r="C98" s="100">
        <v>20.309999999999999</v>
      </c>
      <c r="D98" s="100">
        <v>21.43</v>
      </c>
      <c r="E98" s="100">
        <v>4.2699999999999996</v>
      </c>
      <c r="F98" s="100">
        <v>1.28</v>
      </c>
      <c r="G98" s="100">
        <v>74.27</v>
      </c>
      <c r="H98" s="100">
        <v>25.1</v>
      </c>
      <c r="I98" s="100">
        <v>15.48</v>
      </c>
      <c r="J98" s="100">
        <v>0.09</v>
      </c>
      <c r="K98" s="100">
        <v>184.7</v>
      </c>
      <c r="L98" s="100">
        <v>18.53</v>
      </c>
      <c r="M98" s="100">
        <v>85.56</v>
      </c>
      <c r="N98" s="100">
        <v>19.899999999999999</v>
      </c>
      <c r="O98" s="100">
        <v>0</v>
      </c>
      <c r="P98" s="100">
        <v>1.02</v>
      </c>
      <c r="Q98" s="100">
        <v>9.32</v>
      </c>
      <c r="R98" s="6"/>
      <c r="S98" s="6"/>
      <c r="T98" s="156"/>
      <c r="U98" s="6"/>
    </row>
    <row r="99" spans="1:28" customFormat="1">
      <c r="A99" s="163" t="s">
        <v>1873</v>
      </c>
      <c r="B99" s="100">
        <v>13.76</v>
      </c>
      <c r="C99" s="100">
        <v>19.940000000000001</v>
      </c>
      <c r="D99" s="100">
        <v>21.45</v>
      </c>
      <c r="E99" s="100">
        <v>4.57</v>
      </c>
      <c r="F99" s="100">
        <v>1.31</v>
      </c>
      <c r="G99" s="100">
        <v>74.27</v>
      </c>
      <c r="H99" s="100">
        <v>25.1</v>
      </c>
      <c r="I99" s="100">
        <v>15.38</v>
      </c>
      <c r="J99" s="100">
        <v>0.14000000000000001</v>
      </c>
      <c r="K99" s="100">
        <v>143.66</v>
      </c>
      <c r="L99" s="100">
        <v>18.59</v>
      </c>
      <c r="M99" s="100">
        <v>83.22</v>
      </c>
      <c r="N99" s="100">
        <v>19.5</v>
      </c>
      <c r="O99" s="100">
        <v>0</v>
      </c>
      <c r="P99" s="100">
        <v>1.02</v>
      </c>
      <c r="Q99" s="100">
        <v>9.32</v>
      </c>
      <c r="R99" s="6"/>
      <c r="S99" s="6"/>
      <c r="T99" s="156"/>
      <c r="U99" s="6"/>
    </row>
    <row r="100" spans="1:28" customFormat="1">
      <c r="A100" s="163" t="s">
        <v>1874</v>
      </c>
      <c r="B100" s="100">
        <v>14.37</v>
      </c>
      <c r="C100" s="100">
        <v>19.77</v>
      </c>
      <c r="D100" s="100">
        <v>21.85</v>
      </c>
      <c r="E100" s="100">
        <v>4.1900000000000004</v>
      </c>
      <c r="F100" s="100">
        <v>1.25</v>
      </c>
      <c r="G100" s="100">
        <v>74.27</v>
      </c>
      <c r="H100" s="100">
        <v>25.1</v>
      </c>
      <c r="I100" s="100">
        <v>15.32</v>
      </c>
      <c r="J100" s="100">
        <v>0.14000000000000001</v>
      </c>
      <c r="K100" s="100">
        <v>201.74</v>
      </c>
      <c r="L100" s="100">
        <v>18.579999999999998</v>
      </c>
      <c r="M100" s="100">
        <v>81.88</v>
      </c>
      <c r="N100" s="100">
        <v>19.600000000000001</v>
      </c>
      <c r="O100" s="100">
        <v>0</v>
      </c>
      <c r="P100" s="100">
        <v>1.03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1875</v>
      </c>
      <c r="B101" s="100">
        <v>15.81</v>
      </c>
      <c r="C101" s="100">
        <v>19.86</v>
      </c>
      <c r="D101" s="100">
        <v>23.05</v>
      </c>
      <c r="E101" s="100">
        <v>3.99</v>
      </c>
      <c r="F101" s="100">
        <v>1.26</v>
      </c>
      <c r="G101" s="100">
        <v>64.3</v>
      </c>
      <c r="H101" s="100">
        <v>24.58</v>
      </c>
      <c r="I101" s="100">
        <v>15.33</v>
      </c>
      <c r="J101" s="100">
        <v>0.16</v>
      </c>
      <c r="K101" s="100">
        <v>194.43</v>
      </c>
      <c r="L101" s="100">
        <v>18.5</v>
      </c>
      <c r="M101" s="100">
        <v>82.68</v>
      </c>
      <c r="N101" s="100">
        <v>19.8</v>
      </c>
      <c r="O101" s="100">
        <v>0</v>
      </c>
      <c r="P101" s="100">
        <v>1.03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1876</v>
      </c>
      <c r="B102" s="100">
        <v>17.66</v>
      </c>
      <c r="C102" s="100">
        <v>20.010000000000002</v>
      </c>
      <c r="D102" s="100">
        <v>24.61</v>
      </c>
      <c r="E102" s="100">
        <v>3.99</v>
      </c>
      <c r="F102" s="100">
        <v>1.19</v>
      </c>
      <c r="G102" s="100">
        <v>63.72</v>
      </c>
      <c r="H102" s="100">
        <v>24.58</v>
      </c>
      <c r="I102" s="100">
        <v>15.31</v>
      </c>
      <c r="J102" s="100">
        <v>0.14000000000000001</v>
      </c>
      <c r="K102" s="100">
        <v>219.98</v>
      </c>
      <c r="L102" s="100">
        <v>18.34</v>
      </c>
      <c r="M102" s="100">
        <v>84.47</v>
      </c>
      <c r="N102" s="100">
        <v>19.5</v>
      </c>
      <c r="O102" s="100">
        <v>0</v>
      </c>
      <c r="P102" s="100">
        <v>1.04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1877</v>
      </c>
      <c r="B103" s="100">
        <v>20.22</v>
      </c>
      <c r="C103" s="100">
        <v>20.36</v>
      </c>
      <c r="D103" s="100">
        <v>26.85</v>
      </c>
      <c r="E103" s="100">
        <v>4.43</v>
      </c>
      <c r="F103" s="100">
        <v>1.28</v>
      </c>
      <c r="G103" s="100">
        <v>63.72</v>
      </c>
      <c r="H103" s="100">
        <v>24.58</v>
      </c>
      <c r="I103" s="100">
        <v>15.26</v>
      </c>
      <c r="J103" s="100">
        <v>0.12</v>
      </c>
      <c r="K103" s="100">
        <v>199.91</v>
      </c>
      <c r="L103" s="100">
        <v>18.16</v>
      </c>
      <c r="M103" s="100">
        <v>85.76</v>
      </c>
      <c r="N103" s="100">
        <v>19.7</v>
      </c>
      <c r="O103" s="100">
        <v>0</v>
      </c>
      <c r="P103" s="100">
        <v>1.05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1878</v>
      </c>
      <c r="B104" s="100">
        <v>23.34</v>
      </c>
      <c r="C104" s="100">
        <v>20.83</v>
      </c>
      <c r="D104" s="100">
        <v>29.6</v>
      </c>
      <c r="E104" s="100">
        <v>4.38</v>
      </c>
      <c r="F104" s="100">
        <v>1.28</v>
      </c>
      <c r="G104" s="100">
        <v>63.72</v>
      </c>
      <c r="H104" s="100">
        <v>24.58</v>
      </c>
      <c r="I104" s="100">
        <v>15.25</v>
      </c>
      <c r="J104" s="100">
        <v>0.15</v>
      </c>
      <c r="K104" s="100">
        <v>193.56</v>
      </c>
      <c r="L104" s="100">
        <v>17.96</v>
      </c>
      <c r="M104" s="100">
        <v>85.06</v>
      </c>
      <c r="N104" s="100">
        <v>19.600000000000001</v>
      </c>
      <c r="O104" s="100">
        <v>0</v>
      </c>
      <c r="P104" s="100">
        <v>1.06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3.12</v>
      </c>
      <c r="C106" s="158">
        <f>MIN(C9:C104)</f>
        <v>14.65</v>
      </c>
      <c r="D106" s="158">
        <f t="shared" ref="D106:Q106" si="0">MIN(D9:D104)</f>
        <v>12.11</v>
      </c>
      <c r="E106" s="158">
        <f t="shared" si="0"/>
        <v>3.18</v>
      </c>
      <c r="F106" s="158">
        <f t="shared" si="0"/>
        <v>1.04</v>
      </c>
      <c r="G106" s="158">
        <f t="shared" si="0"/>
        <v>32.19</v>
      </c>
      <c r="H106" s="158">
        <f t="shared" si="0"/>
        <v>17.28</v>
      </c>
      <c r="I106" s="158">
        <f t="shared" si="0"/>
        <v>11.13</v>
      </c>
      <c r="J106" s="158">
        <f t="shared" si="0"/>
        <v>-0.48</v>
      </c>
      <c r="K106" s="158">
        <f t="shared" si="0"/>
        <v>-0.03</v>
      </c>
      <c r="L106" s="158">
        <f t="shared" si="0"/>
        <v>15.53</v>
      </c>
      <c r="M106" s="158">
        <f t="shared" si="0"/>
        <v>25.83</v>
      </c>
      <c r="N106" s="158">
        <f t="shared" si="0"/>
        <v>13.2</v>
      </c>
      <c r="O106" s="158">
        <f t="shared" si="0"/>
        <v>0</v>
      </c>
      <c r="P106" s="158">
        <f t="shared" si="0"/>
        <v>0.57999999999999996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23.34</v>
      </c>
      <c r="C107" s="157">
        <f t="shared" ref="C107:Q107" si="1">MAX(C9:C104)</f>
        <v>29.01</v>
      </c>
      <c r="D107" s="157">
        <f t="shared" si="1"/>
        <v>29.6</v>
      </c>
      <c r="E107" s="157">
        <f t="shared" si="1"/>
        <v>17.149999999999999</v>
      </c>
      <c r="F107" s="157">
        <f t="shared" si="1"/>
        <v>30.24</v>
      </c>
      <c r="G107" s="157">
        <f t="shared" si="1"/>
        <v>113.67</v>
      </c>
      <c r="H107" s="157">
        <f t="shared" si="1"/>
        <v>32.520000000000003</v>
      </c>
      <c r="I107" s="157">
        <f t="shared" si="1"/>
        <v>23.99</v>
      </c>
      <c r="J107" s="157">
        <f t="shared" si="1"/>
        <v>0.57999999999999996</v>
      </c>
      <c r="K107" s="157">
        <f t="shared" si="1"/>
        <v>348.05</v>
      </c>
      <c r="L107" s="157">
        <f t="shared" si="1"/>
        <v>30.35</v>
      </c>
      <c r="M107" s="157">
        <f t="shared" si="1"/>
        <v>93.9</v>
      </c>
      <c r="N107" s="157">
        <f t="shared" si="1"/>
        <v>546.9</v>
      </c>
      <c r="O107" s="157">
        <f t="shared" si="1"/>
        <v>0</v>
      </c>
      <c r="P107" s="157">
        <f t="shared" si="1"/>
        <v>1.29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7.3805208333333328</v>
      </c>
      <c r="C108" s="158">
        <f t="shared" ref="C108:Q108" si="2">AVERAGE(C9:C104)</f>
        <v>19.60645833333334</v>
      </c>
      <c r="D108" s="158">
        <f t="shared" si="2"/>
        <v>16.163124999999994</v>
      </c>
      <c r="E108" s="158">
        <f t="shared" si="2"/>
        <v>5.6108333333333329</v>
      </c>
      <c r="F108" s="158">
        <f t="shared" si="2"/>
        <v>6.1435416666666676</v>
      </c>
      <c r="G108" s="158">
        <f t="shared" si="2"/>
        <v>52.852916666666708</v>
      </c>
      <c r="H108" s="158">
        <f t="shared" si="2"/>
        <v>24.85791666666664</v>
      </c>
      <c r="I108" s="158">
        <f t="shared" si="2"/>
        <v>17.498645833333338</v>
      </c>
      <c r="J108" s="158">
        <f t="shared" si="2"/>
        <v>0.18885416666666674</v>
      </c>
      <c r="K108" s="158">
        <f t="shared" si="2"/>
        <v>175.80385416666664</v>
      </c>
      <c r="L108" s="158">
        <f t="shared" si="2"/>
        <v>21.799999999999997</v>
      </c>
      <c r="M108" s="158">
        <f t="shared" si="2"/>
        <v>68.908333333333374</v>
      </c>
      <c r="N108" s="158">
        <f t="shared" si="2"/>
        <v>107.43541666666668</v>
      </c>
      <c r="O108" s="158">
        <f t="shared" si="2"/>
        <v>0</v>
      </c>
      <c r="P108" s="158">
        <f t="shared" si="2"/>
        <v>1.0354166666666662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4.0644961802862349</v>
      </c>
      <c r="C109" s="158">
        <f t="shared" ref="C109:Q109" si="3">STDEV(C9:C104)</f>
        <v>3.6696338492714839</v>
      </c>
      <c r="D109" s="158">
        <f t="shared" si="3"/>
        <v>3.0482869434280579</v>
      </c>
      <c r="E109" s="158">
        <f t="shared" si="3"/>
        <v>2.6462333376316165</v>
      </c>
      <c r="F109" s="158">
        <f t="shared" si="3"/>
        <v>8.4965289481450395</v>
      </c>
      <c r="G109" s="158">
        <f t="shared" si="3"/>
        <v>15.648446495396687</v>
      </c>
      <c r="H109" s="158">
        <f t="shared" si="3"/>
        <v>4.2232648674161979</v>
      </c>
      <c r="I109" s="158">
        <f t="shared" si="3"/>
        <v>3.6280856543569544</v>
      </c>
      <c r="J109" s="158">
        <f t="shared" si="3"/>
        <v>0.1226708886811558</v>
      </c>
      <c r="K109" s="158">
        <f t="shared" si="3"/>
        <v>64.533965277695003</v>
      </c>
      <c r="L109" s="158">
        <f t="shared" si="3"/>
        <v>5.1393984903007484</v>
      </c>
      <c r="M109" s="158">
        <f t="shared" si="3"/>
        <v>24.321931306048352</v>
      </c>
      <c r="N109" s="158">
        <f t="shared" si="3"/>
        <v>159.44472857168478</v>
      </c>
      <c r="O109" s="158">
        <f t="shared" si="3"/>
        <v>0</v>
      </c>
      <c r="P109" s="158">
        <f t="shared" si="3"/>
        <v>0.21289936672258716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G14" sqref="G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1879</v>
      </c>
      <c r="B9" s="100">
        <v>26.37</v>
      </c>
      <c r="C9" s="100">
        <v>20.64</v>
      </c>
      <c r="D9" s="100">
        <v>31.93</v>
      </c>
      <c r="E9" s="100">
        <v>4.18</v>
      </c>
      <c r="F9" s="100">
        <v>1.42</v>
      </c>
      <c r="G9" s="100">
        <v>55.01</v>
      </c>
      <c r="H9" s="100">
        <v>24.2</v>
      </c>
      <c r="I9" s="100">
        <v>15.27</v>
      </c>
      <c r="J9" s="100">
        <v>0.14000000000000001</v>
      </c>
      <c r="K9" s="100">
        <v>203.49</v>
      </c>
      <c r="L9" s="100">
        <v>17.98</v>
      </c>
      <c r="M9" s="100">
        <v>87.3</v>
      </c>
      <c r="N9" s="100">
        <v>19.600000000000001</v>
      </c>
      <c r="O9" s="100">
        <v>0</v>
      </c>
      <c r="P9" s="100">
        <v>1.06</v>
      </c>
      <c r="Q9" s="100">
        <v>9.32</v>
      </c>
      <c r="R9" s="6"/>
      <c r="S9" s="6"/>
      <c r="T9" s="156"/>
      <c r="U9" s="6"/>
    </row>
    <row r="10" spans="1:21" customFormat="1">
      <c r="A10" s="163" t="s">
        <v>1880</v>
      </c>
      <c r="B10" s="100">
        <v>26.84</v>
      </c>
      <c r="C10" s="100">
        <v>20.65</v>
      </c>
      <c r="D10" s="100">
        <v>32.31</v>
      </c>
      <c r="E10" s="100">
        <v>4.13</v>
      </c>
      <c r="F10" s="100">
        <v>1.1200000000000001</v>
      </c>
      <c r="G10" s="100">
        <v>54.5</v>
      </c>
      <c r="H10" s="100">
        <v>24.2</v>
      </c>
      <c r="I10" s="100">
        <v>15.31</v>
      </c>
      <c r="J10" s="100">
        <v>0.13</v>
      </c>
      <c r="K10" s="100">
        <v>192.57</v>
      </c>
      <c r="L10" s="100">
        <v>17.73</v>
      </c>
      <c r="M10" s="100">
        <v>88.49</v>
      </c>
      <c r="N10" s="100">
        <v>19.8</v>
      </c>
      <c r="O10" s="100">
        <v>0</v>
      </c>
      <c r="P10" s="100">
        <v>1.07</v>
      </c>
      <c r="Q10" s="100">
        <v>9.32</v>
      </c>
      <c r="R10" s="6"/>
      <c r="S10" s="6"/>
      <c r="T10" s="156"/>
      <c r="U10" s="6"/>
    </row>
    <row r="11" spans="1:21" customFormat="1">
      <c r="A11" s="163" t="s">
        <v>1881</v>
      </c>
      <c r="B11" s="100">
        <v>27.43</v>
      </c>
      <c r="C11" s="100">
        <v>20.41</v>
      </c>
      <c r="D11" s="100">
        <v>32.659999999999997</v>
      </c>
      <c r="E11" s="100">
        <v>2.5</v>
      </c>
      <c r="F11" s="100">
        <v>1.17</v>
      </c>
      <c r="G11" s="100">
        <v>54.5</v>
      </c>
      <c r="H11" s="100">
        <v>24.2</v>
      </c>
      <c r="I11" s="100">
        <v>15.36</v>
      </c>
      <c r="J11" s="100">
        <v>0.13</v>
      </c>
      <c r="K11" s="100">
        <v>198.69</v>
      </c>
      <c r="L11" s="100">
        <v>17.690000000000001</v>
      </c>
      <c r="M11" s="100">
        <v>88.1</v>
      </c>
      <c r="N11" s="100">
        <v>19.600000000000001</v>
      </c>
      <c r="O11" s="100">
        <v>0</v>
      </c>
      <c r="P11" s="100">
        <v>1.08</v>
      </c>
      <c r="Q11" s="100">
        <v>9.32</v>
      </c>
      <c r="R11" s="6"/>
      <c r="S11" s="6"/>
      <c r="T11" s="156"/>
      <c r="U11" s="6"/>
    </row>
    <row r="12" spans="1:21" customFormat="1">
      <c r="A12" s="163" t="s">
        <v>1882</v>
      </c>
      <c r="B12" s="100">
        <v>27.93</v>
      </c>
      <c r="C12" s="100">
        <v>20.329999999999998</v>
      </c>
      <c r="D12" s="100">
        <v>33.020000000000003</v>
      </c>
      <c r="E12" s="100">
        <v>3.61</v>
      </c>
      <c r="F12" s="100">
        <v>1.22</v>
      </c>
      <c r="G12" s="100">
        <v>54.5</v>
      </c>
      <c r="H12" s="100">
        <v>24.2</v>
      </c>
      <c r="I12" s="100">
        <v>15.41</v>
      </c>
      <c r="J12" s="100">
        <v>0.09</v>
      </c>
      <c r="K12" s="100">
        <v>182.25</v>
      </c>
      <c r="L12" s="100">
        <v>17.45</v>
      </c>
      <c r="M12" s="100">
        <v>89.53</v>
      </c>
      <c r="N12" s="100">
        <v>19.8</v>
      </c>
      <c r="O12" s="100">
        <v>0</v>
      </c>
      <c r="P12" s="100">
        <v>1.0900000000000001</v>
      </c>
      <c r="Q12" s="100">
        <v>9.32</v>
      </c>
      <c r="R12" s="6"/>
      <c r="S12" s="6"/>
      <c r="T12" s="156"/>
      <c r="U12" s="6"/>
    </row>
    <row r="13" spans="1:21" customFormat="1">
      <c r="A13" s="163" t="s">
        <v>1883</v>
      </c>
      <c r="B13" s="100">
        <v>28.35</v>
      </c>
      <c r="C13" s="100">
        <v>20.04</v>
      </c>
      <c r="D13" s="100">
        <v>33.200000000000003</v>
      </c>
      <c r="E13" s="100">
        <v>4.1100000000000003</v>
      </c>
      <c r="F13" s="100">
        <v>1.1200000000000001</v>
      </c>
      <c r="G13" s="100">
        <v>50.01</v>
      </c>
      <c r="H13" s="100">
        <v>24.53</v>
      </c>
      <c r="I13" s="100">
        <v>15.48</v>
      </c>
      <c r="J13" s="100">
        <v>0.17</v>
      </c>
      <c r="K13" s="100">
        <v>152.51</v>
      </c>
      <c r="L13" s="100">
        <v>17.46</v>
      </c>
      <c r="M13" s="100">
        <v>89.39</v>
      </c>
      <c r="N13" s="100">
        <v>19.600000000000001</v>
      </c>
      <c r="O13" s="100">
        <v>0</v>
      </c>
      <c r="P13" s="100">
        <v>1.1000000000000001</v>
      </c>
      <c r="Q13" s="100">
        <v>9.32</v>
      </c>
      <c r="R13" s="6"/>
      <c r="S13" s="6"/>
      <c r="T13" s="156"/>
      <c r="U13" s="6"/>
    </row>
    <row r="14" spans="1:21" customFormat="1">
      <c r="A14" s="163" t="s">
        <v>1884</v>
      </c>
      <c r="B14" s="100">
        <v>28.78</v>
      </c>
      <c r="C14" s="100">
        <v>19.71</v>
      </c>
      <c r="D14" s="100">
        <v>33.380000000000003</v>
      </c>
      <c r="E14" s="100">
        <v>4.1500000000000004</v>
      </c>
      <c r="F14" s="100">
        <v>0.97</v>
      </c>
      <c r="G14" s="100">
        <v>49.75</v>
      </c>
      <c r="H14" s="100">
        <v>24.53</v>
      </c>
      <c r="I14" s="100">
        <v>15.81</v>
      </c>
      <c r="J14" s="100">
        <v>0.11</v>
      </c>
      <c r="K14" s="100">
        <v>166.8</v>
      </c>
      <c r="L14" s="100">
        <v>17.3</v>
      </c>
      <c r="M14" s="100">
        <v>88.85</v>
      </c>
      <c r="N14" s="100">
        <v>19.600000000000001</v>
      </c>
      <c r="O14" s="100">
        <v>0</v>
      </c>
      <c r="P14" s="100">
        <v>1.1100000000000001</v>
      </c>
      <c r="Q14" s="100">
        <v>9.32</v>
      </c>
      <c r="R14" s="6"/>
      <c r="S14" s="6"/>
      <c r="T14" s="156"/>
      <c r="U14" s="6"/>
    </row>
    <row r="15" spans="1:21" customFormat="1">
      <c r="A15" s="163" t="s">
        <v>1885</v>
      </c>
      <c r="B15" s="100">
        <v>29.95</v>
      </c>
      <c r="C15" s="100">
        <v>19.82</v>
      </c>
      <c r="D15" s="100">
        <v>34.369999999999997</v>
      </c>
      <c r="E15" s="100">
        <v>4.42</v>
      </c>
      <c r="F15" s="100">
        <v>1.19</v>
      </c>
      <c r="G15" s="100">
        <v>49.75</v>
      </c>
      <c r="H15" s="100">
        <v>24.53</v>
      </c>
      <c r="I15" s="100">
        <v>16.260000000000002</v>
      </c>
      <c r="J15" s="100">
        <v>0.14000000000000001</v>
      </c>
      <c r="K15" s="100">
        <v>183.37</v>
      </c>
      <c r="L15" s="100">
        <v>17.27</v>
      </c>
      <c r="M15" s="100">
        <v>89.23</v>
      </c>
      <c r="N15" s="100">
        <v>19.5</v>
      </c>
      <c r="O15" s="100">
        <v>0</v>
      </c>
      <c r="P15" s="100">
        <v>1.1200000000000001</v>
      </c>
      <c r="Q15" s="100">
        <v>9.32</v>
      </c>
      <c r="R15" s="6"/>
      <c r="S15" s="6"/>
      <c r="T15" s="156"/>
      <c r="U15" s="6"/>
    </row>
    <row r="16" spans="1:21" customFormat="1">
      <c r="A16" s="163" t="s">
        <v>1886</v>
      </c>
      <c r="B16" s="100">
        <v>30.87</v>
      </c>
      <c r="C16" s="100">
        <v>19.59</v>
      </c>
      <c r="D16" s="100">
        <v>34.99</v>
      </c>
      <c r="E16" s="100">
        <v>4</v>
      </c>
      <c r="F16" s="100">
        <v>1.18</v>
      </c>
      <c r="G16" s="100">
        <v>49.75</v>
      </c>
      <c r="H16" s="100">
        <v>24.53</v>
      </c>
      <c r="I16" s="100">
        <v>16.600000000000001</v>
      </c>
      <c r="J16" s="100">
        <v>0.12</v>
      </c>
      <c r="K16" s="100">
        <v>175.06</v>
      </c>
      <c r="L16" s="100">
        <v>16.98</v>
      </c>
      <c r="M16" s="100">
        <v>91.25</v>
      </c>
      <c r="N16" s="100">
        <v>19.8</v>
      </c>
      <c r="O16" s="100">
        <v>0</v>
      </c>
      <c r="P16" s="100">
        <v>1.1399999999999999</v>
      </c>
      <c r="Q16" s="100">
        <v>9.32</v>
      </c>
      <c r="R16" s="6"/>
      <c r="S16" s="6"/>
      <c r="T16" s="156"/>
      <c r="U16" s="6"/>
    </row>
    <row r="17" spans="1:21" customFormat="1">
      <c r="A17" s="163" t="s">
        <v>1887</v>
      </c>
      <c r="B17" s="100">
        <v>31.45</v>
      </c>
      <c r="C17" s="100">
        <v>19.3</v>
      </c>
      <c r="D17" s="100">
        <v>35.299999999999997</v>
      </c>
      <c r="E17" s="100">
        <v>4.88</v>
      </c>
      <c r="F17" s="100">
        <v>1.0900000000000001</v>
      </c>
      <c r="G17" s="100">
        <v>46.57</v>
      </c>
      <c r="H17" s="100">
        <v>24.16</v>
      </c>
      <c r="I17" s="100">
        <v>17</v>
      </c>
      <c r="J17" s="100">
        <v>0.12</v>
      </c>
      <c r="K17" s="100">
        <v>182.56</v>
      </c>
      <c r="L17" s="100">
        <v>16.77</v>
      </c>
      <c r="M17" s="100">
        <v>92.14</v>
      </c>
      <c r="N17" s="100">
        <v>19.600000000000001</v>
      </c>
      <c r="O17" s="100">
        <v>0</v>
      </c>
      <c r="P17" s="100">
        <v>1.1499999999999999</v>
      </c>
      <c r="Q17" s="100">
        <v>9.32</v>
      </c>
      <c r="R17" s="6"/>
      <c r="S17" s="6"/>
      <c r="T17" s="156"/>
      <c r="U17" s="6"/>
    </row>
    <row r="18" spans="1:21" customFormat="1">
      <c r="A18" s="163" t="s">
        <v>1888</v>
      </c>
      <c r="B18" s="100">
        <v>32.03</v>
      </c>
      <c r="C18" s="100">
        <v>19.2</v>
      </c>
      <c r="D18" s="100">
        <v>35.72</v>
      </c>
      <c r="E18" s="100">
        <v>5.64</v>
      </c>
      <c r="F18" s="100">
        <v>1.1299999999999999</v>
      </c>
      <c r="G18" s="100">
        <v>46.39</v>
      </c>
      <c r="H18" s="100">
        <v>24.16</v>
      </c>
      <c r="I18" s="100">
        <v>17.559999999999999</v>
      </c>
      <c r="J18" s="100">
        <v>0.14000000000000001</v>
      </c>
      <c r="K18" s="100">
        <v>161.41999999999999</v>
      </c>
      <c r="L18" s="100">
        <v>16.55</v>
      </c>
      <c r="M18" s="100">
        <v>92.47</v>
      </c>
      <c r="N18" s="100">
        <v>19.7</v>
      </c>
      <c r="O18" s="100">
        <v>0</v>
      </c>
      <c r="P18" s="100">
        <v>1.1599999999999999</v>
      </c>
      <c r="Q18" s="100">
        <v>9.32</v>
      </c>
      <c r="R18" s="6"/>
      <c r="S18" s="6"/>
      <c r="T18" s="156"/>
      <c r="U18" s="6"/>
    </row>
    <row r="19" spans="1:21" customFormat="1">
      <c r="A19" s="163" t="s">
        <v>1889</v>
      </c>
      <c r="B19" s="100">
        <v>32.520000000000003</v>
      </c>
      <c r="C19" s="100">
        <v>18.93</v>
      </c>
      <c r="D19" s="100">
        <v>35.97</v>
      </c>
      <c r="E19" s="100">
        <v>5.65</v>
      </c>
      <c r="F19" s="100">
        <v>1.17</v>
      </c>
      <c r="G19" s="100">
        <v>46.39</v>
      </c>
      <c r="H19" s="100">
        <v>24.16</v>
      </c>
      <c r="I19" s="100">
        <v>18.149999999999999</v>
      </c>
      <c r="J19" s="100">
        <v>0.11</v>
      </c>
      <c r="K19" s="100">
        <v>170.16</v>
      </c>
      <c r="L19" s="100">
        <v>16.41</v>
      </c>
      <c r="M19" s="100">
        <v>92.72</v>
      </c>
      <c r="N19" s="100">
        <v>19.600000000000001</v>
      </c>
      <c r="O19" s="100">
        <v>0</v>
      </c>
      <c r="P19" s="100">
        <v>1.1599999999999999</v>
      </c>
      <c r="Q19" s="100">
        <v>9.32</v>
      </c>
      <c r="R19" s="6"/>
      <c r="S19" s="6"/>
      <c r="T19" s="156"/>
      <c r="U19" s="6"/>
    </row>
    <row r="20" spans="1:21" customFormat="1">
      <c r="A20" s="163" t="s">
        <v>1890</v>
      </c>
      <c r="B20" s="100">
        <v>33.51</v>
      </c>
      <c r="C20" s="100">
        <v>18.86</v>
      </c>
      <c r="D20" s="100">
        <v>36.72</v>
      </c>
      <c r="E20" s="100">
        <v>6.16</v>
      </c>
      <c r="F20" s="100">
        <v>1.1399999999999999</v>
      </c>
      <c r="G20" s="100">
        <v>46.39</v>
      </c>
      <c r="H20" s="100">
        <v>24.16</v>
      </c>
      <c r="I20" s="100">
        <v>21.11</v>
      </c>
      <c r="J20" s="100">
        <v>0.12</v>
      </c>
      <c r="K20" s="100">
        <v>185.81</v>
      </c>
      <c r="L20" s="100">
        <v>16.43</v>
      </c>
      <c r="M20" s="100">
        <v>91.48</v>
      </c>
      <c r="N20" s="100">
        <v>19.600000000000001</v>
      </c>
      <c r="O20" s="100">
        <v>0</v>
      </c>
      <c r="P20" s="100">
        <v>1.17</v>
      </c>
      <c r="Q20" s="100">
        <v>9.32</v>
      </c>
      <c r="R20" s="6"/>
      <c r="S20" s="6"/>
      <c r="T20" s="156"/>
      <c r="U20" s="6"/>
    </row>
    <row r="21" spans="1:21" customFormat="1">
      <c r="A21" s="163" t="s">
        <v>1891</v>
      </c>
      <c r="B21" s="100">
        <v>34.96</v>
      </c>
      <c r="C21" s="100">
        <v>19.03</v>
      </c>
      <c r="D21" s="100">
        <v>37.97</v>
      </c>
      <c r="E21" s="100">
        <v>5.86</v>
      </c>
      <c r="F21" s="100">
        <v>1.19</v>
      </c>
      <c r="G21" s="100">
        <v>41.93</v>
      </c>
      <c r="H21" s="100">
        <v>23.94</v>
      </c>
      <c r="I21" s="100">
        <v>24.25</v>
      </c>
      <c r="J21" s="100">
        <v>0.2</v>
      </c>
      <c r="K21" s="100">
        <v>198.98</v>
      </c>
      <c r="L21" s="100">
        <v>16.41</v>
      </c>
      <c r="M21" s="100">
        <v>91.81</v>
      </c>
      <c r="N21" s="100">
        <v>19.5</v>
      </c>
      <c r="O21" s="100">
        <v>0</v>
      </c>
      <c r="P21" s="100">
        <v>1.17</v>
      </c>
      <c r="Q21" s="100">
        <v>9.32</v>
      </c>
      <c r="R21" s="6"/>
      <c r="S21" s="6"/>
      <c r="T21" s="156"/>
      <c r="U21" s="6"/>
    </row>
    <row r="22" spans="1:21" customFormat="1">
      <c r="A22" s="163" t="s">
        <v>1892</v>
      </c>
      <c r="B22" s="100">
        <v>34.81</v>
      </c>
      <c r="C22" s="100">
        <v>18.899999999999999</v>
      </c>
      <c r="D22" s="100">
        <v>37.79</v>
      </c>
      <c r="E22" s="100">
        <v>5.72</v>
      </c>
      <c r="F22" s="100">
        <v>1.19</v>
      </c>
      <c r="G22" s="100">
        <v>41.67</v>
      </c>
      <c r="H22" s="100">
        <v>23.94</v>
      </c>
      <c r="I22" s="100">
        <v>24.62</v>
      </c>
      <c r="J22" s="100">
        <v>0.14000000000000001</v>
      </c>
      <c r="K22" s="100">
        <v>204.33</v>
      </c>
      <c r="L22" s="100">
        <v>16.2</v>
      </c>
      <c r="M22" s="100">
        <v>92.56</v>
      </c>
      <c r="N22" s="100">
        <v>19.899999999999999</v>
      </c>
      <c r="O22" s="100">
        <v>0</v>
      </c>
      <c r="P22" s="100">
        <v>1.17</v>
      </c>
      <c r="Q22" s="100">
        <v>9.32</v>
      </c>
      <c r="R22" s="6"/>
      <c r="S22" s="6"/>
      <c r="T22" s="156"/>
      <c r="U22" s="6"/>
    </row>
    <row r="23" spans="1:21" customFormat="1">
      <c r="A23" s="163" t="s">
        <v>1893</v>
      </c>
      <c r="B23" s="100">
        <v>33.799999999999997</v>
      </c>
      <c r="C23" s="100">
        <v>18.75</v>
      </c>
      <c r="D23" s="100">
        <v>36.9</v>
      </c>
      <c r="E23" s="100">
        <v>5.84</v>
      </c>
      <c r="F23" s="100">
        <v>1.17</v>
      </c>
      <c r="G23" s="100">
        <v>41.67</v>
      </c>
      <c r="H23" s="100">
        <v>23.94</v>
      </c>
      <c r="I23" s="100">
        <v>24.79</v>
      </c>
      <c r="J23" s="100">
        <v>0.13</v>
      </c>
      <c r="K23" s="100">
        <v>209.16</v>
      </c>
      <c r="L23" s="100">
        <v>15.89</v>
      </c>
      <c r="M23" s="100">
        <v>92.89</v>
      </c>
      <c r="N23" s="100">
        <v>19.899999999999999</v>
      </c>
      <c r="O23" s="100">
        <v>0</v>
      </c>
      <c r="P23" s="100">
        <v>1.1599999999999999</v>
      </c>
      <c r="Q23" s="100">
        <v>9.32</v>
      </c>
      <c r="R23" s="6"/>
      <c r="S23" s="6"/>
      <c r="T23" s="156"/>
      <c r="U23" s="6"/>
    </row>
    <row r="24" spans="1:21" customFormat="1">
      <c r="A24" s="163" t="s">
        <v>1894</v>
      </c>
      <c r="B24" s="100">
        <v>32.47</v>
      </c>
      <c r="C24" s="100">
        <v>18.260000000000002</v>
      </c>
      <c r="D24" s="100">
        <v>35.58</v>
      </c>
      <c r="E24" s="100">
        <v>5.83</v>
      </c>
      <c r="F24" s="100">
        <v>1.23</v>
      </c>
      <c r="G24" s="100">
        <v>41.67</v>
      </c>
      <c r="H24" s="100">
        <v>23.94</v>
      </c>
      <c r="I24" s="100">
        <v>24.77</v>
      </c>
      <c r="J24" s="100">
        <v>0.12</v>
      </c>
      <c r="K24" s="100">
        <v>226.64</v>
      </c>
      <c r="L24" s="100">
        <v>15.72</v>
      </c>
      <c r="M24" s="100">
        <v>93.08</v>
      </c>
      <c r="N24" s="100">
        <v>19.8</v>
      </c>
      <c r="O24" s="100">
        <v>0</v>
      </c>
      <c r="P24" s="100">
        <v>1.1399999999999999</v>
      </c>
      <c r="Q24" s="100">
        <v>9.32</v>
      </c>
      <c r="R24" s="6"/>
      <c r="S24" s="6"/>
      <c r="T24" s="156"/>
      <c r="U24" s="6"/>
    </row>
    <row r="25" spans="1:21" customFormat="1">
      <c r="A25" s="163" t="s">
        <v>1895</v>
      </c>
      <c r="B25" s="100">
        <v>31.22</v>
      </c>
      <c r="C25" s="100">
        <v>17.899999999999999</v>
      </c>
      <c r="D25" s="100">
        <v>34.39</v>
      </c>
      <c r="E25" s="100">
        <v>5.97</v>
      </c>
      <c r="F25" s="100">
        <v>1.28</v>
      </c>
      <c r="G25" s="100">
        <v>33.450000000000003</v>
      </c>
      <c r="H25" s="100">
        <v>21.89</v>
      </c>
      <c r="I25" s="100">
        <v>24.61</v>
      </c>
      <c r="J25" s="100">
        <v>0.14000000000000001</v>
      </c>
      <c r="K25" s="100">
        <v>173.92</v>
      </c>
      <c r="L25" s="100">
        <v>15.68</v>
      </c>
      <c r="M25" s="100">
        <v>92.22</v>
      </c>
      <c r="N25" s="100">
        <v>19.600000000000001</v>
      </c>
      <c r="O25" s="100">
        <v>0</v>
      </c>
      <c r="P25" s="100">
        <v>1.1299999999999999</v>
      </c>
      <c r="Q25" s="100">
        <v>9.32</v>
      </c>
      <c r="R25" s="6"/>
      <c r="S25" s="6"/>
      <c r="T25" s="156"/>
      <c r="U25" s="6"/>
    </row>
    <row r="26" spans="1:21" customFormat="1">
      <c r="A26" s="163" t="s">
        <v>1896</v>
      </c>
      <c r="B26" s="100">
        <v>29.92</v>
      </c>
      <c r="C26" s="100">
        <v>17.62</v>
      </c>
      <c r="D26" s="100">
        <v>33.200000000000003</v>
      </c>
      <c r="E26" s="100">
        <v>5.9</v>
      </c>
      <c r="F26" s="100">
        <v>1.24</v>
      </c>
      <c r="G26" s="100">
        <v>32.96</v>
      </c>
      <c r="H26" s="100">
        <v>21.89</v>
      </c>
      <c r="I26" s="100">
        <v>24.31</v>
      </c>
      <c r="J26" s="100">
        <v>0.09</v>
      </c>
      <c r="K26" s="100">
        <v>187.21</v>
      </c>
      <c r="L26" s="100">
        <v>15.64</v>
      </c>
      <c r="M26" s="100">
        <v>91.94</v>
      </c>
      <c r="N26" s="100">
        <v>19.600000000000001</v>
      </c>
      <c r="O26" s="100">
        <v>0</v>
      </c>
      <c r="P26" s="100">
        <v>1.1299999999999999</v>
      </c>
      <c r="Q26" s="100">
        <v>9.32</v>
      </c>
      <c r="R26" s="6"/>
      <c r="S26" s="6"/>
      <c r="T26" s="156"/>
      <c r="U26" s="6"/>
    </row>
    <row r="27" spans="1:21" customFormat="1">
      <c r="A27" s="163" t="s">
        <v>1897</v>
      </c>
      <c r="B27" s="100">
        <v>28.64</v>
      </c>
      <c r="C27" s="100">
        <v>17.37</v>
      </c>
      <c r="D27" s="100">
        <v>32.049999999999997</v>
      </c>
      <c r="E27" s="100">
        <v>5.72</v>
      </c>
      <c r="F27" s="100">
        <v>1.28</v>
      </c>
      <c r="G27" s="100">
        <v>32.96</v>
      </c>
      <c r="H27" s="100">
        <v>21.89</v>
      </c>
      <c r="I27" s="100">
        <v>24.02</v>
      </c>
      <c r="J27" s="100">
        <v>0.2</v>
      </c>
      <c r="K27" s="100">
        <v>171</v>
      </c>
      <c r="L27" s="100">
        <v>15.7</v>
      </c>
      <c r="M27" s="100">
        <v>92.32</v>
      </c>
      <c r="N27" s="100">
        <v>19.5</v>
      </c>
      <c r="O27" s="100">
        <v>0</v>
      </c>
      <c r="P27" s="100">
        <v>1.1100000000000001</v>
      </c>
      <c r="Q27" s="100">
        <v>9.32</v>
      </c>
      <c r="R27" s="6"/>
      <c r="S27" s="6"/>
      <c r="T27" s="156"/>
      <c r="U27" s="6"/>
    </row>
    <row r="28" spans="1:21" customFormat="1">
      <c r="A28" s="163" t="s">
        <v>1898</v>
      </c>
      <c r="B28" s="100">
        <v>27.37</v>
      </c>
      <c r="C28" s="100">
        <v>17.149999999999999</v>
      </c>
      <c r="D28" s="100">
        <v>30.91</v>
      </c>
      <c r="E28" s="100">
        <v>5.65</v>
      </c>
      <c r="F28" s="100">
        <v>1.26</v>
      </c>
      <c r="G28" s="100">
        <v>32.96</v>
      </c>
      <c r="H28" s="100">
        <v>21.89</v>
      </c>
      <c r="I28" s="100">
        <v>21.38</v>
      </c>
      <c r="J28" s="100">
        <v>0.25</v>
      </c>
      <c r="K28" s="100">
        <v>183.36</v>
      </c>
      <c r="L28" s="100">
        <v>15.43</v>
      </c>
      <c r="M28" s="100">
        <v>92.17</v>
      </c>
      <c r="N28" s="100">
        <v>20</v>
      </c>
      <c r="O28" s="100">
        <v>0</v>
      </c>
      <c r="P28" s="100">
        <v>1.0900000000000001</v>
      </c>
      <c r="Q28" s="100">
        <v>9.32</v>
      </c>
      <c r="R28" s="6"/>
      <c r="S28" s="6"/>
      <c r="T28" s="156"/>
      <c r="U28" s="6"/>
    </row>
    <row r="29" spans="1:21" customFormat="1">
      <c r="A29" s="163" t="s">
        <v>1899</v>
      </c>
      <c r="B29" s="100">
        <v>26.28</v>
      </c>
      <c r="C29" s="100">
        <v>16.78</v>
      </c>
      <c r="D29" s="100">
        <v>29.84</v>
      </c>
      <c r="E29" s="100">
        <v>5.87</v>
      </c>
      <c r="F29" s="100">
        <v>1.06</v>
      </c>
      <c r="G29" s="100">
        <v>32.85</v>
      </c>
      <c r="H29" s="100">
        <v>21.1</v>
      </c>
      <c r="I29" s="100">
        <v>18.53</v>
      </c>
      <c r="J29" s="100">
        <v>0.16</v>
      </c>
      <c r="K29" s="100">
        <v>147.44</v>
      </c>
      <c r="L29" s="100">
        <v>15.14</v>
      </c>
      <c r="M29" s="100">
        <v>91.4</v>
      </c>
      <c r="N29" s="100">
        <v>19.8</v>
      </c>
      <c r="O29" s="100">
        <v>0</v>
      </c>
      <c r="P29" s="100">
        <v>1.08</v>
      </c>
      <c r="Q29" s="100">
        <v>9.32</v>
      </c>
      <c r="R29" s="6"/>
      <c r="S29" s="6"/>
      <c r="T29" s="156"/>
      <c r="U29" s="6"/>
    </row>
    <row r="30" spans="1:21" customFormat="1">
      <c r="A30" s="163" t="s">
        <v>1900</v>
      </c>
      <c r="B30" s="100">
        <v>25.14</v>
      </c>
      <c r="C30" s="100">
        <v>16.559999999999999</v>
      </c>
      <c r="D30" s="100">
        <v>28.81</v>
      </c>
      <c r="E30" s="100">
        <v>5.64</v>
      </c>
      <c r="F30" s="100">
        <v>1.1200000000000001</v>
      </c>
      <c r="G30" s="100">
        <v>32.840000000000003</v>
      </c>
      <c r="H30" s="100">
        <v>21.1</v>
      </c>
      <c r="I30" s="100">
        <v>18.32</v>
      </c>
      <c r="J30" s="100">
        <v>0.11</v>
      </c>
      <c r="K30" s="100">
        <v>186.9</v>
      </c>
      <c r="L30" s="100">
        <v>15.04</v>
      </c>
      <c r="M30" s="100">
        <v>91.83</v>
      </c>
      <c r="N30" s="100">
        <v>19.5</v>
      </c>
      <c r="O30" s="100">
        <v>0</v>
      </c>
      <c r="P30" s="100">
        <v>1.07</v>
      </c>
      <c r="Q30" s="100">
        <v>9.32</v>
      </c>
      <c r="R30" s="6"/>
      <c r="S30" s="6"/>
      <c r="T30" s="156"/>
      <c r="U30" s="6"/>
    </row>
    <row r="31" spans="1:21" customFormat="1">
      <c r="A31" s="163" t="s">
        <v>1901</v>
      </c>
      <c r="B31" s="100">
        <v>24.08</v>
      </c>
      <c r="C31" s="100">
        <v>16.260000000000002</v>
      </c>
      <c r="D31" s="100">
        <v>27.8</v>
      </c>
      <c r="E31" s="100">
        <v>5.82</v>
      </c>
      <c r="F31" s="100">
        <v>1.26</v>
      </c>
      <c r="G31" s="100">
        <v>32.840000000000003</v>
      </c>
      <c r="H31" s="100">
        <v>21.1</v>
      </c>
      <c r="I31" s="100">
        <v>18.12</v>
      </c>
      <c r="J31" s="100">
        <v>0.12</v>
      </c>
      <c r="K31" s="100">
        <v>145.47999999999999</v>
      </c>
      <c r="L31" s="100">
        <v>15.08</v>
      </c>
      <c r="M31" s="100">
        <v>92.48</v>
      </c>
      <c r="N31" s="100">
        <v>19.7</v>
      </c>
      <c r="O31" s="100">
        <v>0</v>
      </c>
      <c r="P31" s="100">
        <v>1.06</v>
      </c>
      <c r="Q31" s="100">
        <v>9.32</v>
      </c>
      <c r="R31" s="6"/>
      <c r="S31" s="6"/>
      <c r="T31" s="156"/>
      <c r="U31" s="6"/>
    </row>
    <row r="32" spans="1:21" customFormat="1">
      <c r="A32" s="163" t="s">
        <v>1902</v>
      </c>
      <c r="B32" s="100">
        <v>23.1</v>
      </c>
      <c r="C32" s="100">
        <v>15.93</v>
      </c>
      <c r="D32" s="100">
        <v>26.85</v>
      </c>
      <c r="E32" s="100">
        <v>5.59</v>
      </c>
      <c r="F32" s="100">
        <v>1.33</v>
      </c>
      <c r="G32" s="100">
        <v>32.840000000000003</v>
      </c>
      <c r="H32" s="100">
        <v>21.1</v>
      </c>
      <c r="I32" s="100">
        <v>17.97</v>
      </c>
      <c r="J32" s="100">
        <v>0.12</v>
      </c>
      <c r="K32" s="100">
        <v>166.5</v>
      </c>
      <c r="L32" s="100">
        <v>15.03</v>
      </c>
      <c r="M32" s="100">
        <v>92.42</v>
      </c>
      <c r="N32" s="100">
        <v>19.5</v>
      </c>
      <c r="O32" s="100">
        <v>0</v>
      </c>
      <c r="P32" s="100">
        <v>1.04</v>
      </c>
      <c r="Q32" s="100">
        <v>9.32</v>
      </c>
      <c r="R32" s="6"/>
      <c r="S32" s="6"/>
      <c r="T32" s="156"/>
      <c r="U32" s="6"/>
    </row>
    <row r="33" spans="1:21" customFormat="1">
      <c r="A33" s="163" t="s">
        <v>1903</v>
      </c>
      <c r="B33" s="100">
        <v>22.26</v>
      </c>
      <c r="C33" s="100">
        <v>15.61</v>
      </c>
      <c r="D33" s="100">
        <v>26.01</v>
      </c>
      <c r="E33" s="100">
        <v>5.77</v>
      </c>
      <c r="F33" s="100">
        <v>1.1599999999999999</v>
      </c>
      <c r="G33" s="100">
        <v>34.99</v>
      </c>
      <c r="H33" s="100">
        <v>19.739999999999998</v>
      </c>
      <c r="I33" s="100">
        <v>17.82</v>
      </c>
      <c r="J33" s="100">
        <v>0.12</v>
      </c>
      <c r="K33" s="100">
        <v>162.41</v>
      </c>
      <c r="L33" s="100">
        <v>15.06</v>
      </c>
      <c r="M33" s="100">
        <v>93.39</v>
      </c>
      <c r="N33" s="100">
        <v>19.7</v>
      </c>
      <c r="O33" s="100">
        <v>0</v>
      </c>
      <c r="P33" s="100">
        <v>1.05</v>
      </c>
      <c r="Q33" s="100">
        <v>9.32</v>
      </c>
      <c r="R33" s="6"/>
      <c r="S33" s="6"/>
      <c r="T33" s="156"/>
      <c r="U33" s="6"/>
    </row>
    <row r="34" spans="1:21" customFormat="1">
      <c r="A34" s="163" t="s">
        <v>1904</v>
      </c>
      <c r="B34" s="100">
        <v>21.56</v>
      </c>
      <c r="C34" s="100">
        <v>15.42</v>
      </c>
      <c r="D34" s="100">
        <v>25.34</v>
      </c>
      <c r="E34" s="100">
        <v>5.58</v>
      </c>
      <c r="F34" s="100">
        <v>1.01</v>
      </c>
      <c r="G34" s="100">
        <v>35.119999999999997</v>
      </c>
      <c r="H34" s="100">
        <v>19.739999999999998</v>
      </c>
      <c r="I34" s="100">
        <v>17.71</v>
      </c>
      <c r="J34" s="100">
        <v>0.12</v>
      </c>
      <c r="K34" s="100">
        <v>173.69</v>
      </c>
      <c r="L34" s="100">
        <v>15.12</v>
      </c>
      <c r="M34" s="100">
        <v>93.75</v>
      </c>
      <c r="N34" s="100">
        <v>20.7</v>
      </c>
      <c r="O34" s="100">
        <v>0</v>
      </c>
      <c r="P34" s="100">
        <v>1.04</v>
      </c>
      <c r="Q34" s="100">
        <v>9.32</v>
      </c>
      <c r="R34" s="6"/>
      <c r="S34" s="6"/>
      <c r="T34" s="156"/>
      <c r="U34" s="6"/>
    </row>
    <row r="35" spans="1:21" customFormat="1">
      <c r="A35" s="163" t="s">
        <v>1905</v>
      </c>
      <c r="B35" s="100">
        <v>21.1</v>
      </c>
      <c r="C35" s="100">
        <v>15.42</v>
      </c>
      <c r="D35" s="100">
        <v>24.98</v>
      </c>
      <c r="E35" s="100">
        <v>5.49</v>
      </c>
      <c r="F35" s="100">
        <v>1.1200000000000001</v>
      </c>
      <c r="G35" s="100">
        <v>35.119999999999997</v>
      </c>
      <c r="H35" s="100">
        <v>19.739999999999998</v>
      </c>
      <c r="I35" s="100">
        <v>17.61</v>
      </c>
      <c r="J35" s="100">
        <v>0.17</v>
      </c>
      <c r="K35" s="100">
        <v>151.15</v>
      </c>
      <c r="L35" s="100">
        <v>15.17</v>
      </c>
      <c r="M35" s="100">
        <v>93.69</v>
      </c>
      <c r="N35" s="100">
        <v>24.6</v>
      </c>
      <c r="O35" s="100">
        <v>0</v>
      </c>
      <c r="P35" s="100">
        <v>1.04</v>
      </c>
      <c r="Q35" s="100">
        <v>9.32</v>
      </c>
      <c r="R35" s="6"/>
      <c r="S35" s="6"/>
      <c r="T35" s="156"/>
      <c r="U35" s="6"/>
    </row>
    <row r="36" spans="1:21" customFormat="1">
      <c r="A36" s="163" t="s">
        <v>1906</v>
      </c>
      <c r="B36" s="100">
        <v>21.32</v>
      </c>
      <c r="C36" s="100">
        <v>15.52</v>
      </c>
      <c r="D36" s="100">
        <v>25.21</v>
      </c>
      <c r="E36" s="100">
        <v>5.55</v>
      </c>
      <c r="F36" s="100">
        <v>1.18</v>
      </c>
      <c r="G36" s="100">
        <v>35.119999999999997</v>
      </c>
      <c r="H36" s="100">
        <v>19.739999999999998</v>
      </c>
      <c r="I36" s="100">
        <v>17.57</v>
      </c>
      <c r="J36" s="100">
        <v>0.15</v>
      </c>
      <c r="K36" s="100">
        <v>200.69</v>
      </c>
      <c r="L36" s="100">
        <v>15.33</v>
      </c>
      <c r="M36" s="100">
        <v>93.41</v>
      </c>
      <c r="N36" s="100">
        <v>31.8</v>
      </c>
      <c r="O36" s="100">
        <v>0</v>
      </c>
      <c r="P36" s="100">
        <v>1.05</v>
      </c>
      <c r="Q36" s="100">
        <v>9.32</v>
      </c>
      <c r="R36" s="6"/>
      <c r="S36" s="6"/>
      <c r="T36" s="156"/>
      <c r="U36" s="6"/>
    </row>
    <row r="37" spans="1:21" customFormat="1">
      <c r="A37" s="163" t="s">
        <v>1907</v>
      </c>
      <c r="B37" s="100">
        <v>23.59</v>
      </c>
      <c r="C37" s="100">
        <v>16.190000000000001</v>
      </c>
      <c r="D37" s="100">
        <v>27.37</v>
      </c>
      <c r="E37" s="100">
        <v>5.7</v>
      </c>
      <c r="F37" s="100">
        <v>1.31</v>
      </c>
      <c r="G37" s="100">
        <v>38.44</v>
      </c>
      <c r="H37" s="100">
        <v>20.13</v>
      </c>
      <c r="I37" s="100">
        <v>17.57</v>
      </c>
      <c r="J37" s="100">
        <v>0.16</v>
      </c>
      <c r="K37" s="100">
        <v>230.44</v>
      </c>
      <c r="L37" s="100">
        <v>15.59</v>
      </c>
      <c r="M37" s="100">
        <v>93</v>
      </c>
      <c r="N37" s="100">
        <v>41.2</v>
      </c>
      <c r="O37" s="100">
        <v>0</v>
      </c>
      <c r="P37" s="100">
        <v>1.06</v>
      </c>
      <c r="Q37" s="100">
        <v>9.32</v>
      </c>
      <c r="R37" s="6"/>
      <c r="S37" s="6"/>
      <c r="T37" s="156"/>
      <c r="U37" s="6"/>
    </row>
    <row r="38" spans="1:21" customFormat="1">
      <c r="A38" s="163" t="s">
        <v>1908</v>
      </c>
      <c r="B38" s="100">
        <v>25.26</v>
      </c>
      <c r="C38" s="100">
        <v>16.55</v>
      </c>
      <c r="D38" s="100">
        <v>28.9</v>
      </c>
      <c r="E38" s="100">
        <v>5.71</v>
      </c>
      <c r="F38" s="100">
        <v>1.25</v>
      </c>
      <c r="G38" s="100">
        <v>38.64</v>
      </c>
      <c r="H38" s="100">
        <v>20.13</v>
      </c>
      <c r="I38" s="100">
        <v>17.62</v>
      </c>
      <c r="J38" s="100">
        <v>0.17</v>
      </c>
      <c r="K38" s="100">
        <v>158.22999999999999</v>
      </c>
      <c r="L38" s="100">
        <v>15.89</v>
      </c>
      <c r="M38" s="100">
        <v>92.93</v>
      </c>
      <c r="N38" s="100">
        <v>51.2</v>
      </c>
      <c r="O38" s="100">
        <v>0</v>
      </c>
      <c r="P38" s="100">
        <v>1.07</v>
      </c>
      <c r="Q38" s="100">
        <v>9.32</v>
      </c>
      <c r="R38" s="6"/>
      <c r="S38" s="6"/>
      <c r="T38" s="156"/>
      <c r="U38" s="6"/>
    </row>
    <row r="39" spans="1:21" customFormat="1">
      <c r="A39" s="163" t="s">
        <v>1909</v>
      </c>
      <c r="B39" s="100">
        <v>25.66</v>
      </c>
      <c r="C39" s="100">
        <v>16.71</v>
      </c>
      <c r="D39" s="100">
        <v>29.31</v>
      </c>
      <c r="E39" s="100">
        <v>6.03</v>
      </c>
      <c r="F39" s="100">
        <v>1.34</v>
      </c>
      <c r="G39" s="100">
        <v>38.64</v>
      </c>
      <c r="H39" s="100">
        <v>20.13</v>
      </c>
      <c r="I39" s="100">
        <v>20.07</v>
      </c>
      <c r="J39" s="100">
        <v>0.19</v>
      </c>
      <c r="K39" s="100">
        <v>156.09</v>
      </c>
      <c r="L39" s="100">
        <v>16.649999999999999</v>
      </c>
      <c r="M39" s="100">
        <v>93.42</v>
      </c>
      <c r="N39" s="100">
        <v>62.5</v>
      </c>
      <c r="O39" s="100">
        <v>0</v>
      </c>
      <c r="P39" s="100">
        <v>1.08</v>
      </c>
      <c r="Q39" s="100">
        <v>9.32</v>
      </c>
      <c r="R39" s="6"/>
      <c r="S39" s="6"/>
      <c r="T39" s="156"/>
      <c r="U39" s="6"/>
    </row>
    <row r="40" spans="1:21" customFormat="1">
      <c r="A40" s="163" t="s">
        <v>1910</v>
      </c>
      <c r="B40" s="100">
        <v>25.53</v>
      </c>
      <c r="C40" s="100">
        <v>16.850000000000001</v>
      </c>
      <c r="D40" s="100">
        <v>29.28</v>
      </c>
      <c r="E40" s="100">
        <v>5.71</v>
      </c>
      <c r="F40" s="100">
        <v>1.33</v>
      </c>
      <c r="G40" s="100">
        <v>38.64</v>
      </c>
      <c r="H40" s="100">
        <v>20.13</v>
      </c>
      <c r="I40" s="100">
        <v>20.41</v>
      </c>
      <c r="J40" s="100">
        <v>0.16</v>
      </c>
      <c r="K40" s="100">
        <v>120.18</v>
      </c>
      <c r="L40" s="100">
        <v>17.38</v>
      </c>
      <c r="M40" s="100">
        <v>91</v>
      </c>
      <c r="N40" s="100">
        <v>72.900000000000006</v>
      </c>
      <c r="O40" s="100">
        <v>0</v>
      </c>
      <c r="P40" s="100">
        <v>1.1100000000000001</v>
      </c>
      <c r="Q40" s="100">
        <v>9.32</v>
      </c>
      <c r="R40" s="6"/>
      <c r="S40" s="6"/>
      <c r="T40" s="156"/>
      <c r="U40" s="6"/>
    </row>
    <row r="41" spans="1:21" customFormat="1">
      <c r="A41" s="163" t="s">
        <v>1911</v>
      </c>
      <c r="B41" s="100">
        <v>25.83</v>
      </c>
      <c r="C41" s="100">
        <v>17.48</v>
      </c>
      <c r="D41" s="100">
        <v>29.85</v>
      </c>
      <c r="E41" s="100">
        <v>5.6</v>
      </c>
      <c r="F41" s="100">
        <v>1.33</v>
      </c>
      <c r="G41" s="100">
        <v>37.14</v>
      </c>
      <c r="H41" s="100">
        <v>20.92</v>
      </c>
      <c r="I41" s="100">
        <v>17.88</v>
      </c>
      <c r="J41" s="100">
        <v>0.51</v>
      </c>
      <c r="K41" s="100">
        <v>46.55</v>
      </c>
      <c r="L41" s="100">
        <v>18.97</v>
      </c>
      <c r="M41" s="100">
        <v>71.97</v>
      </c>
      <c r="N41" s="100">
        <v>158.5</v>
      </c>
      <c r="O41" s="100">
        <v>0</v>
      </c>
      <c r="P41" s="100">
        <v>1.1200000000000001</v>
      </c>
      <c r="Q41" s="100">
        <v>9.32</v>
      </c>
      <c r="R41" s="6"/>
      <c r="S41" s="6"/>
      <c r="T41" s="156"/>
      <c r="U41" s="6"/>
    </row>
    <row r="42" spans="1:21" customFormat="1">
      <c r="A42" s="163" t="s">
        <v>1912</v>
      </c>
      <c r="B42" s="100">
        <v>25.81</v>
      </c>
      <c r="C42" s="100">
        <v>18.149999999999999</v>
      </c>
      <c r="D42" s="100">
        <v>30.18</v>
      </c>
      <c r="E42" s="100">
        <v>5.75</v>
      </c>
      <c r="F42" s="100">
        <v>1.23</v>
      </c>
      <c r="G42" s="100">
        <v>37.049999999999997</v>
      </c>
      <c r="H42" s="100">
        <v>20.92</v>
      </c>
      <c r="I42" s="100">
        <v>17.87</v>
      </c>
      <c r="J42" s="100">
        <v>0.51</v>
      </c>
      <c r="K42" s="100">
        <v>45.93</v>
      </c>
      <c r="L42" s="100">
        <v>20.12</v>
      </c>
      <c r="M42" s="100">
        <v>63.7</v>
      </c>
      <c r="N42" s="100">
        <v>225.6</v>
      </c>
      <c r="O42" s="100">
        <v>0</v>
      </c>
      <c r="P42" s="100">
        <v>1.1399999999999999</v>
      </c>
      <c r="Q42" s="100">
        <v>9.32</v>
      </c>
      <c r="R42" s="6"/>
      <c r="S42" s="6"/>
      <c r="T42" s="156"/>
      <c r="U42" s="6"/>
    </row>
    <row r="43" spans="1:21" customFormat="1">
      <c r="A43" s="163" t="s">
        <v>1913</v>
      </c>
      <c r="B43" s="100">
        <v>25.18</v>
      </c>
      <c r="C43" s="100">
        <v>18.809999999999999</v>
      </c>
      <c r="D43" s="100">
        <v>30.02</v>
      </c>
      <c r="E43" s="100">
        <v>5.72</v>
      </c>
      <c r="F43" s="100">
        <v>1.1399999999999999</v>
      </c>
      <c r="G43" s="100">
        <v>37.049999999999997</v>
      </c>
      <c r="H43" s="100">
        <v>20.92</v>
      </c>
      <c r="I43" s="100">
        <v>18</v>
      </c>
      <c r="J43" s="100">
        <v>0.57999999999999996</v>
      </c>
      <c r="K43" s="100">
        <v>51.51</v>
      </c>
      <c r="L43" s="100">
        <v>21.22</v>
      </c>
      <c r="M43" s="100">
        <v>58.41</v>
      </c>
      <c r="N43" s="100">
        <v>266.2</v>
      </c>
      <c r="O43" s="100">
        <v>0</v>
      </c>
      <c r="P43" s="100">
        <v>1.1499999999999999</v>
      </c>
      <c r="Q43" s="100">
        <v>9.32</v>
      </c>
      <c r="R43" s="6"/>
      <c r="S43" s="6"/>
      <c r="T43" s="156"/>
      <c r="U43" s="6"/>
    </row>
    <row r="44" spans="1:21" customFormat="1">
      <c r="A44" s="163" t="s">
        <v>1914</v>
      </c>
      <c r="B44" s="100">
        <v>24.35</v>
      </c>
      <c r="C44" s="100">
        <v>19.22</v>
      </c>
      <c r="D44" s="100">
        <v>29.57</v>
      </c>
      <c r="E44" s="100">
        <v>5.85</v>
      </c>
      <c r="F44" s="100">
        <v>1.26</v>
      </c>
      <c r="G44" s="100">
        <v>37.049999999999997</v>
      </c>
      <c r="H44" s="100">
        <v>20.92</v>
      </c>
      <c r="I44" s="100">
        <v>18.18</v>
      </c>
      <c r="J44" s="100">
        <v>0.64</v>
      </c>
      <c r="K44" s="100">
        <v>51.92</v>
      </c>
      <c r="L44" s="100">
        <v>22.42</v>
      </c>
      <c r="M44" s="100">
        <v>52.05</v>
      </c>
      <c r="N44" s="100">
        <v>287.10000000000002</v>
      </c>
      <c r="O44" s="100">
        <v>0</v>
      </c>
      <c r="P44" s="100">
        <v>1.1499999999999999</v>
      </c>
      <c r="Q44" s="100">
        <v>9.32</v>
      </c>
      <c r="R44" s="6"/>
      <c r="S44" s="6"/>
      <c r="T44" s="156"/>
      <c r="U44" s="6"/>
    </row>
    <row r="45" spans="1:21" customFormat="1">
      <c r="A45" s="163" t="s">
        <v>1915</v>
      </c>
      <c r="B45" s="100">
        <v>23.44</v>
      </c>
      <c r="C45" s="100">
        <v>19.420000000000002</v>
      </c>
      <c r="D45" s="100">
        <v>28.94</v>
      </c>
      <c r="E45" s="100">
        <v>5.67</v>
      </c>
      <c r="F45" s="100">
        <v>1.2</v>
      </c>
      <c r="G45" s="100">
        <v>50</v>
      </c>
      <c r="H45" s="100">
        <v>21.51</v>
      </c>
      <c r="I45" s="100">
        <v>18.190000000000001</v>
      </c>
      <c r="J45" s="100">
        <v>0.57999999999999996</v>
      </c>
      <c r="K45" s="100">
        <v>48.11</v>
      </c>
      <c r="L45" s="100">
        <v>23.39</v>
      </c>
      <c r="M45" s="100">
        <v>46.65</v>
      </c>
      <c r="N45" s="100">
        <v>165</v>
      </c>
      <c r="O45" s="100">
        <v>0</v>
      </c>
      <c r="P45" s="100">
        <v>1.1299999999999999</v>
      </c>
      <c r="Q45" s="100">
        <v>9.32</v>
      </c>
      <c r="R45" s="6"/>
      <c r="S45" s="6"/>
      <c r="T45" s="156"/>
      <c r="U45" s="6"/>
    </row>
    <row r="46" spans="1:21" customFormat="1">
      <c r="A46" s="163" t="s">
        <v>1916</v>
      </c>
      <c r="B46" s="100">
        <v>22.43</v>
      </c>
      <c r="C46" s="100">
        <v>19.34</v>
      </c>
      <c r="D46" s="100">
        <v>28.09</v>
      </c>
      <c r="E46" s="100">
        <v>5.82</v>
      </c>
      <c r="F46" s="100">
        <v>1.34</v>
      </c>
      <c r="G46" s="100">
        <v>50.76</v>
      </c>
      <c r="H46" s="100">
        <v>21.51</v>
      </c>
      <c r="I46" s="100">
        <v>18</v>
      </c>
      <c r="J46" s="100">
        <v>0.67</v>
      </c>
      <c r="K46" s="100">
        <v>40.869999999999997</v>
      </c>
      <c r="L46" s="100">
        <v>24.47</v>
      </c>
      <c r="M46" s="100">
        <v>40.64</v>
      </c>
      <c r="N46" s="100">
        <v>118.9</v>
      </c>
      <c r="O46" s="100">
        <v>0</v>
      </c>
      <c r="P46" s="100">
        <v>1.1000000000000001</v>
      </c>
      <c r="Q46" s="100">
        <v>9.32</v>
      </c>
      <c r="R46" s="6"/>
      <c r="S46" s="6"/>
      <c r="T46" s="156"/>
      <c r="U46" s="6"/>
    </row>
    <row r="47" spans="1:21" customFormat="1">
      <c r="A47" s="163" t="s">
        <v>1917</v>
      </c>
      <c r="B47" s="100">
        <v>21.45</v>
      </c>
      <c r="C47" s="100">
        <v>19.25</v>
      </c>
      <c r="D47" s="100">
        <v>27.26</v>
      </c>
      <c r="E47" s="100">
        <v>5.5</v>
      </c>
      <c r="F47" s="100">
        <v>1.41</v>
      </c>
      <c r="G47" s="100">
        <v>50.76</v>
      </c>
      <c r="H47" s="100">
        <v>21.51</v>
      </c>
      <c r="I47" s="100">
        <v>17.690000000000001</v>
      </c>
      <c r="J47" s="100">
        <v>0.96</v>
      </c>
      <c r="K47" s="100">
        <v>49</v>
      </c>
      <c r="L47" s="100">
        <v>24.92</v>
      </c>
      <c r="M47" s="100">
        <v>38.24</v>
      </c>
      <c r="N47" s="100">
        <v>123.5</v>
      </c>
      <c r="O47" s="100">
        <v>0</v>
      </c>
      <c r="P47" s="100">
        <v>1.0900000000000001</v>
      </c>
      <c r="Q47" s="100">
        <v>9.32</v>
      </c>
      <c r="R47" s="6"/>
      <c r="S47" s="6"/>
      <c r="T47" s="156"/>
      <c r="U47" s="6"/>
    </row>
    <row r="48" spans="1:21" customFormat="1">
      <c r="A48" s="163" t="s">
        <v>1918</v>
      </c>
      <c r="B48" s="100">
        <v>20.62</v>
      </c>
      <c r="C48" s="100">
        <v>19.32</v>
      </c>
      <c r="D48" s="100">
        <v>26.63</v>
      </c>
      <c r="E48" s="100">
        <v>5.93</v>
      </c>
      <c r="F48" s="100">
        <v>1.34</v>
      </c>
      <c r="G48" s="100">
        <v>50.76</v>
      </c>
      <c r="H48" s="100">
        <v>21.51</v>
      </c>
      <c r="I48" s="100">
        <v>17.309999999999999</v>
      </c>
      <c r="J48" s="100">
        <v>0.87</v>
      </c>
      <c r="K48" s="100">
        <v>47.01</v>
      </c>
      <c r="L48" s="100">
        <v>25.67</v>
      </c>
      <c r="M48" s="100">
        <v>37.33</v>
      </c>
      <c r="N48" s="100">
        <v>150.9</v>
      </c>
      <c r="O48" s="100">
        <v>0</v>
      </c>
      <c r="P48" s="100">
        <v>1.06</v>
      </c>
      <c r="Q48" s="100">
        <v>9.32</v>
      </c>
      <c r="R48" s="6"/>
      <c r="S48" s="6"/>
      <c r="T48" s="156"/>
      <c r="U48" s="6"/>
    </row>
    <row r="49" spans="1:21" customFormat="1">
      <c r="A49" s="163" t="s">
        <v>1919</v>
      </c>
      <c r="B49" s="100">
        <v>19.96</v>
      </c>
      <c r="C49" s="100">
        <v>19.440000000000001</v>
      </c>
      <c r="D49" s="100">
        <v>26.16</v>
      </c>
      <c r="E49" s="100">
        <v>4.96</v>
      </c>
      <c r="F49" s="100">
        <v>1.23</v>
      </c>
      <c r="G49" s="100">
        <v>32.020000000000003</v>
      </c>
      <c r="H49" s="100">
        <v>18.34</v>
      </c>
      <c r="I49" s="100">
        <v>16.95</v>
      </c>
      <c r="J49" s="100">
        <v>0.73</v>
      </c>
      <c r="K49" s="100">
        <v>52.51</v>
      </c>
      <c r="L49" s="100">
        <v>26.25</v>
      </c>
      <c r="M49" s="100">
        <v>36.700000000000003</v>
      </c>
      <c r="N49" s="100">
        <v>421.2</v>
      </c>
      <c r="O49" s="100">
        <v>0</v>
      </c>
      <c r="P49" s="100">
        <v>1.04</v>
      </c>
      <c r="Q49" s="100">
        <v>9.32</v>
      </c>
      <c r="R49" s="6"/>
      <c r="S49" s="6"/>
      <c r="T49" s="156"/>
      <c r="U49" s="6"/>
    </row>
    <row r="50" spans="1:21" customFormat="1">
      <c r="A50" s="163" t="s">
        <v>1920</v>
      </c>
      <c r="B50" s="100">
        <v>19.5</v>
      </c>
      <c r="C50" s="100">
        <v>19.399999999999999</v>
      </c>
      <c r="D50" s="100">
        <v>25.77</v>
      </c>
      <c r="E50" s="100">
        <v>6.12</v>
      </c>
      <c r="F50" s="100">
        <v>1.27</v>
      </c>
      <c r="G50" s="100">
        <v>30.92</v>
      </c>
      <c r="H50" s="100">
        <v>18.34</v>
      </c>
      <c r="I50" s="100">
        <v>16.579999999999998</v>
      </c>
      <c r="J50" s="100">
        <v>0.98</v>
      </c>
      <c r="K50" s="100">
        <v>49.79</v>
      </c>
      <c r="L50" s="100">
        <v>26.51</v>
      </c>
      <c r="M50" s="100">
        <v>36.43</v>
      </c>
      <c r="N50" s="100">
        <v>492.1</v>
      </c>
      <c r="O50" s="100">
        <v>0</v>
      </c>
      <c r="P50" s="100">
        <v>1.02</v>
      </c>
      <c r="Q50" s="100">
        <v>9.32</v>
      </c>
      <c r="R50" s="6"/>
      <c r="S50" s="6"/>
      <c r="T50" s="156"/>
      <c r="U50" s="6"/>
    </row>
    <row r="51" spans="1:21" customFormat="1">
      <c r="A51" s="163" t="s">
        <v>1921</v>
      </c>
      <c r="B51" s="100">
        <v>18.8</v>
      </c>
      <c r="C51" s="100">
        <v>19.64</v>
      </c>
      <c r="D51" s="100">
        <v>25.34</v>
      </c>
      <c r="E51" s="100">
        <v>6.49</v>
      </c>
      <c r="F51" s="100">
        <v>1.39</v>
      </c>
      <c r="G51" s="100">
        <v>30.92</v>
      </c>
      <c r="H51" s="100">
        <v>18.34</v>
      </c>
      <c r="I51" s="100">
        <v>16.239999999999998</v>
      </c>
      <c r="J51" s="100">
        <v>1.06</v>
      </c>
      <c r="K51" s="100">
        <v>39.369999999999997</v>
      </c>
      <c r="L51" s="100">
        <v>26.79</v>
      </c>
      <c r="M51" s="100">
        <v>36.700000000000003</v>
      </c>
      <c r="N51" s="100">
        <v>522</v>
      </c>
      <c r="O51" s="100">
        <v>0</v>
      </c>
      <c r="P51" s="100">
        <v>0.99</v>
      </c>
      <c r="Q51" s="100">
        <v>9.32</v>
      </c>
      <c r="R51" s="6"/>
      <c r="S51" s="6"/>
      <c r="T51" s="156"/>
      <c r="U51" s="6"/>
    </row>
    <row r="52" spans="1:21" customFormat="1">
      <c r="A52" s="163" t="s">
        <v>1922</v>
      </c>
      <c r="B52" s="100">
        <v>18.03</v>
      </c>
      <c r="C52" s="100">
        <v>19.84</v>
      </c>
      <c r="D52" s="100">
        <v>24.82</v>
      </c>
      <c r="E52" s="100">
        <v>6.26</v>
      </c>
      <c r="F52" s="100">
        <v>1.48</v>
      </c>
      <c r="G52" s="100">
        <v>30.92</v>
      </c>
      <c r="H52" s="100">
        <v>18.34</v>
      </c>
      <c r="I52" s="100">
        <v>15.91</v>
      </c>
      <c r="J52" s="100">
        <v>0.45</v>
      </c>
      <c r="K52" s="100">
        <v>60</v>
      </c>
      <c r="L52" s="100">
        <v>27.58</v>
      </c>
      <c r="M52" s="100">
        <v>34.479999999999997</v>
      </c>
      <c r="N52" s="100">
        <v>552.20000000000005</v>
      </c>
      <c r="O52" s="100">
        <v>0</v>
      </c>
      <c r="P52" s="100">
        <v>0.96</v>
      </c>
      <c r="Q52" s="100">
        <v>9.32</v>
      </c>
      <c r="R52" s="6"/>
      <c r="S52" s="6"/>
      <c r="T52" s="156"/>
      <c r="U52" s="6"/>
    </row>
    <row r="53" spans="1:21" customFormat="1">
      <c r="A53" s="163" t="s">
        <v>1923</v>
      </c>
      <c r="B53" s="100">
        <v>17.32</v>
      </c>
      <c r="C53" s="100">
        <v>19.690000000000001</v>
      </c>
      <c r="D53" s="100">
        <v>24.18</v>
      </c>
      <c r="E53" s="100">
        <v>6.42</v>
      </c>
      <c r="F53" s="100">
        <v>1.5</v>
      </c>
      <c r="G53" s="100">
        <v>31.26</v>
      </c>
      <c r="H53" s="100">
        <v>15.19</v>
      </c>
      <c r="I53" s="100">
        <v>15.55</v>
      </c>
      <c r="J53" s="100">
        <v>0.61</v>
      </c>
      <c r="K53" s="100">
        <v>39.409999999999997</v>
      </c>
      <c r="L53" s="100">
        <v>27.96</v>
      </c>
      <c r="M53" s="100">
        <v>32.46</v>
      </c>
      <c r="N53" s="100">
        <v>509.7</v>
      </c>
      <c r="O53" s="100">
        <v>0</v>
      </c>
      <c r="P53" s="100">
        <v>0.94</v>
      </c>
      <c r="Q53" s="100">
        <v>9.32</v>
      </c>
      <c r="R53" s="6"/>
      <c r="S53" s="6"/>
      <c r="T53" s="156"/>
      <c r="U53" s="6"/>
    </row>
    <row r="54" spans="1:21" customFormat="1">
      <c r="A54" s="163" t="s">
        <v>1924</v>
      </c>
      <c r="B54" s="100">
        <v>16.53</v>
      </c>
      <c r="C54" s="100">
        <v>19.73</v>
      </c>
      <c r="D54" s="100">
        <v>23.56</v>
      </c>
      <c r="E54" s="100">
        <v>6.67</v>
      </c>
      <c r="F54" s="100">
        <v>2.48</v>
      </c>
      <c r="G54" s="100">
        <v>31.28</v>
      </c>
      <c r="H54" s="100">
        <v>15.19</v>
      </c>
      <c r="I54" s="100">
        <v>15.22</v>
      </c>
      <c r="J54" s="100">
        <v>0.7</v>
      </c>
      <c r="K54" s="100">
        <v>42.24</v>
      </c>
      <c r="L54" s="100">
        <v>27.95</v>
      </c>
      <c r="M54" s="100">
        <v>30.72</v>
      </c>
      <c r="N54" s="100">
        <v>576.1</v>
      </c>
      <c r="O54" s="100">
        <v>0</v>
      </c>
      <c r="P54" s="100">
        <v>0.91</v>
      </c>
      <c r="Q54" s="100">
        <v>9.32</v>
      </c>
      <c r="R54" s="6"/>
      <c r="S54" s="6"/>
      <c r="T54" s="156"/>
      <c r="U54" s="6"/>
    </row>
    <row r="55" spans="1:21" customFormat="1">
      <c r="A55" s="163" t="s">
        <v>1925</v>
      </c>
      <c r="B55" s="100">
        <v>15.68</v>
      </c>
      <c r="C55" s="100">
        <v>19.739999999999998</v>
      </c>
      <c r="D55" s="100">
        <v>22.89</v>
      </c>
      <c r="E55" s="100">
        <v>6.12</v>
      </c>
      <c r="F55" s="100">
        <v>1.91</v>
      </c>
      <c r="G55" s="100">
        <v>31.28</v>
      </c>
      <c r="H55" s="100">
        <v>15.19</v>
      </c>
      <c r="I55" s="100">
        <v>14.88</v>
      </c>
      <c r="J55" s="100">
        <v>0.71</v>
      </c>
      <c r="K55" s="100">
        <v>55.37</v>
      </c>
      <c r="L55" s="100">
        <v>28.72</v>
      </c>
      <c r="M55" s="100">
        <v>29.82</v>
      </c>
      <c r="N55" s="100">
        <v>583.9</v>
      </c>
      <c r="O55" s="100">
        <v>0</v>
      </c>
      <c r="P55" s="100">
        <v>0.89</v>
      </c>
      <c r="Q55" s="100">
        <v>9.32</v>
      </c>
      <c r="R55" s="6"/>
      <c r="S55" s="6"/>
      <c r="T55" s="156"/>
      <c r="U55" s="6"/>
    </row>
    <row r="56" spans="1:21" customFormat="1">
      <c r="A56" s="163" t="s">
        <v>1926</v>
      </c>
      <c r="B56" s="100">
        <v>14.89</v>
      </c>
      <c r="C56" s="100">
        <v>19.690000000000001</v>
      </c>
      <c r="D56" s="100">
        <v>22.23</v>
      </c>
      <c r="E56" s="100">
        <v>6.19</v>
      </c>
      <c r="F56" s="100">
        <v>1.72</v>
      </c>
      <c r="G56" s="100">
        <v>31.28</v>
      </c>
      <c r="H56" s="100">
        <v>15.19</v>
      </c>
      <c r="I56" s="100">
        <v>14.51</v>
      </c>
      <c r="J56" s="100">
        <v>0.39</v>
      </c>
      <c r="K56" s="100">
        <v>66.489999999999995</v>
      </c>
      <c r="L56" s="100">
        <v>29.02</v>
      </c>
      <c r="M56" s="100">
        <v>28.11</v>
      </c>
      <c r="N56" s="100">
        <v>601.79999999999995</v>
      </c>
      <c r="O56" s="100">
        <v>0</v>
      </c>
      <c r="P56" s="100">
        <v>0.86</v>
      </c>
      <c r="Q56" s="100">
        <v>9.32</v>
      </c>
      <c r="R56" s="6"/>
      <c r="S56" s="6"/>
      <c r="T56" s="156"/>
      <c r="U56" s="6"/>
    </row>
    <row r="57" spans="1:21" customFormat="1">
      <c r="A57" s="163" t="s">
        <v>1927</v>
      </c>
      <c r="B57" s="100">
        <v>14.19</v>
      </c>
      <c r="C57" s="100">
        <v>19.64</v>
      </c>
      <c r="D57" s="100">
        <v>21.64</v>
      </c>
      <c r="E57" s="100">
        <v>6.36</v>
      </c>
      <c r="F57" s="100">
        <v>1.85</v>
      </c>
      <c r="G57" s="100">
        <v>24.51</v>
      </c>
      <c r="H57" s="100">
        <v>12.23</v>
      </c>
      <c r="I57" s="100">
        <v>15.82</v>
      </c>
      <c r="J57" s="100">
        <v>0.66</v>
      </c>
      <c r="K57" s="100">
        <v>13.18</v>
      </c>
      <c r="L57" s="100">
        <v>28.91</v>
      </c>
      <c r="M57" s="100">
        <v>27.24</v>
      </c>
      <c r="N57" s="100">
        <v>591</v>
      </c>
      <c r="O57" s="100">
        <v>0</v>
      </c>
      <c r="P57" s="100">
        <v>0.84</v>
      </c>
      <c r="Q57" s="100">
        <v>9.32</v>
      </c>
      <c r="R57" s="6"/>
      <c r="S57" s="6"/>
      <c r="T57" s="156"/>
      <c r="U57" s="6"/>
    </row>
    <row r="58" spans="1:21" customFormat="1">
      <c r="A58" s="163" t="s">
        <v>1928</v>
      </c>
      <c r="B58" s="100">
        <v>13.38</v>
      </c>
      <c r="C58" s="100">
        <v>19.55</v>
      </c>
      <c r="D58" s="100">
        <v>20.94</v>
      </c>
      <c r="E58" s="100">
        <v>6.19</v>
      </c>
      <c r="F58" s="100">
        <v>2.0099999999999998</v>
      </c>
      <c r="G58" s="100">
        <v>24.11</v>
      </c>
      <c r="H58" s="100">
        <v>12.23</v>
      </c>
      <c r="I58" s="100">
        <v>17.28</v>
      </c>
      <c r="J58" s="100">
        <v>0.42</v>
      </c>
      <c r="K58" s="100">
        <v>358.01</v>
      </c>
      <c r="L58" s="100">
        <v>29.12</v>
      </c>
      <c r="M58" s="100">
        <v>26.61</v>
      </c>
      <c r="N58" s="100">
        <v>568.1</v>
      </c>
      <c r="O58" s="100">
        <v>0</v>
      </c>
      <c r="P58" s="100">
        <v>0.81</v>
      </c>
      <c r="Q58" s="100">
        <v>9.32</v>
      </c>
      <c r="R58" s="6"/>
      <c r="S58" s="6"/>
      <c r="T58" s="156"/>
      <c r="U58" s="6"/>
    </row>
    <row r="59" spans="1:21" customFormat="1">
      <c r="A59" s="163" t="s">
        <v>1929</v>
      </c>
      <c r="B59" s="100">
        <v>12.4</v>
      </c>
      <c r="C59" s="100">
        <v>19.7</v>
      </c>
      <c r="D59" s="100">
        <v>20.239999999999998</v>
      </c>
      <c r="E59" s="100">
        <v>6.03</v>
      </c>
      <c r="F59" s="100">
        <v>1.79</v>
      </c>
      <c r="G59" s="100">
        <v>24.11</v>
      </c>
      <c r="H59" s="100">
        <v>12.23</v>
      </c>
      <c r="I59" s="100">
        <v>16.98</v>
      </c>
      <c r="J59" s="100">
        <v>0.65</v>
      </c>
      <c r="K59" s="100">
        <v>29.81</v>
      </c>
      <c r="L59" s="100">
        <v>29.48</v>
      </c>
      <c r="M59" s="100">
        <v>26.15</v>
      </c>
      <c r="N59" s="100">
        <v>573.4</v>
      </c>
      <c r="O59" s="100">
        <v>0</v>
      </c>
      <c r="P59" s="100">
        <v>0.77</v>
      </c>
      <c r="Q59" s="100">
        <v>9.32</v>
      </c>
      <c r="R59" s="6"/>
      <c r="S59" s="6"/>
      <c r="T59" s="156"/>
      <c r="U59" s="6"/>
    </row>
    <row r="60" spans="1:21" customFormat="1">
      <c r="A60" s="163" t="s">
        <v>1930</v>
      </c>
      <c r="B60" s="100">
        <v>11.38</v>
      </c>
      <c r="C60" s="100">
        <v>20.190000000000001</v>
      </c>
      <c r="D60" s="100">
        <v>19.670000000000002</v>
      </c>
      <c r="E60" s="100">
        <v>6.27</v>
      </c>
      <c r="F60" s="100">
        <v>1.93</v>
      </c>
      <c r="G60" s="100">
        <v>24.11</v>
      </c>
      <c r="H60" s="100">
        <v>12.23</v>
      </c>
      <c r="I60" s="100">
        <v>16.61</v>
      </c>
      <c r="J60" s="100">
        <v>0.89</v>
      </c>
      <c r="K60" s="100">
        <v>45.78</v>
      </c>
      <c r="L60" s="100">
        <v>29.71</v>
      </c>
      <c r="M60" s="100">
        <v>24.94</v>
      </c>
      <c r="N60" s="100">
        <v>518</v>
      </c>
      <c r="O60" s="100">
        <v>0</v>
      </c>
      <c r="P60" s="100">
        <v>0.74</v>
      </c>
      <c r="Q60" s="100">
        <v>9.32</v>
      </c>
      <c r="R60" s="6"/>
      <c r="S60" s="6"/>
      <c r="T60" s="156"/>
      <c r="U60" s="6"/>
    </row>
    <row r="61" spans="1:21" customFormat="1">
      <c r="A61" s="163" t="s">
        <v>1931</v>
      </c>
      <c r="B61" s="100">
        <v>10.49</v>
      </c>
      <c r="C61" s="100">
        <v>20.41</v>
      </c>
      <c r="D61" s="100">
        <v>19.079999999999998</v>
      </c>
      <c r="E61" s="100">
        <v>6.07</v>
      </c>
      <c r="F61" s="100">
        <v>2.11</v>
      </c>
      <c r="G61" s="100">
        <v>18.3</v>
      </c>
      <c r="H61" s="100">
        <v>8.4499999999999993</v>
      </c>
      <c r="I61" s="100">
        <v>16.16</v>
      </c>
      <c r="J61" s="100">
        <v>0.64</v>
      </c>
      <c r="K61" s="100">
        <v>53.49</v>
      </c>
      <c r="L61" s="100">
        <v>29.91</v>
      </c>
      <c r="M61" s="100">
        <v>24.66</v>
      </c>
      <c r="N61" s="100">
        <v>397.5</v>
      </c>
      <c r="O61" s="100">
        <v>0</v>
      </c>
      <c r="P61" s="100">
        <v>0.72</v>
      </c>
      <c r="Q61" s="100">
        <v>9.32</v>
      </c>
      <c r="R61" s="6"/>
      <c r="S61" s="6"/>
      <c r="T61" s="156"/>
      <c r="U61" s="6"/>
    </row>
    <row r="62" spans="1:21" customFormat="1">
      <c r="A62" s="163" t="s">
        <v>1932</v>
      </c>
      <c r="B62" s="100">
        <v>9.67</v>
      </c>
      <c r="C62" s="100">
        <v>20.47</v>
      </c>
      <c r="D62" s="100">
        <v>18.45</v>
      </c>
      <c r="E62" s="100">
        <v>6.15</v>
      </c>
      <c r="F62" s="100">
        <v>2.08</v>
      </c>
      <c r="G62" s="100">
        <v>17.96</v>
      </c>
      <c r="H62" s="100">
        <v>8.4499999999999993</v>
      </c>
      <c r="I62" s="100">
        <v>15.67</v>
      </c>
      <c r="J62" s="100">
        <v>0.43</v>
      </c>
      <c r="K62" s="100">
        <v>41.73</v>
      </c>
      <c r="L62" s="100">
        <v>29.59</v>
      </c>
      <c r="M62" s="100">
        <v>24.53</v>
      </c>
      <c r="N62" s="100">
        <v>165.9</v>
      </c>
      <c r="O62" s="100">
        <v>0</v>
      </c>
      <c r="P62" s="100">
        <v>0.69</v>
      </c>
      <c r="Q62" s="100">
        <v>9.32</v>
      </c>
      <c r="R62" s="6"/>
      <c r="S62" s="6"/>
      <c r="T62" s="156"/>
      <c r="U62" s="6"/>
    </row>
    <row r="63" spans="1:21" customFormat="1">
      <c r="A63" s="163" t="s">
        <v>1933</v>
      </c>
      <c r="B63" s="100">
        <v>8.68</v>
      </c>
      <c r="C63" s="100">
        <v>20.54</v>
      </c>
      <c r="D63" s="100">
        <v>17.690000000000001</v>
      </c>
      <c r="E63" s="100">
        <v>5.96</v>
      </c>
      <c r="F63" s="100">
        <v>2.21</v>
      </c>
      <c r="G63" s="100">
        <v>17.96</v>
      </c>
      <c r="H63" s="100">
        <v>8.4499999999999993</v>
      </c>
      <c r="I63" s="100">
        <v>15.28</v>
      </c>
      <c r="J63" s="100">
        <v>0.62</v>
      </c>
      <c r="K63" s="100">
        <v>10.31</v>
      </c>
      <c r="L63" s="100">
        <v>29.37</v>
      </c>
      <c r="M63" s="100">
        <v>24.47</v>
      </c>
      <c r="N63" s="100">
        <v>140</v>
      </c>
      <c r="O63" s="100">
        <v>0</v>
      </c>
      <c r="P63" s="100">
        <v>0.68</v>
      </c>
      <c r="Q63" s="100">
        <v>9.32</v>
      </c>
      <c r="R63" s="6"/>
      <c r="S63" s="6"/>
      <c r="T63" s="156"/>
      <c r="U63" s="6"/>
    </row>
    <row r="64" spans="1:21" customFormat="1">
      <c r="A64" s="163" t="s">
        <v>1934</v>
      </c>
      <c r="B64" s="100">
        <v>7.6</v>
      </c>
      <c r="C64" s="100">
        <v>20.54</v>
      </c>
      <c r="D64" s="100">
        <v>16.829999999999998</v>
      </c>
      <c r="E64" s="100">
        <v>6.12</v>
      </c>
      <c r="F64" s="100">
        <v>2.7</v>
      </c>
      <c r="G64" s="100">
        <v>17.96</v>
      </c>
      <c r="H64" s="100">
        <v>8.4499999999999993</v>
      </c>
      <c r="I64" s="100">
        <v>14.93</v>
      </c>
      <c r="J64" s="100">
        <v>0.67</v>
      </c>
      <c r="K64" s="100">
        <v>42.69</v>
      </c>
      <c r="L64" s="100">
        <v>29.37</v>
      </c>
      <c r="M64" s="100">
        <v>23</v>
      </c>
      <c r="N64" s="100">
        <v>107.6</v>
      </c>
      <c r="O64" s="100">
        <v>0</v>
      </c>
      <c r="P64" s="100">
        <v>0.65</v>
      </c>
      <c r="Q64" s="100">
        <v>9.32</v>
      </c>
      <c r="R64" s="6"/>
      <c r="S64" s="6"/>
      <c r="T64" s="156"/>
      <c r="U64" s="6"/>
    </row>
    <row r="65" spans="1:21" customFormat="1">
      <c r="A65" s="163" t="s">
        <v>1935</v>
      </c>
      <c r="B65" s="100">
        <v>6.53</v>
      </c>
      <c r="C65" s="100">
        <v>20.309999999999999</v>
      </c>
      <c r="D65" s="100">
        <v>15.85</v>
      </c>
      <c r="E65" s="100">
        <v>5.99</v>
      </c>
      <c r="F65" s="100">
        <v>4.09</v>
      </c>
      <c r="G65" s="100">
        <v>18.16</v>
      </c>
      <c r="H65" s="100">
        <v>7.2</v>
      </c>
      <c r="I65" s="100">
        <v>14.31</v>
      </c>
      <c r="J65" s="100">
        <v>0.46</v>
      </c>
      <c r="K65" s="100">
        <v>39.24</v>
      </c>
      <c r="L65" s="100">
        <v>29.43</v>
      </c>
      <c r="M65" s="100">
        <v>21.22</v>
      </c>
      <c r="N65" s="100">
        <v>95.7</v>
      </c>
      <c r="O65" s="100">
        <v>0</v>
      </c>
      <c r="P65" s="100">
        <v>0.59</v>
      </c>
      <c r="Q65" s="100">
        <v>9.32</v>
      </c>
      <c r="R65" s="6"/>
      <c r="S65" s="6"/>
      <c r="T65" s="156"/>
      <c r="U65" s="6"/>
    </row>
    <row r="66" spans="1:21" customFormat="1">
      <c r="A66" s="163" t="s">
        <v>1936</v>
      </c>
      <c r="B66" s="100">
        <v>5.63</v>
      </c>
      <c r="C66" s="100">
        <v>20.09</v>
      </c>
      <c r="D66" s="100">
        <v>15.02</v>
      </c>
      <c r="E66" s="100">
        <v>6.14</v>
      </c>
      <c r="F66" s="100">
        <v>3.61</v>
      </c>
      <c r="G66" s="100">
        <v>18.170000000000002</v>
      </c>
      <c r="H66" s="100">
        <v>7.2</v>
      </c>
      <c r="I66" s="100">
        <v>13.66</v>
      </c>
      <c r="J66" s="100">
        <v>0.9</v>
      </c>
      <c r="K66" s="100">
        <v>48.59</v>
      </c>
      <c r="L66" s="100">
        <v>29.54</v>
      </c>
      <c r="M66" s="100">
        <v>20.89</v>
      </c>
      <c r="N66" s="100">
        <v>100.7</v>
      </c>
      <c r="O66" s="100">
        <v>0</v>
      </c>
      <c r="P66" s="100">
        <v>0.61</v>
      </c>
      <c r="Q66" s="100">
        <v>9.32</v>
      </c>
      <c r="R66" s="6"/>
      <c r="S66" s="6"/>
      <c r="T66" s="156"/>
      <c r="U66" s="6"/>
    </row>
    <row r="67" spans="1:21" customFormat="1">
      <c r="A67" s="163" t="s">
        <v>1937</v>
      </c>
      <c r="B67" s="100">
        <v>5.05</v>
      </c>
      <c r="C67" s="100">
        <v>19.75</v>
      </c>
      <c r="D67" s="100">
        <v>14.37</v>
      </c>
      <c r="E67" s="100">
        <v>5.79</v>
      </c>
      <c r="F67" s="100">
        <v>3.76</v>
      </c>
      <c r="G67" s="100">
        <v>18.170000000000002</v>
      </c>
      <c r="H67" s="100">
        <v>7.2</v>
      </c>
      <c r="I67" s="100">
        <v>13.29</v>
      </c>
      <c r="J67" s="100">
        <v>0.48</v>
      </c>
      <c r="K67" s="100">
        <v>27.08</v>
      </c>
      <c r="L67" s="100">
        <v>29.72</v>
      </c>
      <c r="M67" s="100">
        <v>21.55</v>
      </c>
      <c r="N67" s="100">
        <v>95.6</v>
      </c>
      <c r="O67" s="100">
        <v>0</v>
      </c>
      <c r="P67" s="100">
        <v>0.6</v>
      </c>
      <c r="Q67" s="100">
        <v>9.32</v>
      </c>
      <c r="R67" s="6"/>
      <c r="S67" s="6"/>
      <c r="T67" s="156"/>
      <c r="U67" s="6"/>
    </row>
    <row r="68" spans="1:21" customFormat="1">
      <c r="A68" s="163" t="s">
        <v>1938</v>
      </c>
      <c r="B68" s="100">
        <v>4.54</v>
      </c>
      <c r="C68" s="100">
        <v>19.61</v>
      </c>
      <c r="D68" s="100">
        <v>13.88</v>
      </c>
      <c r="E68" s="100">
        <v>6.12</v>
      </c>
      <c r="F68" s="100">
        <v>3.79</v>
      </c>
      <c r="G68" s="100">
        <v>18.170000000000002</v>
      </c>
      <c r="H68" s="100">
        <v>7.2</v>
      </c>
      <c r="I68" s="100">
        <v>12.95</v>
      </c>
      <c r="J68" s="100">
        <v>0.97</v>
      </c>
      <c r="K68" s="100">
        <v>42.05</v>
      </c>
      <c r="L68" s="100">
        <v>29.56</v>
      </c>
      <c r="M68" s="100">
        <v>21.18</v>
      </c>
      <c r="N68" s="100">
        <v>82.2</v>
      </c>
      <c r="O68" s="100">
        <v>0</v>
      </c>
      <c r="P68" s="100">
        <v>0.59</v>
      </c>
      <c r="Q68" s="100">
        <v>9.32</v>
      </c>
      <c r="R68" s="6"/>
      <c r="S68" s="6"/>
      <c r="T68" s="156"/>
      <c r="U68" s="6"/>
    </row>
    <row r="69" spans="1:21" customFormat="1">
      <c r="A69" s="163" t="s">
        <v>1939</v>
      </c>
      <c r="B69" s="100">
        <v>4.1900000000000004</v>
      </c>
      <c r="C69" s="100">
        <v>19.32</v>
      </c>
      <c r="D69" s="100">
        <v>13.46</v>
      </c>
      <c r="E69" s="100">
        <v>6.08</v>
      </c>
      <c r="F69" s="100">
        <v>3.52</v>
      </c>
      <c r="G69" s="100">
        <v>17.690000000000001</v>
      </c>
      <c r="H69" s="100">
        <v>6.38</v>
      </c>
      <c r="I69" s="100">
        <v>12.59</v>
      </c>
      <c r="J69" s="100">
        <v>0.36</v>
      </c>
      <c r="K69" s="100">
        <v>35.08</v>
      </c>
      <c r="L69" s="100">
        <v>29.58</v>
      </c>
      <c r="M69" s="100">
        <v>21.82</v>
      </c>
      <c r="N69" s="100">
        <v>80.5</v>
      </c>
      <c r="O69" s="100">
        <v>0</v>
      </c>
      <c r="P69" s="100">
        <v>0.56999999999999995</v>
      </c>
      <c r="Q69" s="100">
        <v>9.32</v>
      </c>
      <c r="R69" s="6"/>
      <c r="S69" s="6"/>
      <c r="T69" s="156"/>
      <c r="U69" s="6"/>
    </row>
    <row r="70" spans="1:21" customFormat="1">
      <c r="A70" s="163" t="s">
        <v>1940</v>
      </c>
      <c r="B70" s="100">
        <v>4.01</v>
      </c>
      <c r="C70" s="100">
        <v>18.97</v>
      </c>
      <c r="D70" s="100">
        <v>13.13</v>
      </c>
      <c r="E70" s="100">
        <v>6.02</v>
      </c>
      <c r="F70" s="100">
        <v>3.93</v>
      </c>
      <c r="G70" s="100">
        <v>17.66</v>
      </c>
      <c r="H70" s="100">
        <v>6.38</v>
      </c>
      <c r="I70" s="100">
        <v>12.28</v>
      </c>
      <c r="J70" s="100">
        <v>0.72</v>
      </c>
      <c r="K70" s="100">
        <v>27.2</v>
      </c>
      <c r="L70" s="100">
        <v>29.54</v>
      </c>
      <c r="M70" s="100">
        <v>20.56</v>
      </c>
      <c r="N70" s="100">
        <v>69.599999999999994</v>
      </c>
      <c r="O70" s="100">
        <v>0</v>
      </c>
      <c r="P70" s="100">
        <v>0.56000000000000005</v>
      </c>
      <c r="Q70" s="100">
        <v>9.32</v>
      </c>
      <c r="R70" s="6"/>
      <c r="S70" s="6"/>
      <c r="T70" s="156"/>
      <c r="U70" s="6"/>
    </row>
    <row r="71" spans="1:21" customFormat="1">
      <c r="A71" s="163" t="s">
        <v>1941</v>
      </c>
      <c r="B71" s="100">
        <v>3.96</v>
      </c>
      <c r="C71" s="100">
        <v>18.71</v>
      </c>
      <c r="D71" s="100">
        <v>12.95</v>
      </c>
      <c r="E71" s="100">
        <v>5.97</v>
      </c>
      <c r="F71" s="100">
        <v>3.67</v>
      </c>
      <c r="G71" s="100">
        <v>17.66</v>
      </c>
      <c r="H71" s="100">
        <v>6.38</v>
      </c>
      <c r="I71" s="100">
        <v>12.01</v>
      </c>
      <c r="J71" s="100">
        <v>0.88</v>
      </c>
      <c r="K71" s="100">
        <v>18.16</v>
      </c>
      <c r="L71" s="100">
        <v>29.38</v>
      </c>
      <c r="M71" s="100">
        <v>19.670000000000002</v>
      </c>
      <c r="N71" s="100">
        <v>61.3</v>
      </c>
      <c r="O71" s="100">
        <v>0</v>
      </c>
      <c r="P71" s="100">
        <v>0.55000000000000004</v>
      </c>
      <c r="Q71" s="100">
        <v>9.32</v>
      </c>
      <c r="R71" s="6"/>
      <c r="S71" s="6"/>
      <c r="T71" s="156"/>
      <c r="U71" s="6"/>
    </row>
    <row r="72" spans="1:21" customFormat="1">
      <c r="A72" s="163" t="s">
        <v>1942</v>
      </c>
      <c r="B72" s="100">
        <v>3.99</v>
      </c>
      <c r="C72" s="100">
        <v>18.489999999999998</v>
      </c>
      <c r="D72" s="100">
        <v>12.86</v>
      </c>
      <c r="E72" s="100">
        <v>5.95</v>
      </c>
      <c r="F72" s="100">
        <v>3.46</v>
      </c>
      <c r="G72" s="100">
        <v>17.66</v>
      </c>
      <c r="H72" s="100">
        <v>6.38</v>
      </c>
      <c r="I72" s="100">
        <v>11.75</v>
      </c>
      <c r="J72" s="100">
        <v>1</v>
      </c>
      <c r="K72" s="100">
        <v>27.09</v>
      </c>
      <c r="L72" s="100">
        <v>29.25</v>
      </c>
      <c r="M72" s="100">
        <v>19.36</v>
      </c>
      <c r="N72" s="100">
        <v>56.8</v>
      </c>
      <c r="O72" s="100">
        <v>0</v>
      </c>
      <c r="P72" s="100">
        <v>0.53</v>
      </c>
      <c r="Q72" s="100">
        <v>9.32</v>
      </c>
      <c r="R72" s="6"/>
      <c r="S72" s="6"/>
      <c r="T72" s="156"/>
      <c r="U72" s="6"/>
    </row>
    <row r="73" spans="1:21" customFormat="1">
      <c r="A73" s="163" t="s">
        <v>1943</v>
      </c>
      <c r="B73" s="100">
        <v>4</v>
      </c>
      <c r="C73" s="100">
        <v>18.36</v>
      </c>
      <c r="D73" s="100">
        <v>12.8</v>
      </c>
      <c r="E73" s="100">
        <v>6.01</v>
      </c>
      <c r="F73" s="100">
        <v>3.45</v>
      </c>
      <c r="G73" s="100">
        <v>16.5</v>
      </c>
      <c r="H73" s="100">
        <v>6.17</v>
      </c>
      <c r="I73" s="100">
        <v>11.62</v>
      </c>
      <c r="J73" s="100">
        <v>0.86</v>
      </c>
      <c r="K73" s="100">
        <v>28.2</v>
      </c>
      <c r="L73" s="100">
        <v>29</v>
      </c>
      <c r="M73" s="100">
        <v>19.53</v>
      </c>
      <c r="N73" s="100">
        <v>49</v>
      </c>
      <c r="O73" s="100">
        <v>0</v>
      </c>
      <c r="P73" s="100">
        <v>0.52</v>
      </c>
      <c r="Q73" s="100">
        <v>9.32</v>
      </c>
      <c r="R73" s="6"/>
      <c r="S73" s="6"/>
      <c r="T73" s="156"/>
      <c r="U73" s="6"/>
    </row>
    <row r="74" spans="1:21" customFormat="1">
      <c r="A74" s="163" t="s">
        <v>1944</v>
      </c>
      <c r="B74" s="100">
        <v>3.99</v>
      </c>
      <c r="C74" s="100">
        <v>17.98</v>
      </c>
      <c r="D74" s="100">
        <v>12.6</v>
      </c>
      <c r="E74" s="100">
        <v>5.81</v>
      </c>
      <c r="F74" s="100">
        <v>3</v>
      </c>
      <c r="G74" s="100">
        <v>16.43</v>
      </c>
      <c r="H74" s="100">
        <v>6.17</v>
      </c>
      <c r="I74" s="100">
        <v>11.36</v>
      </c>
      <c r="J74" s="100">
        <v>0.79</v>
      </c>
      <c r="K74" s="100">
        <v>32.18</v>
      </c>
      <c r="L74" s="100">
        <v>28.7</v>
      </c>
      <c r="M74" s="100">
        <v>20.34</v>
      </c>
      <c r="N74" s="100">
        <v>48.9</v>
      </c>
      <c r="O74" s="100">
        <v>0</v>
      </c>
      <c r="P74" s="100">
        <v>0.51</v>
      </c>
      <c r="Q74" s="100">
        <v>9.32</v>
      </c>
      <c r="R74" s="6"/>
      <c r="S74" s="6"/>
      <c r="T74" s="156"/>
      <c r="U74" s="6"/>
    </row>
    <row r="75" spans="1:21" customFormat="1">
      <c r="A75" s="163" t="s">
        <v>1945</v>
      </c>
      <c r="B75" s="100">
        <v>4.1500000000000004</v>
      </c>
      <c r="C75" s="100">
        <v>17.88</v>
      </c>
      <c r="D75" s="100">
        <v>12.67</v>
      </c>
      <c r="E75" s="100">
        <v>5.64</v>
      </c>
      <c r="F75" s="100">
        <v>2.82</v>
      </c>
      <c r="G75" s="100">
        <v>16.43</v>
      </c>
      <c r="H75" s="100">
        <v>6.17</v>
      </c>
      <c r="I75" s="100">
        <v>11</v>
      </c>
      <c r="J75" s="100">
        <v>0.51</v>
      </c>
      <c r="K75" s="100">
        <v>43.41</v>
      </c>
      <c r="L75" s="100">
        <v>28.23</v>
      </c>
      <c r="M75" s="100">
        <v>22.03</v>
      </c>
      <c r="N75" s="100">
        <v>38.799999999999997</v>
      </c>
      <c r="O75" s="100">
        <v>0</v>
      </c>
      <c r="P75" s="100">
        <v>0.5</v>
      </c>
      <c r="Q75" s="100">
        <v>9.32</v>
      </c>
      <c r="R75" s="6"/>
      <c r="S75" s="6"/>
      <c r="T75" s="156"/>
      <c r="U75" s="6"/>
    </row>
    <row r="76" spans="1:21" customFormat="1">
      <c r="A76" s="163" t="s">
        <v>1946</v>
      </c>
      <c r="B76" s="100">
        <v>4.3899999999999997</v>
      </c>
      <c r="C76" s="100">
        <v>18.03</v>
      </c>
      <c r="D76" s="100">
        <v>12.94</v>
      </c>
      <c r="E76" s="100">
        <v>5.73</v>
      </c>
      <c r="F76" s="100">
        <v>2.2000000000000002</v>
      </c>
      <c r="G76" s="100">
        <v>16.43</v>
      </c>
      <c r="H76" s="100">
        <v>6.17</v>
      </c>
      <c r="I76" s="100">
        <v>10.9</v>
      </c>
      <c r="J76" s="100">
        <v>0.27</v>
      </c>
      <c r="K76" s="100">
        <v>68.97</v>
      </c>
      <c r="L76" s="100">
        <v>27.62</v>
      </c>
      <c r="M76" s="100">
        <v>25.28</v>
      </c>
      <c r="N76" s="100">
        <v>32.299999999999997</v>
      </c>
      <c r="O76" s="100">
        <v>0</v>
      </c>
      <c r="P76" s="100">
        <v>0.5</v>
      </c>
      <c r="Q76" s="100">
        <v>9.32</v>
      </c>
      <c r="R76" s="6"/>
      <c r="S76" s="6"/>
      <c r="T76" s="156"/>
      <c r="U76" s="6"/>
    </row>
    <row r="77" spans="1:21" customFormat="1">
      <c r="A77" s="163" t="s">
        <v>1947</v>
      </c>
      <c r="B77" s="100">
        <v>4.58</v>
      </c>
      <c r="C77" s="100">
        <v>17.96</v>
      </c>
      <c r="D77" s="100">
        <v>13.05</v>
      </c>
      <c r="E77" s="100">
        <v>5.44</v>
      </c>
      <c r="F77" s="100">
        <v>1.72</v>
      </c>
      <c r="G77" s="100">
        <v>17.309999999999999</v>
      </c>
      <c r="H77" s="100">
        <v>5.49</v>
      </c>
      <c r="I77" s="100">
        <v>10.81</v>
      </c>
      <c r="J77" s="100">
        <v>0.35</v>
      </c>
      <c r="K77" s="100">
        <v>160.61000000000001</v>
      </c>
      <c r="L77" s="100">
        <v>26.16</v>
      </c>
      <c r="M77" s="100">
        <v>33.9</v>
      </c>
      <c r="N77" s="100">
        <v>26</v>
      </c>
      <c r="O77" s="100">
        <v>0</v>
      </c>
      <c r="P77" s="100">
        <v>0.48</v>
      </c>
      <c r="Q77" s="100">
        <v>9.32</v>
      </c>
      <c r="R77" s="6"/>
      <c r="S77" s="6"/>
      <c r="T77" s="156"/>
      <c r="U77" s="6"/>
    </row>
    <row r="78" spans="1:21" customFormat="1">
      <c r="A78" s="163" t="s">
        <v>1948</v>
      </c>
      <c r="B78" s="100">
        <v>4.71</v>
      </c>
      <c r="C78" s="100">
        <v>17.649999999999999</v>
      </c>
      <c r="D78" s="100">
        <v>13</v>
      </c>
      <c r="E78" s="100">
        <v>5.59</v>
      </c>
      <c r="F78" s="100">
        <v>1.51</v>
      </c>
      <c r="G78" s="100">
        <v>17.36</v>
      </c>
      <c r="H78" s="100">
        <v>5.49</v>
      </c>
      <c r="I78" s="100">
        <v>10.55</v>
      </c>
      <c r="J78" s="100">
        <v>0.37</v>
      </c>
      <c r="K78" s="100">
        <v>163.62</v>
      </c>
      <c r="L78" s="100">
        <v>24.87</v>
      </c>
      <c r="M78" s="100">
        <v>37.590000000000003</v>
      </c>
      <c r="N78" s="100">
        <v>20.8</v>
      </c>
      <c r="O78" s="100">
        <v>0</v>
      </c>
      <c r="P78" s="100">
        <v>0.48</v>
      </c>
      <c r="Q78" s="100">
        <v>9.32</v>
      </c>
      <c r="R78" s="6"/>
      <c r="S78" s="6"/>
      <c r="T78" s="156"/>
      <c r="U78" s="6"/>
    </row>
    <row r="79" spans="1:21" customFormat="1">
      <c r="A79" s="163" t="s">
        <v>1949</v>
      </c>
      <c r="B79" s="100">
        <v>4.91</v>
      </c>
      <c r="C79" s="100">
        <v>17.579999999999998</v>
      </c>
      <c r="D79" s="100">
        <v>13.13</v>
      </c>
      <c r="E79" s="100">
        <v>5.36</v>
      </c>
      <c r="F79" s="100">
        <v>1.47</v>
      </c>
      <c r="G79" s="100">
        <v>17.36</v>
      </c>
      <c r="H79" s="100">
        <v>5.49</v>
      </c>
      <c r="I79" s="100">
        <v>10.3</v>
      </c>
      <c r="J79" s="100">
        <v>0.38</v>
      </c>
      <c r="K79" s="100">
        <v>161.07</v>
      </c>
      <c r="L79" s="100">
        <v>23.9</v>
      </c>
      <c r="M79" s="100">
        <v>39.97</v>
      </c>
      <c r="N79" s="100">
        <v>18.899999999999999</v>
      </c>
      <c r="O79" s="100">
        <v>0</v>
      </c>
      <c r="P79" s="100">
        <v>0.5</v>
      </c>
      <c r="Q79" s="100">
        <v>9.32</v>
      </c>
      <c r="R79" s="6"/>
      <c r="S79" s="6"/>
      <c r="T79" s="156"/>
      <c r="U79" s="6"/>
    </row>
    <row r="80" spans="1:21" customFormat="1">
      <c r="A80" s="163" t="s">
        <v>1950</v>
      </c>
      <c r="B80" s="100">
        <v>5.26</v>
      </c>
      <c r="C80" s="100">
        <v>17.5</v>
      </c>
      <c r="D80" s="100">
        <v>13.36</v>
      </c>
      <c r="E80" s="100">
        <v>5.4</v>
      </c>
      <c r="F80" s="100">
        <v>1.45</v>
      </c>
      <c r="G80" s="100">
        <v>17.36</v>
      </c>
      <c r="H80" s="100">
        <v>5.49</v>
      </c>
      <c r="I80" s="100">
        <v>10.36</v>
      </c>
      <c r="J80" s="100">
        <v>0.28999999999999998</v>
      </c>
      <c r="K80" s="100">
        <v>166.18</v>
      </c>
      <c r="L80" s="100">
        <v>23.32</v>
      </c>
      <c r="M80" s="100">
        <v>42.72</v>
      </c>
      <c r="N80" s="100">
        <v>18.3</v>
      </c>
      <c r="O80" s="100">
        <v>0</v>
      </c>
      <c r="P80" s="100">
        <v>0.51</v>
      </c>
      <c r="Q80" s="100">
        <v>9.32</v>
      </c>
      <c r="R80" s="6"/>
      <c r="S80" s="6"/>
      <c r="T80" s="156"/>
      <c r="U80" s="6"/>
    </row>
    <row r="81" spans="1:21" customFormat="1">
      <c r="A81" s="163" t="s">
        <v>1951</v>
      </c>
      <c r="B81" s="100">
        <v>5.63</v>
      </c>
      <c r="C81" s="100">
        <v>17.34</v>
      </c>
      <c r="D81" s="100">
        <v>13.58</v>
      </c>
      <c r="E81" s="100">
        <v>4.66</v>
      </c>
      <c r="F81" s="100">
        <v>1.56</v>
      </c>
      <c r="G81" s="100">
        <v>26.12</v>
      </c>
      <c r="H81" s="100">
        <v>7.64</v>
      </c>
      <c r="I81" s="100">
        <v>10.69</v>
      </c>
      <c r="J81" s="100">
        <v>0.3</v>
      </c>
      <c r="K81" s="100">
        <v>147.41999999999999</v>
      </c>
      <c r="L81" s="100">
        <v>22.67</v>
      </c>
      <c r="M81" s="100">
        <v>50.32</v>
      </c>
      <c r="N81" s="100">
        <v>18.3</v>
      </c>
      <c r="O81" s="100">
        <v>0</v>
      </c>
      <c r="P81" s="100">
        <v>0.52</v>
      </c>
      <c r="Q81" s="100">
        <v>9.32</v>
      </c>
      <c r="R81" s="6"/>
      <c r="S81" s="6"/>
      <c r="T81" s="156"/>
      <c r="U81" s="6"/>
    </row>
    <row r="82" spans="1:21" customFormat="1">
      <c r="A82" s="163" t="s">
        <v>1952</v>
      </c>
      <c r="B82" s="100">
        <v>6.1</v>
      </c>
      <c r="C82" s="100">
        <v>17.25</v>
      </c>
      <c r="D82" s="100">
        <v>13.9</v>
      </c>
      <c r="E82" s="100">
        <v>5.78</v>
      </c>
      <c r="F82" s="100">
        <v>1.47</v>
      </c>
      <c r="G82" s="100">
        <v>26.64</v>
      </c>
      <c r="H82" s="100">
        <v>7.64</v>
      </c>
      <c r="I82" s="100">
        <v>11.13</v>
      </c>
      <c r="J82" s="100">
        <v>0.28000000000000003</v>
      </c>
      <c r="K82" s="100">
        <v>206.5</v>
      </c>
      <c r="L82" s="100">
        <v>22.08</v>
      </c>
      <c r="M82" s="100">
        <v>51.21</v>
      </c>
      <c r="N82" s="100">
        <v>18.2</v>
      </c>
      <c r="O82" s="100">
        <v>0</v>
      </c>
      <c r="P82" s="100">
        <v>0.55000000000000004</v>
      </c>
      <c r="Q82" s="100">
        <v>9.32</v>
      </c>
      <c r="R82" s="6"/>
      <c r="S82" s="6"/>
      <c r="T82" s="156"/>
      <c r="U82" s="6"/>
    </row>
    <row r="83" spans="1:21" customFormat="1">
      <c r="A83" s="163" t="s">
        <v>1953</v>
      </c>
      <c r="B83" s="100">
        <v>6.49</v>
      </c>
      <c r="C83" s="100">
        <v>17.3</v>
      </c>
      <c r="D83" s="100">
        <v>14.24</v>
      </c>
      <c r="E83" s="100">
        <v>5.7</v>
      </c>
      <c r="F83" s="100">
        <v>1.3</v>
      </c>
      <c r="G83" s="100">
        <v>26.64</v>
      </c>
      <c r="H83" s="100">
        <v>7.64</v>
      </c>
      <c r="I83" s="100">
        <v>11.53</v>
      </c>
      <c r="J83" s="100">
        <v>0.14000000000000001</v>
      </c>
      <c r="K83" s="100">
        <v>197.29</v>
      </c>
      <c r="L83" s="100">
        <v>21.44</v>
      </c>
      <c r="M83" s="100">
        <v>55.39</v>
      </c>
      <c r="N83" s="100">
        <v>18.3</v>
      </c>
      <c r="O83" s="100">
        <v>0</v>
      </c>
      <c r="P83" s="100">
        <v>0.59</v>
      </c>
      <c r="Q83" s="100">
        <v>9.32</v>
      </c>
      <c r="R83" s="6"/>
      <c r="S83" s="6"/>
      <c r="T83" s="156"/>
      <c r="U83" s="6"/>
    </row>
    <row r="84" spans="1:21" customFormat="1">
      <c r="A84" s="163" t="s">
        <v>1954</v>
      </c>
      <c r="B84" s="100">
        <v>6.78</v>
      </c>
      <c r="C84" s="100">
        <v>17.09</v>
      </c>
      <c r="D84" s="100">
        <v>14.37</v>
      </c>
      <c r="E84" s="100">
        <v>5.71</v>
      </c>
      <c r="F84" s="100">
        <v>1.27</v>
      </c>
      <c r="G84" s="100">
        <v>26.64</v>
      </c>
      <c r="H84" s="100">
        <v>7.64</v>
      </c>
      <c r="I84" s="100">
        <v>11.88</v>
      </c>
      <c r="J84" s="100">
        <v>0.18</v>
      </c>
      <c r="K84" s="100">
        <v>168.73</v>
      </c>
      <c r="L84" s="100">
        <v>20.98</v>
      </c>
      <c r="M84" s="100">
        <v>63.86</v>
      </c>
      <c r="N84" s="100">
        <v>18</v>
      </c>
      <c r="O84" s="100">
        <v>0</v>
      </c>
      <c r="P84" s="100">
        <v>0.62</v>
      </c>
      <c r="Q84" s="100">
        <v>9.32</v>
      </c>
      <c r="R84" s="6"/>
      <c r="S84" s="6"/>
      <c r="T84" s="156"/>
      <c r="U84" s="6"/>
    </row>
    <row r="85" spans="1:21" customFormat="1">
      <c r="A85" s="163" t="s">
        <v>1955</v>
      </c>
      <c r="B85" s="100">
        <v>7.01</v>
      </c>
      <c r="C85" s="100">
        <v>16.739999999999998</v>
      </c>
      <c r="D85" s="100">
        <v>14.37</v>
      </c>
      <c r="E85" s="100">
        <v>5.69</v>
      </c>
      <c r="F85" s="100">
        <v>1.31</v>
      </c>
      <c r="G85" s="100">
        <v>29.9</v>
      </c>
      <c r="H85" s="100">
        <v>9.3000000000000007</v>
      </c>
      <c r="I85" s="100">
        <v>12.17</v>
      </c>
      <c r="J85" s="100">
        <v>0.14000000000000001</v>
      </c>
      <c r="K85" s="100">
        <v>162.61000000000001</v>
      </c>
      <c r="L85" s="100">
        <v>20.58</v>
      </c>
      <c r="M85" s="100">
        <v>68.97</v>
      </c>
      <c r="N85" s="100">
        <v>17.8</v>
      </c>
      <c r="O85" s="100">
        <v>0</v>
      </c>
      <c r="P85" s="100">
        <v>0.62</v>
      </c>
      <c r="Q85" s="100">
        <v>9.32</v>
      </c>
      <c r="R85" s="6"/>
      <c r="S85" s="6"/>
      <c r="T85" s="156"/>
      <c r="U85" s="6"/>
    </row>
    <row r="86" spans="1:21" customFormat="1">
      <c r="A86" s="163" t="s">
        <v>1956</v>
      </c>
      <c r="B86" s="100">
        <v>7.26</v>
      </c>
      <c r="C86" s="100">
        <v>16.21</v>
      </c>
      <c r="D86" s="100">
        <v>14.3</v>
      </c>
      <c r="E86" s="100">
        <v>5.81</v>
      </c>
      <c r="F86" s="100">
        <v>1.24</v>
      </c>
      <c r="G86" s="100">
        <v>30.09</v>
      </c>
      <c r="H86" s="100">
        <v>9.3000000000000007</v>
      </c>
      <c r="I86" s="100">
        <v>12.2</v>
      </c>
      <c r="J86" s="100">
        <v>0.17</v>
      </c>
      <c r="K86" s="100">
        <v>178.19</v>
      </c>
      <c r="L86" s="100">
        <v>20.32</v>
      </c>
      <c r="M86" s="100">
        <v>69.47</v>
      </c>
      <c r="N86" s="100">
        <v>17.8</v>
      </c>
      <c r="O86" s="100">
        <v>0</v>
      </c>
      <c r="P86" s="100">
        <v>0.64</v>
      </c>
      <c r="Q86" s="100">
        <v>9.32</v>
      </c>
      <c r="R86" s="6"/>
      <c r="S86" s="6"/>
      <c r="T86" s="156"/>
      <c r="U86" s="6"/>
    </row>
    <row r="87" spans="1:21" customFormat="1">
      <c r="A87" s="163" t="s">
        <v>1957</v>
      </c>
      <c r="B87" s="100">
        <v>7.46</v>
      </c>
      <c r="C87" s="100">
        <v>15.74</v>
      </c>
      <c r="D87" s="100">
        <v>14.2</v>
      </c>
      <c r="E87" s="100">
        <v>3.54</v>
      </c>
      <c r="F87" s="100">
        <v>1.3</v>
      </c>
      <c r="G87" s="100">
        <v>30.09</v>
      </c>
      <c r="H87" s="100">
        <v>9.3000000000000007</v>
      </c>
      <c r="I87" s="100">
        <v>12.18</v>
      </c>
      <c r="J87" s="100">
        <v>0.19</v>
      </c>
      <c r="K87" s="100">
        <v>168.45</v>
      </c>
      <c r="L87" s="100">
        <v>20.12</v>
      </c>
      <c r="M87" s="100">
        <v>72.209999999999994</v>
      </c>
      <c r="N87" s="100">
        <v>17.8</v>
      </c>
      <c r="O87" s="100">
        <v>0</v>
      </c>
      <c r="P87" s="100">
        <v>0.64</v>
      </c>
      <c r="Q87" s="100">
        <v>9.32</v>
      </c>
      <c r="R87" s="6"/>
      <c r="S87" s="6"/>
      <c r="T87" s="156"/>
      <c r="U87" s="6"/>
    </row>
    <row r="88" spans="1:21" customFormat="1">
      <c r="A88" s="163" t="s">
        <v>1958</v>
      </c>
      <c r="B88" s="100">
        <v>7.65</v>
      </c>
      <c r="C88" s="100">
        <v>15.4</v>
      </c>
      <c r="D88" s="100">
        <v>14.18</v>
      </c>
      <c r="E88" s="100">
        <v>5.04</v>
      </c>
      <c r="F88" s="100">
        <v>1.26</v>
      </c>
      <c r="G88" s="100">
        <v>30.09</v>
      </c>
      <c r="H88" s="100">
        <v>9.3000000000000007</v>
      </c>
      <c r="I88" s="100">
        <v>12.31</v>
      </c>
      <c r="J88" s="100">
        <v>0.18</v>
      </c>
      <c r="K88" s="100">
        <v>155.11000000000001</v>
      </c>
      <c r="L88" s="100">
        <v>19.73</v>
      </c>
      <c r="M88" s="100">
        <v>71.66</v>
      </c>
      <c r="N88" s="100">
        <v>17.899999999999999</v>
      </c>
      <c r="O88" s="100">
        <v>0</v>
      </c>
      <c r="P88" s="100">
        <v>0.65</v>
      </c>
      <c r="Q88" s="100">
        <v>9.32</v>
      </c>
      <c r="R88" s="6"/>
      <c r="S88" s="6"/>
      <c r="T88" s="156"/>
      <c r="U88" s="6"/>
    </row>
    <row r="89" spans="1:21" customFormat="1">
      <c r="A89" s="163" t="s">
        <v>1959</v>
      </c>
      <c r="B89" s="100">
        <v>7.81</v>
      </c>
      <c r="C89" s="100">
        <v>15.17</v>
      </c>
      <c r="D89" s="100">
        <v>14.19</v>
      </c>
      <c r="E89" s="100">
        <v>5.52</v>
      </c>
      <c r="F89" s="100">
        <v>1.37</v>
      </c>
      <c r="G89" s="100">
        <v>27.05</v>
      </c>
      <c r="H89" s="100">
        <v>9.39</v>
      </c>
      <c r="I89" s="100">
        <v>12.43</v>
      </c>
      <c r="J89" s="100">
        <v>0.16</v>
      </c>
      <c r="K89" s="100">
        <v>165.4</v>
      </c>
      <c r="L89" s="100">
        <v>19.73</v>
      </c>
      <c r="M89" s="100">
        <v>68.81</v>
      </c>
      <c r="N89" s="100">
        <v>17.8</v>
      </c>
      <c r="O89" s="100">
        <v>0</v>
      </c>
      <c r="P89" s="100">
        <v>0.66</v>
      </c>
      <c r="Q89" s="100">
        <v>9.32</v>
      </c>
      <c r="R89" s="6"/>
      <c r="S89" s="6"/>
      <c r="T89" s="156"/>
      <c r="U89" s="6"/>
    </row>
    <row r="90" spans="1:21" customFormat="1">
      <c r="A90" s="163" t="s">
        <v>1960</v>
      </c>
      <c r="B90" s="100">
        <v>8.01</v>
      </c>
      <c r="C90" s="100">
        <v>14.99</v>
      </c>
      <c r="D90" s="100">
        <v>14.26</v>
      </c>
      <c r="E90" s="100">
        <v>5.27</v>
      </c>
      <c r="F90" s="100">
        <v>1.25</v>
      </c>
      <c r="G90" s="100">
        <v>26.87</v>
      </c>
      <c r="H90" s="100">
        <v>9.39</v>
      </c>
      <c r="I90" s="100">
        <v>12.54</v>
      </c>
      <c r="J90" s="100">
        <v>0.18</v>
      </c>
      <c r="K90" s="100">
        <v>165.93</v>
      </c>
      <c r="L90" s="100">
        <v>19.73</v>
      </c>
      <c r="M90" s="100">
        <v>63.24</v>
      </c>
      <c r="N90" s="100">
        <v>17.7</v>
      </c>
      <c r="O90" s="100">
        <v>0</v>
      </c>
      <c r="P90" s="100">
        <v>0.67</v>
      </c>
      <c r="Q90" s="100">
        <v>9.32</v>
      </c>
      <c r="R90" s="6"/>
      <c r="S90" s="6"/>
      <c r="T90" s="156"/>
      <c r="U90" s="6"/>
    </row>
    <row r="91" spans="1:21" customFormat="1">
      <c r="A91" s="163" t="s">
        <v>1961</v>
      </c>
      <c r="B91" s="100">
        <v>8.15</v>
      </c>
      <c r="C91" s="100">
        <v>15</v>
      </c>
      <c r="D91" s="100">
        <v>14.37</v>
      </c>
      <c r="E91" s="100">
        <v>5.36</v>
      </c>
      <c r="F91" s="100">
        <v>1.1399999999999999</v>
      </c>
      <c r="G91" s="100">
        <v>26.87</v>
      </c>
      <c r="H91" s="100">
        <v>9.39</v>
      </c>
      <c r="I91" s="100">
        <v>12.64</v>
      </c>
      <c r="J91" s="100">
        <v>0.16</v>
      </c>
      <c r="K91" s="100">
        <v>185.73</v>
      </c>
      <c r="L91" s="100">
        <v>19.57</v>
      </c>
      <c r="M91" s="100">
        <v>72.25</v>
      </c>
      <c r="N91" s="100">
        <v>17.8</v>
      </c>
      <c r="O91" s="100">
        <v>0</v>
      </c>
      <c r="P91" s="100">
        <v>0.69</v>
      </c>
      <c r="Q91" s="100">
        <v>9.32</v>
      </c>
      <c r="R91" s="6"/>
      <c r="S91" s="6"/>
      <c r="T91" s="156"/>
      <c r="U91" s="6"/>
    </row>
    <row r="92" spans="1:21" customFormat="1">
      <c r="A92" s="163" t="s">
        <v>1962</v>
      </c>
      <c r="B92" s="100">
        <v>8.31</v>
      </c>
      <c r="C92" s="100">
        <v>14.82</v>
      </c>
      <c r="D92" s="100">
        <v>14.4</v>
      </c>
      <c r="E92" s="100">
        <v>5.09</v>
      </c>
      <c r="F92" s="100">
        <v>1.08</v>
      </c>
      <c r="G92" s="100">
        <v>26.87</v>
      </c>
      <c r="H92" s="100">
        <v>9.39</v>
      </c>
      <c r="I92" s="100">
        <v>12.76</v>
      </c>
      <c r="J92" s="100">
        <v>0.15</v>
      </c>
      <c r="K92" s="100">
        <v>168.4</v>
      </c>
      <c r="L92" s="100">
        <v>19.239999999999998</v>
      </c>
      <c r="M92" s="100">
        <v>76.03</v>
      </c>
      <c r="N92" s="100">
        <v>17.8</v>
      </c>
      <c r="O92" s="100">
        <v>0</v>
      </c>
      <c r="P92" s="100">
        <v>0.69</v>
      </c>
      <c r="Q92" s="100">
        <v>9.32</v>
      </c>
      <c r="R92" s="6"/>
      <c r="S92" s="6"/>
      <c r="T92" s="156"/>
      <c r="U92" s="6"/>
    </row>
    <row r="93" spans="1:21" customFormat="1">
      <c r="A93" s="163" t="s">
        <v>1963</v>
      </c>
      <c r="B93" s="100">
        <v>8.4700000000000006</v>
      </c>
      <c r="C93" s="100">
        <v>14.68</v>
      </c>
      <c r="D93" s="100">
        <v>14.46</v>
      </c>
      <c r="E93" s="100">
        <v>5.42</v>
      </c>
      <c r="F93" s="100">
        <v>1.26</v>
      </c>
      <c r="G93" s="100">
        <v>27.42</v>
      </c>
      <c r="H93" s="100">
        <v>11.63</v>
      </c>
      <c r="I93" s="100">
        <v>12.86</v>
      </c>
      <c r="J93" s="100">
        <v>0.19</v>
      </c>
      <c r="K93" s="100">
        <v>177.79</v>
      </c>
      <c r="L93" s="100">
        <v>19.02</v>
      </c>
      <c r="M93" s="100">
        <v>76.45</v>
      </c>
      <c r="N93" s="100">
        <v>17.8</v>
      </c>
      <c r="O93" s="100">
        <v>0</v>
      </c>
      <c r="P93" s="100">
        <v>0.7</v>
      </c>
      <c r="Q93" s="100">
        <v>9.32</v>
      </c>
      <c r="R93" s="6"/>
      <c r="S93" s="6"/>
      <c r="T93" s="156"/>
      <c r="U93" s="6"/>
    </row>
    <row r="94" spans="1:21" customFormat="1">
      <c r="A94" s="163" t="s">
        <v>1964</v>
      </c>
      <c r="B94" s="100">
        <v>8.6300000000000008</v>
      </c>
      <c r="C94" s="100">
        <v>14.54</v>
      </c>
      <c r="D94" s="100">
        <v>14.52</v>
      </c>
      <c r="E94" s="100">
        <v>5.47</v>
      </c>
      <c r="F94" s="100">
        <v>1.25</v>
      </c>
      <c r="G94" s="100">
        <v>27.46</v>
      </c>
      <c r="H94" s="100">
        <v>11.63</v>
      </c>
      <c r="I94" s="100">
        <v>13.22</v>
      </c>
      <c r="J94" s="100">
        <v>0.17</v>
      </c>
      <c r="K94" s="100">
        <v>183.76</v>
      </c>
      <c r="L94" s="100">
        <v>18.940000000000001</v>
      </c>
      <c r="M94" s="100">
        <v>77.02</v>
      </c>
      <c r="N94" s="100">
        <v>17.8</v>
      </c>
      <c r="O94" s="100">
        <v>0</v>
      </c>
      <c r="P94" s="100">
        <v>0.75</v>
      </c>
      <c r="Q94" s="100">
        <v>9.32</v>
      </c>
      <c r="R94" s="6"/>
      <c r="S94" s="6"/>
      <c r="T94" s="156"/>
      <c r="U94" s="6"/>
    </row>
    <row r="95" spans="1:21" customFormat="1">
      <c r="A95" s="163" t="s">
        <v>1965</v>
      </c>
      <c r="B95" s="100">
        <v>8.99</v>
      </c>
      <c r="C95" s="100">
        <v>14.57</v>
      </c>
      <c r="D95" s="100">
        <v>14.82</v>
      </c>
      <c r="E95" s="100">
        <v>5.46</v>
      </c>
      <c r="F95" s="100">
        <v>1.25</v>
      </c>
      <c r="G95" s="100">
        <v>27.46</v>
      </c>
      <c r="H95" s="100">
        <v>11.63</v>
      </c>
      <c r="I95" s="100">
        <v>13.77</v>
      </c>
      <c r="J95" s="100">
        <v>0.1</v>
      </c>
      <c r="K95" s="100">
        <v>151.72999999999999</v>
      </c>
      <c r="L95" s="100">
        <v>18.690000000000001</v>
      </c>
      <c r="M95" s="100">
        <v>76.790000000000006</v>
      </c>
      <c r="N95" s="100">
        <v>17.8</v>
      </c>
      <c r="O95" s="100">
        <v>0</v>
      </c>
      <c r="P95" s="100">
        <v>0.8</v>
      </c>
      <c r="Q95" s="100">
        <v>9.32</v>
      </c>
      <c r="R95" s="6"/>
      <c r="S95" s="6"/>
      <c r="T95" s="156"/>
      <c r="U95" s="6"/>
    </row>
    <row r="96" spans="1:21" customFormat="1">
      <c r="A96" s="163" t="s">
        <v>1966</v>
      </c>
      <c r="B96" s="100">
        <v>10.79</v>
      </c>
      <c r="C96" s="100">
        <v>14.99</v>
      </c>
      <c r="D96" s="100">
        <v>16.48</v>
      </c>
      <c r="E96" s="100">
        <v>5.18</v>
      </c>
      <c r="F96" s="100">
        <v>1.47</v>
      </c>
      <c r="G96" s="100">
        <v>27.46</v>
      </c>
      <c r="H96" s="100">
        <v>11.63</v>
      </c>
      <c r="I96" s="100">
        <v>14.26</v>
      </c>
      <c r="J96" s="100">
        <v>0.2</v>
      </c>
      <c r="K96" s="100">
        <v>213.81</v>
      </c>
      <c r="L96" s="100">
        <v>18.89</v>
      </c>
      <c r="M96" s="100">
        <v>74.48</v>
      </c>
      <c r="N96" s="100">
        <v>17.600000000000001</v>
      </c>
      <c r="O96" s="100">
        <v>0</v>
      </c>
      <c r="P96" s="100">
        <v>0.86</v>
      </c>
      <c r="Q96" s="100">
        <v>9.32</v>
      </c>
      <c r="R96" s="6"/>
      <c r="S96" s="6"/>
      <c r="T96" s="156"/>
      <c r="U96" s="6"/>
    </row>
    <row r="97" spans="1:28" customFormat="1">
      <c r="A97" s="163" t="s">
        <v>1967</v>
      </c>
      <c r="B97" s="100">
        <v>13.01</v>
      </c>
      <c r="C97" s="100">
        <v>15.48</v>
      </c>
      <c r="D97" s="100">
        <v>18.52</v>
      </c>
      <c r="E97" s="100">
        <v>5.26</v>
      </c>
      <c r="F97" s="100">
        <v>1.36</v>
      </c>
      <c r="G97" s="100">
        <v>35.61</v>
      </c>
      <c r="H97" s="100">
        <v>15.05</v>
      </c>
      <c r="I97" s="100">
        <v>14.9</v>
      </c>
      <c r="J97" s="100">
        <v>0.16</v>
      </c>
      <c r="K97" s="100">
        <v>195.29</v>
      </c>
      <c r="L97" s="100">
        <v>18.48</v>
      </c>
      <c r="M97" s="100">
        <v>76.91</v>
      </c>
      <c r="N97" s="100">
        <v>18</v>
      </c>
      <c r="O97" s="100">
        <v>0</v>
      </c>
      <c r="P97" s="100">
        <v>0.9</v>
      </c>
      <c r="Q97" s="100">
        <v>9.32</v>
      </c>
      <c r="R97" s="6"/>
      <c r="S97" s="6"/>
      <c r="T97" s="156"/>
      <c r="U97" s="6"/>
    </row>
    <row r="98" spans="1:28" customFormat="1">
      <c r="A98" s="163" t="s">
        <v>1968</v>
      </c>
      <c r="B98" s="100">
        <v>14.48</v>
      </c>
      <c r="C98" s="100">
        <v>15.85</v>
      </c>
      <c r="D98" s="100">
        <v>19.89</v>
      </c>
      <c r="E98" s="100">
        <v>5.41</v>
      </c>
      <c r="F98" s="100">
        <v>1.23</v>
      </c>
      <c r="G98" s="100">
        <v>36.090000000000003</v>
      </c>
      <c r="H98" s="100">
        <v>15.05</v>
      </c>
      <c r="I98" s="100">
        <v>15.58</v>
      </c>
      <c r="J98" s="100">
        <v>0.18</v>
      </c>
      <c r="K98" s="100">
        <v>199.18</v>
      </c>
      <c r="L98" s="100">
        <v>18.36</v>
      </c>
      <c r="M98" s="100">
        <v>79.900000000000006</v>
      </c>
      <c r="N98" s="100">
        <v>17.7</v>
      </c>
      <c r="O98" s="100">
        <v>0</v>
      </c>
      <c r="P98" s="100">
        <v>0.93</v>
      </c>
      <c r="Q98" s="100">
        <v>9.32</v>
      </c>
      <c r="R98" s="6"/>
      <c r="S98" s="6"/>
      <c r="T98" s="156"/>
      <c r="U98" s="6"/>
    </row>
    <row r="99" spans="1:28" customFormat="1">
      <c r="A99" s="163" t="s">
        <v>1969</v>
      </c>
      <c r="B99" s="100">
        <v>15.17</v>
      </c>
      <c r="C99" s="100">
        <v>16.02</v>
      </c>
      <c r="D99" s="100">
        <v>20.53</v>
      </c>
      <c r="E99" s="100">
        <v>5.33</v>
      </c>
      <c r="F99" s="100">
        <v>1.25</v>
      </c>
      <c r="G99" s="100">
        <v>36.090000000000003</v>
      </c>
      <c r="H99" s="100">
        <v>15.05</v>
      </c>
      <c r="I99" s="100">
        <v>16.25</v>
      </c>
      <c r="J99" s="100">
        <v>0.15</v>
      </c>
      <c r="K99" s="100">
        <v>211.04</v>
      </c>
      <c r="L99" s="100">
        <v>18.14</v>
      </c>
      <c r="M99" s="100">
        <v>81.58</v>
      </c>
      <c r="N99" s="100">
        <v>17.8</v>
      </c>
      <c r="O99" s="100">
        <v>0</v>
      </c>
      <c r="P99" s="100">
        <v>0.98</v>
      </c>
      <c r="Q99" s="100">
        <v>9.32</v>
      </c>
      <c r="R99" s="6"/>
      <c r="S99" s="6"/>
      <c r="T99" s="156"/>
      <c r="U99" s="6"/>
    </row>
    <row r="100" spans="1:28" customFormat="1">
      <c r="A100" s="163" t="s">
        <v>1970</v>
      </c>
      <c r="B100" s="100">
        <v>15.61</v>
      </c>
      <c r="C100" s="100">
        <v>16.11</v>
      </c>
      <c r="D100" s="100">
        <v>20.94</v>
      </c>
      <c r="E100" s="100">
        <v>5.45</v>
      </c>
      <c r="F100" s="100">
        <v>1.35</v>
      </c>
      <c r="G100" s="100">
        <v>36.090000000000003</v>
      </c>
      <c r="H100" s="100">
        <v>15.05</v>
      </c>
      <c r="I100" s="100">
        <v>15.28</v>
      </c>
      <c r="J100" s="100">
        <v>0.19</v>
      </c>
      <c r="K100" s="100">
        <v>193.65</v>
      </c>
      <c r="L100" s="100">
        <v>17.95</v>
      </c>
      <c r="M100" s="100">
        <v>80.73</v>
      </c>
      <c r="N100" s="100">
        <v>17.8</v>
      </c>
      <c r="O100" s="100">
        <v>0</v>
      </c>
      <c r="P100" s="100">
        <v>1.02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1971</v>
      </c>
      <c r="B101" s="100">
        <v>15.82</v>
      </c>
      <c r="C101" s="100">
        <v>16.100000000000001</v>
      </c>
      <c r="D101" s="100">
        <v>21.1</v>
      </c>
      <c r="E101" s="100">
        <v>5.79</v>
      </c>
      <c r="F101" s="100">
        <v>1.34</v>
      </c>
      <c r="G101" s="100">
        <v>38.270000000000003</v>
      </c>
      <c r="H101" s="100">
        <v>15.9</v>
      </c>
      <c r="I101" s="100">
        <v>14.12</v>
      </c>
      <c r="J101" s="100">
        <v>0.19</v>
      </c>
      <c r="K101" s="100">
        <v>164.91</v>
      </c>
      <c r="L101" s="100">
        <v>18.010000000000002</v>
      </c>
      <c r="M101" s="100">
        <v>80.75</v>
      </c>
      <c r="N101" s="100">
        <v>17.7</v>
      </c>
      <c r="O101" s="100">
        <v>0</v>
      </c>
      <c r="P101" s="100">
        <v>1.06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1972</v>
      </c>
      <c r="B102" s="100">
        <v>15.96</v>
      </c>
      <c r="C102" s="100">
        <v>16.03</v>
      </c>
      <c r="D102" s="100">
        <v>21.17</v>
      </c>
      <c r="E102" s="100">
        <v>5.45</v>
      </c>
      <c r="F102" s="100">
        <v>1.1599999999999999</v>
      </c>
      <c r="G102" s="100">
        <v>38.4</v>
      </c>
      <c r="H102" s="100">
        <v>15.9</v>
      </c>
      <c r="I102" s="100">
        <v>14.66</v>
      </c>
      <c r="J102" s="100">
        <v>0.16</v>
      </c>
      <c r="K102" s="100">
        <v>165.16</v>
      </c>
      <c r="L102" s="100">
        <v>17.940000000000001</v>
      </c>
      <c r="M102" s="100">
        <v>80.88</v>
      </c>
      <c r="N102" s="100">
        <v>17.8</v>
      </c>
      <c r="O102" s="100">
        <v>0</v>
      </c>
      <c r="P102" s="100">
        <v>1.1000000000000001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1973</v>
      </c>
      <c r="B103" s="100">
        <v>15.94</v>
      </c>
      <c r="C103" s="100">
        <v>16.05</v>
      </c>
      <c r="D103" s="100">
        <v>21.17</v>
      </c>
      <c r="E103" s="100">
        <v>5.94</v>
      </c>
      <c r="F103" s="100">
        <v>1.18</v>
      </c>
      <c r="G103" s="100">
        <v>38.4</v>
      </c>
      <c r="H103" s="100">
        <v>15.9</v>
      </c>
      <c r="I103" s="100">
        <v>15.21</v>
      </c>
      <c r="J103" s="100">
        <v>0.17</v>
      </c>
      <c r="K103" s="100">
        <v>173.71</v>
      </c>
      <c r="L103" s="100">
        <v>17.79</v>
      </c>
      <c r="M103" s="100">
        <v>81.88</v>
      </c>
      <c r="N103" s="100">
        <v>17.7</v>
      </c>
      <c r="O103" s="100">
        <v>0</v>
      </c>
      <c r="P103" s="100">
        <v>1.1200000000000001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1974</v>
      </c>
      <c r="B104" s="100">
        <v>15.81</v>
      </c>
      <c r="C104" s="100">
        <v>15.99</v>
      </c>
      <c r="D104" s="100">
        <v>21.03</v>
      </c>
      <c r="E104" s="100">
        <v>5.75</v>
      </c>
      <c r="F104" s="100">
        <v>1.28</v>
      </c>
      <c r="G104" s="100">
        <v>38.4</v>
      </c>
      <c r="H104" s="100">
        <v>15.9</v>
      </c>
      <c r="I104" s="100">
        <v>18.09</v>
      </c>
      <c r="J104" s="100">
        <v>0.17</v>
      </c>
      <c r="K104" s="100">
        <v>157.61000000000001</v>
      </c>
      <c r="L104" s="100">
        <v>17.88</v>
      </c>
      <c r="M104" s="100">
        <v>82.55</v>
      </c>
      <c r="N104" s="100">
        <v>17.7</v>
      </c>
      <c r="O104" s="100">
        <v>0</v>
      </c>
      <c r="P104" s="100">
        <v>1.1299999999999999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3.96</v>
      </c>
      <c r="C106" s="158">
        <f>MIN(C9:C104)</f>
        <v>14.54</v>
      </c>
      <c r="D106" s="158">
        <f t="shared" ref="D106:Q106" si="0">MIN(D9:D104)</f>
        <v>12.6</v>
      </c>
      <c r="E106" s="158">
        <f t="shared" si="0"/>
        <v>2.5</v>
      </c>
      <c r="F106" s="158">
        <f t="shared" si="0"/>
        <v>0.97</v>
      </c>
      <c r="G106" s="158">
        <f t="shared" si="0"/>
        <v>16.43</v>
      </c>
      <c r="H106" s="158">
        <f t="shared" si="0"/>
        <v>5.49</v>
      </c>
      <c r="I106" s="158">
        <f t="shared" si="0"/>
        <v>10.3</v>
      </c>
      <c r="J106" s="158">
        <f t="shared" si="0"/>
        <v>0.09</v>
      </c>
      <c r="K106" s="158">
        <f t="shared" si="0"/>
        <v>10.31</v>
      </c>
      <c r="L106" s="158">
        <f t="shared" si="0"/>
        <v>15.03</v>
      </c>
      <c r="M106" s="158">
        <f t="shared" si="0"/>
        <v>19.36</v>
      </c>
      <c r="N106" s="158">
        <f t="shared" si="0"/>
        <v>17.600000000000001</v>
      </c>
      <c r="O106" s="158">
        <f t="shared" si="0"/>
        <v>0</v>
      </c>
      <c r="P106" s="158">
        <f t="shared" si="0"/>
        <v>0.48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34.96</v>
      </c>
      <c r="C107" s="157">
        <f t="shared" ref="C107:Q107" si="1">MAX(C9:C104)</f>
        <v>20.65</v>
      </c>
      <c r="D107" s="157">
        <f t="shared" si="1"/>
        <v>37.97</v>
      </c>
      <c r="E107" s="157">
        <f t="shared" si="1"/>
        <v>6.67</v>
      </c>
      <c r="F107" s="157">
        <f t="shared" si="1"/>
        <v>4.09</v>
      </c>
      <c r="G107" s="157">
        <f t="shared" si="1"/>
        <v>55.01</v>
      </c>
      <c r="H107" s="157">
        <f t="shared" si="1"/>
        <v>24.53</v>
      </c>
      <c r="I107" s="157">
        <f t="shared" si="1"/>
        <v>24.79</v>
      </c>
      <c r="J107" s="157">
        <f t="shared" si="1"/>
        <v>1.06</v>
      </c>
      <c r="K107" s="157">
        <f t="shared" si="1"/>
        <v>358.01</v>
      </c>
      <c r="L107" s="157">
        <f t="shared" si="1"/>
        <v>29.91</v>
      </c>
      <c r="M107" s="157">
        <f t="shared" si="1"/>
        <v>93.75</v>
      </c>
      <c r="N107" s="157">
        <f t="shared" si="1"/>
        <v>601.79999999999995</v>
      </c>
      <c r="O107" s="157">
        <f t="shared" si="1"/>
        <v>0</v>
      </c>
      <c r="P107" s="157">
        <f t="shared" si="1"/>
        <v>1.17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16.98895833333334</v>
      </c>
      <c r="C108" s="158">
        <f t="shared" ref="C108:Q108" si="2">AVERAGE(C9:C104)</f>
        <v>17.949062499999997</v>
      </c>
      <c r="D108" s="158">
        <f t="shared" si="2"/>
        <v>23.001562500000006</v>
      </c>
      <c r="E108" s="158">
        <f t="shared" si="2"/>
        <v>5.57</v>
      </c>
      <c r="F108" s="158">
        <f t="shared" si="2"/>
        <v>1.6304166666666673</v>
      </c>
      <c r="G108" s="158">
        <f t="shared" si="2"/>
        <v>32.477812500000006</v>
      </c>
      <c r="H108" s="158">
        <f t="shared" si="2"/>
        <v>15.436666666666694</v>
      </c>
      <c r="I108" s="158">
        <f t="shared" si="2"/>
        <v>15.848749999999997</v>
      </c>
      <c r="J108" s="158">
        <f t="shared" si="2"/>
        <v>0.35749999999999998</v>
      </c>
      <c r="K108" s="158">
        <f t="shared" si="2"/>
        <v>129.53854166666667</v>
      </c>
      <c r="L108" s="158">
        <f t="shared" si="2"/>
        <v>21.569479166666667</v>
      </c>
      <c r="M108" s="158">
        <f t="shared" si="2"/>
        <v>61.97520833333332</v>
      </c>
      <c r="N108" s="158">
        <f t="shared" si="2"/>
        <v>113.92395833333325</v>
      </c>
      <c r="O108" s="158">
        <f t="shared" si="2"/>
        <v>0</v>
      </c>
      <c r="P108" s="158">
        <f t="shared" si="2"/>
        <v>0.88750000000000029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9.7186617531391502</v>
      </c>
      <c r="C109" s="158">
        <f t="shared" ref="C109:Q109" si="3">STDEV(C9:C104)</f>
        <v>1.8124528759754219</v>
      </c>
      <c r="D109" s="158">
        <f t="shared" si="3"/>
        <v>8.0227314325083512</v>
      </c>
      <c r="E109" s="158">
        <f t="shared" si="3"/>
        <v>0.6738139677669901</v>
      </c>
      <c r="F109" s="158">
        <f t="shared" si="3"/>
        <v>0.77070018290501441</v>
      </c>
      <c r="G109" s="158">
        <f t="shared" si="3"/>
        <v>10.857670119672655</v>
      </c>
      <c r="H109" s="158">
        <f t="shared" si="3"/>
        <v>6.6212688665774593</v>
      </c>
      <c r="I109" s="158">
        <f t="shared" si="3"/>
        <v>3.5647754044554665</v>
      </c>
      <c r="J109" s="158">
        <f t="shared" si="3"/>
        <v>0.27773899144416336</v>
      </c>
      <c r="K109" s="158">
        <f t="shared" si="3"/>
        <v>71.833460594689228</v>
      </c>
      <c r="L109" s="158">
        <f t="shared" si="3"/>
        <v>5.30025408920062</v>
      </c>
      <c r="M109" s="158">
        <f t="shared" si="3"/>
        <v>28.052608509132753</v>
      </c>
      <c r="N109" s="158">
        <f t="shared" si="3"/>
        <v>175.79586052535734</v>
      </c>
      <c r="O109" s="158">
        <f t="shared" si="3"/>
        <v>0</v>
      </c>
      <c r="P109" s="158">
        <f t="shared" si="3"/>
        <v>0.23695880166014099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C9" sqref="C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1975</v>
      </c>
      <c r="B9" s="100">
        <v>15.87</v>
      </c>
      <c r="C9" s="100">
        <v>14.75</v>
      </c>
      <c r="D9" s="100">
        <v>20.43</v>
      </c>
      <c r="E9" s="100">
        <v>5.51</v>
      </c>
      <c r="F9" s="100">
        <v>1.38</v>
      </c>
      <c r="G9" s="100">
        <v>39.76</v>
      </c>
      <c r="H9" s="100">
        <v>18.149999999999999</v>
      </c>
      <c r="I9" s="100">
        <v>21.15</v>
      </c>
      <c r="J9" s="100">
        <v>0.15</v>
      </c>
      <c r="K9" s="100">
        <v>171.99</v>
      </c>
      <c r="L9" s="100">
        <v>17.61</v>
      </c>
      <c r="M9" s="100">
        <v>81.61</v>
      </c>
      <c r="N9" s="100">
        <v>17.7</v>
      </c>
      <c r="O9" s="100">
        <v>0</v>
      </c>
      <c r="P9" s="100">
        <v>1.1499999999999999</v>
      </c>
      <c r="Q9" s="100">
        <v>9.32</v>
      </c>
      <c r="R9" s="6"/>
      <c r="S9" s="6"/>
      <c r="T9" s="156"/>
      <c r="U9" s="6"/>
    </row>
    <row r="10" spans="1:21" customFormat="1">
      <c r="A10" s="163" t="s">
        <v>1976</v>
      </c>
      <c r="B10" s="100">
        <v>16.7</v>
      </c>
      <c r="C10" s="100">
        <v>15.89</v>
      </c>
      <c r="D10" s="100">
        <v>21.69</v>
      </c>
      <c r="E10" s="100">
        <v>5.86</v>
      </c>
      <c r="F10" s="100">
        <v>1.38</v>
      </c>
      <c r="G10" s="100">
        <v>39.83</v>
      </c>
      <c r="H10" s="100">
        <v>18.149999999999999</v>
      </c>
      <c r="I10" s="100">
        <v>21.69</v>
      </c>
      <c r="J10" s="100">
        <v>0.17</v>
      </c>
      <c r="K10" s="100">
        <v>160.54</v>
      </c>
      <c r="L10" s="100">
        <v>17.7</v>
      </c>
      <c r="M10" s="100">
        <v>79.540000000000006</v>
      </c>
      <c r="N10" s="100">
        <v>17.7</v>
      </c>
      <c r="O10" s="100">
        <v>0</v>
      </c>
      <c r="P10" s="100">
        <v>1.17</v>
      </c>
      <c r="Q10" s="100">
        <v>9.32</v>
      </c>
      <c r="R10" s="6"/>
      <c r="S10" s="6"/>
      <c r="T10" s="156"/>
      <c r="U10" s="6"/>
    </row>
    <row r="11" spans="1:21" customFormat="1">
      <c r="A11" s="163" t="s">
        <v>1977</v>
      </c>
      <c r="B11" s="100">
        <v>18.600000000000001</v>
      </c>
      <c r="C11" s="100">
        <v>16.579999999999998</v>
      </c>
      <c r="D11" s="100">
        <v>23.58</v>
      </c>
      <c r="E11" s="100">
        <v>5.91</v>
      </c>
      <c r="F11" s="100">
        <v>1.39</v>
      </c>
      <c r="G11" s="100">
        <v>39.83</v>
      </c>
      <c r="H11" s="100">
        <v>18.149999999999999</v>
      </c>
      <c r="I11" s="100">
        <v>22.09</v>
      </c>
      <c r="J11" s="100">
        <v>0.2</v>
      </c>
      <c r="K11" s="100">
        <v>163.69</v>
      </c>
      <c r="L11" s="100">
        <v>17.63</v>
      </c>
      <c r="M11" s="100">
        <v>80.86</v>
      </c>
      <c r="N11" s="100">
        <v>17.600000000000001</v>
      </c>
      <c r="O11" s="100">
        <v>0</v>
      </c>
      <c r="P11" s="100">
        <v>1.18</v>
      </c>
      <c r="Q11" s="100">
        <v>9.32</v>
      </c>
      <c r="R11" s="6"/>
      <c r="S11" s="6"/>
      <c r="T11" s="156"/>
      <c r="U11" s="6"/>
    </row>
    <row r="12" spans="1:21" customFormat="1">
      <c r="A12" s="163" t="s">
        <v>1978</v>
      </c>
      <c r="B12" s="100">
        <v>20.32</v>
      </c>
      <c r="C12" s="100">
        <v>16.809999999999999</v>
      </c>
      <c r="D12" s="100">
        <v>25.08</v>
      </c>
      <c r="E12" s="100">
        <v>5.73</v>
      </c>
      <c r="F12" s="100">
        <v>1.2</v>
      </c>
      <c r="G12" s="100">
        <v>39.83</v>
      </c>
      <c r="H12" s="100">
        <v>18.149999999999999</v>
      </c>
      <c r="I12" s="100">
        <v>22.46</v>
      </c>
      <c r="J12" s="100">
        <v>0.2</v>
      </c>
      <c r="K12" s="100">
        <v>157.76</v>
      </c>
      <c r="L12" s="100">
        <v>17.59</v>
      </c>
      <c r="M12" s="100">
        <v>84.19</v>
      </c>
      <c r="N12" s="100">
        <v>17.600000000000001</v>
      </c>
      <c r="O12" s="100">
        <v>0</v>
      </c>
      <c r="P12" s="100">
        <v>1.19</v>
      </c>
      <c r="Q12" s="100">
        <v>9.32</v>
      </c>
      <c r="R12" s="6"/>
      <c r="S12" s="6"/>
      <c r="T12" s="156"/>
      <c r="U12" s="6"/>
    </row>
    <row r="13" spans="1:21" customFormat="1">
      <c r="A13" s="163" t="s">
        <v>1979</v>
      </c>
      <c r="B13" s="100">
        <v>21.46</v>
      </c>
      <c r="C13" s="100">
        <v>16.920000000000002</v>
      </c>
      <c r="D13" s="100">
        <v>26.05</v>
      </c>
      <c r="E13" s="100">
        <v>5.65</v>
      </c>
      <c r="F13" s="100">
        <v>1.26</v>
      </c>
      <c r="G13" s="100">
        <v>40.229999999999997</v>
      </c>
      <c r="H13" s="100">
        <v>18.010000000000002</v>
      </c>
      <c r="I13" s="100">
        <v>22.78</v>
      </c>
      <c r="J13" s="100">
        <v>0.17</v>
      </c>
      <c r="K13" s="100">
        <v>163.58000000000001</v>
      </c>
      <c r="L13" s="100">
        <v>17.34</v>
      </c>
      <c r="M13" s="100">
        <v>85.51</v>
      </c>
      <c r="N13" s="100">
        <v>17.7</v>
      </c>
      <c r="O13" s="100">
        <v>0</v>
      </c>
      <c r="P13" s="100">
        <v>1.2</v>
      </c>
      <c r="Q13" s="100">
        <v>9.32</v>
      </c>
      <c r="R13" s="6"/>
      <c r="S13" s="6"/>
      <c r="T13" s="156"/>
      <c r="U13" s="6"/>
    </row>
    <row r="14" spans="1:21" customFormat="1">
      <c r="A14" s="163" t="s">
        <v>1980</v>
      </c>
      <c r="B14" s="100">
        <v>22.63</v>
      </c>
      <c r="C14" s="100">
        <v>16.850000000000001</v>
      </c>
      <c r="D14" s="100">
        <v>26.95</v>
      </c>
      <c r="E14" s="100">
        <v>6.08</v>
      </c>
      <c r="F14" s="100">
        <v>1.27</v>
      </c>
      <c r="G14" s="100">
        <v>40.25</v>
      </c>
      <c r="H14" s="100">
        <v>18.010000000000002</v>
      </c>
      <c r="I14" s="100">
        <v>23.05</v>
      </c>
      <c r="J14" s="100">
        <v>0.2</v>
      </c>
      <c r="K14" s="100">
        <v>156.41999999999999</v>
      </c>
      <c r="L14" s="100">
        <v>17.37</v>
      </c>
      <c r="M14" s="100">
        <v>84.18</v>
      </c>
      <c r="N14" s="100">
        <v>17.7</v>
      </c>
      <c r="O14" s="100">
        <v>0</v>
      </c>
      <c r="P14" s="100">
        <v>1.21</v>
      </c>
      <c r="Q14" s="100">
        <v>9.32</v>
      </c>
      <c r="R14" s="6"/>
      <c r="S14" s="6"/>
      <c r="T14" s="156"/>
      <c r="U14" s="6"/>
    </row>
    <row r="15" spans="1:21" customFormat="1">
      <c r="A15" s="163" t="s">
        <v>1981</v>
      </c>
      <c r="B15" s="100">
        <v>24.09</v>
      </c>
      <c r="C15" s="100">
        <v>17.03</v>
      </c>
      <c r="D15" s="100">
        <v>28.22</v>
      </c>
      <c r="E15" s="100">
        <v>5.75</v>
      </c>
      <c r="F15" s="100">
        <v>1.21</v>
      </c>
      <c r="G15" s="100">
        <v>40.25</v>
      </c>
      <c r="H15" s="100">
        <v>18.010000000000002</v>
      </c>
      <c r="I15" s="100">
        <v>23.24</v>
      </c>
      <c r="J15" s="100">
        <v>0.24</v>
      </c>
      <c r="K15" s="100">
        <v>156.54</v>
      </c>
      <c r="L15" s="100">
        <v>17.2</v>
      </c>
      <c r="M15" s="100">
        <v>84.96</v>
      </c>
      <c r="N15" s="100">
        <v>17.7</v>
      </c>
      <c r="O15" s="100">
        <v>0</v>
      </c>
      <c r="P15" s="100">
        <v>1.22</v>
      </c>
      <c r="Q15" s="100">
        <v>9.32</v>
      </c>
      <c r="R15" s="6"/>
      <c r="S15" s="6"/>
      <c r="T15" s="156"/>
      <c r="U15" s="6"/>
    </row>
    <row r="16" spans="1:21" customFormat="1">
      <c r="A16" s="163" t="s">
        <v>1982</v>
      </c>
      <c r="B16" s="100">
        <v>25.36</v>
      </c>
      <c r="C16" s="100">
        <v>17.2</v>
      </c>
      <c r="D16" s="100">
        <v>29.33</v>
      </c>
      <c r="E16" s="100">
        <v>5.99</v>
      </c>
      <c r="F16" s="100">
        <v>1.3</v>
      </c>
      <c r="G16" s="100">
        <v>40.25</v>
      </c>
      <c r="H16" s="100">
        <v>18.010000000000002</v>
      </c>
      <c r="I16" s="100">
        <v>23.43</v>
      </c>
      <c r="J16" s="100">
        <v>0.22</v>
      </c>
      <c r="K16" s="100">
        <v>153.52000000000001</v>
      </c>
      <c r="L16" s="100">
        <v>17.39</v>
      </c>
      <c r="M16" s="100">
        <v>83.5</v>
      </c>
      <c r="N16" s="100">
        <v>17.600000000000001</v>
      </c>
      <c r="O16" s="100">
        <v>0</v>
      </c>
      <c r="P16" s="100">
        <v>1.21</v>
      </c>
      <c r="Q16" s="100">
        <v>9.32</v>
      </c>
      <c r="R16" s="6"/>
      <c r="S16" s="6"/>
      <c r="T16" s="156"/>
      <c r="U16" s="6"/>
    </row>
    <row r="17" spans="1:21" customFormat="1">
      <c r="A17" s="163" t="s">
        <v>1983</v>
      </c>
      <c r="B17" s="100">
        <v>26.35</v>
      </c>
      <c r="C17" s="100">
        <v>17.21</v>
      </c>
      <c r="D17" s="100">
        <v>30.12</v>
      </c>
      <c r="E17" s="100">
        <v>4.2300000000000004</v>
      </c>
      <c r="F17" s="100">
        <v>1.22</v>
      </c>
      <c r="G17" s="100">
        <v>36.03</v>
      </c>
      <c r="H17" s="100">
        <v>16.57</v>
      </c>
      <c r="I17" s="100">
        <v>23.6</v>
      </c>
      <c r="J17" s="100">
        <v>0.2</v>
      </c>
      <c r="K17" s="100">
        <v>185.68</v>
      </c>
      <c r="L17" s="100">
        <v>16.95</v>
      </c>
      <c r="M17" s="100">
        <v>86.19</v>
      </c>
      <c r="N17" s="100">
        <v>17.600000000000001</v>
      </c>
      <c r="O17" s="100">
        <v>0</v>
      </c>
      <c r="P17" s="100">
        <v>1.22</v>
      </c>
      <c r="Q17" s="100">
        <v>9.32</v>
      </c>
      <c r="R17" s="6"/>
      <c r="S17" s="6"/>
      <c r="T17" s="156"/>
      <c r="U17" s="6"/>
    </row>
    <row r="18" spans="1:21" customFormat="1">
      <c r="A18" s="163" t="s">
        <v>1984</v>
      </c>
      <c r="B18" s="100">
        <v>26.68</v>
      </c>
      <c r="C18" s="100">
        <v>16.98</v>
      </c>
      <c r="D18" s="100">
        <v>30.27</v>
      </c>
      <c r="E18" s="100">
        <v>5.36</v>
      </c>
      <c r="F18" s="100">
        <v>1.21</v>
      </c>
      <c r="G18" s="100">
        <v>35.78</v>
      </c>
      <c r="H18" s="100">
        <v>16.57</v>
      </c>
      <c r="I18" s="100">
        <v>23.67</v>
      </c>
      <c r="J18" s="100">
        <v>0.16</v>
      </c>
      <c r="K18" s="100">
        <v>178.62</v>
      </c>
      <c r="L18" s="100">
        <v>16.45</v>
      </c>
      <c r="M18" s="100">
        <v>87.84</v>
      </c>
      <c r="N18" s="100">
        <v>17.8</v>
      </c>
      <c r="O18" s="100">
        <v>0</v>
      </c>
      <c r="P18" s="100">
        <v>1.21</v>
      </c>
      <c r="Q18" s="100">
        <v>9.32</v>
      </c>
      <c r="R18" s="6"/>
      <c r="S18" s="6"/>
      <c r="T18" s="156"/>
      <c r="U18" s="6"/>
    </row>
    <row r="19" spans="1:21" customFormat="1">
      <c r="A19" s="163" t="s">
        <v>1985</v>
      </c>
      <c r="B19" s="100">
        <v>26.43</v>
      </c>
      <c r="C19" s="100">
        <v>16.649999999999999</v>
      </c>
      <c r="D19" s="100">
        <v>29.89</v>
      </c>
      <c r="E19" s="100">
        <v>5.35</v>
      </c>
      <c r="F19" s="100">
        <v>1.29</v>
      </c>
      <c r="G19" s="100">
        <v>35.78</v>
      </c>
      <c r="H19" s="100">
        <v>16.57</v>
      </c>
      <c r="I19" s="100">
        <v>23.65</v>
      </c>
      <c r="J19" s="100">
        <v>0.16</v>
      </c>
      <c r="K19" s="100">
        <v>218.78</v>
      </c>
      <c r="L19" s="100">
        <v>16.13</v>
      </c>
      <c r="M19" s="100">
        <v>88.8</v>
      </c>
      <c r="N19" s="100">
        <v>17.7</v>
      </c>
      <c r="O19" s="100">
        <v>0</v>
      </c>
      <c r="P19" s="100">
        <v>1.2</v>
      </c>
      <c r="Q19" s="100">
        <v>9.32</v>
      </c>
      <c r="R19" s="6"/>
      <c r="S19" s="6"/>
      <c r="T19" s="156"/>
      <c r="U19" s="6"/>
    </row>
    <row r="20" spans="1:21" customFormat="1">
      <c r="A20" s="163" t="s">
        <v>1986</v>
      </c>
      <c r="B20" s="100">
        <v>26.03</v>
      </c>
      <c r="C20" s="100">
        <v>16.37</v>
      </c>
      <c r="D20" s="100">
        <v>29.42</v>
      </c>
      <c r="E20" s="100">
        <v>5.51</v>
      </c>
      <c r="F20" s="100">
        <v>1.2</v>
      </c>
      <c r="G20" s="100">
        <v>35.78</v>
      </c>
      <c r="H20" s="100">
        <v>16.57</v>
      </c>
      <c r="I20" s="100">
        <v>23.57</v>
      </c>
      <c r="J20" s="100">
        <v>0.15</v>
      </c>
      <c r="K20" s="100">
        <v>207.37</v>
      </c>
      <c r="L20" s="100">
        <v>16.05</v>
      </c>
      <c r="M20" s="100">
        <v>90.16</v>
      </c>
      <c r="N20" s="100">
        <v>17.7</v>
      </c>
      <c r="O20" s="100">
        <v>0</v>
      </c>
      <c r="P20" s="100">
        <v>1.19</v>
      </c>
      <c r="Q20" s="100">
        <v>9.32</v>
      </c>
      <c r="R20" s="6"/>
      <c r="S20" s="6"/>
      <c r="T20" s="156"/>
      <c r="U20" s="6"/>
    </row>
    <row r="21" spans="1:21" customFormat="1">
      <c r="A21" s="163" t="s">
        <v>1987</v>
      </c>
      <c r="B21" s="100">
        <v>25.73</v>
      </c>
      <c r="C21" s="100">
        <v>16</v>
      </c>
      <c r="D21" s="100">
        <v>29</v>
      </c>
      <c r="E21" s="100">
        <v>5.3</v>
      </c>
      <c r="F21" s="100">
        <v>1.24</v>
      </c>
      <c r="G21" s="100">
        <v>33.44</v>
      </c>
      <c r="H21" s="100">
        <v>15.71</v>
      </c>
      <c r="I21" s="100">
        <v>23.46</v>
      </c>
      <c r="J21" s="100">
        <v>0.14000000000000001</v>
      </c>
      <c r="K21" s="100">
        <v>204.42</v>
      </c>
      <c r="L21" s="100">
        <v>15.76</v>
      </c>
      <c r="M21" s="100">
        <v>91.17</v>
      </c>
      <c r="N21" s="100">
        <v>17.7</v>
      </c>
      <c r="O21" s="100">
        <v>0</v>
      </c>
      <c r="P21" s="100">
        <v>1.2</v>
      </c>
      <c r="Q21" s="100">
        <v>9.32</v>
      </c>
      <c r="R21" s="6"/>
      <c r="S21" s="6"/>
      <c r="T21" s="156"/>
      <c r="U21" s="6"/>
    </row>
    <row r="22" spans="1:21" customFormat="1">
      <c r="A22" s="163" t="s">
        <v>1988</v>
      </c>
      <c r="B22" s="100">
        <v>25.53</v>
      </c>
      <c r="C22" s="100">
        <v>15.64</v>
      </c>
      <c r="D22" s="100">
        <v>28.65</v>
      </c>
      <c r="E22" s="100">
        <v>5.4</v>
      </c>
      <c r="F22" s="100">
        <v>1.1499999999999999</v>
      </c>
      <c r="G22" s="100">
        <v>33.31</v>
      </c>
      <c r="H22" s="100">
        <v>15.71</v>
      </c>
      <c r="I22" s="100">
        <v>23.41</v>
      </c>
      <c r="J22" s="100">
        <v>0.17</v>
      </c>
      <c r="K22" s="100">
        <v>224.51</v>
      </c>
      <c r="L22" s="100">
        <v>15.62</v>
      </c>
      <c r="M22" s="100">
        <v>91.63</v>
      </c>
      <c r="N22" s="100">
        <v>17.7</v>
      </c>
      <c r="O22" s="100">
        <v>0</v>
      </c>
      <c r="P22" s="100">
        <v>1.2</v>
      </c>
      <c r="Q22" s="100">
        <v>9.32</v>
      </c>
      <c r="R22" s="6"/>
      <c r="S22" s="6"/>
      <c r="T22" s="156"/>
      <c r="U22" s="6"/>
    </row>
    <row r="23" spans="1:21" customFormat="1">
      <c r="A23" s="163" t="s">
        <v>1989</v>
      </c>
      <c r="B23" s="100">
        <v>25.38</v>
      </c>
      <c r="C23" s="100">
        <v>15.5</v>
      </c>
      <c r="D23" s="100">
        <v>28.45</v>
      </c>
      <c r="E23" s="100">
        <v>5.23</v>
      </c>
      <c r="F23" s="100">
        <v>1.1200000000000001</v>
      </c>
      <c r="G23" s="100">
        <v>33.31</v>
      </c>
      <c r="H23" s="100">
        <v>15.71</v>
      </c>
      <c r="I23" s="100">
        <v>23.36</v>
      </c>
      <c r="J23" s="100">
        <v>0.11</v>
      </c>
      <c r="K23" s="100">
        <v>198.33</v>
      </c>
      <c r="L23" s="100">
        <v>15.36</v>
      </c>
      <c r="M23" s="100">
        <v>91.23</v>
      </c>
      <c r="N23" s="100">
        <v>17.7</v>
      </c>
      <c r="O23" s="100">
        <v>0</v>
      </c>
      <c r="P23" s="100">
        <v>1.21</v>
      </c>
      <c r="Q23" s="100">
        <v>9.32</v>
      </c>
      <c r="R23" s="6"/>
      <c r="S23" s="6"/>
      <c r="T23" s="156"/>
      <c r="U23" s="6"/>
    </row>
    <row r="24" spans="1:21" customFormat="1">
      <c r="A24" s="163" t="s">
        <v>1990</v>
      </c>
      <c r="B24" s="100">
        <v>25.02</v>
      </c>
      <c r="C24" s="100">
        <v>15.23</v>
      </c>
      <c r="D24" s="100">
        <v>28.02</v>
      </c>
      <c r="E24" s="100">
        <v>5.3</v>
      </c>
      <c r="F24" s="100">
        <v>1.1200000000000001</v>
      </c>
      <c r="G24" s="100">
        <v>33.31</v>
      </c>
      <c r="H24" s="100">
        <v>15.71</v>
      </c>
      <c r="I24" s="100">
        <v>23.32</v>
      </c>
      <c r="J24" s="100">
        <v>0.12</v>
      </c>
      <c r="K24" s="100">
        <v>159.78</v>
      </c>
      <c r="L24" s="100">
        <v>15.16</v>
      </c>
      <c r="M24" s="100">
        <v>91.78</v>
      </c>
      <c r="N24" s="100">
        <v>17.7</v>
      </c>
      <c r="O24" s="100">
        <v>0</v>
      </c>
      <c r="P24" s="100">
        <v>1.22</v>
      </c>
      <c r="Q24" s="100">
        <v>9.32</v>
      </c>
      <c r="R24" s="6"/>
      <c r="S24" s="6"/>
      <c r="T24" s="156"/>
      <c r="U24" s="6"/>
    </row>
    <row r="25" spans="1:21" customFormat="1">
      <c r="A25" s="163" t="s">
        <v>1991</v>
      </c>
      <c r="B25" s="100">
        <v>24.69</v>
      </c>
      <c r="C25" s="100">
        <v>15.04</v>
      </c>
      <c r="D25" s="100">
        <v>27.66</v>
      </c>
      <c r="E25" s="100">
        <v>5.24</v>
      </c>
      <c r="F25" s="100">
        <v>1.1200000000000001</v>
      </c>
      <c r="G25" s="100">
        <v>35.75</v>
      </c>
      <c r="H25" s="100">
        <v>14.73</v>
      </c>
      <c r="I25" s="100">
        <v>23.32</v>
      </c>
      <c r="J25" s="100">
        <v>0.09</v>
      </c>
      <c r="K25" s="100">
        <v>155.1</v>
      </c>
      <c r="L25" s="100">
        <v>15.2</v>
      </c>
      <c r="M25" s="100">
        <v>91.49</v>
      </c>
      <c r="N25" s="100">
        <v>17.7</v>
      </c>
      <c r="O25" s="100">
        <v>0</v>
      </c>
      <c r="P25" s="100">
        <v>1.21</v>
      </c>
      <c r="Q25" s="100">
        <v>9.32</v>
      </c>
      <c r="R25" s="6"/>
      <c r="S25" s="6"/>
      <c r="T25" s="156"/>
      <c r="U25" s="6"/>
    </row>
    <row r="26" spans="1:21" customFormat="1">
      <c r="A26" s="163" t="s">
        <v>1992</v>
      </c>
      <c r="B26" s="100">
        <v>24.38</v>
      </c>
      <c r="C26" s="100">
        <v>14.94</v>
      </c>
      <c r="D26" s="100">
        <v>27.36</v>
      </c>
      <c r="E26" s="100">
        <v>5.05</v>
      </c>
      <c r="F26" s="100">
        <v>1.1399999999999999</v>
      </c>
      <c r="G26" s="100">
        <v>35.89</v>
      </c>
      <c r="H26" s="100">
        <v>14.73</v>
      </c>
      <c r="I26" s="100">
        <v>23.23</v>
      </c>
      <c r="J26" s="100">
        <v>0.16</v>
      </c>
      <c r="K26" s="100">
        <v>191.32</v>
      </c>
      <c r="L26" s="100">
        <v>15.2</v>
      </c>
      <c r="M26" s="100">
        <v>91.95</v>
      </c>
      <c r="N26" s="100">
        <v>17.5</v>
      </c>
      <c r="O26" s="100">
        <v>0</v>
      </c>
      <c r="P26" s="100">
        <v>1.2</v>
      </c>
      <c r="Q26" s="100">
        <v>9.32</v>
      </c>
      <c r="R26" s="6"/>
      <c r="S26" s="6"/>
      <c r="T26" s="156"/>
      <c r="U26" s="6"/>
    </row>
    <row r="27" spans="1:21" customFormat="1">
      <c r="A27" s="163" t="s">
        <v>1993</v>
      </c>
      <c r="B27" s="100">
        <v>23.95</v>
      </c>
      <c r="C27" s="100">
        <v>14.84</v>
      </c>
      <c r="D27" s="100">
        <v>26.96</v>
      </c>
      <c r="E27" s="100">
        <v>4.96</v>
      </c>
      <c r="F27" s="100">
        <v>1.17</v>
      </c>
      <c r="G27" s="100">
        <v>35.89</v>
      </c>
      <c r="H27" s="100">
        <v>14.73</v>
      </c>
      <c r="I27" s="100">
        <v>23.08</v>
      </c>
      <c r="J27" s="100">
        <v>0.23</v>
      </c>
      <c r="K27" s="100">
        <v>239.5</v>
      </c>
      <c r="L27" s="100">
        <v>14.91</v>
      </c>
      <c r="M27" s="100">
        <v>92.54</v>
      </c>
      <c r="N27" s="100">
        <v>17.8</v>
      </c>
      <c r="O27" s="100">
        <v>0</v>
      </c>
      <c r="P27" s="100">
        <v>1.19</v>
      </c>
      <c r="Q27" s="100">
        <v>9.32</v>
      </c>
      <c r="R27" s="6"/>
      <c r="S27" s="6"/>
      <c r="T27" s="156"/>
      <c r="U27" s="6"/>
    </row>
    <row r="28" spans="1:21" customFormat="1">
      <c r="A28" s="163" t="s">
        <v>1994</v>
      </c>
      <c r="B28" s="100">
        <v>23.45</v>
      </c>
      <c r="C28" s="100">
        <v>14.81</v>
      </c>
      <c r="D28" s="100">
        <v>26.54</v>
      </c>
      <c r="E28" s="100">
        <v>4.8099999999999996</v>
      </c>
      <c r="F28" s="100">
        <v>1.23</v>
      </c>
      <c r="G28" s="100">
        <v>35.89</v>
      </c>
      <c r="H28" s="100">
        <v>14.73</v>
      </c>
      <c r="I28" s="100">
        <v>22.88</v>
      </c>
      <c r="J28" s="100">
        <v>0.14000000000000001</v>
      </c>
      <c r="K28" s="100">
        <v>234.38</v>
      </c>
      <c r="L28" s="100">
        <v>14.6</v>
      </c>
      <c r="M28" s="100">
        <v>91.47</v>
      </c>
      <c r="N28" s="100">
        <v>17.7</v>
      </c>
      <c r="O28" s="100">
        <v>0</v>
      </c>
      <c r="P28" s="100">
        <v>1.17</v>
      </c>
      <c r="Q28" s="100">
        <v>9.32</v>
      </c>
      <c r="R28" s="6"/>
      <c r="S28" s="6"/>
      <c r="T28" s="156"/>
      <c r="U28" s="6"/>
    </row>
    <row r="29" spans="1:21" customFormat="1">
      <c r="A29" s="163" t="s">
        <v>1995</v>
      </c>
      <c r="B29" s="100">
        <v>23.01</v>
      </c>
      <c r="C29" s="100">
        <v>14.58</v>
      </c>
      <c r="D29" s="100">
        <v>26.07</v>
      </c>
      <c r="E29" s="100">
        <v>5.04</v>
      </c>
      <c r="F29" s="100">
        <v>1.2</v>
      </c>
      <c r="G29" s="100">
        <v>28.92</v>
      </c>
      <c r="H29" s="100">
        <v>13.76</v>
      </c>
      <c r="I29" s="100">
        <v>22.71</v>
      </c>
      <c r="J29" s="100">
        <v>0.16</v>
      </c>
      <c r="K29" s="100">
        <v>202.27</v>
      </c>
      <c r="L29" s="100">
        <v>14.67</v>
      </c>
      <c r="M29" s="100">
        <v>92.46</v>
      </c>
      <c r="N29" s="100">
        <v>17.600000000000001</v>
      </c>
      <c r="O29" s="100">
        <v>0</v>
      </c>
      <c r="P29" s="100">
        <v>1.1499999999999999</v>
      </c>
      <c r="Q29" s="100">
        <v>9.32</v>
      </c>
      <c r="R29" s="6"/>
      <c r="S29" s="6"/>
      <c r="T29" s="156"/>
      <c r="U29" s="6"/>
    </row>
    <row r="30" spans="1:21" customFormat="1">
      <c r="A30" s="163" t="s">
        <v>1996</v>
      </c>
      <c r="B30" s="100">
        <v>22.4</v>
      </c>
      <c r="C30" s="100">
        <v>14.6</v>
      </c>
      <c r="D30" s="100">
        <v>25.59</v>
      </c>
      <c r="E30" s="100">
        <v>4.88</v>
      </c>
      <c r="F30" s="100">
        <v>1.22</v>
      </c>
      <c r="G30" s="100">
        <v>28.51</v>
      </c>
      <c r="H30" s="100">
        <v>13.76</v>
      </c>
      <c r="I30" s="100">
        <v>22.51</v>
      </c>
      <c r="J30" s="100">
        <v>0.19</v>
      </c>
      <c r="K30" s="100">
        <v>190.06</v>
      </c>
      <c r="L30" s="100">
        <v>14.69</v>
      </c>
      <c r="M30" s="100">
        <v>92.79</v>
      </c>
      <c r="N30" s="100">
        <v>17.7</v>
      </c>
      <c r="O30" s="100">
        <v>0</v>
      </c>
      <c r="P30" s="100">
        <v>1.1399999999999999</v>
      </c>
      <c r="Q30" s="100">
        <v>9.32</v>
      </c>
      <c r="R30" s="6"/>
      <c r="S30" s="6"/>
      <c r="T30" s="156"/>
      <c r="U30" s="6"/>
    </row>
    <row r="31" spans="1:21" customFormat="1">
      <c r="A31" s="163" t="s">
        <v>1997</v>
      </c>
      <c r="B31" s="100">
        <v>21.84</v>
      </c>
      <c r="C31" s="100">
        <v>14.69</v>
      </c>
      <c r="D31" s="100">
        <v>25.19</v>
      </c>
      <c r="E31" s="100">
        <v>4.66</v>
      </c>
      <c r="F31" s="100">
        <v>1.24</v>
      </c>
      <c r="G31" s="100">
        <v>28.51</v>
      </c>
      <c r="H31" s="100">
        <v>13.76</v>
      </c>
      <c r="I31" s="100">
        <v>22.28</v>
      </c>
      <c r="J31" s="100">
        <v>0.18</v>
      </c>
      <c r="K31" s="100">
        <v>206.2</v>
      </c>
      <c r="L31" s="100">
        <v>14.54</v>
      </c>
      <c r="M31" s="100">
        <v>92.92</v>
      </c>
      <c r="N31" s="100">
        <v>17.8</v>
      </c>
      <c r="O31" s="100">
        <v>0</v>
      </c>
      <c r="P31" s="100">
        <v>1.1299999999999999</v>
      </c>
      <c r="Q31" s="100">
        <v>9.32</v>
      </c>
      <c r="R31" s="6"/>
      <c r="S31" s="6"/>
      <c r="T31" s="156"/>
      <c r="U31" s="6"/>
    </row>
    <row r="32" spans="1:21" customFormat="1">
      <c r="A32" s="163" t="s">
        <v>1998</v>
      </c>
      <c r="B32" s="100">
        <v>21.3</v>
      </c>
      <c r="C32" s="100">
        <v>14.67</v>
      </c>
      <c r="D32" s="100">
        <v>24.75</v>
      </c>
      <c r="E32" s="100">
        <v>4.78</v>
      </c>
      <c r="F32" s="100">
        <v>1.2</v>
      </c>
      <c r="G32" s="100">
        <v>28.51</v>
      </c>
      <c r="H32" s="100">
        <v>13.76</v>
      </c>
      <c r="I32" s="100">
        <v>22.08</v>
      </c>
      <c r="J32" s="100">
        <v>0.18</v>
      </c>
      <c r="K32" s="100">
        <v>247.93</v>
      </c>
      <c r="L32" s="100">
        <v>14.27</v>
      </c>
      <c r="M32" s="100">
        <v>92.49</v>
      </c>
      <c r="N32" s="100">
        <v>17.899999999999999</v>
      </c>
      <c r="O32" s="100">
        <v>0</v>
      </c>
      <c r="P32" s="100">
        <v>1.1100000000000001</v>
      </c>
      <c r="Q32" s="100">
        <v>9.32</v>
      </c>
      <c r="R32" s="6"/>
      <c r="S32" s="6"/>
      <c r="T32" s="156"/>
      <c r="U32" s="6"/>
    </row>
    <row r="33" spans="1:21" customFormat="1">
      <c r="A33" s="163" t="s">
        <v>1999</v>
      </c>
      <c r="B33" s="100">
        <v>20.9</v>
      </c>
      <c r="C33" s="100">
        <v>14.64</v>
      </c>
      <c r="D33" s="100">
        <v>24.41</v>
      </c>
      <c r="E33" s="100">
        <v>4.7699999999999996</v>
      </c>
      <c r="F33" s="100">
        <v>1.0900000000000001</v>
      </c>
      <c r="G33" s="100">
        <v>27.46</v>
      </c>
      <c r="H33" s="100">
        <v>13.68</v>
      </c>
      <c r="I33" s="100">
        <v>21.88</v>
      </c>
      <c r="J33" s="100">
        <v>0.16</v>
      </c>
      <c r="K33" s="100">
        <v>213.67</v>
      </c>
      <c r="L33" s="100">
        <v>14.21</v>
      </c>
      <c r="M33" s="100">
        <v>92.16</v>
      </c>
      <c r="N33" s="100">
        <v>17.7</v>
      </c>
      <c r="O33" s="100">
        <v>0</v>
      </c>
      <c r="P33" s="100">
        <v>1.1000000000000001</v>
      </c>
      <c r="Q33" s="100">
        <v>9.32</v>
      </c>
      <c r="R33" s="6"/>
      <c r="S33" s="6"/>
      <c r="T33" s="156"/>
      <c r="U33" s="6"/>
    </row>
    <row r="34" spans="1:21" customFormat="1">
      <c r="A34" s="163" t="s">
        <v>2000</v>
      </c>
      <c r="B34" s="100">
        <v>20.49</v>
      </c>
      <c r="C34" s="100">
        <v>14.46</v>
      </c>
      <c r="D34" s="100">
        <v>23.99</v>
      </c>
      <c r="E34" s="100">
        <v>4.82</v>
      </c>
      <c r="F34" s="100">
        <v>1.21</v>
      </c>
      <c r="G34" s="100">
        <v>27.4</v>
      </c>
      <c r="H34" s="100">
        <v>13.68</v>
      </c>
      <c r="I34" s="100">
        <v>21.72</v>
      </c>
      <c r="J34" s="100">
        <v>0.11</v>
      </c>
      <c r="K34" s="100">
        <v>198.04</v>
      </c>
      <c r="L34" s="100">
        <v>14.29</v>
      </c>
      <c r="M34" s="100">
        <v>93.41</v>
      </c>
      <c r="N34" s="100">
        <v>18.7</v>
      </c>
      <c r="O34" s="100">
        <v>0</v>
      </c>
      <c r="P34" s="100">
        <v>1.0900000000000001</v>
      </c>
      <c r="Q34" s="100">
        <v>9.32</v>
      </c>
      <c r="R34" s="6"/>
      <c r="S34" s="6"/>
      <c r="T34" s="156"/>
      <c r="U34" s="6"/>
    </row>
    <row r="35" spans="1:21" customFormat="1">
      <c r="A35" s="163" t="s">
        <v>2001</v>
      </c>
      <c r="B35" s="100">
        <v>20.22</v>
      </c>
      <c r="C35" s="100">
        <v>14.35</v>
      </c>
      <c r="D35" s="100">
        <v>23.71</v>
      </c>
      <c r="E35" s="100">
        <v>4.7699999999999996</v>
      </c>
      <c r="F35" s="100">
        <v>1.19</v>
      </c>
      <c r="G35" s="100">
        <v>27.4</v>
      </c>
      <c r="H35" s="100">
        <v>13.68</v>
      </c>
      <c r="I35" s="100">
        <v>21.53</v>
      </c>
      <c r="J35" s="100">
        <v>0.13</v>
      </c>
      <c r="K35" s="100">
        <v>205.88</v>
      </c>
      <c r="L35" s="100">
        <v>14.14</v>
      </c>
      <c r="M35" s="100">
        <v>93.68</v>
      </c>
      <c r="N35" s="100">
        <v>22.3</v>
      </c>
      <c r="O35" s="100">
        <v>0</v>
      </c>
      <c r="P35" s="100">
        <v>1.08</v>
      </c>
      <c r="Q35" s="100">
        <v>9.32</v>
      </c>
      <c r="R35" s="6"/>
      <c r="S35" s="6"/>
      <c r="T35" s="156"/>
      <c r="U35" s="6"/>
    </row>
    <row r="36" spans="1:21" customFormat="1">
      <c r="A36" s="163" t="s">
        <v>2002</v>
      </c>
      <c r="B36" s="100">
        <v>20.079999999999998</v>
      </c>
      <c r="C36" s="100">
        <v>14.34</v>
      </c>
      <c r="D36" s="100">
        <v>23.59</v>
      </c>
      <c r="E36" s="100">
        <v>4.3899999999999997</v>
      </c>
      <c r="F36" s="100">
        <v>1.28</v>
      </c>
      <c r="G36" s="100">
        <v>27.4</v>
      </c>
      <c r="H36" s="100">
        <v>13.68</v>
      </c>
      <c r="I36" s="100">
        <v>21.38</v>
      </c>
      <c r="J36" s="100">
        <v>0.12</v>
      </c>
      <c r="K36" s="100">
        <v>185.92</v>
      </c>
      <c r="L36" s="100">
        <v>14.36</v>
      </c>
      <c r="M36" s="100">
        <v>93.37</v>
      </c>
      <c r="N36" s="100">
        <v>29.3</v>
      </c>
      <c r="O36" s="100">
        <v>0</v>
      </c>
      <c r="P36" s="100">
        <v>1.08</v>
      </c>
      <c r="Q36" s="100">
        <v>9.32</v>
      </c>
      <c r="R36" s="6"/>
      <c r="S36" s="6"/>
      <c r="T36" s="156"/>
      <c r="U36" s="6"/>
    </row>
    <row r="37" spans="1:21" customFormat="1">
      <c r="A37" s="163" t="s">
        <v>2003</v>
      </c>
      <c r="B37" s="100">
        <v>19.940000000000001</v>
      </c>
      <c r="C37" s="100">
        <v>14.38</v>
      </c>
      <c r="D37" s="100">
        <v>23.51</v>
      </c>
      <c r="E37" s="100">
        <v>4.5599999999999996</v>
      </c>
      <c r="F37" s="100">
        <v>1.0900000000000001</v>
      </c>
      <c r="G37" s="100">
        <v>29.08</v>
      </c>
      <c r="H37" s="100">
        <v>14.32</v>
      </c>
      <c r="I37" s="100">
        <v>21.33</v>
      </c>
      <c r="J37" s="100">
        <v>0.11</v>
      </c>
      <c r="K37" s="100">
        <v>165.18</v>
      </c>
      <c r="L37" s="100">
        <v>14.69</v>
      </c>
      <c r="M37" s="100">
        <v>93.72</v>
      </c>
      <c r="N37" s="100">
        <v>38</v>
      </c>
      <c r="O37" s="100">
        <v>0</v>
      </c>
      <c r="P37" s="100">
        <v>1.07</v>
      </c>
      <c r="Q37" s="100">
        <v>9.32</v>
      </c>
      <c r="R37" s="6"/>
      <c r="S37" s="6"/>
      <c r="T37" s="156"/>
      <c r="U37" s="6"/>
    </row>
    <row r="38" spans="1:21" customFormat="1">
      <c r="A38" s="163" t="s">
        <v>2004</v>
      </c>
      <c r="B38" s="100">
        <v>19.79</v>
      </c>
      <c r="C38" s="100">
        <v>14.26</v>
      </c>
      <c r="D38" s="100">
        <v>23.32</v>
      </c>
      <c r="E38" s="100">
        <v>4.58</v>
      </c>
      <c r="F38" s="100">
        <v>1.1200000000000001</v>
      </c>
      <c r="G38" s="100">
        <v>29.18</v>
      </c>
      <c r="H38" s="100">
        <v>14.32</v>
      </c>
      <c r="I38" s="100">
        <v>21.39</v>
      </c>
      <c r="J38" s="100">
        <v>0.18</v>
      </c>
      <c r="K38" s="100">
        <v>128.88</v>
      </c>
      <c r="L38" s="100">
        <v>15.14</v>
      </c>
      <c r="M38" s="100">
        <v>93.64</v>
      </c>
      <c r="N38" s="100">
        <v>48.4</v>
      </c>
      <c r="O38" s="100">
        <v>0</v>
      </c>
      <c r="P38" s="100">
        <v>1.08</v>
      </c>
      <c r="Q38" s="100">
        <v>9.32</v>
      </c>
      <c r="R38" s="6"/>
      <c r="S38" s="6"/>
      <c r="T38" s="156"/>
      <c r="U38" s="6"/>
    </row>
    <row r="39" spans="1:21" customFormat="1">
      <c r="A39" s="163" t="s">
        <v>2005</v>
      </c>
      <c r="B39" s="100">
        <v>19.55</v>
      </c>
      <c r="C39" s="100">
        <v>14.4</v>
      </c>
      <c r="D39" s="100">
        <v>23.21</v>
      </c>
      <c r="E39" s="100">
        <v>4.76</v>
      </c>
      <c r="F39" s="100">
        <v>1.1000000000000001</v>
      </c>
      <c r="G39" s="100">
        <v>29.18</v>
      </c>
      <c r="H39" s="100">
        <v>14.32</v>
      </c>
      <c r="I39" s="100">
        <v>21.53</v>
      </c>
      <c r="J39" s="100">
        <v>0.1</v>
      </c>
      <c r="K39" s="100">
        <v>165.64</v>
      </c>
      <c r="L39" s="100">
        <v>15.66</v>
      </c>
      <c r="M39" s="100">
        <v>92.59</v>
      </c>
      <c r="N39" s="100">
        <v>59.1</v>
      </c>
      <c r="O39" s="100">
        <v>0</v>
      </c>
      <c r="P39" s="100">
        <v>1.08</v>
      </c>
      <c r="Q39" s="100">
        <v>9.32</v>
      </c>
      <c r="R39" s="6"/>
      <c r="S39" s="6"/>
      <c r="T39" s="156"/>
      <c r="U39" s="6"/>
    </row>
    <row r="40" spans="1:21" customFormat="1">
      <c r="A40" s="163" t="s">
        <v>2006</v>
      </c>
      <c r="B40" s="100">
        <v>19.38</v>
      </c>
      <c r="C40" s="100">
        <v>14.85</v>
      </c>
      <c r="D40" s="100">
        <v>23.29</v>
      </c>
      <c r="E40" s="100">
        <v>4.6900000000000004</v>
      </c>
      <c r="F40" s="100">
        <v>1.1000000000000001</v>
      </c>
      <c r="G40" s="100">
        <v>29.18</v>
      </c>
      <c r="H40" s="100">
        <v>14.32</v>
      </c>
      <c r="I40" s="100">
        <v>21.73</v>
      </c>
      <c r="J40" s="100">
        <v>0.08</v>
      </c>
      <c r="K40" s="100">
        <v>176.39</v>
      </c>
      <c r="L40" s="100">
        <v>16.489999999999998</v>
      </c>
      <c r="M40" s="100">
        <v>87.7</v>
      </c>
      <c r="N40" s="100">
        <v>69.8</v>
      </c>
      <c r="O40" s="100">
        <v>0</v>
      </c>
      <c r="P40" s="100">
        <v>1.0900000000000001</v>
      </c>
      <c r="Q40" s="100">
        <v>9.32</v>
      </c>
      <c r="R40" s="6"/>
      <c r="S40" s="6"/>
      <c r="T40" s="156"/>
      <c r="U40" s="6"/>
    </row>
    <row r="41" spans="1:21" customFormat="1">
      <c r="A41" s="163" t="s">
        <v>2007</v>
      </c>
      <c r="B41" s="100">
        <v>19.04</v>
      </c>
      <c r="C41" s="100">
        <v>15.27</v>
      </c>
      <c r="D41" s="100">
        <v>23.25</v>
      </c>
      <c r="E41" s="100">
        <v>4.67</v>
      </c>
      <c r="F41" s="100">
        <v>1.26</v>
      </c>
      <c r="G41" s="100">
        <v>31.9</v>
      </c>
      <c r="H41" s="100">
        <v>15.25</v>
      </c>
      <c r="I41" s="100">
        <v>21.98</v>
      </c>
      <c r="J41" s="100">
        <v>0.09</v>
      </c>
      <c r="K41" s="100">
        <v>191.3</v>
      </c>
      <c r="L41" s="100">
        <v>17.73</v>
      </c>
      <c r="M41" s="100">
        <v>77.180000000000007</v>
      </c>
      <c r="N41" s="100">
        <v>140.19999999999999</v>
      </c>
      <c r="O41" s="100">
        <v>0</v>
      </c>
      <c r="P41" s="100">
        <v>1.07</v>
      </c>
      <c r="Q41" s="100">
        <v>9.32</v>
      </c>
      <c r="R41" s="6"/>
      <c r="S41" s="6"/>
      <c r="T41" s="156"/>
      <c r="U41" s="6"/>
    </row>
    <row r="42" spans="1:21" customFormat="1">
      <c r="A42" s="163" t="s">
        <v>2008</v>
      </c>
      <c r="B42" s="100">
        <v>18.38</v>
      </c>
      <c r="C42" s="100">
        <v>15.67</v>
      </c>
      <c r="D42" s="100">
        <v>22.93</v>
      </c>
      <c r="E42" s="100">
        <v>4.8099999999999996</v>
      </c>
      <c r="F42" s="100">
        <v>1.3</v>
      </c>
      <c r="G42" s="100">
        <v>32.06</v>
      </c>
      <c r="H42" s="100">
        <v>15.25</v>
      </c>
      <c r="I42" s="100">
        <v>22.22</v>
      </c>
      <c r="J42" s="100">
        <v>0.17</v>
      </c>
      <c r="K42" s="100">
        <v>234.1</v>
      </c>
      <c r="L42" s="100">
        <v>19.149999999999999</v>
      </c>
      <c r="M42" s="100">
        <v>69.260000000000005</v>
      </c>
      <c r="N42" s="100">
        <v>199.9</v>
      </c>
      <c r="O42" s="100">
        <v>0</v>
      </c>
      <c r="P42" s="100">
        <v>1.05</v>
      </c>
      <c r="Q42" s="100">
        <v>9.32</v>
      </c>
      <c r="R42" s="6"/>
      <c r="S42" s="6"/>
      <c r="T42" s="156"/>
      <c r="U42" s="6"/>
    </row>
    <row r="43" spans="1:21" customFormat="1">
      <c r="A43" s="163" t="s">
        <v>2009</v>
      </c>
      <c r="B43" s="100">
        <v>17.57</v>
      </c>
      <c r="C43" s="100">
        <v>15.99</v>
      </c>
      <c r="D43" s="100">
        <v>22.45</v>
      </c>
      <c r="E43" s="100">
        <v>4.9000000000000004</v>
      </c>
      <c r="F43" s="100">
        <v>1.1200000000000001</v>
      </c>
      <c r="G43" s="100">
        <v>32.06</v>
      </c>
      <c r="H43" s="100">
        <v>15.25</v>
      </c>
      <c r="I43" s="100">
        <v>22.37</v>
      </c>
      <c r="J43" s="100">
        <v>0.17</v>
      </c>
      <c r="K43" s="100">
        <v>218.29</v>
      </c>
      <c r="L43" s="100">
        <v>20.73</v>
      </c>
      <c r="M43" s="100">
        <v>60.44</v>
      </c>
      <c r="N43" s="100">
        <v>245.2</v>
      </c>
      <c r="O43" s="100">
        <v>0</v>
      </c>
      <c r="P43" s="100">
        <v>1.04</v>
      </c>
      <c r="Q43" s="100">
        <v>9.32</v>
      </c>
      <c r="R43" s="6"/>
      <c r="S43" s="6"/>
      <c r="T43" s="156"/>
      <c r="U43" s="6"/>
    </row>
    <row r="44" spans="1:21" customFormat="1">
      <c r="A44" s="163" t="s">
        <v>2010</v>
      </c>
      <c r="B44" s="100">
        <v>16.54</v>
      </c>
      <c r="C44" s="100">
        <v>16.28</v>
      </c>
      <c r="D44" s="100">
        <v>21.77</v>
      </c>
      <c r="E44" s="100">
        <v>4.9400000000000004</v>
      </c>
      <c r="F44" s="100">
        <v>1.19</v>
      </c>
      <c r="G44" s="100">
        <v>32.06</v>
      </c>
      <c r="H44" s="100">
        <v>15.25</v>
      </c>
      <c r="I44" s="100">
        <v>22.4</v>
      </c>
      <c r="J44" s="100">
        <v>0.16</v>
      </c>
      <c r="K44" s="100">
        <v>213.02</v>
      </c>
      <c r="L44" s="100">
        <v>22.07</v>
      </c>
      <c r="M44" s="100">
        <v>55.98</v>
      </c>
      <c r="N44" s="100">
        <v>257.60000000000002</v>
      </c>
      <c r="O44" s="100">
        <v>0</v>
      </c>
      <c r="P44" s="100">
        <v>1.04</v>
      </c>
      <c r="Q44" s="100">
        <v>9.32</v>
      </c>
      <c r="R44" s="6"/>
      <c r="S44" s="6"/>
      <c r="T44" s="156"/>
      <c r="U44" s="6"/>
    </row>
    <row r="45" spans="1:21" customFormat="1">
      <c r="A45" s="163" t="s">
        <v>2011</v>
      </c>
      <c r="B45" s="100">
        <v>15.51</v>
      </c>
      <c r="C45" s="100">
        <v>16.73</v>
      </c>
      <c r="D45" s="100">
        <v>21.18</v>
      </c>
      <c r="E45" s="100">
        <v>5.05</v>
      </c>
      <c r="F45" s="100">
        <v>1.42</v>
      </c>
      <c r="G45" s="100">
        <v>35.61</v>
      </c>
      <c r="H45" s="100">
        <v>17.12</v>
      </c>
      <c r="I45" s="100">
        <v>22.32</v>
      </c>
      <c r="J45" s="100">
        <v>0.18</v>
      </c>
      <c r="K45" s="100">
        <v>136.91</v>
      </c>
      <c r="L45" s="100">
        <v>23.48</v>
      </c>
      <c r="M45" s="100">
        <v>50.13</v>
      </c>
      <c r="N45" s="100">
        <v>161.19999999999999</v>
      </c>
      <c r="O45" s="100">
        <v>0</v>
      </c>
      <c r="P45" s="100">
        <v>1.04</v>
      </c>
      <c r="Q45" s="100">
        <v>9.32</v>
      </c>
      <c r="R45" s="6"/>
      <c r="S45" s="6"/>
      <c r="T45" s="156"/>
      <c r="U45" s="6"/>
    </row>
    <row r="46" spans="1:21" customFormat="1">
      <c r="A46" s="163" t="s">
        <v>2012</v>
      </c>
      <c r="B46" s="100">
        <v>14.74</v>
      </c>
      <c r="C46" s="100">
        <v>17.3</v>
      </c>
      <c r="D46" s="100">
        <v>20.86</v>
      </c>
      <c r="E46" s="100">
        <v>5.7</v>
      </c>
      <c r="F46" s="100">
        <v>1.5</v>
      </c>
      <c r="G46" s="100">
        <v>35.82</v>
      </c>
      <c r="H46" s="100">
        <v>17.12</v>
      </c>
      <c r="I46" s="100">
        <v>22.19</v>
      </c>
      <c r="J46" s="100">
        <v>0.14000000000000001</v>
      </c>
      <c r="K46" s="100">
        <v>316.39</v>
      </c>
      <c r="L46" s="100">
        <v>24.19</v>
      </c>
      <c r="M46" s="100">
        <v>44.96</v>
      </c>
      <c r="N46" s="100">
        <v>123.9</v>
      </c>
      <c r="O46" s="100">
        <v>0</v>
      </c>
      <c r="P46" s="100">
        <v>1.04</v>
      </c>
      <c r="Q46" s="100">
        <v>9.32</v>
      </c>
      <c r="R46" s="6"/>
      <c r="S46" s="6"/>
      <c r="T46" s="156"/>
      <c r="U46" s="6"/>
    </row>
    <row r="47" spans="1:21" customFormat="1">
      <c r="A47" s="163" t="s">
        <v>2013</v>
      </c>
      <c r="B47" s="100">
        <v>14.32</v>
      </c>
      <c r="C47" s="100">
        <v>18.399999999999999</v>
      </c>
      <c r="D47" s="100">
        <v>21.1</v>
      </c>
      <c r="E47" s="100">
        <v>6.01</v>
      </c>
      <c r="F47" s="100">
        <v>1.54</v>
      </c>
      <c r="G47" s="100">
        <v>35.82</v>
      </c>
      <c r="H47" s="100">
        <v>17.12</v>
      </c>
      <c r="I47" s="100">
        <v>22.09</v>
      </c>
      <c r="J47" s="100">
        <v>0.17</v>
      </c>
      <c r="K47" s="100">
        <v>306.51</v>
      </c>
      <c r="L47" s="100">
        <v>24.7</v>
      </c>
      <c r="M47" s="100">
        <v>41.04</v>
      </c>
      <c r="N47" s="100">
        <v>126.1</v>
      </c>
      <c r="O47" s="100">
        <v>0</v>
      </c>
      <c r="P47" s="100">
        <v>1.05</v>
      </c>
      <c r="Q47" s="100">
        <v>9.32</v>
      </c>
      <c r="R47" s="6"/>
      <c r="S47" s="6"/>
      <c r="T47" s="156"/>
      <c r="U47" s="6"/>
    </row>
    <row r="48" spans="1:21" customFormat="1">
      <c r="A48" s="163" t="s">
        <v>2014</v>
      </c>
      <c r="B48" s="100">
        <v>13.98</v>
      </c>
      <c r="C48" s="100">
        <v>19.41</v>
      </c>
      <c r="D48" s="100">
        <v>21.35</v>
      </c>
      <c r="E48" s="100">
        <v>6.26</v>
      </c>
      <c r="F48" s="100">
        <v>1.38</v>
      </c>
      <c r="G48" s="100">
        <v>35.82</v>
      </c>
      <c r="H48" s="100">
        <v>17.12</v>
      </c>
      <c r="I48" s="100">
        <v>21.95</v>
      </c>
      <c r="J48" s="100">
        <v>7.0000000000000007E-2</v>
      </c>
      <c r="K48" s="100">
        <v>182.86</v>
      </c>
      <c r="L48" s="100">
        <v>25.38</v>
      </c>
      <c r="M48" s="100">
        <v>38.130000000000003</v>
      </c>
      <c r="N48" s="100">
        <v>150.5</v>
      </c>
      <c r="O48" s="100">
        <v>0</v>
      </c>
      <c r="P48" s="100">
        <v>1.06</v>
      </c>
      <c r="Q48" s="100">
        <v>9.32</v>
      </c>
      <c r="R48" s="6"/>
      <c r="S48" s="6"/>
      <c r="T48" s="156"/>
      <c r="U48" s="6"/>
    </row>
    <row r="49" spans="1:21" customFormat="1">
      <c r="A49" s="163" t="s">
        <v>2015</v>
      </c>
      <c r="B49" s="100">
        <v>13.57</v>
      </c>
      <c r="C49" s="100">
        <v>20.13</v>
      </c>
      <c r="D49" s="100">
        <v>21.4</v>
      </c>
      <c r="E49" s="100">
        <v>4.67</v>
      </c>
      <c r="F49" s="100">
        <v>1.43</v>
      </c>
      <c r="G49" s="100">
        <v>42.15</v>
      </c>
      <c r="H49" s="100">
        <v>17.86</v>
      </c>
      <c r="I49" s="100">
        <v>21.73</v>
      </c>
      <c r="J49" s="100">
        <v>0.28000000000000003</v>
      </c>
      <c r="K49" s="100">
        <v>26.81</v>
      </c>
      <c r="L49" s="100">
        <v>25.85</v>
      </c>
      <c r="M49" s="100">
        <v>35.61</v>
      </c>
      <c r="N49" s="100">
        <v>370.4</v>
      </c>
      <c r="O49" s="100">
        <v>0</v>
      </c>
      <c r="P49" s="100">
        <v>1.06</v>
      </c>
      <c r="Q49" s="100">
        <v>9.32</v>
      </c>
      <c r="R49" s="6"/>
      <c r="S49" s="6"/>
      <c r="T49" s="156"/>
      <c r="U49" s="6"/>
    </row>
    <row r="50" spans="1:21" customFormat="1">
      <c r="A50" s="163" t="s">
        <v>2016</v>
      </c>
      <c r="B50" s="100">
        <v>13.17</v>
      </c>
      <c r="C50" s="100">
        <v>20.81</v>
      </c>
      <c r="D50" s="100">
        <v>21.43</v>
      </c>
      <c r="E50" s="100">
        <v>6.01</v>
      </c>
      <c r="F50" s="100">
        <v>1.52</v>
      </c>
      <c r="G50" s="100">
        <v>42.61</v>
      </c>
      <c r="H50" s="100">
        <v>17.86</v>
      </c>
      <c r="I50" s="100">
        <v>21.46</v>
      </c>
      <c r="J50" s="100">
        <v>0.32</v>
      </c>
      <c r="K50" s="100">
        <v>47.32</v>
      </c>
      <c r="L50" s="100">
        <v>26.34</v>
      </c>
      <c r="M50" s="100">
        <v>33.15</v>
      </c>
      <c r="N50" s="100">
        <v>410.2</v>
      </c>
      <c r="O50" s="100">
        <v>0</v>
      </c>
      <c r="P50" s="100">
        <v>1.06</v>
      </c>
      <c r="Q50" s="100">
        <v>9.32</v>
      </c>
      <c r="R50" s="6"/>
      <c r="S50" s="6"/>
      <c r="T50" s="156"/>
      <c r="U50" s="6"/>
    </row>
    <row r="51" spans="1:21" customFormat="1">
      <c r="A51" s="163" t="s">
        <v>2017</v>
      </c>
      <c r="B51" s="100">
        <v>12.78</v>
      </c>
      <c r="C51" s="100">
        <v>21.35</v>
      </c>
      <c r="D51" s="100">
        <v>21.41</v>
      </c>
      <c r="E51" s="100">
        <v>6</v>
      </c>
      <c r="F51" s="100">
        <v>1.54</v>
      </c>
      <c r="G51" s="100">
        <v>42.61</v>
      </c>
      <c r="H51" s="100">
        <v>17.86</v>
      </c>
      <c r="I51" s="100">
        <v>21.16</v>
      </c>
      <c r="J51" s="100">
        <v>0.5</v>
      </c>
      <c r="K51" s="100">
        <v>276.54000000000002</v>
      </c>
      <c r="L51" s="100">
        <v>26.38</v>
      </c>
      <c r="M51" s="100">
        <v>33.299999999999997</v>
      </c>
      <c r="N51" s="100">
        <v>423.1</v>
      </c>
      <c r="O51" s="100">
        <v>0</v>
      </c>
      <c r="P51" s="100">
        <v>1.05</v>
      </c>
      <c r="Q51" s="100">
        <v>9.32</v>
      </c>
      <c r="R51" s="6"/>
      <c r="S51" s="6"/>
      <c r="T51" s="156"/>
      <c r="U51" s="6"/>
    </row>
    <row r="52" spans="1:21" customFormat="1">
      <c r="A52" s="163" t="s">
        <v>2018</v>
      </c>
      <c r="B52" s="100">
        <v>12.03</v>
      </c>
      <c r="C52" s="100">
        <v>21.67</v>
      </c>
      <c r="D52" s="100">
        <v>20.97</v>
      </c>
      <c r="E52" s="100">
        <v>5.83</v>
      </c>
      <c r="F52" s="100">
        <v>1.7</v>
      </c>
      <c r="G52" s="100">
        <v>42.61</v>
      </c>
      <c r="H52" s="100">
        <v>17.86</v>
      </c>
      <c r="I52" s="100">
        <v>20.83</v>
      </c>
      <c r="J52" s="100">
        <v>0.21</v>
      </c>
      <c r="K52" s="100">
        <v>25.95</v>
      </c>
      <c r="L52" s="100">
        <v>26.91</v>
      </c>
      <c r="M52" s="100">
        <v>31.58</v>
      </c>
      <c r="N52" s="100">
        <v>477.9</v>
      </c>
      <c r="O52" s="100">
        <v>0</v>
      </c>
      <c r="P52" s="100">
        <v>1.02</v>
      </c>
      <c r="Q52" s="100">
        <v>9.32</v>
      </c>
      <c r="R52" s="6"/>
      <c r="S52" s="6"/>
      <c r="T52" s="156"/>
      <c r="U52" s="6"/>
    </row>
    <row r="53" spans="1:21" customFormat="1">
      <c r="A53" s="163" t="s">
        <v>2019</v>
      </c>
      <c r="B53" s="100">
        <v>11.1</v>
      </c>
      <c r="C53" s="100">
        <v>21.78</v>
      </c>
      <c r="D53" s="100">
        <v>20.28</v>
      </c>
      <c r="E53" s="100">
        <v>5.52</v>
      </c>
      <c r="F53" s="100">
        <v>1.67</v>
      </c>
      <c r="G53" s="100">
        <v>38.19</v>
      </c>
      <c r="H53" s="100">
        <v>16.809999999999999</v>
      </c>
      <c r="I53" s="100">
        <v>20.45</v>
      </c>
      <c r="J53" s="100">
        <v>0.5</v>
      </c>
      <c r="K53" s="100">
        <v>293.56</v>
      </c>
      <c r="L53" s="100">
        <v>27.1</v>
      </c>
      <c r="M53" s="100">
        <v>31.07</v>
      </c>
      <c r="N53" s="100">
        <v>447.3</v>
      </c>
      <c r="O53" s="100">
        <v>0</v>
      </c>
      <c r="P53" s="100">
        <v>1</v>
      </c>
      <c r="Q53" s="100">
        <v>9.32</v>
      </c>
      <c r="R53" s="6"/>
      <c r="S53" s="6"/>
      <c r="T53" s="156"/>
      <c r="U53" s="6"/>
    </row>
    <row r="54" spans="1:21" customFormat="1">
      <c r="A54" s="163" t="s">
        <v>2020</v>
      </c>
      <c r="B54" s="100">
        <v>10.06</v>
      </c>
      <c r="C54" s="100">
        <v>21.94</v>
      </c>
      <c r="D54" s="100">
        <v>19.53</v>
      </c>
      <c r="E54" s="100">
        <v>5.73</v>
      </c>
      <c r="F54" s="100">
        <v>1.77</v>
      </c>
      <c r="G54" s="100">
        <v>37.93</v>
      </c>
      <c r="H54" s="100">
        <v>16.809999999999999</v>
      </c>
      <c r="I54" s="100">
        <v>17.940000000000001</v>
      </c>
      <c r="J54" s="100">
        <v>0.12</v>
      </c>
      <c r="K54" s="100">
        <v>14.14</v>
      </c>
      <c r="L54" s="100">
        <v>27.3</v>
      </c>
      <c r="M54" s="100">
        <v>30.64</v>
      </c>
      <c r="N54" s="100">
        <v>460.2</v>
      </c>
      <c r="O54" s="100">
        <v>0</v>
      </c>
      <c r="P54" s="100">
        <v>0.98</v>
      </c>
      <c r="Q54" s="100">
        <v>9.32</v>
      </c>
      <c r="R54" s="6"/>
      <c r="S54" s="6"/>
      <c r="T54" s="156"/>
      <c r="U54" s="6"/>
    </row>
    <row r="55" spans="1:21" customFormat="1">
      <c r="A55" s="163" t="s">
        <v>2021</v>
      </c>
      <c r="B55" s="100">
        <v>8.9700000000000006</v>
      </c>
      <c r="C55" s="100">
        <v>22.24</v>
      </c>
      <c r="D55" s="100">
        <v>18.809999999999999</v>
      </c>
      <c r="E55" s="100">
        <v>5.69</v>
      </c>
      <c r="F55" s="100">
        <v>1.8</v>
      </c>
      <c r="G55" s="100">
        <v>37.93</v>
      </c>
      <c r="H55" s="100">
        <v>16.809999999999999</v>
      </c>
      <c r="I55" s="100">
        <v>17.41</v>
      </c>
      <c r="J55" s="100">
        <v>0.5</v>
      </c>
      <c r="K55" s="100">
        <v>305.08999999999997</v>
      </c>
      <c r="L55" s="100">
        <v>27.48</v>
      </c>
      <c r="M55" s="100">
        <v>30.74</v>
      </c>
      <c r="N55" s="100">
        <v>433.7</v>
      </c>
      <c r="O55" s="100">
        <v>0</v>
      </c>
      <c r="P55" s="100">
        <v>0.98</v>
      </c>
      <c r="Q55" s="100">
        <v>9.32</v>
      </c>
      <c r="R55" s="6"/>
      <c r="S55" s="6"/>
      <c r="T55" s="156"/>
      <c r="U55" s="6"/>
    </row>
    <row r="56" spans="1:21" customFormat="1">
      <c r="A56" s="163" t="s">
        <v>2022</v>
      </c>
      <c r="B56" s="100">
        <v>8.14</v>
      </c>
      <c r="C56" s="100">
        <v>22.67</v>
      </c>
      <c r="D56" s="100">
        <v>18.37</v>
      </c>
      <c r="E56" s="100">
        <v>6.02</v>
      </c>
      <c r="F56" s="100">
        <v>1.83</v>
      </c>
      <c r="G56" s="100">
        <v>37.93</v>
      </c>
      <c r="H56" s="100">
        <v>16.809999999999999</v>
      </c>
      <c r="I56" s="100">
        <v>17.3</v>
      </c>
      <c r="J56" s="100">
        <v>0.71</v>
      </c>
      <c r="K56" s="100">
        <v>311.58</v>
      </c>
      <c r="L56" s="100">
        <v>27.3</v>
      </c>
      <c r="M56" s="100">
        <v>30.36</v>
      </c>
      <c r="N56" s="100">
        <v>427.8</v>
      </c>
      <c r="O56" s="100">
        <v>0</v>
      </c>
      <c r="P56" s="100">
        <v>0.98</v>
      </c>
      <c r="Q56" s="100">
        <v>9.32</v>
      </c>
      <c r="R56" s="6"/>
      <c r="S56" s="6"/>
      <c r="T56" s="156"/>
      <c r="U56" s="6"/>
    </row>
    <row r="57" spans="1:21" customFormat="1">
      <c r="A57" s="163" t="s">
        <v>2023</v>
      </c>
      <c r="B57" s="100">
        <v>7.45</v>
      </c>
      <c r="C57" s="100">
        <v>22.87</v>
      </c>
      <c r="D57" s="100">
        <v>17.920000000000002</v>
      </c>
      <c r="E57" s="100">
        <v>5.36</v>
      </c>
      <c r="F57" s="100">
        <v>2.0299999999999998</v>
      </c>
      <c r="G57" s="100">
        <v>42.77</v>
      </c>
      <c r="H57" s="100">
        <v>16.649999999999999</v>
      </c>
      <c r="I57" s="100">
        <v>14.74</v>
      </c>
      <c r="J57" s="100">
        <v>0.12</v>
      </c>
      <c r="K57" s="100">
        <v>281.35000000000002</v>
      </c>
      <c r="L57" s="100">
        <v>27.66</v>
      </c>
      <c r="M57" s="100">
        <v>30.34</v>
      </c>
      <c r="N57" s="100">
        <v>437.5</v>
      </c>
      <c r="O57" s="100">
        <v>0</v>
      </c>
      <c r="P57" s="100">
        <v>0.97</v>
      </c>
      <c r="Q57" s="100">
        <v>9.32</v>
      </c>
      <c r="R57" s="6"/>
      <c r="S57" s="6"/>
      <c r="T57" s="156"/>
      <c r="U57" s="6"/>
    </row>
    <row r="58" spans="1:21" customFormat="1">
      <c r="A58" s="163" t="s">
        <v>2024</v>
      </c>
      <c r="B58" s="100">
        <v>6.73</v>
      </c>
      <c r="C58" s="100">
        <v>22.65</v>
      </c>
      <c r="D58" s="100">
        <v>17.23</v>
      </c>
      <c r="E58" s="100">
        <v>5.07</v>
      </c>
      <c r="F58" s="100">
        <v>2.1800000000000002</v>
      </c>
      <c r="G58" s="100">
        <v>43.05</v>
      </c>
      <c r="H58" s="100">
        <v>16.649999999999999</v>
      </c>
      <c r="I58" s="100">
        <v>14.54</v>
      </c>
      <c r="J58" s="100">
        <v>0.66</v>
      </c>
      <c r="K58" s="100">
        <v>316.37</v>
      </c>
      <c r="L58" s="100">
        <v>27.59</v>
      </c>
      <c r="M58" s="100">
        <v>29.77</v>
      </c>
      <c r="N58" s="100">
        <v>439.7</v>
      </c>
      <c r="O58" s="100">
        <v>0</v>
      </c>
      <c r="P58" s="100">
        <v>0.96</v>
      </c>
      <c r="Q58" s="100">
        <v>9.32</v>
      </c>
      <c r="R58" s="6"/>
      <c r="S58" s="6"/>
      <c r="T58" s="156"/>
      <c r="U58" s="6"/>
    </row>
    <row r="59" spans="1:21" customFormat="1">
      <c r="A59" s="163" t="s">
        <v>2025</v>
      </c>
      <c r="B59" s="100">
        <v>6.13</v>
      </c>
      <c r="C59" s="100">
        <v>22.77</v>
      </c>
      <c r="D59" s="100">
        <v>16.82</v>
      </c>
      <c r="E59" s="100">
        <v>5.41</v>
      </c>
      <c r="F59" s="100">
        <v>2.0699999999999998</v>
      </c>
      <c r="G59" s="100">
        <v>43.05</v>
      </c>
      <c r="H59" s="100">
        <v>16.649999999999999</v>
      </c>
      <c r="I59" s="100">
        <v>14.31</v>
      </c>
      <c r="J59" s="100">
        <v>0.44</v>
      </c>
      <c r="K59" s="100">
        <v>301.52</v>
      </c>
      <c r="L59" s="100">
        <v>27.81</v>
      </c>
      <c r="M59" s="100">
        <v>29.54</v>
      </c>
      <c r="N59" s="100">
        <v>436.2</v>
      </c>
      <c r="O59" s="100">
        <v>0</v>
      </c>
      <c r="P59" s="100">
        <v>0.95</v>
      </c>
      <c r="Q59" s="100">
        <v>9.32</v>
      </c>
      <c r="R59" s="6"/>
      <c r="S59" s="6"/>
      <c r="T59" s="156"/>
      <c r="U59" s="6"/>
    </row>
    <row r="60" spans="1:21" customFormat="1">
      <c r="A60" s="163" t="s">
        <v>2026</v>
      </c>
      <c r="B60" s="100">
        <v>5.51</v>
      </c>
      <c r="C60" s="100">
        <v>22.48</v>
      </c>
      <c r="D60" s="100">
        <v>16.16</v>
      </c>
      <c r="E60" s="100">
        <v>5.61</v>
      </c>
      <c r="F60" s="100">
        <v>2.58</v>
      </c>
      <c r="G60" s="100">
        <v>43.05</v>
      </c>
      <c r="H60" s="100">
        <v>16.649999999999999</v>
      </c>
      <c r="I60" s="100">
        <v>14.05</v>
      </c>
      <c r="J60" s="100">
        <v>0.57999999999999996</v>
      </c>
      <c r="K60" s="100">
        <v>323.26</v>
      </c>
      <c r="L60" s="100">
        <v>28.09</v>
      </c>
      <c r="M60" s="100">
        <v>27.88</v>
      </c>
      <c r="N60" s="100">
        <v>438.4</v>
      </c>
      <c r="O60" s="100">
        <v>0</v>
      </c>
      <c r="P60" s="100">
        <v>0.94</v>
      </c>
      <c r="Q60" s="100">
        <v>9.32</v>
      </c>
      <c r="R60" s="6"/>
      <c r="S60" s="6"/>
      <c r="T60" s="156"/>
      <c r="U60" s="6"/>
    </row>
    <row r="61" spans="1:21" customFormat="1">
      <c r="A61" s="163" t="s">
        <v>2027</v>
      </c>
      <c r="B61" s="100">
        <v>4.8899999999999997</v>
      </c>
      <c r="C61" s="100">
        <v>22.19</v>
      </c>
      <c r="D61" s="100">
        <v>15.52</v>
      </c>
      <c r="E61" s="100">
        <v>5.24</v>
      </c>
      <c r="F61" s="100">
        <v>2.96</v>
      </c>
      <c r="G61" s="100">
        <v>42.81</v>
      </c>
      <c r="H61" s="100">
        <v>16.23</v>
      </c>
      <c r="I61" s="100">
        <v>13.8</v>
      </c>
      <c r="J61" s="100">
        <v>0.37</v>
      </c>
      <c r="K61" s="100">
        <v>273.70999999999998</v>
      </c>
      <c r="L61" s="100">
        <v>28.17</v>
      </c>
      <c r="M61" s="100">
        <v>27.8</v>
      </c>
      <c r="N61" s="100">
        <v>363</v>
      </c>
      <c r="O61" s="100">
        <v>0</v>
      </c>
      <c r="P61" s="100">
        <v>0.93</v>
      </c>
      <c r="Q61" s="100">
        <v>9.32</v>
      </c>
      <c r="R61" s="6"/>
      <c r="S61" s="6"/>
      <c r="T61" s="156"/>
      <c r="U61" s="6"/>
    </row>
    <row r="62" spans="1:21" customFormat="1">
      <c r="A62" s="163" t="s">
        <v>2028</v>
      </c>
      <c r="B62" s="100">
        <v>4.5</v>
      </c>
      <c r="C62" s="100">
        <v>21.55</v>
      </c>
      <c r="D62" s="100">
        <v>14.87</v>
      </c>
      <c r="E62" s="100">
        <v>4.93</v>
      </c>
      <c r="F62" s="100">
        <v>2.5499999999999998</v>
      </c>
      <c r="G62" s="100">
        <v>42.79</v>
      </c>
      <c r="H62" s="100">
        <v>16.23</v>
      </c>
      <c r="I62" s="100">
        <v>13.56</v>
      </c>
      <c r="J62" s="100">
        <v>0.33</v>
      </c>
      <c r="K62" s="100">
        <v>329.36</v>
      </c>
      <c r="L62" s="100">
        <v>27.82</v>
      </c>
      <c r="M62" s="100">
        <v>27.01</v>
      </c>
      <c r="N62" s="100">
        <v>178.4</v>
      </c>
      <c r="O62" s="100">
        <v>0</v>
      </c>
      <c r="P62" s="100">
        <v>0.94</v>
      </c>
      <c r="Q62" s="100">
        <v>9.32</v>
      </c>
      <c r="R62" s="6"/>
      <c r="S62" s="6"/>
      <c r="T62" s="156"/>
      <c r="U62" s="6"/>
    </row>
    <row r="63" spans="1:21" customFormat="1">
      <c r="A63" s="163" t="s">
        <v>2029</v>
      </c>
      <c r="B63" s="100">
        <v>4.32</v>
      </c>
      <c r="C63" s="100">
        <v>20.71</v>
      </c>
      <c r="D63" s="100">
        <v>14.28</v>
      </c>
      <c r="E63" s="100">
        <v>5.03</v>
      </c>
      <c r="F63" s="100">
        <v>3.32</v>
      </c>
      <c r="G63" s="100">
        <v>42.79</v>
      </c>
      <c r="H63" s="100">
        <v>16.23</v>
      </c>
      <c r="I63" s="100">
        <v>13.3</v>
      </c>
      <c r="J63" s="100">
        <v>0.53</v>
      </c>
      <c r="K63" s="100">
        <v>0.46</v>
      </c>
      <c r="L63" s="100">
        <v>27.92</v>
      </c>
      <c r="M63" s="100">
        <v>24.44</v>
      </c>
      <c r="N63" s="100">
        <v>142.6</v>
      </c>
      <c r="O63" s="100">
        <v>0</v>
      </c>
      <c r="P63" s="100">
        <v>0.92</v>
      </c>
      <c r="Q63" s="100">
        <v>9.32</v>
      </c>
      <c r="R63" s="6"/>
      <c r="S63" s="6"/>
      <c r="T63" s="156"/>
      <c r="U63" s="6"/>
    </row>
    <row r="64" spans="1:21" customFormat="1">
      <c r="A64" s="163" t="s">
        <v>2030</v>
      </c>
      <c r="B64" s="100">
        <v>4.18</v>
      </c>
      <c r="C64" s="100">
        <v>19.829999999999998</v>
      </c>
      <c r="D64" s="100">
        <v>13.71</v>
      </c>
      <c r="E64" s="100">
        <v>5.19</v>
      </c>
      <c r="F64" s="100">
        <v>3.3</v>
      </c>
      <c r="G64" s="100">
        <v>42.79</v>
      </c>
      <c r="H64" s="100">
        <v>16.23</v>
      </c>
      <c r="I64" s="100">
        <v>14.53</v>
      </c>
      <c r="J64" s="100">
        <v>0.02</v>
      </c>
      <c r="K64" s="100">
        <v>254.81</v>
      </c>
      <c r="L64" s="100">
        <v>27.8</v>
      </c>
      <c r="M64" s="100">
        <v>25.67</v>
      </c>
      <c r="N64" s="100">
        <v>119.3</v>
      </c>
      <c r="O64" s="100">
        <v>0</v>
      </c>
      <c r="P64" s="100">
        <v>0.9</v>
      </c>
      <c r="Q64" s="100">
        <v>9.32</v>
      </c>
      <c r="R64" s="6"/>
      <c r="S64" s="6"/>
      <c r="T64" s="156"/>
      <c r="U64" s="6"/>
    </row>
    <row r="65" spans="1:21" customFormat="1">
      <c r="A65" s="163" t="s">
        <v>2031</v>
      </c>
      <c r="B65" s="100">
        <v>4.07</v>
      </c>
      <c r="C65" s="100">
        <v>19.18</v>
      </c>
      <c r="D65" s="100">
        <v>13.29</v>
      </c>
      <c r="E65" s="100">
        <v>5.04</v>
      </c>
      <c r="F65" s="100">
        <v>2.6</v>
      </c>
      <c r="G65" s="100">
        <v>36.979999999999997</v>
      </c>
      <c r="H65" s="100">
        <v>13.67</v>
      </c>
      <c r="I65" s="100">
        <v>15.88</v>
      </c>
      <c r="J65" s="100">
        <v>0.33</v>
      </c>
      <c r="K65" s="100">
        <v>326.39999999999998</v>
      </c>
      <c r="L65" s="100">
        <v>27.98</v>
      </c>
      <c r="M65" s="100">
        <v>25.3</v>
      </c>
      <c r="N65" s="100">
        <v>111.4</v>
      </c>
      <c r="O65" s="100">
        <v>0</v>
      </c>
      <c r="P65" s="100">
        <v>0.88</v>
      </c>
      <c r="Q65" s="100">
        <v>9.32</v>
      </c>
      <c r="R65" s="6"/>
      <c r="S65" s="6"/>
      <c r="T65" s="156"/>
      <c r="U65" s="6"/>
    </row>
    <row r="66" spans="1:21" customFormat="1">
      <c r="A66" s="163" t="s">
        <v>2032</v>
      </c>
      <c r="B66" s="100">
        <v>4.0199999999999996</v>
      </c>
      <c r="C66" s="100">
        <v>18.54</v>
      </c>
      <c r="D66" s="100">
        <v>12.91</v>
      </c>
      <c r="E66" s="100">
        <v>5.05</v>
      </c>
      <c r="F66" s="100">
        <v>3</v>
      </c>
      <c r="G66" s="100">
        <v>36.64</v>
      </c>
      <c r="H66" s="100">
        <v>13.67</v>
      </c>
      <c r="I66" s="100">
        <v>15.67</v>
      </c>
      <c r="J66" s="100">
        <v>0.27</v>
      </c>
      <c r="K66" s="100">
        <v>3.38</v>
      </c>
      <c r="L66" s="100">
        <v>27.95</v>
      </c>
      <c r="M66" s="100">
        <v>24.87</v>
      </c>
      <c r="N66" s="100">
        <v>115.3</v>
      </c>
      <c r="O66" s="100">
        <v>0</v>
      </c>
      <c r="P66" s="100">
        <v>0.88</v>
      </c>
      <c r="Q66" s="100">
        <v>9.32</v>
      </c>
      <c r="R66" s="6"/>
      <c r="S66" s="6"/>
      <c r="T66" s="156"/>
      <c r="U66" s="6"/>
    </row>
    <row r="67" spans="1:21" customFormat="1">
      <c r="A67" s="163" t="s">
        <v>2033</v>
      </c>
      <c r="B67" s="100">
        <v>3.99</v>
      </c>
      <c r="C67" s="100">
        <v>18.12</v>
      </c>
      <c r="D67" s="100">
        <v>12.67</v>
      </c>
      <c r="E67" s="100">
        <v>3.38</v>
      </c>
      <c r="F67" s="100">
        <v>4.04</v>
      </c>
      <c r="G67" s="100">
        <v>36.64</v>
      </c>
      <c r="H67" s="100">
        <v>13.67</v>
      </c>
      <c r="I67" s="100">
        <v>15.5</v>
      </c>
      <c r="J67" s="100">
        <v>0.67</v>
      </c>
      <c r="K67" s="100">
        <v>309.01</v>
      </c>
      <c r="L67" s="100">
        <v>28.18</v>
      </c>
      <c r="M67" s="100">
        <v>24.41</v>
      </c>
      <c r="N67" s="100">
        <v>105.7</v>
      </c>
      <c r="O67" s="100">
        <v>0</v>
      </c>
      <c r="P67" s="100">
        <v>0.87</v>
      </c>
      <c r="Q67" s="100">
        <v>9.32</v>
      </c>
      <c r="R67" s="6"/>
      <c r="S67" s="6"/>
      <c r="T67" s="156"/>
      <c r="U67" s="6"/>
    </row>
    <row r="68" spans="1:21" customFormat="1">
      <c r="A68" s="163" t="s">
        <v>2034</v>
      </c>
      <c r="B68" s="100">
        <v>4</v>
      </c>
      <c r="C68" s="100">
        <v>17.55</v>
      </c>
      <c r="D68" s="100">
        <v>12.37</v>
      </c>
      <c r="E68" s="100">
        <v>4.9800000000000004</v>
      </c>
      <c r="F68" s="100">
        <v>4.01</v>
      </c>
      <c r="G68" s="100">
        <v>36.64</v>
      </c>
      <c r="H68" s="100">
        <v>13.67</v>
      </c>
      <c r="I68" s="100">
        <v>15.19</v>
      </c>
      <c r="J68" s="100">
        <v>0.24</v>
      </c>
      <c r="K68" s="100">
        <v>281.83999999999997</v>
      </c>
      <c r="L68" s="100">
        <v>27.86</v>
      </c>
      <c r="M68" s="100">
        <v>26.48</v>
      </c>
      <c r="N68" s="100">
        <v>89.2</v>
      </c>
      <c r="O68" s="100">
        <v>0</v>
      </c>
      <c r="P68" s="100">
        <v>0.85</v>
      </c>
      <c r="Q68" s="100">
        <v>9.32</v>
      </c>
      <c r="R68" s="6"/>
      <c r="S68" s="6"/>
      <c r="T68" s="156"/>
      <c r="U68" s="6"/>
    </row>
    <row r="69" spans="1:21" customFormat="1">
      <c r="A69" s="163" t="s">
        <v>2035</v>
      </c>
      <c r="B69" s="100">
        <v>4.04</v>
      </c>
      <c r="C69" s="100">
        <v>17.47</v>
      </c>
      <c r="D69" s="100">
        <v>12.37</v>
      </c>
      <c r="E69" s="100">
        <v>5.76</v>
      </c>
      <c r="F69" s="100">
        <v>3.62</v>
      </c>
      <c r="G69" s="100">
        <v>33.51</v>
      </c>
      <c r="H69" s="100">
        <v>12.54</v>
      </c>
      <c r="I69" s="100">
        <v>14.92</v>
      </c>
      <c r="J69" s="100">
        <v>0.4</v>
      </c>
      <c r="K69" s="100">
        <v>349.29</v>
      </c>
      <c r="L69" s="100">
        <v>28.07</v>
      </c>
      <c r="M69" s="100">
        <v>25.13</v>
      </c>
      <c r="N69" s="100">
        <v>87</v>
      </c>
      <c r="O69" s="100">
        <v>0</v>
      </c>
      <c r="P69" s="100">
        <v>0.83</v>
      </c>
      <c r="Q69" s="100">
        <v>9.32</v>
      </c>
      <c r="R69" s="6"/>
      <c r="S69" s="6"/>
      <c r="T69" s="156"/>
      <c r="U69" s="6"/>
    </row>
    <row r="70" spans="1:21" customFormat="1">
      <c r="A70" s="163" t="s">
        <v>2036</v>
      </c>
      <c r="B70" s="100">
        <v>4</v>
      </c>
      <c r="C70" s="100">
        <v>17.059999999999999</v>
      </c>
      <c r="D70" s="100">
        <v>12.12</v>
      </c>
      <c r="E70" s="100">
        <v>5.85</v>
      </c>
      <c r="F70" s="100">
        <v>3.87</v>
      </c>
      <c r="G70" s="100">
        <v>33.33</v>
      </c>
      <c r="H70" s="100">
        <v>12.54</v>
      </c>
      <c r="I70" s="100">
        <v>14.49</v>
      </c>
      <c r="J70" s="100">
        <v>0.31</v>
      </c>
      <c r="K70" s="100">
        <v>13.97</v>
      </c>
      <c r="L70" s="100">
        <v>28.16</v>
      </c>
      <c r="M70" s="100">
        <v>24.8</v>
      </c>
      <c r="N70" s="100">
        <v>74.900000000000006</v>
      </c>
      <c r="O70" s="100">
        <v>0</v>
      </c>
      <c r="P70" s="100">
        <v>0.83</v>
      </c>
      <c r="Q70" s="100">
        <v>9.32</v>
      </c>
      <c r="R70" s="6"/>
      <c r="S70" s="6"/>
      <c r="T70" s="156"/>
      <c r="U70" s="6"/>
    </row>
    <row r="71" spans="1:21" customFormat="1">
      <c r="A71" s="163" t="s">
        <v>2037</v>
      </c>
      <c r="B71" s="100">
        <v>4.03</v>
      </c>
      <c r="C71" s="100">
        <v>16.88</v>
      </c>
      <c r="D71" s="100">
        <v>12.05</v>
      </c>
      <c r="E71" s="100">
        <v>5.33</v>
      </c>
      <c r="F71" s="100">
        <v>3.46</v>
      </c>
      <c r="G71" s="100">
        <v>33.33</v>
      </c>
      <c r="H71" s="100">
        <v>12.54</v>
      </c>
      <c r="I71" s="100">
        <v>14.08</v>
      </c>
      <c r="J71" s="100">
        <v>0.24</v>
      </c>
      <c r="K71" s="100">
        <v>26.69</v>
      </c>
      <c r="L71" s="100">
        <v>28.03</v>
      </c>
      <c r="M71" s="100">
        <v>25.46</v>
      </c>
      <c r="N71" s="100">
        <v>67.400000000000006</v>
      </c>
      <c r="O71" s="100">
        <v>0</v>
      </c>
      <c r="P71" s="100">
        <v>0.82</v>
      </c>
      <c r="Q71" s="100">
        <v>9.32</v>
      </c>
      <c r="R71" s="6"/>
      <c r="S71" s="6"/>
      <c r="T71" s="156"/>
      <c r="U71" s="6"/>
    </row>
    <row r="72" spans="1:21" customFormat="1">
      <c r="A72" s="163" t="s">
        <v>2038</v>
      </c>
      <c r="B72" s="100">
        <v>4.1399999999999997</v>
      </c>
      <c r="C72" s="100">
        <v>16.91</v>
      </c>
      <c r="D72" s="100">
        <v>12.16</v>
      </c>
      <c r="E72" s="100">
        <v>5.28</v>
      </c>
      <c r="F72" s="100">
        <v>3.92</v>
      </c>
      <c r="G72" s="100">
        <v>33.33</v>
      </c>
      <c r="H72" s="100">
        <v>12.54</v>
      </c>
      <c r="I72" s="100">
        <v>13.89</v>
      </c>
      <c r="J72" s="100">
        <v>0.15</v>
      </c>
      <c r="K72" s="100">
        <v>328.16</v>
      </c>
      <c r="L72" s="100">
        <v>27.76</v>
      </c>
      <c r="M72" s="100">
        <v>26.78</v>
      </c>
      <c r="N72" s="100">
        <v>61</v>
      </c>
      <c r="O72" s="100">
        <v>0</v>
      </c>
      <c r="P72" s="100">
        <v>0.81</v>
      </c>
      <c r="Q72" s="100">
        <v>9.32</v>
      </c>
      <c r="R72" s="6"/>
      <c r="S72" s="6"/>
      <c r="T72" s="156"/>
      <c r="U72" s="6"/>
    </row>
    <row r="73" spans="1:21" customFormat="1">
      <c r="A73" s="163" t="s">
        <v>2039</v>
      </c>
      <c r="B73" s="100">
        <v>4.29</v>
      </c>
      <c r="C73" s="100">
        <v>16.78</v>
      </c>
      <c r="D73" s="100">
        <v>12.21</v>
      </c>
      <c r="E73" s="100">
        <v>5.41</v>
      </c>
      <c r="F73" s="100">
        <v>2.9</v>
      </c>
      <c r="G73" s="100">
        <v>30.48</v>
      </c>
      <c r="H73" s="100">
        <v>11.43</v>
      </c>
      <c r="I73" s="100">
        <v>13.73</v>
      </c>
      <c r="J73" s="100">
        <v>0.25</v>
      </c>
      <c r="K73" s="100">
        <v>347.96</v>
      </c>
      <c r="L73" s="100">
        <v>27.54</v>
      </c>
      <c r="M73" s="100">
        <v>26.9</v>
      </c>
      <c r="N73" s="100">
        <v>54.5</v>
      </c>
      <c r="O73" s="100">
        <v>0</v>
      </c>
      <c r="P73" s="100">
        <v>0.81</v>
      </c>
      <c r="Q73" s="100">
        <v>9.32</v>
      </c>
      <c r="R73" s="6"/>
      <c r="S73" s="6"/>
      <c r="T73" s="156"/>
      <c r="U73" s="6"/>
    </row>
    <row r="74" spans="1:21" customFormat="1">
      <c r="A74" s="163" t="s">
        <v>2040</v>
      </c>
      <c r="B74" s="100">
        <v>4.41</v>
      </c>
      <c r="C74" s="100">
        <v>16.66</v>
      </c>
      <c r="D74" s="100">
        <v>12.24</v>
      </c>
      <c r="E74" s="100">
        <v>5.42</v>
      </c>
      <c r="F74" s="100">
        <v>2.15</v>
      </c>
      <c r="G74" s="100">
        <v>30.32</v>
      </c>
      <c r="H74" s="100">
        <v>11.43</v>
      </c>
      <c r="I74" s="100">
        <v>13.57</v>
      </c>
      <c r="J74" s="100">
        <v>0.34</v>
      </c>
      <c r="K74" s="100">
        <v>40.25</v>
      </c>
      <c r="L74" s="100">
        <v>27.42</v>
      </c>
      <c r="M74" s="100">
        <v>26.85</v>
      </c>
      <c r="N74" s="100">
        <v>51.1</v>
      </c>
      <c r="O74" s="100">
        <v>0</v>
      </c>
      <c r="P74" s="100">
        <v>0.8</v>
      </c>
      <c r="Q74" s="100">
        <v>9.32</v>
      </c>
      <c r="R74" s="6"/>
      <c r="S74" s="6"/>
      <c r="T74" s="156"/>
      <c r="U74" s="6"/>
    </row>
    <row r="75" spans="1:21" customFormat="1">
      <c r="A75" s="163" t="s">
        <v>2041</v>
      </c>
      <c r="B75" s="100">
        <v>4.58</v>
      </c>
      <c r="C75" s="100">
        <v>16.68</v>
      </c>
      <c r="D75" s="100">
        <v>12.38</v>
      </c>
      <c r="E75" s="100">
        <v>5.04</v>
      </c>
      <c r="F75" s="100">
        <v>1.88</v>
      </c>
      <c r="G75" s="100">
        <v>30.32</v>
      </c>
      <c r="H75" s="100">
        <v>11.43</v>
      </c>
      <c r="I75" s="100">
        <v>13.4</v>
      </c>
      <c r="J75" s="100">
        <v>0.01</v>
      </c>
      <c r="K75" s="100">
        <v>122.19</v>
      </c>
      <c r="L75" s="100">
        <v>26.77</v>
      </c>
      <c r="M75" s="100">
        <v>30.28</v>
      </c>
      <c r="N75" s="100">
        <v>42.4</v>
      </c>
      <c r="O75" s="100">
        <v>0</v>
      </c>
      <c r="P75" s="100">
        <v>0.8</v>
      </c>
      <c r="Q75" s="100">
        <v>9.32</v>
      </c>
      <c r="R75" s="6"/>
      <c r="S75" s="6"/>
      <c r="T75" s="156"/>
      <c r="U75" s="6"/>
    </row>
    <row r="76" spans="1:21" customFormat="1">
      <c r="A76" s="163" t="s">
        <v>2042</v>
      </c>
      <c r="B76" s="100">
        <v>4.8099999999999996</v>
      </c>
      <c r="C76" s="100">
        <v>16.86</v>
      </c>
      <c r="D76" s="100">
        <v>12.67</v>
      </c>
      <c r="E76" s="100">
        <v>4.82</v>
      </c>
      <c r="F76" s="100">
        <v>1.72</v>
      </c>
      <c r="G76" s="100">
        <v>30.32</v>
      </c>
      <c r="H76" s="100">
        <v>11.43</v>
      </c>
      <c r="I76" s="100">
        <v>13.3</v>
      </c>
      <c r="J76" s="100">
        <v>0.13</v>
      </c>
      <c r="K76" s="100">
        <v>164.05</v>
      </c>
      <c r="L76" s="100">
        <v>25.63</v>
      </c>
      <c r="M76" s="100">
        <v>34.799999999999997</v>
      </c>
      <c r="N76" s="100">
        <v>34.5</v>
      </c>
      <c r="O76" s="100">
        <v>0</v>
      </c>
      <c r="P76" s="100">
        <v>0.79</v>
      </c>
      <c r="Q76" s="100">
        <v>9.32</v>
      </c>
      <c r="R76" s="6"/>
      <c r="S76" s="6"/>
      <c r="T76" s="156"/>
      <c r="U76" s="6"/>
    </row>
    <row r="77" spans="1:21" customFormat="1">
      <c r="A77" s="163" t="s">
        <v>2043</v>
      </c>
      <c r="B77" s="100">
        <v>5.09</v>
      </c>
      <c r="C77" s="100">
        <v>16.989999999999998</v>
      </c>
      <c r="D77" s="100">
        <v>12.96</v>
      </c>
      <c r="E77" s="100">
        <v>4.83</v>
      </c>
      <c r="F77" s="100">
        <v>1.53</v>
      </c>
      <c r="G77" s="100">
        <v>30.74</v>
      </c>
      <c r="H77" s="100">
        <v>11.83</v>
      </c>
      <c r="I77" s="100">
        <v>13.17</v>
      </c>
      <c r="J77" s="100">
        <v>0.25</v>
      </c>
      <c r="K77" s="100">
        <v>165.52</v>
      </c>
      <c r="L77" s="100">
        <v>24.71</v>
      </c>
      <c r="M77" s="100">
        <v>38.479999999999997</v>
      </c>
      <c r="N77" s="100">
        <v>27.3</v>
      </c>
      <c r="O77" s="100">
        <v>0</v>
      </c>
      <c r="P77" s="100">
        <v>0.79</v>
      </c>
      <c r="Q77" s="100">
        <v>9.32</v>
      </c>
      <c r="R77" s="6"/>
      <c r="S77" s="6"/>
      <c r="T77" s="156"/>
      <c r="U77" s="6"/>
    </row>
    <row r="78" spans="1:21" customFormat="1">
      <c r="A78" s="163" t="s">
        <v>2044</v>
      </c>
      <c r="B78" s="100">
        <v>5.39</v>
      </c>
      <c r="C78" s="100">
        <v>17.14</v>
      </c>
      <c r="D78" s="100">
        <v>13.27</v>
      </c>
      <c r="E78" s="100">
        <v>4.8</v>
      </c>
      <c r="F78" s="100">
        <v>1.43</v>
      </c>
      <c r="G78" s="100">
        <v>30.77</v>
      </c>
      <c r="H78" s="100">
        <v>11.83</v>
      </c>
      <c r="I78" s="100">
        <v>13.02</v>
      </c>
      <c r="J78" s="100">
        <v>0.28999999999999998</v>
      </c>
      <c r="K78" s="100">
        <v>168.17</v>
      </c>
      <c r="L78" s="100">
        <v>23.72</v>
      </c>
      <c r="M78" s="100">
        <v>42.2</v>
      </c>
      <c r="N78" s="100">
        <v>22.4</v>
      </c>
      <c r="O78" s="100">
        <v>0</v>
      </c>
      <c r="P78" s="100">
        <v>0.78</v>
      </c>
      <c r="Q78" s="100">
        <v>9.32</v>
      </c>
      <c r="R78" s="6"/>
      <c r="S78" s="6"/>
      <c r="T78" s="156"/>
      <c r="U78" s="6"/>
    </row>
    <row r="79" spans="1:21" customFormat="1">
      <c r="A79" s="163" t="s">
        <v>2045</v>
      </c>
      <c r="B79" s="100">
        <v>5.79</v>
      </c>
      <c r="C79" s="100">
        <v>17.57</v>
      </c>
      <c r="D79" s="100">
        <v>13.82</v>
      </c>
      <c r="E79" s="100">
        <v>4.5599999999999996</v>
      </c>
      <c r="F79" s="100">
        <v>1.42</v>
      </c>
      <c r="G79" s="100">
        <v>30.77</v>
      </c>
      <c r="H79" s="100">
        <v>11.83</v>
      </c>
      <c r="I79" s="100">
        <v>12.89</v>
      </c>
      <c r="J79" s="100">
        <v>0.27</v>
      </c>
      <c r="K79" s="100">
        <v>157.79</v>
      </c>
      <c r="L79" s="100">
        <v>22.96</v>
      </c>
      <c r="M79" s="100">
        <v>46.22</v>
      </c>
      <c r="N79" s="100">
        <v>20.5</v>
      </c>
      <c r="O79" s="100">
        <v>0</v>
      </c>
      <c r="P79" s="100">
        <v>0.78</v>
      </c>
      <c r="Q79" s="100">
        <v>9.32</v>
      </c>
      <c r="R79" s="6"/>
      <c r="S79" s="6"/>
      <c r="T79" s="156"/>
      <c r="U79" s="6"/>
    </row>
    <row r="80" spans="1:21" customFormat="1">
      <c r="A80" s="163" t="s">
        <v>2046</v>
      </c>
      <c r="B80" s="100">
        <v>6.29</v>
      </c>
      <c r="C80" s="100">
        <v>18.03</v>
      </c>
      <c r="D80" s="100">
        <v>14.46</v>
      </c>
      <c r="E80" s="100">
        <v>4.8</v>
      </c>
      <c r="F80" s="100">
        <v>1.21</v>
      </c>
      <c r="G80" s="100">
        <v>30.77</v>
      </c>
      <c r="H80" s="100">
        <v>11.83</v>
      </c>
      <c r="I80" s="100">
        <v>12.8</v>
      </c>
      <c r="J80" s="100">
        <v>0.26</v>
      </c>
      <c r="K80" s="100">
        <v>145.33000000000001</v>
      </c>
      <c r="L80" s="100">
        <v>22.45</v>
      </c>
      <c r="M80" s="100">
        <v>48.88</v>
      </c>
      <c r="N80" s="100">
        <v>20</v>
      </c>
      <c r="O80" s="100">
        <v>0</v>
      </c>
      <c r="P80" s="100">
        <v>0.78</v>
      </c>
      <c r="Q80" s="100">
        <v>9.32</v>
      </c>
      <c r="R80" s="6"/>
      <c r="S80" s="6"/>
      <c r="T80" s="156"/>
      <c r="U80" s="6"/>
    </row>
    <row r="81" spans="1:21" customFormat="1">
      <c r="A81" s="163" t="s">
        <v>2047</v>
      </c>
      <c r="B81" s="100">
        <v>6.73</v>
      </c>
      <c r="C81" s="100">
        <v>18.43</v>
      </c>
      <c r="D81" s="100">
        <v>15.03</v>
      </c>
      <c r="E81" s="100">
        <v>4.92</v>
      </c>
      <c r="F81" s="100">
        <v>1.28</v>
      </c>
      <c r="G81" s="100">
        <v>36.909999999999997</v>
      </c>
      <c r="H81" s="100">
        <v>11.71</v>
      </c>
      <c r="I81" s="100">
        <v>12.75</v>
      </c>
      <c r="J81" s="100">
        <v>0.32</v>
      </c>
      <c r="K81" s="100">
        <v>158.5</v>
      </c>
      <c r="L81" s="100">
        <v>22.13</v>
      </c>
      <c r="M81" s="100">
        <v>50.08</v>
      </c>
      <c r="N81" s="100">
        <v>19.899999999999999</v>
      </c>
      <c r="O81" s="100">
        <v>0</v>
      </c>
      <c r="P81" s="100">
        <v>0.76</v>
      </c>
      <c r="Q81" s="100">
        <v>9.32</v>
      </c>
      <c r="R81" s="6"/>
      <c r="S81" s="6"/>
      <c r="T81" s="156"/>
      <c r="U81" s="6"/>
    </row>
    <row r="82" spans="1:21" customFormat="1">
      <c r="A82" s="163" t="s">
        <v>2048</v>
      </c>
      <c r="B82" s="100">
        <v>6.91</v>
      </c>
      <c r="C82" s="100">
        <v>18.920000000000002</v>
      </c>
      <c r="D82" s="100">
        <v>15.42</v>
      </c>
      <c r="E82" s="100">
        <v>6.37</v>
      </c>
      <c r="F82" s="100">
        <v>1.23</v>
      </c>
      <c r="G82" s="100">
        <v>37.270000000000003</v>
      </c>
      <c r="H82" s="100">
        <v>11.71</v>
      </c>
      <c r="I82" s="100">
        <v>12.87</v>
      </c>
      <c r="J82" s="100">
        <v>0.3</v>
      </c>
      <c r="K82" s="100">
        <v>163.05000000000001</v>
      </c>
      <c r="L82" s="100">
        <v>21.98</v>
      </c>
      <c r="M82" s="100">
        <v>50.98</v>
      </c>
      <c r="N82" s="100">
        <v>19.8</v>
      </c>
      <c r="O82" s="100">
        <v>0</v>
      </c>
      <c r="P82" s="100">
        <v>0.76</v>
      </c>
      <c r="Q82" s="100">
        <v>9.32</v>
      </c>
      <c r="R82" s="6"/>
      <c r="S82" s="6"/>
      <c r="T82" s="156"/>
      <c r="U82" s="6"/>
    </row>
    <row r="83" spans="1:21" customFormat="1">
      <c r="A83" s="163" t="s">
        <v>2049</v>
      </c>
      <c r="B83" s="100">
        <v>7.05</v>
      </c>
      <c r="C83" s="100">
        <v>19.34</v>
      </c>
      <c r="D83" s="100">
        <v>15.75</v>
      </c>
      <c r="E83" s="100">
        <v>6.6</v>
      </c>
      <c r="F83" s="100">
        <v>1.34</v>
      </c>
      <c r="G83" s="100">
        <v>37.270000000000003</v>
      </c>
      <c r="H83" s="100">
        <v>11.71</v>
      </c>
      <c r="I83" s="100">
        <v>13.25</v>
      </c>
      <c r="J83" s="100">
        <v>0.27</v>
      </c>
      <c r="K83" s="100">
        <v>138.25</v>
      </c>
      <c r="L83" s="100">
        <v>21.61</v>
      </c>
      <c r="M83" s="100">
        <v>52.05</v>
      </c>
      <c r="N83" s="100">
        <v>19.8</v>
      </c>
      <c r="O83" s="100">
        <v>0</v>
      </c>
      <c r="P83" s="100">
        <v>0.75</v>
      </c>
      <c r="Q83" s="100">
        <v>9.32</v>
      </c>
      <c r="R83" s="6"/>
      <c r="S83" s="6"/>
      <c r="T83" s="156"/>
      <c r="U83" s="6"/>
    </row>
    <row r="84" spans="1:21" customFormat="1">
      <c r="A84" s="163" t="s">
        <v>2050</v>
      </c>
      <c r="B84" s="100">
        <v>7.7</v>
      </c>
      <c r="C84" s="100">
        <v>19.59</v>
      </c>
      <c r="D84" s="100">
        <v>16.41</v>
      </c>
      <c r="E84" s="100">
        <v>6.33</v>
      </c>
      <c r="F84" s="100">
        <v>1.31</v>
      </c>
      <c r="G84" s="100">
        <v>37.270000000000003</v>
      </c>
      <c r="H84" s="100">
        <v>11.71</v>
      </c>
      <c r="I84" s="100">
        <v>13.71</v>
      </c>
      <c r="J84" s="100">
        <v>0.16</v>
      </c>
      <c r="K84" s="100">
        <v>135.05000000000001</v>
      </c>
      <c r="L84" s="100">
        <v>21.38</v>
      </c>
      <c r="M84" s="100">
        <v>52.37</v>
      </c>
      <c r="N84" s="100">
        <v>19.600000000000001</v>
      </c>
      <c r="O84" s="100">
        <v>0</v>
      </c>
      <c r="P84" s="100">
        <v>0.77</v>
      </c>
      <c r="Q84" s="100">
        <v>9.32</v>
      </c>
      <c r="R84" s="6"/>
      <c r="S84" s="6"/>
      <c r="T84" s="156"/>
      <c r="U84" s="6"/>
    </row>
    <row r="85" spans="1:21" customFormat="1">
      <c r="A85" s="163" t="s">
        <v>2051</v>
      </c>
      <c r="B85" s="100">
        <v>8.73</v>
      </c>
      <c r="C85" s="100">
        <v>20.100000000000001</v>
      </c>
      <c r="D85" s="100">
        <v>17.5</v>
      </c>
      <c r="E85" s="100">
        <v>6.12</v>
      </c>
      <c r="F85" s="100">
        <v>1.24</v>
      </c>
      <c r="G85" s="100">
        <v>42.87</v>
      </c>
      <c r="H85" s="100">
        <v>14.01</v>
      </c>
      <c r="I85" s="100">
        <v>14.1</v>
      </c>
      <c r="J85" s="100">
        <v>0.25</v>
      </c>
      <c r="K85" s="100">
        <v>151.56</v>
      </c>
      <c r="L85" s="100">
        <v>21.25</v>
      </c>
      <c r="M85" s="100">
        <v>54.43</v>
      </c>
      <c r="N85" s="100">
        <v>19.8</v>
      </c>
      <c r="O85" s="100">
        <v>0</v>
      </c>
      <c r="P85" s="100">
        <v>0.79</v>
      </c>
      <c r="Q85" s="100">
        <v>9.32</v>
      </c>
      <c r="R85" s="6"/>
      <c r="S85" s="6"/>
      <c r="T85" s="156"/>
      <c r="U85" s="6"/>
    </row>
    <row r="86" spans="1:21" customFormat="1">
      <c r="A86" s="163" t="s">
        <v>2052</v>
      </c>
      <c r="B86" s="100">
        <v>9.82</v>
      </c>
      <c r="C86" s="100">
        <v>20.28</v>
      </c>
      <c r="D86" s="100">
        <v>18.47</v>
      </c>
      <c r="E86" s="100">
        <v>6.5</v>
      </c>
      <c r="F86" s="100">
        <v>1.24</v>
      </c>
      <c r="G86" s="100">
        <v>43.2</v>
      </c>
      <c r="H86" s="100">
        <v>14.01</v>
      </c>
      <c r="I86" s="100">
        <v>14.41</v>
      </c>
      <c r="J86" s="100">
        <v>0.31</v>
      </c>
      <c r="K86" s="100">
        <v>153.01</v>
      </c>
      <c r="L86" s="100">
        <v>20.87</v>
      </c>
      <c r="M86" s="100">
        <v>56.93</v>
      </c>
      <c r="N86" s="100">
        <v>19.7</v>
      </c>
      <c r="O86" s="100">
        <v>0</v>
      </c>
      <c r="P86" s="100">
        <v>0.81</v>
      </c>
      <c r="Q86" s="100">
        <v>9.32</v>
      </c>
      <c r="R86" s="6"/>
      <c r="S86" s="6"/>
      <c r="T86" s="156"/>
      <c r="U86" s="6"/>
    </row>
    <row r="87" spans="1:21" customFormat="1">
      <c r="A87" s="163" t="s">
        <v>2053</v>
      </c>
      <c r="B87" s="100">
        <v>10.66</v>
      </c>
      <c r="C87" s="100">
        <v>20.62</v>
      </c>
      <c r="D87" s="100">
        <v>19.32</v>
      </c>
      <c r="E87" s="100">
        <v>6.33</v>
      </c>
      <c r="F87" s="100">
        <v>1.36</v>
      </c>
      <c r="G87" s="100">
        <v>43.2</v>
      </c>
      <c r="H87" s="100">
        <v>14.01</v>
      </c>
      <c r="I87" s="100">
        <v>14.92</v>
      </c>
      <c r="J87" s="100">
        <v>0.31</v>
      </c>
      <c r="K87" s="100">
        <v>165.15</v>
      </c>
      <c r="L87" s="100">
        <v>20.260000000000002</v>
      </c>
      <c r="M87" s="100">
        <v>63.39</v>
      </c>
      <c r="N87" s="100">
        <v>19.899999999999999</v>
      </c>
      <c r="O87" s="100">
        <v>0</v>
      </c>
      <c r="P87" s="100">
        <v>0.84</v>
      </c>
      <c r="Q87" s="100">
        <v>9.32</v>
      </c>
      <c r="R87" s="6"/>
      <c r="S87" s="6"/>
      <c r="T87" s="156"/>
      <c r="U87" s="6"/>
    </row>
    <row r="88" spans="1:21" customFormat="1">
      <c r="A88" s="163" t="s">
        <v>2054</v>
      </c>
      <c r="B88" s="100">
        <v>11.27</v>
      </c>
      <c r="C88" s="100">
        <v>20.83</v>
      </c>
      <c r="D88" s="100">
        <v>19.920000000000002</v>
      </c>
      <c r="E88" s="100">
        <v>6.46</v>
      </c>
      <c r="F88" s="100">
        <v>1.33</v>
      </c>
      <c r="G88" s="100">
        <v>43.2</v>
      </c>
      <c r="H88" s="100">
        <v>14.01</v>
      </c>
      <c r="I88" s="100">
        <v>15.5</v>
      </c>
      <c r="J88" s="100">
        <v>0.24</v>
      </c>
      <c r="K88" s="100">
        <v>173.86</v>
      </c>
      <c r="L88" s="100">
        <v>19.72</v>
      </c>
      <c r="M88" s="100">
        <v>69.48</v>
      </c>
      <c r="N88" s="100">
        <v>19.8</v>
      </c>
      <c r="O88" s="100">
        <v>0</v>
      </c>
      <c r="P88" s="100">
        <v>0.86</v>
      </c>
      <c r="Q88" s="100">
        <v>9.32</v>
      </c>
      <c r="R88" s="6"/>
      <c r="S88" s="6"/>
      <c r="T88" s="156"/>
      <c r="U88" s="6"/>
    </row>
    <row r="89" spans="1:21" customFormat="1">
      <c r="A89" s="163" t="s">
        <v>2055</v>
      </c>
      <c r="B89" s="100">
        <v>11.65</v>
      </c>
      <c r="C89" s="100">
        <v>20.84</v>
      </c>
      <c r="D89" s="100">
        <v>20.23</v>
      </c>
      <c r="E89" s="100">
        <v>6.44</v>
      </c>
      <c r="F89" s="100">
        <v>1.31</v>
      </c>
      <c r="G89" s="100">
        <v>48.97</v>
      </c>
      <c r="H89" s="100">
        <v>17.89</v>
      </c>
      <c r="I89" s="100">
        <v>15.91</v>
      </c>
      <c r="J89" s="100">
        <v>0.19</v>
      </c>
      <c r="K89" s="100">
        <v>207.95</v>
      </c>
      <c r="L89" s="100">
        <v>19.170000000000002</v>
      </c>
      <c r="M89" s="100">
        <v>71.849999999999994</v>
      </c>
      <c r="N89" s="100">
        <v>19.7</v>
      </c>
      <c r="O89" s="100">
        <v>0</v>
      </c>
      <c r="P89" s="100">
        <v>0.88</v>
      </c>
      <c r="Q89" s="100">
        <v>9.32</v>
      </c>
      <c r="R89" s="6"/>
      <c r="S89" s="6"/>
      <c r="T89" s="156"/>
      <c r="U89" s="6"/>
    </row>
    <row r="90" spans="1:21" customFormat="1">
      <c r="A90" s="163" t="s">
        <v>2056</v>
      </c>
      <c r="B90" s="100">
        <v>11.86</v>
      </c>
      <c r="C90" s="100">
        <v>20.71</v>
      </c>
      <c r="D90" s="100">
        <v>20.329999999999998</v>
      </c>
      <c r="E90" s="100">
        <v>6.46</v>
      </c>
      <c r="F90" s="100">
        <v>1.22</v>
      </c>
      <c r="G90" s="100">
        <v>49.31</v>
      </c>
      <c r="H90" s="100">
        <v>17.89</v>
      </c>
      <c r="I90" s="100">
        <v>16.27</v>
      </c>
      <c r="J90" s="100">
        <v>0.18</v>
      </c>
      <c r="K90" s="100">
        <v>186.16</v>
      </c>
      <c r="L90" s="100">
        <v>18.920000000000002</v>
      </c>
      <c r="M90" s="100">
        <v>69.87</v>
      </c>
      <c r="N90" s="100">
        <v>19.600000000000001</v>
      </c>
      <c r="O90" s="100">
        <v>0</v>
      </c>
      <c r="P90" s="100">
        <v>0.89</v>
      </c>
      <c r="Q90" s="100">
        <v>9.32</v>
      </c>
      <c r="R90" s="6"/>
      <c r="S90" s="6"/>
      <c r="T90" s="156"/>
      <c r="U90" s="6"/>
    </row>
    <row r="91" spans="1:21" customFormat="1">
      <c r="A91" s="163" t="s">
        <v>2057</v>
      </c>
      <c r="B91" s="100">
        <v>12.06</v>
      </c>
      <c r="C91" s="100">
        <v>20.53</v>
      </c>
      <c r="D91" s="100">
        <v>20.399999999999999</v>
      </c>
      <c r="E91" s="100">
        <v>6.46</v>
      </c>
      <c r="F91" s="100">
        <v>1.39</v>
      </c>
      <c r="G91" s="100">
        <v>49.31</v>
      </c>
      <c r="H91" s="100">
        <v>17.89</v>
      </c>
      <c r="I91" s="100">
        <v>16.52</v>
      </c>
      <c r="J91" s="100">
        <v>0.2</v>
      </c>
      <c r="K91" s="100">
        <v>182.96</v>
      </c>
      <c r="L91" s="100">
        <v>18.77</v>
      </c>
      <c r="M91" s="100">
        <v>73.290000000000006</v>
      </c>
      <c r="N91" s="100">
        <v>19.399999999999999</v>
      </c>
      <c r="O91" s="100">
        <v>0</v>
      </c>
      <c r="P91" s="100">
        <v>0.9</v>
      </c>
      <c r="Q91" s="100">
        <v>9.32</v>
      </c>
      <c r="R91" s="6"/>
      <c r="S91" s="6"/>
      <c r="T91" s="156"/>
      <c r="U91" s="6"/>
    </row>
    <row r="92" spans="1:21" customFormat="1">
      <c r="A92" s="163" t="s">
        <v>2058</v>
      </c>
      <c r="B92" s="100">
        <v>12.37</v>
      </c>
      <c r="C92" s="100">
        <v>20.34</v>
      </c>
      <c r="D92" s="100">
        <v>20.55</v>
      </c>
      <c r="E92" s="100">
        <v>6.26</v>
      </c>
      <c r="F92" s="100">
        <v>1.38</v>
      </c>
      <c r="G92" s="100">
        <v>49.31</v>
      </c>
      <c r="H92" s="100">
        <v>17.89</v>
      </c>
      <c r="I92" s="100">
        <v>16.8</v>
      </c>
      <c r="J92" s="100">
        <v>0.2</v>
      </c>
      <c r="K92" s="100">
        <v>191.29</v>
      </c>
      <c r="L92" s="100">
        <v>18.5</v>
      </c>
      <c r="M92" s="100">
        <v>80.39</v>
      </c>
      <c r="N92" s="100">
        <v>19.5</v>
      </c>
      <c r="O92" s="100">
        <v>0</v>
      </c>
      <c r="P92" s="100">
        <v>0.92</v>
      </c>
      <c r="Q92" s="100">
        <v>9.32</v>
      </c>
      <c r="R92" s="6"/>
      <c r="S92" s="6"/>
      <c r="T92" s="156"/>
      <c r="U92" s="6"/>
    </row>
    <row r="93" spans="1:21" customFormat="1">
      <c r="A93" s="163" t="s">
        <v>2059</v>
      </c>
      <c r="B93" s="100">
        <v>12.46</v>
      </c>
      <c r="C93" s="100">
        <v>19.91</v>
      </c>
      <c r="D93" s="100">
        <v>20.39</v>
      </c>
      <c r="E93" s="100">
        <v>6.28</v>
      </c>
      <c r="F93" s="100">
        <v>1.38</v>
      </c>
      <c r="G93" s="100">
        <v>50.33</v>
      </c>
      <c r="H93" s="100">
        <v>17.75</v>
      </c>
      <c r="I93" s="100">
        <v>17.05</v>
      </c>
      <c r="J93" s="100">
        <v>0.18</v>
      </c>
      <c r="K93" s="100">
        <v>189.62</v>
      </c>
      <c r="L93" s="100">
        <v>18.260000000000002</v>
      </c>
      <c r="M93" s="100">
        <v>81.56</v>
      </c>
      <c r="N93" s="100">
        <v>19.5</v>
      </c>
      <c r="O93" s="100">
        <v>0</v>
      </c>
      <c r="P93" s="100">
        <v>0.91</v>
      </c>
      <c r="Q93" s="100">
        <v>9.32</v>
      </c>
      <c r="R93" s="6"/>
      <c r="S93" s="6"/>
      <c r="T93" s="156"/>
      <c r="U93" s="6"/>
    </row>
    <row r="94" spans="1:21" customFormat="1">
      <c r="A94" s="163" t="s">
        <v>2060</v>
      </c>
      <c r="B94" s="100">
        <v>12.3</v>
      </c>
      <c r="C94" s="100">
        <v>19.510000000000002</v>
      </c>
      <c r="D94" s="100">
        <v>20.059999999999999</v>
      </c>
      <c r="E94" s="100">
        <v>6.26</v>
      </c>
      <c r="F94" s="100">
        <v>1.34</v>
      </c>
      <c r="G94" s="100">
        <v>50.39</v>
      </c>
      <c r="H94" s="100">
        <v>17.75</v>
      </c>
      <c r="I94" s="100">
        <v>17.22</v>
      </c>
      <c r="J94" s="100">
        <v>0.25</v>
      </c>
      <c r="K94" s="100">
        <v>173.98</v>
      </c>
      <c r="L94" s="100">
        <v>18.11</v>
      </c>
      <c r="M94" s="100">
        <v>79.31</v>
      </c>
      <c r="N94" s="100">
        <v>19.3</v>
      </c>
      <c r="O94" s="100">
        <v>0</v>
      </c>
      <c r="P94" s="100">
        <v>0.91</v>
      </c>
      <c r="Q94" s="100">
        <v>9.32</v>
      </c>
      <c r="R94" s="6"/>
      <c r="S94" s="6"/>
      <c r="T94" s="156"/>
      <c r="U94" s="6"/>
    </row>
    <row r="95" spans="1:21" customFormat="1">
      <c r="A95" s="163" t="s">
        <v>2061</v>
      </c>
      <c r="B95" s="100">
        <v>12.06</v>
      </c>
      <c r="C95" s="100">
        <v>19.22</v>
      </c>
      <c r="D95" s="100">
        <v>19.71</v>
      </c>
      <c r="E95" s="100">
        <v>6.27</v>
      </c>
      <c r="F95" s="100">
        <v>1.36</v>
      </c>
      <c r="G95" s="100">
        <v>50.39</v>
      </c>
      <c r="H95" s="100">
        <v>17.75</v>
      </c>
      <c r="I95" s="100">
        <v>17.399999999999999</v>
      </c>
      <c r="J95" s="100">
        <v>0.16</v>
      </c>
      <c r="K95" s="100">
        <v>175.49</v>
      </c>
      <c r="L95" s="100">
        <v>18.04</v>
      </c>
      <c r="M95" s="100">
        <v>82.06</v>
      </c>
      <c r="N95" s="100">
        <v>19.399999999999999</v>
      </c>
      <c r="O95" s="100">
        <v>0</v>
      </c>
      <c r="P95" s="100">
        <v>0.92</v>
      </c>
      <c r="Q95" s="100">
        <v>9.32</v>
      </c>
      <c r="R95" s="6"/>
      <c r="S95" s="6"/>
      <c r="T95" s="156"/>
      <c r="U95" s="6"/>
    </row>
    <row r="96" spans="1:21" customFormat="1">
      <c r="A96" s="163" t="s">
        <v>2062</v>
      </c>
      <c r="B96" s="100">
        <v>12.7</v>
      </c>
      <c r="C96" s="100">
        <v>19.03</v>
      </c>
      <c r="D96" s="100">
        <v>20.13</v>
      </c>
      <c r="E96" s="100">
        <v>6.22</v>
      </c>
      <c r="F96" s="100">
        <v>1.36</v>
      </c>
      <c r="G96" s="100">
        <v>50.39</v>
      </c>
      <c r="H96" s="100">
        <v>17.75</v>
      </c>
      <c r="I96" s="100">
        <v>16.09</v>
      </c>
      <c r="J96" s="100">
        <v>0.24</v>
      </c>
      <c r="K96" s="100">
        <v>160.69999999999999</v>
      </c>
      <c r="L96" s="100">
        <v>18.149999999999999</v>
      </c>
      <c r="M96" s="100">
        <v>77.849999999999994</v>
      </c>
      <c r="N96" s="100">
        <v>19.2</v>
      </c>
      <c r="O96" s="100">
        <v>0</v>
      </c>
      <c r="P96" s="100">
        <v>0.93</v>
      </c>
      <c r="Q96" s="100">
        <v>9.32</v>
      </c>
      <c r="R96" s="6"/>
      <c r="S96" s="6"/>
      <c r="T96" s="156"/>
      <c r="U96" s="6"/>
    </row>
    <row r="97" spans="1:28" customFormat="1">
      <c r="A97" s="163" t="s">
        <v>2063</v>
      </c>
      <c r="B97" s="100">
        <v>14.66</v>
      </c>
      <c r="C97" s="100">
        <v>19.239999999999998</v>
      </c>
      <c r="D97" s="100">
        <v>21.81</v>
      </c>
      <c r="E97" s="100">
        <v>6.37</v>
      </c>
      <c r="F97" s="100">
        <v>1.3</v>
      </c>
      <c r="G97" s="100">
        <v>50.08</v>
      </c>
      <c r="H97" s="100">
        <v>17.11</v>
      </c>
      <c r="I97" s="100">
        <v>14.69</v>
      </c>
      <c r="J97" s="100">
        <v>0.21</v>
      </c>
      <c r="K97" s="100">
        <v>215.8</v>
      </c>
      <c r="L97" s="100">
        <v>18.07</v>
      </c>
      <c r="M97" s="100">
        <v>78.34</v>
      </c>
      <c r="N97" s="100">
        <v>19.2</v>
      </c>
      <c r="O97" s="100">
        <v>0</v>
      </c>
      <c r="P97" s="100">
        <v>0.94</v>
      </c>
      <c r="Q97" s="100">
        <v>9.32</v>
      </c>
      <c r="R97" s="6"/>
      <c r="S97" s="6"/>
      <c r="T97" s="156"/>
      <c r="U97" s="6"/>
    </row>
    <row r="98" spans="1:28" customFormat="1">
      <c r="A98" s="163" t="s">
        <v>2064</v>
      </c>
      <c r="B98" s="100">
        <v>16.53</v>
      </c>
      <c r="C98" s="100">
        <v>19.579999999999998</v>
      </c>
      <c r="D98" s="100">
        <v>23.48</v>
      </c>
      <c r="E98" s="100">
        <v>6.06</v>
      </c>
      <c r="F98" s="100">
        <v>1.23</v>
      </c>
      <c r="G98" s="100">
        <v>50.06</v>
      </c>
      <c r="H98" s="100">
        <v>17.11</v>
      </c>
      <c r="I98" s="100">
        <v>15.01</v>
      </c>
      <c r="J98" s="100">
        <v>0.21</v>
      </c>
      <c r="K98" s="100">
        <v>192.4</v>
      </c>
      <c r="L98" s="100">
        <v>17.93</v>
      </c>
      <c r="M98" s="100">
        <v>80.040000000000006</v>
      </c>
      <c r="N98" s="100">
        <v>19.399999999999999</v>
      </c>
      <c r="O98" s="100">
        <v>0</v>
      </c>
      <c r="P98" s="100">
        <v>0.96</v>
      </c>
      <c r="Q98" s="100">
        <v>9.32</v>
      </c>
      <c r="R98" s="6"/>
      <c r="S98" s="6"/>
      <c r="T98" s="156"/>
      <c r="U98" s="6"/>
    </row>
    <row r="99" spans="1:28" customFormat="1">
      <c r="A99" s="163" t="s">
        <v>2065</v>
      </c>
      <c r="B99" s="100">
        <v>17.93</v>
      </c>
      <c r="C99" s="100">
        <v>19.66</v>
      </c>
      <c r="D99" s="100">
        <v>24.65</v>
      </c>
      <c r="E99" s="100">
        <v>6.3</v>
      </c>
      <c r="F99" s="100">
        <v>1.39</v>
      </c>
      <c r="G99" s="100">
        <v>50.06</v>
      </c>
      <c r="H99" s="100">
        <v>17.11</v>
      </c>
      <c r="I99" s="100">
        <v>15.27</v>
      </c>
      <c r="J99" s="100">
        <v>0.21</v>
      </c>
      <c r="K99" s="100">
        <v>154.22999999999999</v>
      </c>
      <c r="L99" s="100">
        <v>17.89</v>
      </c>
      <c r="M99" s="100">
        <v>79.66</v>
      </c>
      <c r="N99" s="100">
        <v>19.3</v>
      </c>
      <c r="O99" s="100">
        <v>0</v>
      </c>
      <c r="P99" s="100">
        <v>0.97</v>
      </c>
      <c r="Q99" s="100">
        <v>9.32</v>
      </c>
      <c r="R99" s="6"/>
      <c r="S99" s="6"/>
      <c r="T99" s="156"/>
      <c r="U99" s="6"/>
    </row>
    <row r="100" spans="1:28" customFormat="1">
      <c r="A100" s="163" t="s">
        <v>2066</v>
      </c>
      <c r="B100" s="100">
        <v>19.04</v>
      </c>
      <c r="C100" s="100">
        <v>19.82</v>
      </c>
      <c r="D100" s="100">
        <v>25.63</v>
      </c>
      <c r="E100" s="100">
        <v>6.5</v>
      </c>
      <c r="F100" s="100">
        <v>1.44</v>
      </c>
      <c r="G100" s="100">
        <v>50.06</v>
      </c>
      <c r="H100" s="100">
        <v>17.11</v>
      </c>
      <c r="I100" s="100">
        <v>15.52</v>
      </c>
      <c r="J100" s="100">
        <v>0.3</v>
      </c>
      <c r="K100" s="100">
        <v>72.84</v>
      </c>
      <c r="L100" s="100">
        <v>18.2</v>
      </c>
      <c r="M100" s="100">
        <v>73.099999999999994</v>
      </c>
      <c r="N100" s="100">
        <v>19</v>
      </c>
      <c r="O100" s="100">
        <v>0</v>
      </c>
      <c r="P100" s="100">
        <v>0.97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2067</v>
      </c>
      <c r="B101" s="100">
        <v>19.57</v>
      </c>
      <c r="C101" s="100">
        <v>19.809999999999999</v>
      </c>
      <c r="D101" s="100">
        <v>26.05</v>
      </c>
      <c r="E101" s="100">
        <v>6.22</v>
      </c>
      <c r="F101" s="100">
        <v>1.27</v>
      </c>
      <c r="G101" s="100">
        <v>51.1</v>
      </c>
      <c r="H101" s="100">
        <v>18.010000000000002</v>
      </c>
      <c r="I101" s="100">
        <v>15.67</v>
      </c>
      <c r="J101" s="100">
        <v>0.6</v>
      </c>
      <c r="K101" s="100">
        <v>44.25</v>
      </c>
      <c r="L101" s="100">
        <v>19.05</v>
      </c>
      <c r="M101" s="100">
        <v>59.15</v>
      </c>
      <c r="N101" s="100">
        <v>18.399999999999999</v>
      </c>
      <c r="O101" s="100">
        <v>0</v>
      </c>
      <c r="P101" s="100">
        <v>0.98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2068</v>
      </c>
      <c r="B102" s="100">
        <v>19.95</v>
      </c>
      <c r="C102" s="100">
        <v>19.87</v>
      </c>
      <c r="D102" s="100">
        <v>26.38</v>
      </c>
      <c r="E102" s="100">
        <v>6.03</v>
      </c>
      <c r="F102" s="100">
        <v>1.27</v>
      </c>
      <c r="G102" s="100">
        <v>51.16</v>
      </c>
      <c r="H102" s="100">
        <v>18.010000000000002</v>
      </c>
      <c r="I102" s="100">
        <v>15.68</v>
      </c>
      <c r="J102" s="100">
        <v>0.43</v>
      </c>
      <c r="K102" s="100">
        <v>51.11</v>
      </c>
      <c r="L102" s="100">
        <v>19.079999999999998</v>
      </c>
      <c r="M102" s="100">
        <v>58.75</v>
      </c>
      <c r="N102" s="100">
        <v>19.2</v>
      </c>
      <c r="O102" s="100">
        <v>0</v>
      </c>
      <c r="P102" s="100">
        <v>0.98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2069</v>
      </c>
      <c r="B103" s="100">
        <v>20.100000000000001</v>
      </c>
      <c r="C103" s="100">
        <v>20.010000000000002</v>
      </c>
      <c r="D103" s="100">
        <v>26.58</v>
      </c>
      <c r="E103" s="100">
        <v>5.91</v>
      </c>
      <c r="F103" s="100">
        <v>1.24</v>
      </c>
      <c r="G103" s="100">
        <v>51.16</v>
      </c>
      <c r="H103" s="100">
        <v>18.010000000000002</v>
      </c>
      <c r="I103" s="100">
        <v>15.57</v>
      </c>
      <c r="J103" s="100">
        <v>0.66</v>
      </c>
      <c r="K103" s="100">
        <v>45.75</v>
      </c>
      <c r="L103" s="100">
        <v>18.829999999999998</v>
      </c>
      <c r="M103" s="100">
        <v>59.95</v>
      </c>
      <c r="N103" s="100">
        <v>19.3</v>
      </c>
      <c r="O103" s="100">
        <v>0</v>
      </c>
      <c r="P103" s="100">
        <v>0.97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2070</v>
      </c>
      <c r="B104" s="100">
        <v>20.12</v>
      </c>
      <c r="C104" s="100">
        <v>20.27</v>
      </c>
      <c r="D104" s="100">
        <v>26.73</v>
      </c>
      <c r="E104" s="100">
        <v>5.7</v>
      </c>
      <c r="F104" s="100">
        <v>1.24</v>
      </c>
      <c r="G104" s="100">
        <v>51.16</v>
      </c>
      <c r="H104" s="100">
        <v>18.010000000000002</v>
      </c>
      <c r="I104" s="100">
        <v>15.33</v>
      </c>
      <c r="J104" s="100">
        <v>0.26</v>
      </c>
      <c r="K104" s="100">
        <v>43.77</v>
      </c>
      <c r="L104" s="100">
        <v>18.600000000000001</v>
      </c>
      <c r="M104" s="100">
        <v>61.34</v>
      </c>
      <c r="N104" s="100">
        <v>19.7</v>
      </c>
      <c r="O104" s="100">
        <v>0</v>
      </c>
      <c r="P104" s="100">
        <v>0.95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3.99</v>
      </c>
      <c r="C106" s="158">
        <f>MIN(C9:C104)</f>
        <v>14.26</v>
      </c>
      <c r="D106" s="158">
        <f t="shared" ref="D106:Q106" si="0">MIN(D9:D104)</f>
        <v>12.05</v>
      </c>
      <c r="E106" s="158">
        <f t="shared" si="0"/>
        <v>3.38</v>
      </c>
      <c r="F106" s="158">
        <f t="shared" si="0"/>
        <v>1.0900000000000001</v>
      </c>
      <c r="G106" s="158">
        <f t="shared" si="0"/>
        <v>27.4</v>
      </c>
      <c r="H106" s="158">
        <f t="shared" si="0"/>
        <v>11.43</v>
      </c>
      <c r="I106" s="158">
        <f t="shared" si="0"/>
        <v>12.75</v>
      </c>
      <c r="J106" s="158">
        <f t="shared" si="0"/>
        <v>0.01</v>
      </c>
      <c r="K106" s="158">
        <f t="shared" si="0"/>
        <v>0.46</v>
      </c>
      <c r="L106" s="158">
        <f t="shared" si="0"/>
        <v>14.14</v>
      </c>
      <c r="M106" s="158">
        <f t="shared" si="0"/>
        <v>24.41</v>
      </c>
      <c r="N106" s="158">
        <f t="shared" si="0"/>
        <v>17.5</v>
      </c>
      <c r="O106" s="158">
        <f t="shared" si="0"/>
        <v>0</v>
      </c>
      <c r="P106" s="158">
        <f t="shared" si="0"/>
        <v>0.75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26.68</v>
      </c>
      <c r="C107" s="157">
        <f t="shared" ref="C107:Q107" si="1">MAX(C9:C104)</f>
        <v>22.87</v>
      </c>
      <c r="D107" s="157">
        <f t="shared" si="1"/>
        <v>30.27</v>
      </c>
      <c r="E107" s="157">
        <f t="shared" si="1"/>
        <v>6.6</v>
      </c>
      <c r="F107" s="157">
        <f t="shared" si="1"/>
        <v>4.04</v>
      </c>
      <c r="G107" s="157">
        <f t="shared" si="1"/>
        <v>51.16</v>
      </c>
      <c r="H107" s="157">
        <f t="shared" si="1"/>
        <v>18.149999999999999</v>
      </c>
      <c r="I107" s="157">
        <f t="shared" si="1"/>
        <v>23.67</v>
      </c>
      <c r="J107" s="157">
        <f t="shared" si="1"/>
        <v>0.71</v>
      </c>
      <c r="K107" s="157">
        <f t="shared" si="1"/>
        <v>349.29</v>
      </c>
      <c r="L107" s="157">
        <f t="shared" si="1"/>
        <v>28.18</v>
      </c>
      <c r="M107" s="157">
        <f t="shared" si="1"/>
        <v>93.72</v>
      </c>
      <c r="N107" s="157">
        <f t="shared" si="1"/>
        <v>477.9</v>
      </c>
      <c r="O107" s="157">
        <f t="shared" si="1"/>
        <v>0</v>
      </c>
      <c r="P107" s="157">
        <f t="shared" si="1"/>
        <v>1.22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14.253437499999997</v>
      </c>
      <c r="C108" s="158">
        <f t="shared" ref="C108:Q108" si="2">AVERAGE(C9:C104)</f>
        <v>18.052395833333325</v>
      </c>
      <c r="D108" s="158">
        <f t="shared" si="2"/>
        <v>20.862291666666675</v>
      </c>
      <c r="E108" s="158">
        <f t="shared" si="2"/>
        <v>5.4613541666666672</v>
      </c>
      <c r="F108" s="158">
        <f t="shared" si="2"/>
        <v>1.6438541666666675</v>
      </c>
      <c r="G108" s="158">
        <f t="shared" si="2"/>
        <v>38.194270833333299</v>
      </c>
      <c r="H108" s="158">
        <f t="shared" si="2"/>
        <v>15.449999999999994</v>
      </c>
      <c r="I108" s="158">
        <f t="shared" si="2"/>
        <v>18.376562500000006</v>
      </c>
      <c r="J108" s="158">
        <f t="shared" si="2"/>
        <v>0.24447916666666666</v>
      </c>
      <c r="K108" s="158">
        <f t="shared" si="2"/>
        <v>183.60239583333339</v>
      </c>
      <c r="L108" s="158">
        <f t="shared" si="2"/>
        <v>20.930000000000003</v>
      </c>
      <c r="M108" s="158">
        <f t="shared" si="2"/>
        <v>61.370937500000025</v>
      </c>
      <c r="N108" s="158">
        <f t="shared" si="2"/>
        <v>99.897916666666617</v>
      </c>
      <c r="O108" s="158">
        <f t="shared" si="2"/>
        <v>0</v>
      </c>
      <c r="P108" s="158">
        <f t="shared" si="2"/>
        <v>0.99583333333333346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7.3885967370956918</v>
      </c>
      <c r="C109" s="158">
        <f t="shared" ref="C109:Q109" si="3">STDEV(C9:C104)</f>
        <v>2.5158615746339121</v>
      </c>
      <c r="D109" s="158">
        <f t="shared" si="3"/>
        <v>5.3252428616061485</v>
      </c>
      <c r="E109" s="158">
        <f t="shared" si="3"/>
        <v>0.65303601865950844</v>
      </c>
      <c r="F109" s="158">
        <f t="shared" si="3"/>
        <v>0.74934128236480813</v>
      </c>
      <c r="G109" s="158">
        <f t="shared" si="3"/>
        <v>7.0602525293725744</v>
      </c>
      <c r="H109" s="158">
        <f t="shared" si="3"/>
        <v>2.1812618269925919</v>
      </c>
      <c r="I109" s="158">
        <f t="shared" si="3"/>
        <v>3.9291680726867453</v>
      </c>
      <c r="J109" s="158">
        <f t="shared" si="3"/>
        <v>0.14525382351461194</v>
      </c>
      <c r="K109" s="158">
        <f t="shared" si="3"/>
        <v>84.377074296464727</v>
      </c>
      <c r="L109" s="158">
        <f t="shared" si="3"/>
        <v>4.9285197948695325</v>
      </c>
      <c r="M109" s="158">
        <f t="shared" si="3"/>
        <v>25.718240141073881</v>
      </c>
      <c r="N109" s="158">
        <f t="shared" si="3"/>
        <v>140.55702793128916</v>
      </c>
      <c r="O109" s="158">
        <f t="shared" si="3"/>
        <v>0</v>
      </c>
      <c r="P109" s="158">
        <f t="shared" si="3"/>
        <v>0.14360520930784895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D11" sqref="D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2071</v>
      </c>
      <c r="B9" s="100">
        <v>20.59</v>
      </c>
      <c r="C9" s="100">
        <v>19.489999999999998</v>
      </c>
      <c r="D9" s="100">
        <v>26.69</v>
      </c>
      <c r="E9" s="100">
        <v>5.92</v>
      </c>
      <c r="F9" s="100">
        <v>1.18</v>
      </c>
      <c r="G9" s="100">
        <v>45.59</v>
      </c>
      <c r="H9" s="100">
        <v>16.5</v>
      </c>
      <c r="I9" s="100">
        <v>15.07</v>
      </c>
      <c r="J9" s="100">
        <v>0.09</v>
      </c>
      <c r="K9" s="100">
        <v>147.38</v>
      </c>
      <c r="L9" s="100">
        <v>18.05</v>
      </c>
      <c r="M9" s="100">
        <v>65.709999999999994</v>
      </c>
      <c r="N9" s="100">
        <v>19.899999999999999</v>
      </c>
      <c r="O9" s="100">
        <v>0</v>
      </c>
      <c r="P9" s="100">
        <v>0.94</v>
      </c>
      <c r="Q9" s="100">
        <v>9.32</v>
      </c>
      <c r="R9" s="6"/>
      <c r="S9" s="6"/>
      <c r="T9" s="156"/>
      <c r="U9" s="6"/>
    </row>
    <row r="10" spans="1:21" customFormat="1">
      <c r="A10" s="163" t="s">
        <v>2072</v>
      </c>
      <c r="B10" s="100">
        <v>20.92</v>
      </c>
      <c r="C10" s="100">
        <v>20.11</v>
      </c>
      <c r="D10" s="100">
        <v>27.28</v>
      </c>
      <c r="E10" s="100">
        <v>6.03</v>
      </c>
      <c r="F10" s="100">
        <v>1.02</v>
      </c>
      <c r="G10" s="100">
        <v>45.26</v>
      </c>
      <c r="H10" s="100">
        <v>16.5</v>
      </c>
      <c r="I10" s="100">
        <v>14.79</v>
      </c>
      <c r="J10" s="100">
        <v>0</v>
      </c>
      <c r="K10" s="100">
        <v>324.25</v>
      </c>
      <c r="L10" s="100">
        <v>17.489999999999998</v>
      </c>
      <c r="M10" s="100">
        <v>68.760000000000005</v>
      </c>
      <c r="N10" s="100">
        <v>19.7</v>
      </c>
      <c r="O10" s="100">
        <v>0</v>
      </c>
      <c r="P10" s="100">
        <v>0.93</v>
      </c>
      <c r="Q10" s="100">
        <v>9.32</v>
      </c>
      <c r="R10" s="6"/>
      <c r="S10" s="6"/>
      <c r="T10" s="156"/>
      <c r="U10" s="6"/>
    </row>
    <row r="11" spans="1:21" customFormat="1">
      <c r="A11" s="163" t="s">
        <v>2073</v>
      </c>
      <c r="B11" s="100">
        <v>21.16</v>
      </c>
      <c r="C11" s="100">
        <v>20.440000000000001</v>
      </c>
      <c r="D11" s="100">
        <v>27.65</v>
      </c>
      <c r="E11" s="100">
        <v>5.84</v>
      </c>
      <c r="F11" s="100">
        <v>1.1499999999999999</v>
      </c>
      <c r="G11" s="100">
        <v>45.26</v>
      </c>
      <c r="H11" s="100">
        <v>16.5</v>
      </c>
      <c r="I11" s="100">
        <v>16.13</v>
      </c>
      <c r="J11" s="100">
        <v>0.19</v>
      </c>
      <c r="K11" s="100">
        <v>173.1</v>
      </c>
      <c r="L11" s="100">
        <v>17.149999999999999</v>
      </c>
      <c r="M11" s="100">
        <v>72.02</v>
      </c>
      <c r="N11" s="100">
        <v>19.600000000000001</v>
      </c>
      <c r="O11" s="100">
        <v>0</v>
      </c>
      <c r="P11" s="100">
        <v>0.91</v>
      </c>
      <c r="Q11" s="100">
        <v>9.32</v>
      </c>
      <c r="R11" s="6"/>
      <c r="S11" s="6"/>
      <c r="T11" s="156"/>
      <c r="U11" s="6"/>
    </row>
    <row r="12" spans="1:21" customFormat="1">
      <c r="A12" s="163" t="s">
        <v>2074</v>
      </c>
      <c r="B12" s="100">
        <v>20.99</v>
      </c>
      <c r="C12" s="100">
        <v>20.29</v>
      </c>
      <c r="D12" s="100">
        <v>27.44</v>
      </c>
      <c r="E12" s="100">
        <v>5.8</v>
      </c>
      <c r="F12" s="100">
        <v>1.21</v>
      </c>
      <c r="G12" s="100">
        <v>45.26</v>
      </c>
      <c r="H12" s="100">
        <v>16.5</v>
      </c>
      <c r="I12" s="100">
        <v>16.02</v>
      </c>
      <c r="J12" s="100">
        <v>0.18</v>
      </c>
      <c r="K12" s="100">
        <v>159.96</v>
      </c>
      <c r="L12" s="100">
        <v>16.77</v>
      </c>
      <c r="M12" s="100">
        <v>78.64</v>
      </c>
      <c r="N12" s="100">
        <v>19.600000000000001</v>
      </c>
      <c r="O12" s="100">
        <v>0</v>
      </c>
      <c r="P12" s="100">
        <v>0.89</v>
      </c>
      <c r="Q12" s="100">
        <v>9.32</v>
      </c>
      <c r="R12" s="6"/>
      <c r="S12" s="6"/>
      <c r="T12" s="156"/>
      <c r="U12" s="6"/>
    </row>
    <row r="13" spans="1:21" customFormat="1">
      <c r="A13" s="163" t="s">
        <v>2075</v>
      </c>
      <c r="B13" s="100">
        <v>20.71</v>
      </c>
      <c r="C13" s="100">
        <v>20</v>
      </c>
      <c r="D13" s="100">
        <v>27.06</v>
      </c>
      <c r="E13" s="100">
        <v>5.75</v>
      </c>
      <c r="F13" s="100">
        <v>1.29</v>
      </c>
      <c r="G13" s="100">
        <v>42.32</v>
      </c>
      <c r="H13" s="100">
        <v>15.61</v>
      </c>
      <c r="I13" s="100">
        <v>15.53</v>
      </c>
      <c r="J13" s="100">
        <v>0.16</v>
      </c>
      <c r="K13" s="100">
        <v>168.47</v>
      </c>
      <c r="L13" s="100">
        <v>16.61</v>
      </c>
      <c r="M13" s="100">
        <v>80.959999999999994</v>
      </c>
      <c r="N13" s="100">
        <v>19.5</v>
      </c>
      <c r="O13" s="100">
        <v>0</v>
      </c>
      <c r="P13" s="100">
        <v>0.87</v>
      </c>
      <c r="Q13" s="100">
        <v>9.32</v>
      </c>
      <c r="R13" s="6"/>
      <c r="S13" s="6"/>
      <c r="T13" s="156"/>
      <c r="U13" s="6"/>
    </row>
    <row r="14" spans="1:21" customFormat="1">
      <c r="A14" s="163" t="s">
        <v>2076</v>
      </c>
      <c r="B14" s="100">
        <v>20.420000000000002</v>
      </c>
      <c r="C14" s="100">
        <v>19.690000000000001</v>
      </c>
      <c r="D14" s="100">
        <v>26.66</v>
      </c>
      <c r="E14" s="100">
        <v>5.7</v>
      </c>
      <c r="F14" s="100">
        <v>1.3</v>
      </c>
      <c r="G14" s="100">
        <v>42.15</v>
      </c>
      <c r="H14" s="100">
        <v>15.61</v>
      </c>
      <c r="I14" s="100">
        <v>16.97</v>
      </c>
      <c r="J14" s="100">
        <v>0.14000000000000001</v>
      </c>
      <c r="K14" s="100">
        <v>203.75</v>
      </c>
      <c r="L14" s="100">
        <v>16.46</v>
      </c>
      <c r="M14" s="100">
        <v>81.739999999999995</v>
      </c>
      <c r="N14" s="100">
        <v>19.399999999999999</v>
      </c>
      <c r="O14" s="100">
        <v>0</v>
      </c>
      <c r="P14" s="100">
        <v>0.86</v>
      </c>
      <c r="Q14" s="100">
        <v>9.32</v>
      </c>
      <c r="R14" s="6"/>
      <c r="S14" s="6"/>
      <c r="T14" s="156"/>
      <c r="U14" s="6"/>
    </row>
    <row r="15" spans="1:21" customFormat="1">
      <c r="A15" s="163" t="s">
        <v>2077</v>
      </c>
      <c r="B15" s="100">
        <v>19.88</v>
      </c>
      <c r="C15" s="100">
        <v>19.27</v>
      </c>
      <c r="D15" s="100">
        <v>26.01</v>
      </c>
      <c r="E15" s="100">
        <v>5.21</v>
      </c>
      <c r="F15" s="100">
        <v>1.19</v>
      </c>
      <c r="G15" s="100">
        <v>42.15</v>
      </c>
      <c r="H15" s="100">
        <v>15.61</v>
      </c>
      <c r="I15" s="100">
        <v>16.68</v>
      </c>
      <c r="J15" s="100">
        <v>0.13</v>
      </c>
      <c r="K15" s="100">
        <v>176.79</v>
      </c>
      <c r="L15" s="100">
        <v>16.14</v>
      </c>
      <c r="M15" s="100">
        <v>85.36</v>
      </c>
      <c r="N15" s="100">
        <v>19.399999999999999</v>
      </c>
      <c r="O15" s="100">
        <v>0</v>
      </c>
      <c r="P15" s="100">
        <v>0.85</v>
      </c>
      <c r="Q15" s="100">
        <v>9.32</v>
      </c>
      <c r="R15" s="6"/>
      <c r="S15" s="6"/>
      <c r="T15" s="156"/>
      <c r="U15" s="6"/>
    </row>
    <row r="16" spans="1:21" customFormat="1">
      <c r="A16" s="163" t="s">
        <v>2078</v>
      </c>
      <c r="B16" s="100">
        <v>19.52</v>
      </c>
      <c r="C16" s="100">
        <v>18.829999999999998</v>
      </c>
      <c r="D16" s="100">
        <v>25.49</v>
      </c>
      <c r="E16" s="100">
        <v>5.89</v>
      </c>
      <c r="F16" s="100">
        <v>1.26</v>
      </c>
      <c r="G16" s="100">
        <v>42.15</v>
      </c>
      <c r="H16" s="100">
        <v>15.61</v>
      </c>
      <c r="I16" s="100">
        <v>16.39</v>
      </c>
      <c r="J16" s="100">
        <v>0.14000000000000001</v>
      </c>
      <c r="K16" s="100">
        <v>180</v>
      </c>
      <c r="L16" s="100">
        <v>16.05</v>
      </c>
      <c r="M16" s="100">
        <v>85.89</v>
      </c>
      <c r="N16" s="100">
        <v>19.2</v>
      </c>
      <c r="O16" s="100">
        <v>0</v>
      </c>
      <c r="P16" s="100">
        <v>0.83</v>
      </c>
      <c r="Q16" s="100">
        <v>9.32</v>
      </c>
      <c r="R16" s="6"/>
      <c r="S16" s="6"/>
      <c r="T16" s="156"/>
      <c r="U16" s="6"/>
    </row>
    <row r="17" spans="1:21" customFormat="1">
      <c r="A17" s="163" t="s">
        <v>2079</v>
      </c>
      <c r="B17" s="100">
        <v>19.39</v>
      </c>
      <c r="C17" s="100">
        <v>18.559999999999999</v>
      </c>
      <c r="D17" s="100">
        <v>25.25</v>
      </c>
      <c r="E17" s="100">
        <v>4.09</v>
      </c>
      <c r="F17" s="100">
        <v>1.21</v>
      </c>
      <c r="G17" s="100">
        <v>37.340000000000003</v>
      </c>
      <c r="H17" s="100">
        <v>13.81</v>
      </c>
      <c r="I17" s="100">
        <v>16.29</v>
      </c>
      <c r="J17" s="100">
        <v>0.23</v>
      </c>
      <c r="K17" s="100">
        <v>236.87</v>
      </c>
      <c r="L17" s="100">
        <v>15.79</v>
      </c>
      <c r="M17" s="100">
        <v>87.7</v>
      </c>
      <c r="N17" s="100">
        <v>19.3</v>
      </c>
      <c r="O17" s="100">
        <v>0</v>
      </c>
      <c r="P17" s="100">
        <v>0.83</v>
      </c>
      <c r="Q17" s="100">
        <v>9.32</v>
      </c>
      <c r="R17" s="6"/>
      <c r="S17" s="6"/>
      <c r="T17" s="156"/>
      <c r="U17" s="6"/>
    </row>
    <row r="18" spans="1:21" customFormat="1">
      <c r="A18" s="163" t="s">
        <v>2080</v>
      </c>
      <c r="B18" s="100">
        <v>18.989999999999998</v>
      </c>
      <c r="C18" s="100">
        <v>18.13</v>
      </c>
      <c r="D18" s="100">
        <v>24.71</v>
      </c>
      <c r="E18" s="100">
        <v>5.04</v>
      </c>
      <c r="F18" s="100">
        <v>1.22</v>
      </c>
      <c r="G18" s="100">
        <v>37.06</v>
      </c>
      <c r="H18" s="100">
        <v>13.81</v>
      </c>
      <c r="I18" s="100">
        <v>14.93</v>
      </c>
      <c r="J18" s="100">
        <v>0.18</v>
      </c>
      <c r="K18" s="100">
        <v>221.29</v>
      </c>
      <c r="L18" s="100">
        <v>15.32</v>
      </c>
      <c r="M18" s="100">
        <v>87.72</v>
      </c>
      <c r="N18" s="100">
        <v>19.600000000000001</v>
      </c>
      <c r="O18" s="100">
        <v>0</v>
      </c>
      <c r="P18" s="100">
        <v>0.82</v>
      </c>
      <c r="Q18" s="100">
        <v>9.32</v>
      </c>
      <c r="R18" s="6"/>
      <c r="S18" s="6"/>
      <c r="T18" s="156"/>
      <c r="U18" s="6"/>
    </row>
    <row r="19" spans="1:21" customFormat="1">
      <c r="A19" s="163" t="s">
        <v>2081</v>
      </c>
      <c r="B19" s="100">
        <v>18.399999999999999</v>
      </c>
      <c r="C19" s="100">
        <v>17.739999999999998</v>
      </c>
      <c r="D19" s="100">
        <v>24.02</v>
      </c>
      <c r="E19" s="100">
        <v>5.05</v>
      </c>
      <c r="F19" s="100">
        <v>1.0900000000000001</v>
      </c>
      <c r="G19" s="100">
        <v>37.06</v>
      </c>
      <c r="H19" s="100">
        <v>13.81</v>
      </c>
      <c r="I19" s="100">
        <v>13.57</v>
      </c>
      <c r="J19" s="100">
        <v>0.2</v>
      </c>
      <c r="K19" s="100">
        <v>218.66</v>
      </c>
      <c r="L19" s="100">
        <v>15.08</v>
      </c>
      <c r="M19" s="100">
        <v>89.63</v>
      </c>
      <c r="N19" s="100">
        <v>19.5</v>
      </c>
      <c r="O19" s="100">
        <v>0</v>
      </c>
      <c r="P19" s="100">
        <v>0.82</v>
      </c>
      <c r="Q19" s="100">
        <v>9.32</v>
      </c>
      <c r="R19" s="6"/>
      <c r="S19" s="6"/>
      <c r="T19" s="156"/>
      <c r="U19" s="6"/>
    </row>
    <row r="20" spans="1:21" customFormat="1">
      <c r="A20" s="163" t="s">
        <v>2082</v>
      </c>
      <c r="B20" s="100">
        <v>17.78</v>
      </c>
      <c r="C20" s="100">
        <v>17.239999999999998</v>
      </c>
      <c r="D20" s="100">
        <v>23.26</v>
      </c>
      <c r="E20" s="100">
        <v>4.9400000000000004</v>
      </c>
      <c r="F20" s="100">
        <v>1.24</v>
      </c>
      <c r="G20" s="100">
        <v>37.06</v>
      </c>
      <c r="H20" s="100">
        <v>13.81</v>
      </c>
      <c r="I20" s="100">
        <v>13.93</v>
      </c>
      <c r="J20" s="100">
        <v>0.1</v>
      </c>
      <c r="K20" s="100">
        <v>222.98</v>
      </c>
      <c r="L20" s="100">
        <v>14.88</v>
      </c>
      <c r="M20" s="100">
        <v>89.77</v>
      </c>
      <c r="N20" s="100">
        <v>19.399999999999999</v>
      </c>
      <c r="O20" s="100">
        <v>0</v>
      </c>
      <c r="P20" s="100">
        <v>0.81</v>
      </c>
      <c r="Q20" s="100">
        <v>9.32</v>
      </c>
      <c r="R20" s="6"/>
      <c r="S20" s="6"/>
      <c r="T20" s="156"/>
      <c r="U20" s="6"/>
    </row>
    <row r="21" spans="1:21" customFormat="1">
      <c r="A21" s="163" t="s">
        <v>2083</v>
      </c>
      <c r="B21" s="100">
        <v>17.2</v>
      </c>
      <c r="C21" s="100">
        <v>16.739999999999998</v>
      </c>
      <c r="D21" s="100">
        <v>22.54</v>
      </c>
      <c r="E21" s="100">
        <v>4.82</v>
      </c>
      <c r="F21" s="100">
        <v>1.23</v>
      </c>
      <c r="G21" s="100">
        <v>34.909999999999997</v>
      </c>
      <c r="H21" s="100">
        <v>15.43</v>
      </c>
      <c r="I21" s="100">
        <v>14.13</v>
      </c>
      <c r="J21" s="100">
        <v>0.11</v>
      </c>
      <c r="K21" s="100">
        <v>187.9</v>
      </c>
      <c r="L21" s="100">
        <v>14.86</v>
      </c>
      <c r="M21" s="100">
        <v>89.49</v>
      </c>
      <c r="N21" s="100">
        <v>19.2</v>
      </c>
      <c r="O21" s="100">
        <v>0</v>
      </c>
      <c r="P21" s="100">
        <v>0.79</v>
      </c>
      <c r="Q21" s="100">
        <v>9.32</v>
      </c>
      <c r="R21" s="6"/>
      <c r="S21" s="6"/>
      <c r="T21" s="156"/>
      <c r="U21" s="6"/>
    </row>
    <row r="22" spans="1:21" customFormat="1">
      <c r="A22" s="163" t="s">
        <v>2084</v>
      </c>
      <c r="B22" s="100">
        <v>16.809999999999999</v>
      </c>
      <c r="C22" s="100">
        <v>16.5</v>
      </c>
      <c r="D22" s="100">
        <v>22.1</v>
      </c>
      <c r="E22" s="100">
        <v>4.91</v>
      </c>
      <c r="F22" s="100">
        <v>1.1299999999999999</v>
      </c>
      <c r="G22" s="100">
        <v>34.78</v>
      </c>
      <c r="H22" s="100">
        <v>15.43</v>
      </c>
      <c r="I22" s="100">
        <v>14.08</v>
      </c>
      <c r="J22" s="100">
        <v>0.19</v>
      </c>
      <c r="K22" s="100">
        <v>227.98</v>
      </c>
      <c r="L22" s="100">
        <v>14.91</v>
      </c>
      <c r="M22" s="100">
        <v>89.41</v>
      </c>
      <c r="N22" s="100">
        <v>19.2</v>
      </c>
      <c r="O22" s="100">
        <v>0</v>
      </c>
      <c r="P22" s="100">
        <v>0.79</v>
      </c>
      <c r="Q22" s="100">
        <v>9.32</v>
      </c>
      <c r="R22" s="6"/>
      <c r="S22" s="6"/>
      <c r="T22" s="156"/>
      <c r="U22" s="6"/>
    </row>
    <row r="23" spans="1:21" customFormat="1">
      <c r="A23" s="163" t="s">
        <v>2085</v>
      </c>
      <c r="B23" s="100">
        <v>16.62</v>
      </c>
      <c r="C23" s="100">
        <v>16.32</v>
      </c>
      <c r="D23" s="100">
        <v>21.85</v>
      </c>
      <c r="E23" s="100">
        <v>4.76</v>
      </c>
      <c r="F23" s="100">
        <v>1.1000000000000001</v>
      </c>
      <c r="G23" s="100">
        <v>34.78</v>
      </c>
      <c r="H23" s="100">
        <v>15.43</v>
      </c>
      <c r="I23" s="100">
        <v>14.02</v>
      </c>
      <c r="J23" s="100">
        <v>0.14000000000000001</v>
      </c>
      <c r="K23" s="100">
        <v>227.34</v>
      </c>
      <c r="L23" s="100">
        <v>14.86</v>
      </c>
      <c r="M23" s="100">
        <v>89.68</v>
      </c>
      <c r="N23" s="100">
        <v>19.399999999999999</v>
      </c>
      <c r="O23" s="100">
        <v>0</v>
      </c>
      <c r="P23" s="100">
        <v>0.79</v>
      </c>
      <c r="Q23" s="100">
        <v>9.32</v>
      </c>
      <c r="R23" s="6"/>
      <c r="S23" s="6"/>
      <c r="T23" s="156"/>
      <c r="U23" s="6"/>
    </row>
    <row r="24" spans="1:21" customFormat="1">
      <c r="A24" s="163" t="s">
        <v>2086</v>
      </c>
      <c r="B24" s="100">
        <v>16.11</v>
      </c>
      <c r="C24" s="100">
        <v>16.010000000000002</v>
      </c>
      <c r="D24" s="100">
        <v>21.28</v>
      </c>
      <c r="E24" s="100">
        <v>4.93</v>
      </c>
      <c r="F24" s="100">
        <v>1.1499999999999999</v>
      </c>
      <c r="G24" s="100">
        <v>34.78</v>
      </c>
      <c r="H24" s="100">
        <v>15.43</v>
      </c>
      <c r="I24" s="100">
        <v>14.04</v>
      </c>
      <c r="J24" s="100">
        <v>7.0000000000000007E-2</v>
      </c>
      <c r="K24" s="100">
        <v>206.03</v>
      </c>
      <c r="L24" s="100">
        <v>14.51</v>
      </c>
      <c r="M24" s="100">
        <v>89.21</v>
      </c>
      <c r="N24" s="100">
        <v>19.3</v>
      </c>
      <c r="O24" s="100">
        <v>0</v>
      </c>
      <c r="P24" s="100">
        <v>0.78</v>
      </c>
      <c r="Q24" s="100">
        <v>9.32</v>
      </c>
      <c r="R24" s="6"/>
      <c r="S24" s="6"/>
      <c r="T24" s="156"/>
      <c r="U24" s="6"/>
    </row>
    <row r="25" spans="1:21" customFormat="1">
      <c r="A25" s="163" t="s">
        <v>2087</v>
      </c>
      <c r="B25" s="100">
        <v>15.54</v>
      </c>
      <c r="C25" s="100">
        <v>15.74</v>
      </c>
      <c r="D25" s="100">
        <v>20.68</v>
      </c>
      <c r="E25" s="100">
        <v>5</v>
      </c>
      <c r="F25" s="100">
        <v>1.22</v>
      </c>
      <c r="G25" s="100">
        <v>32.58</v>
      </c>
      <c r="H25" s="100">
        <v>15.56</v>
      </c>
      <c r="I25" s="100">
        <v>14.05</v>
      </c>
      <c r="J25" s="100">
        <v>0.12</v>
      </c>
      <c r="K25" s="100">
        <v>219.06</v>
      </c>
      <c r="L25" s="100">
        <v>14.56</v>
      </c>
      <c r="M25" s="100">
        <v>89.6</v>
      </c>
      <c r="N25" s="100">
        <v>19.2</v>
      </c>
      <c r="O25" s="100">
        <v>0</v>
      </c>
      <c r="P25" s="100">
        <v>0.75</v>
      </c>
      <c r="Q25" s="100">
        <v>9.32</v>
      </c>
      <c r="R25" s="6"/>
      <c r="S25" s="6"/>
      <c r="T25" s="156"/>
      <c r="U25" s="6"/>
    </row>
    <row r="26" spans="1:21" customFormat="1">
      <c r="A26" s="163" t="s">
        <v>2088</v>
      </c>
      <c r="B26" s="100">
        <v>16.53</v>
      </c>
      <c r="C26" s="100">
        <v>15.95</v>
      </c>
      <c r="D26" s="100">
        <v>21.59</v>
      </c>
      <c r="E26" s="100">
        <v>5.28</v>
      </c>
      <c r="F26" s="100">
        <v>1.22</v>
      </c>
      <c r="G26" s="100">
        <v>32.450000000000003</v>
      </c>
      <c r="H26" s="100">
        <v>15.56</v>
      </c>
      <c r="I26" s="100">
        <v>14.1</v>
      </c>
      <c r="J26" s="100">
        <v>7.0000000000000007E-2</v>
      </c>
      <c r="K26" s="100">
        <v>145.72</v>
      </c>
      <c r="L26" s="100">
        <v>14.74</v>
      </c>
      <c r="M26" s="100">
        <v>88.54</v>
      </c>
      <c r="N26" s="100">
        <v>19.2</v>
      </c>
      <c r="O26" s="100">
        <v>0</v>
      </c>
      <c r="P26" s="100">
        <v>0.76</v>
      </c>
      <c r="Q26" s="100">
        <v>9.32</v>
      </c>
      <c r="R26" s="6"/>
      <c r="S26" s="6"/>
      <c r="T26" s="156"/>
      <c r="U26" s="6"/>
    </row>
    <row r="27" spans="1:21" customFormat="1">
      <c r="A27" s="163" t="s">
        <v>2089</v>
      </c>
      <c r="B27" s="100">
        <v>18.8</v>
      </c>
      <c r="C27" s="100">
        <v>16.62</v>
      </c>
      <c r="D27" s="100">
        <v>23.76</v>
      </c>
      <c r="E27" s="100">
        <v>5.01</v>
      </c>
      <c r="F27" s="100">
        <v>1.31</v>
      </c>
      <c r="G27" s="100">
        <v>32.450000000000003</v>
      </c>
      <c r="H27" s="100">
        <v>15.56</v>
      </c>
      <c r="I27" s="100">
        <v>16.21</v>
      </c>
      <c r="J27" s="100">
        <v>0.14000000000000001</v>
      </c>
      <c r="K27" s="100">
        <v>215.81</v>
      </c>
      <c r="L27" s="100">
        <v>14.94</v>
      </c>
      <c r="M27" s="100">
        <v>87.3</v>
      </c>
      <c r="N27" s="100">
        <v>19.2</v>
      </c>
      <c r="O27" s="100">
        <v>0</v>
      </c>
      <c r="P27" s="100">
        <v>0.75</v>
      </c>
      <c r="Q27" s="100">
        <v>9.32</v>
      </c>
      <c r="R27" s="6"/>
      <c r="S27" s="6"/>
      <c r="T27" s="156"/>
      <c r="U27" s="6"/>
    </row>
    <row r="28" spans="1:21" customFormat="1">
      <c r="A28" s="163" t="s">
        <v>2090</v>
      </c>
      <c r="B28" s="100">
        <v>20.239999999999998</v>
      </c>
      <c r="C28" s="100">
        <v>17.07</v>
      </c>
      <c r="D28" s="100">
        <v>25.15</v>
      </c>
      <c r="E28" s="100">
        <v>4.93</v>
      </c>
      <c r="F28" s="100">
        <v>1.43</v>
      </c>
      <c r="G28" s="100">
        <v>32.450000000000003</v>
      </c>
      <c r="H28" s="100">
        <v>15.56</v>
      </c>
      <c r="I28" s="100">
        <v>18.37</v>
      </c>
      <c r="J28" s="100">
        <v>0.12</v>
      </c>
      <c r="K28" s="100">
        <v>173.5</v>
      </c>
      <c r="L28" s="100">
        <v>14.91</v>
      </c>
      <c r="M28" s="100">
        <v>87.16</v>
      </c>
      <c r="N28" s="100">
        <v>19.2</v>
      </c>
      <c r="O28" s="100">
        <v>0</v>
      </c>
      <c r="P28" s="100">
        <v>0.75</v>
      </c>
      <c r="Q28" s="100">
        <v>9.32</v>
      </c>
      <c r="R28" s="6"/>
      <c r="S28" s="6"/>
      <c r="T28" s="156"/>
      <c r="U28" s="6"/>
    </row>
    <row r="29" spans="1:21" customFormat="1">
      <c r="A29" s="163" t="s">
        <v>2091</v>
      </c>
      <c r="B29" s="100">
        <v>21.24</v>
      </c>
      <c r="C29" s="100">
        <v>17.399999999999999</v>
      </c>
      <c r="D29" s="100">
        <v>26.13</v>
      </c>
      <c r="E29" s="100">
        <v>4.7699999999999996</v>
      </c>
      <c r="F29" s="100">
        <v>1.54</v>
      </c>
      <c r="G29" s="100">
        <v>31.6</v>
      </c>
      <c r="H29" s="100">
        <v>14.65</v>
      </c>
      <c r="I29" s="100">
        <v>16.21</v>
      </c>
      <c r="J29" s="100">
        <v>0.16</v>
      </c>
      <c r="K29" s="100">
        <v>194.54</v>
      </c>
      <c r="L29" s="100">
        <v>14.99</v>
      </c>
      <c r="M29" s="100">
        <v>87.14</v>
      </c>
      <c r="N29" s="100">
        <v>19.2</v>
      </c>
      <c r="O29" s="100">
        <v>0</v>
      </c>
      <c r="P29" s="100">
        <v>0.75</v>
      </c>
      <c r="Q29" s="100">
        <v>9.32</v>
      </c>
      <c r="R29" s="6"/>
      <c r="S29" s="6"/>
      <c r="T29" s="156"/>
      <c r="U29" s="6"/>
    </row>
    <row r="30" spans="1:21" customFormat="1">
      <c r="A30" s="163" t="s">
        <v>2092</v>
      </c>
      <c r="B30" s="100">
        <v>21.49</v>
      </c>
      <c r="C30" s="100">
        <v>17.45</v>
      </c>
      <c r="D30" s="100">
        <v>26.35</v>
      </c>
      <c r="E30" s="100">
        <v>4.91</v>
      </c>
      <c r="F30" s="100">
        <v>1.36</v>
      </c>
      <c r="G30" s="100">
        <v>31.55</v>
      </c>
      <c r="H30" s="100">
        <v>14.65</v>
      </c>
      <c r="I30" s="100">
        <v>13.88</v>
      </c>
      <c r="J30" s="100">
        <v>0.2</v>
      </c>
      <c r="K30" s="100">
        <v>175.9</v>
      </c>
      <c r="L30" s="100">
        <v>14.91</v>
      </c>
      <c r="M30" s="100">
        <v>88.55</v>
      </c>
      <c r="N30" s="100">
        <v>19.2</v>
      </c>
      <c r="O30" s="100">
        <v>0</v>
      </c>
      <c r="P30" s="100">
        <v>0.75</v>
      </c>
      <c r="Q30" s="100">
        <v>9.32</v>
      </c>
      <c r="R30" s="6"/>
      <c r="S30" s="6"/>
      <c r="T30" s="156"/>
      <c r="U30" s="6"/>
    </row>
    <row r="31" spans="1:21" customFormat="1">
      <c r="A31" s="163" t="s">
        <v>2093</v>
      </c>
      <c r="B31" s="100">
        <v>21.29</v>
      </c>
      <c r="C31" s="100">
        <v>17.28</v>
      </c>
      <c r="D31" s="100">
        <v>26.1</v>
      </c>
      <c r="E31" s="100">
        <v>5.19</v>
      </c>
      <c r="F31" s="100">
        <v>1.26</v>
      </c>
      <c r="G31" s="100">
        <v>31.55</v>
      </c>
      <c r="H31" s="100">
        <v>14.65</v>
      </c>
      <c r="I31" s="100">
        <v>15.69</v>
      </c>
      <c r="J31" s="100">
        <v>0.16</v>
      </c>
      <c r="K31" s="100">
        <v>161.88999999999999</v>
      </c>
      <c r="L31" s="100">
        <v>14.67</v>
      </c>
      <c r="M31" s="100">
        <v>90.41</v>
      </c>
      <c r="N31" s="100">
        <v>19.5</v>
      </c>
      <c r="O31" s="100">
        <v>0</v>
      </c>
      <c r="P31" s="100">
        <v>0.74</v>
      </c>
      <c r="Q31" s="100">
        <v>9.32</v>
      </c>
      <c r="R31" s="6"/>
      <c r="S31" s="6"/>
      <c r="T31" s="156"/>
      <c r="U31" s="6"/>
    </row>
    <row r="32" spans="1:21" customFormat="1">
      <c r="A32" s="163" t="s">
        <v>2094</v>
      </c>
      <c r="B32" s="100">
        <v>21.05</v>
      </c>
      <c r="C32" s="100">
        <v>16.87</v>
      </c>
      <c r="D32" s="100">
        <v>25.69</v>
      </c>
      <c r="E32" s="100">
        <v>4.93</v>
      </c>
      <c r="F32" s="100">
        <v>1.21</v>
      </c>
      <c r="G32" s="100">
        <v>31.55</v>
      </c>
      <c r="H32" s="100">
        <v>14.65</v>
      </c>
      <c r="I32" s="100">
        <v>15.76</v>
      </c>
      <c r="J32" s="100">
        <v>0.13</v>
      </c>
      <c r="K32" s="100">
        <v>196.18</v>
      </c>
      <c r="L32" s="100">
        <v>14.53</v>
      </c>
      <c r="M32" s="100">
        <v>90.37</v>
      </c>
      <c r="N32" s="100">
        <v>19.3</v>
      </c>
      <c r="O32" s="100">
        <v>0</v>
      </c>
      <c r="P32" s="100">
        <v>0.74</v>
      </c>
      <c r="Q32" s="100">
        <v>9.32</v>
      </c>
      <c r="R32" s="6"/>
      <c r="S32" s="6"/>
      <c r="T32" s="156"/>
      <c r="U32" s="6"/>
    </row>
    <row r="33" spans="1:21" customFormat="1">
      <c r="A33" s="163" t="s">
        <v>2095</v>
      </c>
      <c r="B33" s="100">
        <v>21.3</v>
      </c>
      <c r="C33" s="100">
        <v>16.86</v>
      </c>
      <c r="D33" s="100">
        <v>25.89</v>
      </c>
      <c r="E33" s="100">
        <v>5.13</v>
      </c>
      <c r="F33" s="100">
        <v>1.22</v>
      </c>
      <c r="G33" s="100">
        <v>28.85</v>
      </c>
      <c r="H33" s="100">
        <v>14.35</v>
      </c>
      <c r="I33" s="100">
        <v>13.64</v>
      </c>
      <c r="J33" s="100">
        <v>0.15</v>
      </c>
      <c r="K33" s="100">
        <v>186.84</v>
      </c>
      <c r="L33" s="100">
        <v>14.55</v>
      </c>
      <c r="M33" s="100">
        <v>90.48</v>
      </c>
      <c r="N33" s="100">
        <v>19.3</v>
      </c>
      <c r="O33" s="100">
        <v>0</v>
      </c>
      <c r="P33" s="100">
        <v>0.74</v>
      </c>
      <c r="Q33" s="100">
        <v>9.32</v>
      </c>
      <c r="R33" s="6"/>
      <c r="S33" s="6"/>
      <c r="T33" s="156"/>
      <c r="U33" s="6"/>
    </row>
    <row r="34" spans="1:21" customFormat="1">
      <c r="A34" s="163" t="s">
        <v>2096</v>
      </c>
      <c r="B34" s="100">
        <v>21.48</v>
      </c>
      <c r="C34" s="100">
        <v>16.82</v>
      </c>
      <c r="D34" s="100">
        <v>26.01</v>
      </c>
      <c r="E34" s="100">
        <v>5</v>
      </c>
      <c r="F34" s="100">
        <v>1.25</v>
      </c>
      <c r="G34" s="100">
        <v>28.69</v>
      </c>
      <c r="H34" s="100">
        <v>14.35</v>
      </c>
      <c r="I34" s="100">
        <v>15.75</v>
      </c>
      <c r="J34" s="100">
        <v>0.13</v>
      </c>
      <c r="K34" s="100">
        <v>180.29</v>
      </c>
      <c r="L34" s="100">
        <v>14.51</v>
      </c>
      <c r="M34" s="100">
        <v>90.57</v>
      </c>
      <c r="N34" s="100">
        <v>20.2</v>
      </c>
      <c r="O34" s="100">
        <v>0</v>
      </c>
      <c r="P34" s="100">
        <v>0.73</v>
      </c>
      <c r="Q34" s="100">
        <v>9.32</v>
      </c>
      <c r="R34" s="6"/>
      <c r="S34" s="6"/>
      <c r="T34" s="156"/>
      <c r="U34" s="6"/>
    </row>
    <row r="35" spans="1:21" customFormat="1">
      <c r="A35" s="163" t="s">
        <v>2097</v>
      </c>
      <c r="B35" s="100">
        <v>21.47</v>
      </c>
      <c r="C35" s="100">
        <v>16.75</v>
      </c>
      <c r="D35" s="100">
        <v>25.97</v>
      </c>
      <c r="E35" s="100">
        <v>4.66</v>
      </c>
      <c r="F35" s="100">
        <v>1.23</v>
      </c>
      <c r="G35" s="100">
        <v>28.69</v>
      </c>
      <c r="H35" s="100">
        <v>14.35</v>
      </c>
      <c r="I35" s="100">
        <v>18.07</v>
      </c>
      <c r="J35" s="100">
        <v>0.13</v>
      </c>
      <c r="K35" s="100">
        <v>199.39</v>
      </c>
      <c r="L35" s="100">
        <v>14.42</v>
      </c>
      <c r="M35" s="100">
        <v>91.26</v>
      </c>
      <c r="N35" s="100">
        <v>23.5</v>
      </c>
      <c r="O35" s="100">
        <v>0</v>
      </c>
      <c r="P35" s="100">
        <v>0.73</v>
      </c>
      <c r="Q35" s="100">
        <v>9.32</v>
      </c>
      <c r="R35" s="6"/>
      <c r="S35" s="6"/>
      <c r="T35" s="156"/>
      <c r="U35" s="6"/>
    </row>
    <row r="36" spans="1:21" customFormat="1">
      <c r="A36" s="163" t="s">
        <v>2098</v>
      </c>
      <c r="B36" s="100">
        <v>21.77</v>
      </c>
      <c r="C36" s="100">
        <v>16.68</v>
      </c>
      <c r="D36" s="100">
        <v>26.18</v>
      </c>
      <c r="E36" s="100">
        <v>4.83</v>
      </c>
      <c r="F36" s="100">
        <v>1.22</v>
      </c>
      <c r="G36" s="100">
        <v>28.69</v>
      </c>
      <c r="H36" s="100">
        <v>14.35</v>
      </c>
      <c r="I36" s="100">
        <v>18.260000000000002</v>
      </c>
      <c r="J36" s="100">
        <v>0.13</v>
      </c>
      <c r="K36" s="100">
        <v>176.32</v>
      </c>
      <c r="L36" s="100">
        <v>14.57</v>
      </c>
      <c r="M36" s="100">
        <v>90.83</v>
      </c>
      <c r="N36" s="100">
        <v>31.1</v>
      </c>
      <c r="O36" s="100">
        <v>0</v>
      </c>
      <c r="P36" s="100">
        <v>0.73</v>
      </c>
      <c r="Q36" s="100">
        <v>9.32</v>
      </c>
      <c r="R36" s="6"/>
      <c r="S36" s="6"/>
      <c r="T36" s="156"/>
      <c r="U36" s="6"/>
    </row>
    <row r="37" spans="1:21" customFormat="1">
      <c r="A37" s="163" t="s">
        <v>2099</v>
      </c>
      <c r="B37" s="100">
        <v>22.18</v>
      </c>
      <c r="C37" s="100">
        <v>16.649999999999999</v>
      </c>
      <c r="D37" s="100">
        <v>26.49</v>
      </c>
      <c r="E37" s="100">
        <v>4.87</v>
      </c>
      <c r="F37" s="100">
        <v>1.2</v>
      </c>
      <c r="G37" s="100">
        <v>28.21</v>
      </c>
      <c r="H37" s="100">
        <v>14.05</v>
      </c>
      <c r="I37" s="100">
        <v>18.440000000000001</v>
      </c>
      <c r="J37" s="100">
        <v>0.17</v>
      </c>
      <c r="K37" s="100">
        <v>154.02000000000001</v>
      </c>
      <c r="L37" s="100">
        <v>14.82</v>
      </c>
      <c r="M37" s="100">
        <v>90.72</v>
      </c>
      <c r="N37" s="100">
        <v>41.6</v>
      </c>
      <c r="O37" s="100">
        <v>0</v>
      </c>
      <c r="P37" s="100">
        <v>0.73</v>
      </c>
      <c r="Q37" s="100">
        <v>9.32</v>
      </c>
      <c r="R37" s="6"/>
      <c r="S37" s="6"/>
      <c r="T37" s="156"/>
      <c r="U37" s="6"/>
    </row>
    <row r="38" spans="1:21" customFormat="1">
      <c r="A38" s="163" t="s">
        <v>2100</v>
      </c>
      <c r="B38" s="100">
        <v>22.71</v>
      </c>
      <c r="C38" s="100">
        <v>16.75</v>
      </c>
      <c r="D38" s="100">
        <v>26.96</v>
      </c>
      <c r="E38" s="100">
        <v>5.07</v>
      </c>
      <c r="F38" s="100">
        <v>1.1399999999999999</v>
      </c>
      <c r="G38" s="100">
        <v>28.19</v>
      </c>
      <c r="H38" s="100">
        <v>14.05</v>
      </c>
      <c r="I38" s="100">
        <v>18.559999999999999</v>
      </c>
      <c r="J38" s="100">
        <v>0.24</v>
      </c>
      <c r="K38" s="100">
        <v>168.1</v>
      </c>
      <c r="L38" s="100">
        <v>15.52</v>
      </c>
      <c r="M38" s="100">
        <v>91.05</v>
      </c>
      <c r="N38" s="100">
        <v>53.5</v>
      </c>
      <c r="O38" s="100">
        <v>0</v>
      </c>
      <c r="P38" s="100">
        <v>0.74</v>
      </c>
      <c r="Q38" s="100">
        <v>9.32</v>
      </c>
      <c r="R38" s="6"/>
      <c r="S38" s="6"/>
      <c r="T38" s="156"/>
      <c r="U38" s="6"/>
    </row>
    <row r="39" spans="1:21" customFormat="1">
      <c r="A39" s="163" t="s">
        <v>2101</v>
      </c>
      <c r="B39" s="100">
        <v>22.62</v>
      </c>
      <c r="C39" s="100">
        <v>16.53</v>
      </c>
      <c r="D39" s="100">
        <v>26.78</v>
      </c>
      <c r="E39" s="100">
        <v>4.88</v>
      </c>
      <c r="F39" s="100">
        <v>1.28</v>
      </c>
      <c r="G39" s="100">
        <v>28.19</v>
      </c>
      <c r="H39" s="100">
        <v>14.05</v>
      </c>
      <c r="I39" s="100">
        <v>18.7</v>
      </c>
      <c r="J39" s="100">
        <v>0.19</v>
      </c>
      <c r="K39" s="100">
        <v>171.27</v>
      </c>
      <c r="L39" s="100">
        <v>15.96</v>
      </c>
      <c r="M39" s="100">
        <v>91.17</v>
      </c>
      <c r="N39" s="100">
        <v>66.599999999999994</v>
      </c>
      <c r="O39" s="100">
        <v>0</v>
      </c>
      <c r="P39" s="100">
        <v>0.75</v>
      </c>
      <c r="Q39" s="100">
        <v>9.32</v>
      </c>
      <c r="R39" s="6"/>
      <c r="S39" s="6"/>
      <c r="T39" s="156"/>
      <c r="U39" s="6"/>
    </row>
    <row r="40" spans="1:21" customFormat="1">
      <c r="A40" s="163" t="s">
        <v>2102</v>
      </c>
      <c r="B40" s="100">
        <v>22.31</v>
      </c>
      <c r="C40" s="100">
        <v>16.829999999999998</v>
      </c>
      <c r="D40" s="100">
        <v>26.69</v>
      </c>
      <c r="E40" s="100">
        <v>5.26</v>
      </c>
      <c r="F40" s="100">
        <v>1.23</v>
      </c>
      <c r="G40" s="100">
        <v>28.19</v>
      </c>
      <c r="H40" s="100">
        <v>14.05</v>
      </c>
      <c r="I40" s="100">
        <v>18.920000000000002</v>
      </c>
      <c r="J40" s="100">
        <v>0.32</v>
      </c>
      <c r="K40" s="100">
        <v>68.56</v>
      </c>
      <c r="L40" s="100">
        <v>16.43</v>
      </c>
      <c r="M40" s="100">
        <v>85.29</v>
      </c>
      <c r="N40" s="100">
        <v>78.5</v>
      </c>
      <c r="O40" s="100">
        <v>0</v>
      </c>
      <c r="P40" s="100">
        <v>0.77</v>
      </c>
      <c r="Q40" s="100">
        <v>9.32</v>
      </c>
      <c r="R40" s="6"/>
      <c r="S40" s="6"/>
      <c r="T40" s="156"/>
      <c r="U40" s="6"/>
    </row>
    <row r="41" spans="1:21" customFormat="1">
      <c r="A41" s="163" t="s">
        <v>2103</v>
      </c>
      <c r="B41" s="100">
        <v>21.88</v>
      </c>
      <c r="C41" s="100">
        <v>17.09</v>
      </c>
      <c r="D41" s="100">
        <v>26.48</v>
      </c>
      <c r="E41" s="100">
        <v>4.9800000000000004</v>
      </c>
      <c r="F41" s="100">
        <v>1.19</v>
      </c>
      <c r="G41" s="100">
        <v>28.99</v>
      </c>
      <c r="H41" s="100">
        <v>14.02</v>
      </c>
      <c r="I41" s="100">
        <v>19.21</v>
      </c>
      <c r="J41" s="100">
        <v>0.39</v>
      </c>
      <c r="K41" s="100">
        <v>44.44</v>
      </c>
      <c r="L41" s="100">
        <v>17.25</v>
      </c>
      <c r="M41" s="100">
        <v>75.209999999999994</v>
      </c>
      <c r="N41" s="100">
        <v>138.9</v>
      </c>
      <c r="O41" s="100">
        <v>0</v>
      </c>
      <c r="P41" s="100">
        <v>0.78</v>
      </c>
      <c r="Q41" s="100">
        <v>9.32</v>
      </c>
      <c r="R41" s="6"/>
      <c r="S41" s="6"/>
      <c r="T41" s="156"/>
      <c r="U41" s="6"/>
    </row>
    <row r="42" spans="1:21" customFormat="1">
      <c r="A42" s="163" t="s">
        <v>2104</v>
      </c>
      <c r="B42" s="100">
        <v>21.11</v>
      </c>
      <c r="C42" s="100">
        <v>17.89</v>
      </c>
      <c r="D42" s="100">
        <v>26.28</v>
      </c>
      <c r="E42" s="100">
        <v>5.12</v>
      </c>
      <c r="F42" s="100">
        <v>1.1100000000000001</v>
      </c>
      <c r="G42" s="100">
        <v>29.03</v>
      </c>
      <c r="H42" s="100">
        <v>14.02</v>
      </c>
      <c r="I42" s="100">
        <v>19.41</v>
      </c>
      <c r="J42" s="100">
        <v>0.65</v>
      </c>
      <c r="K42" s="100">
        <v>59.15</v>
      </c>
      <c r="L42" s="100">
        <v>17.809999999999999</v>
      </c>
      <c r="M42" s="100">
        <v>71.37</v>
      </c>
      <c r="N42" s="100">
        <v>194.1</v>
      </c>
      <c r="O42" s="100">
        <v>0</v>
      </c>
      <c r="P42" s="100">
        <v>0.77</v>
      </c>
      <c r="Q42" s="100">
        <v>9.32</v>
      </c>
      <c r="R42" s="6"/>
      <c r="S42" s="6"/>
      <c r="T42" s="156"/>
      <c r="U42" s="6"/>
    </row>
    <row r="43" spans="1:21" customFormat="1">
      <c r="A43" s="163" t="s">
        <v>2105</v>
      </c>
      <c r="B43" s="100">
        <v>20.23</v>
      </c>
      <c r="C43" s="100">
        <v>18.36</v>
      </c>
      <c r="D43" s="100">
        <v>25.81</v>
      </c>
      <c r="E43" s="100">
        <v>5.0999999999999996</v>
      </c>
      <c r="F43" s="100">
        <v>1.1599999999999999</v>
      </c>
      <c r="G43" s="100">
        <v>29.03</v>
      </c>
      <c r="H43" s="100">
        <v>14.02</v>
      </c>
      <c r="I43" s="100">
        <v>19.350000000000001</v>
      </c>
      <c r="J43" s="100">
        <v>0.95</v>
      </c>
      <c r="K43" s="100">
        <v>46.84</v>
      </c>
      <c r="L43" s="100">
        <v>18.329999999999998</v>
      </c>
      <c r="M43" s="100">
        <v>69.41</v>
      </c>
      <c r="N43" s="100">
        <v>224.8</v>
      </c>
      <c r="O43" s="100">
        <v>0</v>
      </c>
      <c r="P43" s="100">
        <v>0.78</v>
      </c>
      <c r="Q43" s="100">
        <v>9.32</v>
      </c>
      <c r="R43" s="6"/>
      <c r="S43" s="6"/>
      <c r="T43" s="156"/>
      <c r="U43" s="6"/>
    </row>
    <row r="44" spans="1:21" customFormat="1">
      <c r="A44" s="163" t="s">
        <v>2106</v>
      </c>
      <c r="B44" s="100">
        <v>19.5</v>
      </c>
      <c r="C44" s="100">
        <v>18.600000000000001</v>
      </c>
      <c r="D44" s="100">
        <v>25.35</v>
      </c>
      <c r="E44" s="100">
        <v>5.2</v>
      </c>
      <c r="F44" s="100">
        <v>1.32</v>
      </c>
      <c r="G44" s="100">
        <v>29.03</v>
      </c>
      <c r="H44" s="100">
        <v>14.02</v>
      </c>
      <c r="I44" s="100">
        <v>19.170000000000002</v>
      </c>
      <c r="J44" s="100">
        <v>0.67</v>
      </c>
      <c r="K44" s="100">
        <v>49.88</v>
      </c>
      <c r="L44" s="100">
        <v>19.37</v>
      </c>
      <c r="M44" s="100">
        <v>66.239999999999995</v>
      </c>
      <c r="N44" s="100">
        <v>246.3</v>
      </c>
      <c r="O44" s="100">
        <v>0</v>
      </c>
      <c r="P44" s="100">
        <v>0.79</v>
      </c>
      <c r="Q44" s="100">
        <v>9.32</v>
      </c>
      <c r="R44" s="6"/>
      <c r="S44" s="6"/>
      <c r="T44" s="156"/>
      <c r="U44" s="6"/>
    </row>
    <row r="45" spans="1:21" customFormat="1">
      <c r="A45" s="163" t="s">
        <v>2107</v>
      </c>
      <c r="B45" s="100">
        <v>18.920000000000002</v>
      </c>
      <c r="C45" s="100">
        <v>18.63</v>
      </c>
      <c r="D45" s="100">
        <v>24.91</v>
      </c>
      <c r="E45" s="100">
        <v>5.26</v>
      </c>
      <c r="F45" s="100">
        <v>1.32</v>
      </c>
      <c r="G45" s="100">
        <v>31.99</v>
      </c>
      <c r="H45" s="100">
        <v>15.96</v>
      </c>
      <c r="I45" s="100">
        <v>19</v>
      </c>
      <c r="J45" s="100">
        <v>1.04</v>
      </c>
      <c r="K45" s="100">
        <v>50.67</v>
      </c>
      <c r="L45" s="100">
        <v>19.72</v>
      </c>
      <c r="M45" s="100">
        <v>64.33</v>
      </c>
      <c r="N45" s="100">
        <v>178.7</v>
      </c>
      <c r="O45" s="100">
        <v>0</v>
      </c>
      <c r="P45" s="100">
        <v>0.8</v>
      </c>
      <c r="Q45" s="100">
        <v>9.32</v>
      </c>
      <c r="R45" s="6"/>
      <c r="S45" s="6"/>
      <c r="T45" s="156"/>
      <c r="U45" s="6"/>
    </row>
    <row r="46" spans="1:21" customFormat="1">
      <c r="A46" s="163" t="s">
        <v>2108</v>
      </c>
      <c r="B46" s="100">
        <v>18.41</v>
      </c>
      <c r="C46" s="100">
        <v>18.72</v>
      </c>
      <c r="D46" s="100">
        <v>24.54</v>
      </c>
      <c r="E46" s="100">
        <v>5.16</v>
      </c>
      <c r="F46" s="100">
        <v>1.39</v>
      </c>
      <c r="G46" s="100">
        <v>32.159999999999997</v>
      </c>
      <c r="H46" s="100">
        <v>15.96</v>
      </c>
      <c r="I46" s="100">
        <v>18.8</v>
      </c>
      <c r="J46" s="100">
        <v>0.66</v>
      </c>
      <c r="K46" s="100">
        <v>45.8</v>
      </c>
      <c r="L46" s="100">
        <v>20.65</v>
      </c>
      <c r="M46" s="100">
        <v>61.15</v>
      </c>
      <c r="N46" s="100">
        <v>147</v>
      </c>
      <c r="O46" s="100">
        <v>0</v>
      </c>
      <c r="P46" s="100">
        <v>0.8</v>
      </c>
      <c r="Q46" s="100">
        <v>9.32</v>
      </c>
      <c r="R46" s="6"/>
      <c r="S46" s="6"/>
      <c r="T46" s="156"/>
      <c r="U46" s="6"/>
    </row>
    <row r="47" spans="1:21" customFormat="1">
      <c r="A47" s="163" t="s">
        <v>2109</v>
      </c>
      <c r="B47" s="100">
        <v>18.04</v>
      </c>
      <c r="C47" s="100">
        <v>18.91</v>
      </c>
      <c r="D47" s="100">
        <v>24.35</v>
      </c>
      <c r="E47" s="100">
        <v>3.28</v>
      </c>
      <c r="F47" s="100">
        <v>1.35</v>
      </c>
      <c r="G47" s="100">
        <v>32.159999999999997</v>
      </c>
      <c r="H47" s="100">
        <v>15.96</v>
      </c>
      <c r="I47" s="100">
        <v>16.510000000000002</v>
      </c>
      <c r="J47" s="100">
        <v>0.85</v>
      </c>
      <c r="K47" s="100">
        <v>41.4</v>
      </c>
      <c r="L47" s="100">
        <v>21.35</v>
      </c>
      <c r="M47" s="100">
        <v>59.1</v>
      </c>
      <c r="N47" s="100">
        <v>154.6</v>
      </c>
      <c r="O47" s="100">
        <v>0</v>
      </c>
      <c r="P47" s="100">
        <v>0.8</v>
      </c>
      <c r="Q47" s="100">
        <v>9.32</v>
      </c>
      <c r="R47" s="6"/>
      <c r="S47" s="6"/>
      <c r="T47" s="156"/>
      <c r="U47" s="6"/>
    </row>
    <row r="48" spans="1:21" customFormat="1">
      <c r="A48" s="163" t="s">
        <v>2110</v>
      </c>
      <c r="B48" s="100">
        <v>17.62</v>
      </c>
      <c r="C48" s="100">
        <v>19.07</v>
      </c>
      <c r="D48" s="100">
        <v>24.09</v>
      </c>
      <c r="E48" s="100">
        <v>4.95</v>
      </c>
      <c r="F48" s="100">
        <v>1.3</v>
      </c>
      <c r="G48" s="100">
        <v>32.159999999999997</v>
      </c>
      <c r="H48" s="100">
        <v>15.96</v>
      </c>
      <c r="I48" s="100">
        <v>14.07</v>
      </c>
      <c r="J48" s="100">
        <v>0.8</v>
      </c>
      <c r="K48" s="100">
        <v>35.49</v>
      </c>
      <c r="L48" s="100">
        <v>22.38</v>
      </c>
      <c r="M48" s="100">
        <v>55.38</v>
      </c>
      <c r="N48" s="100">
        <v>174.1</v>
      </c>
      <c r="O48" s="100">
        <v>0</v>
      </c>
      <c r="P48" s="100">
        <v>0.8</v>
      </c>
      <c r="Q48" s="100">
        <v>9.32</v>
      </c>
      <c r="R48" s="6"/>
      <c r="S48" s="6"/>
      <c r="T48" s="156"/>
      <c r="U48" s="6"/>
    </row>
    <row r="49" spans="1:21" customFormat="1">
      <c r="A49" s="163" t="s">
        <v>2111</v>
      </c>
      <c r="B49" s="100">
        <v>17.190000000000001</v>
      </c>
      <c r="C49" s="100">
        <v>19.2</v>
      </c>
      <c r="D49" s="100">
        <v>23.81</v>
      </c>
      <c r="E49" s="100">
        <v>4.71</v>
      </c>
      <c r="F49" s="100">
        <v>1.21</v>
      </c>
      <c r="G49" s="100">
        <v>32.950000000000003</v>
      </c>
      <c r="H49" s="100">
        <v>16.670000000000002</v>
      </c>
      <c r="I49" s="100">
        <v>13.92</v>
      </c>
      <c r="J49" s="100">
        <v>0.67</v>
      </c>
      <c r="K49" s="100">
        <v>43.27</v>
      </c>
      <c r="L49" s="100">
        <v>23.02</v>
      </c>
      <c r="M49" s="100">
        <v>53.61</v>
      </c>
      <c r="N49" s="100">
        <v>370.8</v>
      </c>
      <c r="O49" s="100">
        <v>0</v>
      </c>
      <c r="P49" s="100">
        <v>0.8</v>
      </c>
      <c r="Q49" s="100">
        <v>9.32</v>
      </c>
      <c r="R49" s="6"/>
      <c r="S49" s="6"/>
      <c r="T49" s="156"/>
      <c r="U49" s="6"/>
    </row>
    <row r="50" spans="1:21" customFormat="1">
      <c r="A50" s="163" t="s">
        <v>2112</v>
      </c>
      <c r="B50" s="100">
        <v>16.75</v>
      </c>
      <c r="C50" s="100">
        <v>19.07</v>
      </c>
      <c r="D50" s="100">
        <v>23.4</v>
      </c>
      <c r="E50" s="100">
        <v>5.73</v>
      </c>
      <c r="F50" s="100">
        <v>1.23</v>
      </c>
      <c r="G50" s="100">
        <v>32.99</v>
      </c>
      <c r="H50" s="100">
        <v>16.670000000000002</v>
      </c>
      <c r="I50" s="100">
        <v>13.79</v>
      </c>
      <c r="J50" s="100">
        <v>0.54</v>
      </c>
      <c r="K50" s="100">
        <v>45.27</v>
      </c>
      <c r="L50" s="100">
        <v>23.75</v>
      </c>
      <c r="M50" s="100">
        <v>50.96</v>
      </c>
      <c r="N50" s="100">
        <v>426.5</v>
      </c>
      <c r="O50" s="100">
        <v>0</v>
      </c>
      <c r="P50" s="100">
        <v>0.79</v>
      </c>
      <c r="Q50" s="100">
        <v>9.32</v>
      </c>
      <c r="R50" s="6"/>
      <c r="S50" s="6"/>
      <c r="T50" s="156"/>
      <c r="U50" s="6"/>
    </row>
    <row r="51" spans="1:21" customFormat="1">
      <c r="A51" s="163" t="s">
        <v>2113</v>
      </c>
      <c r="B51" s="100">
        <v>16.190000000000001</v>
      </c>
      <c r="C51" s="100">
        <v>19.13</v>
      </c>
      <c r="D51" s="100">
        <v>22.98</v>
      </c>
      <c r="E51" s="100">
        <v>5.9</v>
      </c>
      <c r="F51" s="100">
        <v>1.46</v>
      </c>
      <c r="G51" s="100">
        <v>32.99</v>
      </c>
      <c r="H51" s="100">
        <v>16.670000000000002</v>
      </c>
      <c r="I51" s="100">
        <v>13.68</v>
      </c>
      <c r="J51" s="100">
        <v>0.22</v>
      </c>
      <c r="K51" s="100">
        <v>49.46</v>
      </c>
      <c r="L51" s="100">
        <v>24.66</v>
      </c>
      <c r="M51" s="100">
        <v>47.56</v>
      </c>
      <c r="N51" s="100">
        <v>455.4</v>
      </c>
      <c r="O51" s="100">
        <v>0</v>
      </c>
      <c r="P51" s="100">
        <v>0.8</v>
      </c>
      <c r="Q51" s="100">
        <v>9.32</v>
      </c>
      <c r="R51" s="6"/>
      <c r="S51" s="6"/>
      <c r="T51" s="156"/>
      <c r="U51" s="6"/>
    </row>
    <row r="52" spans="1:21" customFormat="1">
      <c r="A52" s="163" t="s">
        <v>2114</v>
      </c>
      <c r="B52" s="100">
        <v>15.48</v>
      </c>
      <c r="C52" s="100">
        <v>19.25</v>
      </c>
      <c r="D52" s="100">
        <v>22.47</v>
      </c>
      <c r="E52" s="100">
        <v>6.17</v>
      </c>
      <c r="F52" s="100">
        <v>1.44</v>
      </c>
      <c r="G52" s="100">
        <v>32.99</v>
      </c>
      <c r="H52" s="100">
        <v>16.670000000000002</v>
      </c>
      <c r="I52" s="100">
        <v>13.55</v>
      </c>
      <c r="J52" s="100">
        <v>0.44</v>
      </c>
      <c r="K52" s="100">
        <v>38.25</v>
      </c>
      <c r="L52" s="100">
        <v>24.87</v>
      </c>
      <c r="M52" s="100">
        <v>45.95</v>
      </c>
      <c r="N52" s="100">
        <v>493.5</v>
      </c>
      <c r="O52" s="100">
        <v>0</v>
      </c>
      <c r="P52" s="100">
        <v>0.79</v>
      </c>
      <c r="Q52" s="100">
        <v>9.32</v>
      </c>
      <c r="R52" s="6"/>
      <c r="S52" s="6"/>
      <c r="T52" s="156"/>
      <c r="U52" s="6"/>
    </row>
    <row r="53" spans="1:21" customFormat="1">
      <c r="A53" s="163" t="s">
        <v>2115</v>
      </c>
      <c r="B53" s="100">
        <v>14.83</v>
      </c>
      <c r="C53" s="100">
        <v>19.25</v>
      </c>
      <c r="D53" s="100">
        <v>21.95</v>
      </c>
      <c r="E53" s="100">
        <v>6.21</v>
      </c>
      <c r="F53" s="100">
        <v>1.61</v>
      </c>
      <c r="G53" s="100">
        <v>38.65</v>
      </c>
      <c r="H53" s="100">
        <v>16.34</v>
      </c>
      <c r="I53" s="100">
        <v>13.4</v>
      </c>
      <c r="J53" s="100">
        <v>0.16</v>
      </c>
      <c r="K53" s="100">
        <v>20.83</v>
      </c>
      <c r="L53" s="100">
        <v>25.69</v>
      </c>
      <c r="M53" s="100">
        <v>42.24</v>
      </c>
      <c r="N53" s="100">
        <v>465.8</v>
      </c>
      <c r="O53" s="100">
        <v>0</v>
      </c>
      <c r="P53" s="100">
        <v>0.78</v>
      </c>
      <c r="Q53" s="100">
        <v>9.32</v>
      </c>
      <c r="R53" s="6"/>
      <c r="S53" s="6"/>
      <c r="T53" s="156"/>
      <c r="U53" s="6"/>
    </row>
    <row r="54" spans="1:21" customFormat="1">
      <c r="A54" s="163" t="s">
        <v>2116</v>
      </c>
      <c r="B54" s="100">
        <v>14.04</v>
      </c>
      <c r="C54" s="100">
        <v>19.27</v>
      </c>
      <c r="D54" s="100">
        <v>21.33</v>
      </c>
      <c r="E54" s="100">
        <v>6.31</v>
      </c>
      <c r="F54" s="100">
        <v>1.46</v>
      </c>
      <c r="G54" s="100">
        <v>38.979999999999997</v>
      </c>
      <c r="H54" s="100">
        <v>16.34</v>
      </c>
      <c r="I54" s="100">
        <v>13.24</v>
      </c>
      <c r="J54" s="100">
        <v>0.3</v>
      </c>
      <c r="K54" s="100">
        <v>37.450000000000003</v>
      </c>
      <c r="L54" s="100">
        <v>26.11</v>
      </c>
      <c r="M54" s="100">
        <v>38.24</v>
      </c>
      <c r="N54" s="100">
        <v>523.6</v>
      </c>
      <c r="O54" s="100">
        <v>0</v>
      </c>
      <c r="P54" s="100">
        <v>0.78</v>
      </c>
      <c r="Q54" s="100">
        <v>9.32</v>
      </c>
      <c r="R54" s="6"/>
      <c r="S54" s="6"/>
      <c r="T54" s="156"/>
      <c r="U54" s="6"/>
    </row>
    <row r="55" spans="1:21" customFormat="1">
      <c r="A55" s="163" t="s">
        <v>2117</v>
      </c>
      <c r="B55" s="100">
        <v>13.12</v>
      </c>
      <c r="C55" s="100">
        <v>19.36</v>
      </c>
      <c r="D55" s="100">
        <v>20.63</v>
      </c>
      <c r="E55" s="100">
        <v>6.24</v>
      </c>
      <c r="F55" s="100">
        <v>1.46</v>
      </c>
      <c r="G55" s="100">
        <v>38.979999999999997</v>
      </c>
      <c r="H55" s="100">
        <v>16.34</v>
      </c>
      <c r="I55" s="100">
        <v>13.08</v>
      </c>
      <c r="J55" s="100">
        <v>0.26</v>
      </c>
      <c r="K55" s="100">
        <v>8.32</v>
      </c>
      <c r="L55" s="100">
        <v>26.57</v>
      </c>
      <c r="M55" s="100">
        <v>39.4</v>
      </c>
      <c r="N55" s="100">
        <v>525.70000000000005</v>
      </c>
      <c r="O55" s="100">
        <v>0</v>
      </c>
      <c r="P55" s="100">
        <v>0.77</v>
      </c>
      <c r="Q55" s="100">
        <v>9.32</v>
      </c>
      <c r="R55" s="6"/>
      <c r="S55" s="6"/>
      <c r="T55" s="156"/>
      <c r="U55" s="6"/>
    </row>
    <row r="56" spans="1:21" customFormat="1">
      <c r="A56" s="163" t="s">
        <v>2118</v>
      </c>
      <c r="B56" s="100">
        <v>12.25</v>
      </c>
      <c r="C56" s="100">
        <v>19.420000000000002</v>
      </c>
      <c r="D56" s="100">
        <v>19.97</v>
      </c>
      <c r="E56" s="100">
        <v>6.41</v>
      </c>
      <c r="F56" s="100">
        <v>1.44</v>
      </c>
      <c r="G56" s="100">
        <v>38.979999999999997</v>
      </c>
      <c r="H56" s="100">
        <v>16.34</v>
      </c>
      <c r="I56" s="100">
        <v>12.88</v>
      </c>
      <c r="J56" s="100">
        <v>0.18</v>
      </c>
      <c r="K56" s="100">
        <v>332.03</v>
      </c>
      <c r="L56" s="100">
        <v>26.65</v>
      </c>
      <c r="M56" s="100">
        <v>38.61</v>
      </c>
      <c r="N56" s="100">
        <v>513.70000000000005</v>
      </c>
      <c r="O56" s="100">
        <v>0</v>
      </c>
      <c r="P56" s="100">
        <v>0.76</v>
      </c>
      <c r="Q56" s="100">
        <v>9.32</v>
      </c>
      <c r="R56" s="6"/>
      <c r="S56" s="6"/>
      <c r="T56" s="156"/>
      <c r="U56" s="6"/>
    </row>
    <row r="57" spans="1:21" customFormat="1">
      <c r="A57" s="163" t="s">
        <v>2119</v>
      </c>
      <c r="B57" s="100">
        <v>11.46</v>
      </c>
      <c r="C57" s="100">
        <v>19.440000000000001</v>
      </c>
      <c r="D57" s="100">
        <v>19.34</v>
      </c>
      <c r="E57" s="100">
        <v>6.08</v>
      </c>
      <c r="F57" s="100">
        <v>1.44</v>
      </c>
      <c r="G57" s="100">
        <v>32.17</v>
      </c>
      <c r="H57" s="100">
        <v>16.71</v>
      </c>
      <c r="I57" s="100">
        <v>13.9</v>
      </c>
      <c r="J57" s="100">
        <v>0.6</v>
      </c>
      <c r="K57" s="100">
        <v>324.48</v>
      </c>
      <c r="L57" s="100">
        <v>27.05</v>
      </c>
      <c r="M57" s="100">
        <v>36.299999999999997</v>
      </c>
      <c r="N57" s="100">
        <v>548.4</v>
      </c>
      <c r="O57" s="100">
        <v>0</v>
      </c>
      <c r="P57" s="100">
        <v>0.75</v>
      </c>
      <c r="Q57" s="100">
        <v>9.32</v>
      </c>
      <c r="R57" s="6"/>
      <c r="S57" s="6"/>
      <c r="T57" s="156"/>
      <c r="U57" s="6"/>
    </row>
    <row r="58" spans="1:21" customFormat="1">
      <c r="A58" s="163" t="s">
        <v>2120</v>
      </c>
      <c r="B58" s="100">
        <v>10.68</v>
      </c>
      <c r="C58" s="100">
        <v>19.41</v>
      </c>
      <c r="D58" s="100">
        <v>18.7</v>
      </c>
      <c r="E58" s="100">
        <v>6.52</v>
      </c>
      <c r="F58" s="100">
        <v>1.66</v>
      </c>
      <c r="G58" s="100">
        <v>31.77</v>
      </c>
      <c r="H58" s="100">
        <v>16.71</v>
      </c>
      <c r="I58" s="100">
        <v>15.11</v>
      </c>
      <c r="J58" s="100">
        <v>0.59</v>
      </c>
      <c r="K58" s="100">
        <v>326.10000000000002</v>
      </c>
      <c r="L58" s="100">
        <v>27.21</v>
      </c>
      <c r="M58" s="100">
        <v>36.06</v>
      </c>
      <c r="N58" s="100">
        <v>530.29999999999995</v>
      </c>
      <c r="O58" s="100">
        <v>0</v>
      </c>
      <c r="P58" s="100">
        <v>0.75</v>
      </c>
      <c r="Q58" s="100">
        <v>9.32</v>
      </c>
      <c r="R58" s="6"/>
      <c r="S58" s="6"/>
      <c r="T58" s="156"/>
      <c r="U58" s="6"/>
    </row>
    <row r="59" spans="1:21" customFormat="1">
      <c r="A59" s="163" t="s">
        <v>2121</v>
      </c>
      <c r="B59" s="100">
        <v>9.9700000000000006</v>
      </c>
      <c r="C59" s="100">
        <v>19.54</v>
      </c>
      <c r="D59" s="100">
        <v>18.2</v>
      </c>
      <c r="E59" s="100">
        <v>6.75</v>
      </c>
      <c r="F59" s="100">
        <v>2</v>
      </c>
      <c r="G59" s="100">
        <v>31.77</v>
      </c>
      <c r="H59" s="100">
        <v>16.71</v>
      </c>
      <c r="I59" s="100">
        <v>14.94</v>
      </c>
      <c r="J59" s="100">
        <v>0.51</v>
      </c>
      <c r="K59" s="100">
        <v>333.3</v>
      </c>
      <c r="L59" s="100">
        <v>27.58</v>
      </c>
      <c r="M59" s="100">
        <v>35.24</v>
      </c>
      <c r="N59" s="100">
        <v>506.3</v>
      </c>
      <c r="O59" s="100">
        <v>0</v>
      </c>
      <c r="P59" s="100">
        <v>0.75</v>
      </c>
      <c r="Q59" s="100">
        <v>9.32</v>
      </c>
      <c r="R59" s="6"/>
      <c r="S59" s="6"/>
      <c r="T59" s="156"/>
      <c r="U59" s="6"/>
    </row>
    <row r="60" spans="1:21" customFormat="1">
      <c r="A60" s="163" t="s">
        <v>2122</v>
      </c>
      <c r="B60" s="100">
        <v>9.48</v>
      </c>
      <c r="C60" s="100">
        <v>19.72</v>
      </c>
      <c r="D60" s="100">
        <v>17.91</v>
      </c>
      <c r="E60" s="100">
        <v>7.08</v>
      </c>
      <c r="F60" s="100">
        <v>1.79</v>
      </c>
      <c r="G60" s="100">
        <v>31.77</v>
      </c>
      <c r="H60" s="100">
        <v>16.71</v>
      </c>
      <c r="I60" s="100">
        <v>14.72</v>
      </c>
      <c r="J60" s="100">
        <v>0.72</v>
      </c>
      <c r="K60" s="100">
        <v>6.25</v>
      </c>
      <c r="L60" s="100">
        <v>27.96</v>
      </c>
      <c r="M60" s="100">
        <v>34.43</v>
      </c>
      <c r="N60" s="100">
        <v>454.1</v>
      </c>
      <c r="O60" s="100">
        <v>0</v>
      </c>
      <c r="P60" s="100">
        <v>0.75</v>
      </c>
      <c r="Q60" s="100">
        <v>9.32</v>
      </c>
      <c r="R60" s="6"/>
      <c r="S60" s="6"/>
      <c r="T60" s="156"/>
      <c r="U60" s="6"/>
    </row>
    <row r="61" spans="1:21" customFormat="1">
      <c r="A61" s="163" t="s">
        <v>2123</v>
      </c>
      <c r="B61" s="100">
        <v>9.14</v>
      </c>
      <c r="C61" s="100">
        <v>20.100000000000001</v>
      </c>
      <c r="D61" s="100">
        <v>17.829999999999998</v>
      </c>
      <c r="E61" s="100">
        <v>7.93</v>
      </c>
      <c r="F61" s="100">
        <v>2.61</v>
      </c>
      <c r="G61" s="100">
        <v>33.880000000000003</v>
      </c>
      <c r="H61" s="100">
        <v>16.03</v>
      </c>
      <c r="I61" s="100">
        <v>14.51</v>
      </c>
      <c r="J61" s="100">
        <v>0.28999999999999998</v>
      </c>
      <c r="K61" s="100">
        <v>0.63</v>
      </c>
      <c r="L61" s="100">
        <v>27.8</v>
      </c>
      <c r="M61" s="100">
        <v>34.4</v>
      </c>
      <c r="N61" s="100">
        <v>352.1</v>
      </c>
      <c r="O61" s="100">
        <v>0</v>
      </c>
      <c r="P61" s="100">
        <v>0.75</v>
      </c>
      <c r="Q61" s="100">
        <v>9.32</v>
      </c>
      <c r="R61" s="6"/>
      <c r="S61" s="6"/>
      <c r="T61" s="156"/>
      <c r="U61" s="6"/>
    </row>
    <row r="62" spans="1:21" customFormat="1">
      <c r="A62" s="163" t="s">
        <v>2124</v>
      </c>
      <c r="B62" s="100">
        <v>8.92</v>
      </c>
      <c r="C62" s="100">
        <v>20.11</v>
      </c>
      <c r="D62" s="100">
        <v>17.66</v>
      </c>
      <c r="E62" s="100">
        <v>7.02</v>
      </c>
      <c r="F62" s="100">
        <v>1.93</v>
      </c>
      <c r="G62" s="100">
        <v>34.01</v>
      </c>
      <c r="H62" s="100">
        <v>16.03</v>
      </c>
      <c r="I62" s="100">
        <v>14.37</v>
      </c>
      <c r="J62" s="100">
        <v>0.31</v>
      </c>
      <c r="K62" s="100">
        <v>31.27</v>
      </c>
      <c r="L62" s="100">
        <v>27.86</v>
      </c>
      <c r="M62" s="100">
        <v>34.700000000000003</v>
      </c>
      <c r="N62" s="100">
        <v>194.1</v>
      </c>
      <c r="O62" s="100">
        <v>0</v>
      </c>
      <c r="P62" s="100">
        <v>0.77</v>
      </c>
      <c r="Q62" s="100">
        <v>9.32</v>
      </c>
      <c r="R62" s="6"/>
      <c r="S62" s="6"/>
      <c r="T62" s="156"/>
      <c r="U62" s="6"/>
    </row>
    <row r="63" spans="1:21" customFormat="1">
      <c r="A63" s="163" t="s">
        <v>2125</v>
      </c>
      <c r="B63" s="100">
        <v>8.6</v>
      </c>
      <c r="C63" s="100">
        <v>20.51</v>
      </c>
      <c r="D63" s="100">
        <v>17.61</v>
      </c>
      <c r="E63" s="100">
        <v>7.53</v>
      </c>
      <c r="F63" s="100">
        <v>2.31</v>
      </c>
      <c r="G63" s="100">
        <v>34.01</v>
      </c>
      <c r="H63" s="100">
        <v>16.03</v>
      </c>
      <c r="I63" s="100">
        <v>14.3</v>
      </c>
      <c r="J63" s="100">
        <v>0.47</v>
      </c>
      <c r="K63" s="100">
        <v>27.29</v>
      </c>
      <c r="L63" s="100">
        <v>27.94</v>
      </c>
      <c r="M63" s="100">
        <v>34.49</v>
      </c>
      <c r="N63" s="100">
        <v>159.19999999999999</v>
      </c>
      <c r="O63" s="100">
        <v>0</v>
      </c>
      <c r="P63" s="100">
        <v>0.77</v>
      </c>
      <c r="Q63" s="100">
        <v>9.32</v>
      </c>
      <c r="R63" s="6"/>
      <c r="S63" s="6"/>
      <c r="T63" s="156"/>
      <c r="U63" s="6"/>
    </row>
    <row r="64" spans="1:21" customFormat="1">
      <c r="A64" s="163" t="s">
        <v>2126</v>
      </c>
      <c r="B64" s="100">
        <v>8.08</v>
      </c>
      <c r="C64" s="100">
        <v>21.07</v>
      </c>
      <c r="D64" s="100">
        <v>17.489999999999998</v>
      </c>
      <c r="E64" s="100">
        <v>7.38</v>
      </c>
      <c r="F64" s="100">
        <v>2.84</v>
      </c>
      <c r="G64" s="100">
        <v>34.01</v>
      </c>
      <c r="H64" s="100">
        <v>16.03</v>
      </c>
      <c r="I64" s="100">
        <v>14.23</v>
      </c>
      <c r="J64" s="100">
        <v>0.28999999999999998</v>
      </c>
      <c r="K64" s="100">
        <v>346.99</v>
      </c>
      <c r="L64" s="100">
        <v>27.93</v>
      </c>
      <c r="M64" s="100">
        <v>33.64</v>
      </c>
      <c r="N64" s="100">
        <v>133.9</v>
      </c>
      <c r="O64" s="100">
        <v>0</v>
      </c>
      <c r="P64" s="100">
        <v>0.77</v>
      </c>
      <c r="Q64" s="100">
        <v>9.32</v>
      </c>
      <c r="R64" s="6"/>
      <c r="S64" s="6"/>
      <c r="T64" s="156"/>
      <c r="U64" s="6"/>
    </row>
    <row r="65" spans="1:21" customFormat="1">
      <c r="A65" s="163" t="s">
        <v>2127</v>
      </c>
      <c r="B65" s="100">
        <v>7.32</v>
      </c>
      <c r="C65" s="100">
        <v>21.65</v>
      </c>
      <c r="D65" s="100">
        <v>17.18</v>
      </c>
      <c r="E65" s="100">
        <v>7.69</v>
      </c>
      <c r="F65" s="100">
        <v>2.84</v>
      </c>
      <c r="G65" s="100">
        <v>37.97</v>
      </c>
      <c r="H65" s="100">
        <v>16.649999999999999</v>
      </c>
      <c r="I65" s="100">
        <v>14.13</v>
      </c>
      <c r="J65" s="100">
        <v>0.81</v>
      </c>
      <c r="K65" s="100">
        <v>18.760000000000002</v>
      </c>
      <c r="L65" s="100">
        <v>28.01</v>
      </c>
      <c r="M65" s="100">
        <v>32.49</v>
      </c>
      <c r="N65" s="100">
        <v>124.6</v>
      </c>
      <c r="O65" s="100">
        <v>0</v>
      </c>
      <c r="P65" s="100">
        <v>0.67</v>
      </c>
      <c r="Q65" s="100">
        <v>9.32</v>
      </c>
      <c r="R65" s="6"/>
      <c r="S65" s="6"/>
      <c r="T65" s="156"/>
      <c r="U65" s="6"/>
    </row>
    <row r="66" spans="1:21" customFormat="1">
      <c r="A66" s="163" t="s">
        <v>2128</v>
      </c>
      <c r="B66" s="100">
        <v>6.41</v>
      </c>
      <c r="C66" s="100">
        <v>22.09</v>
      </c>
      <c r="D66" s="100">
        <v>16.68</v>
      </c>
      <c r="E66" s="100">
        <v>7.27</v>
      </c>
      <c r="F66" s="100">
        <v>2.74</v>
      </c>
      <c r="G66" s="100">
        <v>38.200000000000003</v>
      </c>
      <c r="H66" s="100">
        <v>16.649999999999999</v>
      </c>
      <c r="I66" s="100">
        <v>14.02</v>
      </c>
      <c r="J66" s="100">
        <v>0.34</v>
      </c>
      <c r="K66" s="100">
        <v>332.06</v>
      </c>
      <c r="L66" s="100">
        <v>27.91</v>
      </c>
      <c r="M66" s="100">
        <v>32.770000000000003</v>
      </c>
      <c r="N66" s="100">
        <v>130.1</v>
      </c>
      <c r="O66" s="100">
        <v>0</v>
      </c>
      <c r="P66" s="100">
        <v>0.71</v>
      </c>
      <c r="Q66" s="100">
        <v>9.32</v>
      </c>
      <c r="R66" s="6"/>
      <c r="S66" s="6"/>
      <c r="T66" s="156"/>
      <c r="U66" s="6"/>
    </row>
    <row r="67" spans="1:21" customFormat="1">
      <c r="A67" s="163" t="s">
        <v>2129</v>
      </c>
      <c r="B67" s="100">
        <v>5.48</v>
      </c>
      <c r="C67" s="100">
        <v>22.44</v>
      </c>
      <c r="D67" s="100">
        <v>16.12</v>
      </c>
      <c r="E67" s="100">
        <v>7.31</v>
      </c>
      <c r="F67" s="100">
        <v>2.89</v>
      </c>
      <c r="G67" s="100">
        <v>38.200000000000003</v>
      </c>
      <c r="H67" s="100">
        <v>16.649999999999999</v>
      </c>
      <c r="I67" s="100">
        <v>13.88</v>
      </c>
      <c r="J67" s="100">
        <v>0.5</v>
      </c>
      <c r="K67" s="100">
        <v>9.61</v>
      </c>
      <c r="L67" s="100">
        <v>28.08</v>
      </c>
      <c r="M67" s="100">
        <v>31.27</v>
      </c>
      <c r="N67" s="100">
        <v>115.7</v>
      </c>
      <c r="O67" s="100">
        <v>0</v>
      </c>
      <c r="P67" s="100">
        <v>0.72</v>
      </c>
      <c r="Q67" s="100">
        <v>9.32</v>
      </c>
      <c r="R67" s="6"/>
      <c r="S67" s="6"/>
      <c r="T67" s="156"/>
      <c r="U67" s="6"/>
    </row>
    <row r="68" spans="1:21" customFormat="1">
      <c r="A68" s="163" t="s">
        <v>2130</v>
      </c>
      <c r="B68" s="100">
        <v>4.75</v>
      </c>
      <c r="C68" s="100">
        <v>22.59</v>
      </c>
      <c r="D68" s="100">
        <v>15.61</v>
      </c>
      <c r="E68" s="100">
        <v>7.41</v>
      </c>
      <c r="F68" s="100">
        <v>3.02</v>
      </c>
      <c r="G68" s="100">
        <v>38.200000000000003</v>
      </c>
      <c r="H68" s="100">
        <v>16.649999999999999</v>
      </c>
      <c r="I68" s="100">
        <v>13.72</v>
      </c>
      <c r="J68" s="100">
        <v>0.28999999999999998</v>
      </c>
      <c r="K68" s="100">
        <v>322.27</v>
      </c>
      <c r="L68" s="100">
        <v>28.01</v>
      </c>
      <c r="M68" s="100">
        <v>31.64</v>
      </c>
      <c r="N68" s="100">
        <v>100.8</v>
      </c>
      <c r="O68" s="100">
        <v>0</v>
      </c>
      <c r="P68" s="100">
        <v>0.71</v>
      </c>
      <c r="Q68" s="100">
        <v>9.32</v>
      </c>
      <c r="R68" s="6"/>
      <c r="S68" s="6"/>
      <c r="T68" s="156"/>
      <c r="U68" s="6"/>
    </row>
    <row r="69" spans="1:21" customFormat="1">
      <c r="A69" s="163" t="s">
        <v>2131</v>
      </c>
      <c r="B69" s="100">
        <v>4.2</v>
      </c>
      <c r="C69" s="100">
        <v>22.44</v>
      </c>
      <c r="D69" s="100">
        <v>15.09</v>
      </c>
      <c r="E69" s="100">
        <v>7.24</v>
      </c>
      <c r="F69" s="100">
        <v>3.13</v>
      </c>
      <c r="G69" s="100">
        <v>39.43</v>
      </c>
      <c r="H69" s="100">
        <v>17.11</v>
      </c>
      <c r="I69" s="100">
        <v>13.57</v>
      </c>
      <c r="J69" s="100">
        <v>0.33</v>
      </c>
      <c r="K69" s="100">
        <v>331.43</v>
      </c>
      <c r="L69" s="100">
        <v>27.97</v>
      </c>
      <c r="M69" s="100">
        <v>31.15</v>
      </c>
      <c r="N69" s="100">
        <v>95</v>
      </c>
      <c r="O69" s="100">
        <v>0</v>
      </c>
      <c r="P69" s="100">
        <v>0.71</v>
      </c>
      <c r="Q69" s="100">
        <v>9.32</v>
      </c>
      <c r="R69" s="6"/>
      <c r="S69" s="6"/>
      <c r="T69" s="156"/>
      <c r="U69" s="6"/>
    </row>
    <row r="70" spans="1:21" customFormat="1">
      <c r="A70" s="163" t="s">
        <v>2132</v>
      </c>
      <c r="B70" s="100">
        <v>3.86</v>
      </c>
      <c r="C70" s="100">
        <v>22.31</v>
      </c>
      <c r="D70" s="100">
        <v>14.75</v>
      </c>
      <c r="E70" s="100">
        <v>6.98</v>
      </c>
      <c r="F70" s="100">
        <v>3.05</v>
      </c>
      <c r="G70" s="100">
        <v>39.5</v>
      </c>
      <c r="H70" s="100">
        <v>17.11</v>
      </c>
      <c r="I70" s="100">
        <v>13.4</v>
      </c>
      <c r="J70" s="100">
        <v>0.37</v>
      </c>
      <c r="K70" s="100">
        <v>359.54</v>
      </c>
      <c r="L70" s="100">
        <v>27.97</v>
      </c>
      <c r="M70" s="100">
        <v>30.7</v>
      </c>
      <c r="N70" s="100">
        <v>83.4</v>
      </c>
      <c r="O70" s="100">
        <v>0</v>
      </c>
      <c r="P70" s="100">
        <v>0.72</v>
      </c>
      <c r="Q70" s="100">
        <v>9.32</v>
      </c>
      <c r="R70" s="6"/>
      <c r="S70" s="6"/>
      <c r="T70" s="156"/>
      <c r="U70" s="6"/>
    </row>
    <row r="71" spans="1:21" customFormat="1">
      <c r="A71" s="163" t="s">
        <v>2133</v>
      </c>
      <c r="B71" s="100">
        <v>3.79</v>
      </c>
      <c r="C71" s="100">
        <v>22.43</v>
      </c>
      <c r="D71" s="100">
        <v>14.76</v>
      </c>
      <c r="E71" s="100">
        <v>7.2</v>
      </c>
      <c r="F71" s="100">
        <v>3.28</v>
      </c>
      <c r="G71" s="100">
        <v>39.5</v>
      </c>
      <c r="H71" s="100">
        <v>17.11</v>
      </c>
      <c r="I71" s="100">
        <v>13.22</v>
      </c>
      <c r="J71" s="100">
        <v>0.65</v>
      </c>
      <c r="K71" s="100">
        <v>31.58</v>
      </c>
      <c r="L71" s="100">
        <v>28.03</v>
      </c>
      <c r="M71" s="100">
        <v>28.44</v>
      </c>
      <c r="N71" s="100">
        <v>71.599999999999994</v>
      </c>
      <c r="O71" s="100">
        <v>0</v>
      </c>
      <c r="P71" s="100">
        <v>0.71</v>
      </c>
      <c r="Q71" s="100">
        <v>9.32</v>
      </c>
      <c r="R71" s="6"/>
      <c r="S71" s="6"/>
      <c r="T71" s="156"/>
      <c r="U71" s="6"/>
    </row>
    <row r="72" spans="1:21" customFormat="1">
      <c r="A72" s="163" t="s">
        <v>2134</v>
      </c>
      <c r="B72" s="100">
        <v>3.74</v>
      </c>
      <c r="C72" s="100">
        <v>22.48</v>
      </c>
      <c r="D72" s="100">
        <v>14.74</v>
      </c>
      <c r="E72" s="100">
        <v>6.99</v>
      </c>
      <c r="F72" s="100">
        <v>3.14</v>
      </c>
      <c r="G72" s="100">
        <v>39.5</v>
      </c>
      <c r="H72" s="100">
        <v>17.11</v>
      </c>
      <c r="I72" s="100">
        <v>13.08</v>
      </c>
      <c r="J72" s="100">
        <v>0.43</v>
      </c>
      <c r="K72" s="100">
        <v>32.520000000000003</v>
      </c>
      <c r="L72" s="100">
        <v>27.92</v>
      </c>
      <c r="M72" s="100">
        <v>27.04</v>
      </c>
      <c r="N72" s="100">
        <v>62.5</v>
      </c>
      <c r="O72" s="100">
        <v>0</v>
      </c>
      <c r="P72" s="100">
        <v>0.72</v>
      </c>
      <c r="Q72" s="100">
        <v>9.32</v>
      </c>
      <c r="R72" s="6"/>
      <c r="S72" s="6"/>
      <c r="T72" s="156"/>
      <c r="U72" s="6"/>
    </row>
    <row r="73" spans="1:21" customFormat="1">
      <c r="A73" s="163" t="s">
        <v>2135</v>
      </c>
      <c r="B73" s="100">
        <v>3.69</v>
      </c>
      <c r="C73" s="100">
        <v>22.35</v>
      </c>
      <c r="D73" s="100">
        <v>14.64</v>
      </c>
      <c r="E73" s="100">
        <v>7.03</v>
      </c>
      <c r="F73" s="100">
        <v>2.99</v>
      </c>
      <c r="G73" s="100">
        <v>39.1</v>
      </c>
      <c r="H73" s="100">
        <v>16.47</v>
      </c>
      <c r="I73" s="100">
        <v>12.91</v>
      </c>
      <c r="J73" s="100">
        <v>0.14000000000000001</v>
      </c>
      <c r="K73" s="100">
        <v>28.18</v>
      </c>
      <c r="L73" s="100">
        <v>27.56</v>
      </c>
      <c r="M73" s="100">
        <v>30.19</v>
      </c>
      <c r="N73" s="100">
        <v>54</v>
      </c>
      <c r="O73" s="100">
        <v>0</v>
      </c>
      <c r="P73" s="100">
        <v>0.71</v>
      </c>
      <c r="Q73" s="100">
        <v>9.32</v>
      </c>
      <c r="R73" s="6"/>
      <c r="S73" s="6"/>
      <c r="T73" s="156"/>
      <c r="U73" s="6"/>
    </row>
    <row r="74" spans="1:21" customFormat="1">
      <c r="A74" s="163" t="s">
        <v>2136</v>
      </c>
      <c r="B74" s="100">
        <v>3.67</v>
      </c>
      <c r="C74" s="100">
        <v>21.96</v>
      </c>
      <c r="D74" s="100">
        <v>14.42</v>
      </c>
      <c r="E74" s="100">
        <v>6.75</v>
      </c>
      <c r="F74" s="100">
        <v>2.57</v>
      </c>
      <c r="G74" s="100">
        <v>39.07</v>
      </c>
      <c r="H74" s="100">
        <v>16.47</v>
      </c>
      <c r="I74" s="100">
        <v>12.74</v>
      </c>
      <c r="J74" s="100">
        <v>7.0000000000000007E-2</v>
      </c>
      <c r="K74" s="100">
        <v>23.4</v>
      </c>
      <c r="L74" s="100">
        <v>26.99</v>
      </c>
      <c r="M74" s="100">
        <v>32.64</v>
      </c>
      <c r="N74" s="100">
        <v>50</v>
      </c>
      <c r="O74" s="100">
        <v>0</v>
      </c>
      <c r="P74" s="100">
        <v>0.7</v>
      </c>
      <c r="Q74" s="100">
        <v>9.32</v>
      </c>
      <c r="R74" s="6"/>
      <c r="S74" s="6"/>
      <c r="T74" s="156"/>
      <c r="U74" s="6"/>
    </row>
    <row r="75" spans="1:21" customFormat="1">
      <c r="A75" s="163" t="s">
        <v>2137</v>
      </c>
      <c r="B75" s="100">
        <v>3.72</v>
      </c>
      <c r="C75" s="100">
        <v>21.56</v>
      </c>
      <c r="D75" s="100">
        <v>14.25</v>
      </c>
      <c r="E75" s="100">
        <v>6.49</v>
      </c>
      <c r="F75" s="100">
        <v>2.34</v>
      </c>
      <c r="G75" s="100">
        <v>39.07</v>
      </c>
      <c r="H75" s="100">
        <v>16.47</v>
      </c>
      <c r="I75" s="100">
        <v>12.56</v>
      </c>
      <c r="J75" s="100">
        <v>0.18</v>
      </c>
      <c r="K75" s="100">
        <v>65.09</v>
      </c>
      <c r="L75" s="100">
        <v>26.41</v>
      </c>
      <c r="M75" s="100">
        <v>34.97</v>
      </c>
      <c r="N75" s="100">
        <v>40.700000000000003</v>
      </c>
      <c r="O75" s="100">
        <v>0</v>
      </c>
      <c r="P75" s="100">
        <v>0.69</v>
      </c>
      <c r="Q75" s="100">
        <v>9.32</v>
      </c>
      <c r="R75" s="6"/>
      <c r="S75" s="6"/>
      <c r="T75" s="156"/>
      <c r="U75" s="6"/>
    </row>
    <row r="76" spans="1:21" customFormat="1">
      <c r="A76" s="163" t="s">
        <v>2138</v>
      </c>
      <c r="B76" s="100">
        <v>3.88</v>
      </c>
      <c r="C76" s="100">
        <v>21.34</v>
      </c>
      <c r="D76" s="100">
        <v>14.27</v>
      </c>
      <c r="E76" s="100">
        <v>6.33</v>
      </c>
      <c r="F76" s="100">
        <v>1.98</v>
      </c>
      <c r="G76" s="100">
        <v>39.07</v>
      </c>
      <c r="H76" s="100">
        <v>16.47</v>
      </c>
      <c r="I76" s="100">
        <v>12.37</v>
      </c>
      <c r="J76" s="100">
        <v>0.19</v>
      </c>
      <c r="K76" s="100">
        <v>61.21</v>
      </c>
      <c r="L76" s="100">
        <v>26.25</v>
      </c>
      <c r="M76" s="100">
        <v>35.090000000000003</v>
      </c>
      <c r="N76" s="100">
        <v>32.200000000000003</v>
      </c>
      <c r="O76" s="100">
        <v>0</v>
      </c>
      <c r="P76" s="100">
        <v>0.69</v>
      </c>
      <c r="Q76" s="100">
        <v>9.32</v>
      </c>
      <c r="R76" s="6"/>
      <c r="S76" s="6"/>
      <c r="T76" s="156"/>
      <c r="U76" s="6"/>
    </row>
    <row r="77" spans="1:21" customFormat="1">
      <c r="A77" s="163" t="s">
        <v>2139</v>
      </c>
      <c r="B77" s="100">
        <v>4.12</v>
      </c>
      <c r="C77" s="100">
        <v>21.29</v>
      </c>
      <c r="D77" s="100">
        <v>14.43</v>
      </c>
      <c r="E77" s="100">
        <v>6.39</v>
      </c>
      <c r="F77" s="100">
        <v>1.67</v>
      </c>
      <c r="G77" s="100">
        <v>37.54</v>
      </c>
      <c r="H77" s="100">
        <v>16.68</v>
      </c>
      <c r="I77" s="100">
        <v>12.21</v>
      </c>
      <c r="J77" s="100">
        <v>0.11</v>
      </c>
      <c r="K77" s="100">
        <v>165.54</v>
      </c>
      <c r="L77" s="100">
        <v>24.9</v>
      </c>
      <c r="M77" s="100">
        <v>40.700000000000003</v>
      </c>
      <c r="N77" s="100">
        <v>25.5</v>
      </c>
      <c r="O77" s="100">
        <v>0</v>
      </c>
      <c r="P77" s="100">
        <v>0.68</v>
      </c>
      <c r="Q77" s="100">
        <v>9.32</v>
      </c>
      <c r="R77" s="6"/>
      <c r="S77" s="6"/>
      <c r="T77" s="156"/>
      <c r="U77" s="6"/>
    </row>
    <row r="78" spans="1:21" customFormat="1">
      <c r="A78" s="163" t="s">
        <v>2140</v>
      </c>
      <c r="B78" s="100">
        <v>4.4000000000000004</v>
      </c>
      <c r="C78" s="100">
        <v>21.41</v>
      </c>
      <c r="D78" s="100">
        <v>14.71</v>
      </c>
      <c r="E78" s="100">
        <v>6.32</v>
      </c>
      <c r="F78" s="100">
        <v>1.63</v>
      </c>
      <c r="G78" s="100">
        <v>37.450000000000003</v>
      </c>
      <c r="H78" s="100">
        <v>16.68</v>
      </c>
      <c r="I78" s="100">
        <v>12.05</v>
      </c>
      <c r="J78" s="100">
        <v>0.12</v>
      </c>
      <c r="K78" s="100">
        <v>155.13999999999999</v>
      </c>
      <c r="L78" s="100">
        <v>24.14</v>
      </c>
      <c r="M78" s="100">
        <v>43.08</v>
      </c>
      <c r="N78" s="100">
        <v>20.2</v>
      </c>
      <c r="O78" s="100">
        <v>0</v>
      </c>
      <c r="P78" s="100">
        <v>0.69</v>
      </c>
      <c r="Q78" s="100">
        <v>9.32</v>
      </c>
      <c r="R78" s="6"/>
      <c r="S78" s="6"/>
      <c r="T78" s="156"/>
      <c r="U78" s="6"/>
    </row>
    <row r="79" spans="1:21" customFormat="1">
      <c r="A79" s="163" t="s">
        <v>2141</v>
      </c>
      <c r="B79" s="100">
        <v>4.8600000000000003</v>
      </c>
      <c r="C79" s="100">
        <v>21.65</v>
      </c>
      <c r="D79" s="100">
        <v>15.2</v>
      </c>
      <c r="E79" s="100">
        <v>6.42</v>
      </c>
      <c r="F79" s="100">
        <v>1.5</v>
      </c>
      <c r="G79" s="100">
        <v>37.450000000000003</v>
      </c>
      <c r="H79" s="100">
        <v>16.68</v>
      </c>
      <c r="I79" s="100">
        <v>11.93</v>
      </c>
      <c r="J79" s="100">
        <v>0.15</v>
      </c>
      <c r="K79" s="100">
        <v>149.13</v>
      </c>
      <c r="L79" s="100">
        <v>23.69</v>
      </c>
      <c r="M79" s="100">
        <v>44.5</v>
      </c>
      <c r="N79" s="100">
        <v>18.3</v>
      </c>
      <c r="O79" s="100">
        <v>0</v>
      </c>
      <c r="P79" s="100">
        <v>0.7</v>
      </c>
      <c r="Q79" s="100">
        <v>9.32</v>
      </c>
      <c r="R79" s="6"/>
      <c r="S79" s="6"/>
      <c r="T79" s="156"/>
      <c r="U79" s="6"/>
    </row>
    <row r="80" spans="1:21" customFormat="1">
      <c r="A80" s="163" t="s">
        <v>2142</v>
      </c>
      <c r="B80" s="100">
        <v>5.46</v>
      </c>
      <c r="C80" s="100">
        <v>21.95</v>
      </c>
      <c r="D80" s="100">
        <v>15.84</v>
      </c>
      <c r="E80" s="100">
        <v>6.07</v>
      </c>
      <c r="F80" s="100">
        <v>1.31</v>
      </c>
      <c r="G80" s="100">
        <v>37.450000000000003</v>
      </c>
      <c r="H80" s="100">
        <v>16.68</v>
      </c>
      <c r="I80" s="100">
        <v>11.9</v>
      </c>
      <c r="J80" s="100">
        <v>0.19</v>
      </c>
      <c r="K80" s="100">
        <v>115.12</v>
      </c>
      <c r="L80" s="100">
        <v>23.12</v>
      </c>
      <c r="M80" s="100">
        <v>47.66</v>
      </c>
      <c r="N80" s="100">
        <v>17.899999999999999</v>
      </c>
      <c r="O80" s="100">
        <v>0</v>
      </c>
      <c r="P80" s="100">
        <v>0.71</v>
      </c>
      <c r="Q80" s="100">
        <v>9.32</v>
      </c>
      <c r="R80" s="6"/>
      <c r="S80" s="6"/>
      <c r="T80" s="156"/>
      <c r="U80" s="6"/>
    </row>
    <row r="81" spans="1:21" customFormat="1">
      <c r="A81" s="163" t="s">
        <v>2143</v>
      </c>
      <c r="B81" s="100">
        <v>6.12</v>
      </c>
      <c r="C81" s="100">
        <v>22.1</v>
      </c>
      <c r="D81" s="100">
        <v>16.46</v>
      </c>
      <c r="E81" s="100">
        <v>5.28</v>
      </c>
      <c r="F81" s="100">
        <v>1.17</v>
      </c>
      <c r="G81" s="100">
        <v>40.83</v>
      </c>
      <c r="H81" s="100">
        <v>16.45</v>
      </c>
      <c r="I81" s="100">
        <v>11.99</v>
      </c>
      <c r="J81" s="100">
        <v>0.25</v>
      </c>
      <c r="K81" s="100">
        <v>157.69</v>
      </c>
      <c r="L81" s="100">
        <v>22.65</v>
      </c>
      <c r="M81" s="100">
        <v>49.47</v>
      </c>
      <c r="N81" s="100">
        <v>18</v>
      </c>
      <c r="O81" s="100">
        <v>0</v>
      </c>
      <c r="P81" s="100">
        <v>0.72</v>
      </c>
      <c r="Q81" s="100">
        <v>9.32</v>
      </c>
      <c r="R81" s="6"/>
      <c r="S81" s="6"/>
      <c r="T81" s="156"/>
      <c r="U81" s="6"/>
    </row>
    <row r="82" spans="1:21" customFormat="1">
      <c r="A82" s="163" t="s">
        <v>2144</v>
      </c>
      <c r="B82" s="100">
        <v>6.77</v>
      </c>
      <c r="C82" s="100">
        <v>22.19</v>
      </c>
      <c r="D82" s="100">
        <v>17.03</v>
      </c>
      <c r="E82" s="100">
        <v>6.17</v>
      </c>
      <c r="F82" s="100">
        <v>1.36</v>
      </c>
      <c r="G82" s="100">
        <v>41.03</v>
      </c>
      <c r="H82" s="100">
        <v>16.45</v>
      </c>
      <c r="I82" s="100">
        <v>12.14</v>
      </c>
      <c r="J82" s="100">
        <v>0.17</v>
      </c>
      <c r="K82" s="100">
        <v>134.03</v>
      </c>
      <c r="L82" s="100">
        <v>22.28</v>
      </c>
      <c r="M82" s="100">
        <v>48.29</v>
      </c>
      <c r="N82" s="100">
        <v>17.8</v>
      </c>
      <c r="O82" s="100">
        <v>0</v>
      </c>
      <c r="P82" s="100">
        <v>0.74</v>
      </c>
      <c r="Q82" s="100">
        <v>9.32</v>
      </c>
      <c r="R82" s="6"/>
      <c r="S82" s="6"/>
      <c r="T82" s="156"/>
      <c r="U82" s="6"/>
    </row>
    <row r="83" spans="1:21" customFormat="1">
      <c r="A83" s="163" t="s">
        <v>2145</v>
      </c>
      <c r="B83" s="100">
        <v>7.4</v>
      </c>
      <c r="C83" s="100">
        <v>22.32</v>
      </c>
      <c r="D83" s="100">
        <v>17.59</v>
      </c>
      <c r="E83" s="100">
        <v>6.12</v>
      </c>
      <c r="F83" s="100">
        <v>1.41</v>
      </c>
      <c r="G83" s="100">
        <v>41.03</v>
      </c>
      <c r="H83" s="100">
        <v>16.45</v>
      </c>
      <c r="I83" s="100">
        <v>12.34</v>
      </c>
      <c r="J83" s="100">
        <v>0.31</v>
      </c>
      <c r="K83" s="100">
        <v>160.21</v>
      </c>
      <c r="L83" s="100">
        <v>21.75</v>
      </c>
      <c r="M83" s="100">
        <v>52.19</v>
      </c>
      <c r="N83" s="100">
        <v>17.8</v>
      </c>
      <c r="O83" s="100">
        <v>0</v>
      </c>
      <c r="P83" s="100">
        <v>0.75</v>
      </c>
      <c r="Q83" s="100">
        <v>9.32</v>
      </c>
      <c r="R83" s="6"/>
      <c r="S83" s="6"/>
      <c r="T83" s="156"/>
      <c r="U83" s="6"/>
    </row>
    <row r="84" spans="1:21" customFormat="1">
      <c r="A84" s="163" t="s">
        <v>2146</v>
      </c>
      <c r="B84" s="100">
        <v>7.95</v>
      </c>
      <c r="C84" s="100">
        <v>22.23</v>
      </c>
      <c r="D84" s="100">
        <v>17.989999999999998</v>
      </c>
      <c r="E84" s="100">
        <v>5.95</v>
      </c>
      <c r="F84" s="100">
        <v>1.49</v>
      </c>
      <c r="G84" s="100">
        <v>41.03</v>
      </c>
      <c r="H84" s="100">
        <v>16.45</v>
      </c>
      <c r="I84" s="100">
        <v>12.83</v>
      </c>
      <c r="J84" s="100">
        <v>0.32</v>
      </c>
      <c r="K84" s="100">
        <v>161.19999999999999</v>
      </c>
      <c r="L84" s="100">
        <v>21.06</v>
      </c>
      <c r="M84" s="100">
        <v>53.26</v>
      </c>
      <c r="N84" s="100">
        <v>17.8</v>
      </c>
      <c r="O84" s="100">
        <v>0</v>
      </c>
      <c r="P84" s="100">
        <v>0.78</v>
      </c>
      <c r="Q84" s="100">
        <v>9.32</v>
      </c>
      <c r="R84" s="6"/>
      <c r="S84" s="6"/>
      <c r="T84" s="156"/>
      <c r="U84" s="6"/>
    </row>
    <row r="85" spans="1:21" customFormat="1">
      <c r="A85" s="163" t="s">
        <v>2147</v>
      </c>
      <c r="B85" s="100">
        <v>8.4700000000000006</v>
      </c>
      <c r="C85" s="100">
        <v>22.06</v>
      </c>
      <c r="D85" s="100">
        <v>18.32</v>
      </c>
      <c r="E85" s="100">
        <v>6.08</v>
      </c>
      <c r="F85" s="100">
        <v>1.33</v>
      </c>
      <c r="G85" s="100">
        <v>44.02</v>
      </c>
      <c r="H85" s="100">
        <v>17.61</v>
      </c>
      <c r="I85" s="100">
        <v>13.33</v>
      </c>
      <c r="J85" s="100">
        <v>0.32</v>
      </c>
      <c r="K85" s="100">
        <v>168.11</v>
      </c>
      <c r="L85" s="100">
        <v>20.55</v>
      </c>
      <c r="M85" s="100">
        <v>54.75</v>
      </c>
      <c r="N85" s="100">
        <v>17.8</v>
      </c>
      <c r="O85" s="100">
        <v>0</v>
      </c>
      <c r="P85" s="100">
        <v>0.8</v>
      </c>
      <c r="Q85" s="100">
        <v>9.32</v>
      </c>
      <c r="R85" s="6"/>
      <c r="S85" s="6"/>
      <c r="T85" s="156"/>
      <c r="U85" s="6"/>
    </row>
    <row r="86" spans="1:21" customFormat="1">
      <c r="A86" s="163" t="s">
        <v>2148</v>
      </c>
      <c r="B86" s="100">
        <v>8.8800000000000008</v>
      </c>
      <c r="C86" s="100">
        <v>21.87</v>
      </c>
      <c r="D86" s="100">
        <v>18.55</v>
      </c>
      <c r="E86" s="100">
        <v>5.67</v>
      </c>
      <c r="F86" s="100">
        <v>1.22</v>
      </c>
      <c r="G86" s="100">
        <v>44.19</v>
      </c>
      <c r="H86" s="100">
        <v>17.61</v>
      </c>
      <c r="I86" s="100">
        <v>13.31</v>
      </c>
      <c r="J86" s="100">
        <v>0.18</v>
      </c>
      <c r="K86" s="100">
        <v>189.49</v>
      </c>
      <c r="L86" s="100">
        <v>20.079999999999998</v>
      </c>
      <c r="M86" s="100">
        <v>61.43</v>
      </c>
      <c r="N86" s="100">
        <v>17.8</v>
      </c>
      <c r="O86" s="100">
        <v>0</v>
      </c>
      <c r="P86" s="100">
        <v>0.81</v>
      </c>
      <c r="Q86" s="100">
        <v>9.32</v>
      </c>
      <c r="R86" s="6"/>
      <c r="S86" s="6"/>
      <c r="T86" s="156"/>
      <c r="U86" s="6"/>
    </row>
    <row r="87" spans="1:21" customFormat="1">
      <c r="A87" s="163" t="s">
        <v>2149</v>
      </c>
      <c r="B87" s="100">
        <v>9.68</v>
      </c>
      <c r="C87" s="100">
        <v>21.72</v>
      </c>
      <c r="D87" s="100">
        <v>19.11</v>
      </c>
      <c r="E87" s="100">
        <v>5.68</v>
      </c>
      <c r="F87" s="100">
        <v>1.25</v>
      </c>
      <c r="G87" s="100">
        <v>44.19</v>
      </c>
      <c r="H87" s="100">
        <v>17.61</v>
      </c>
      <c r="I87" s="100">
        <v>13.27</v>
      </c>
      <c r="J87" s="100">
        <v>0.17</v>
      </c>
      <c r="K87" s="100">
        <v>177</v>
      </c>
      <c r="L87" s="100">
        <v>19.579999999999998</v>
      </c>
      <c r="M87" s="100">
        <v>66.150000000000006</v>
      </c>
      <c r="N87" s="100">
        <v>17.8</v>
      </c>
      <c r="O87" s="100">
        <v>0</v>
      </c>
      <c r="P87" s="100">
        <v>0.84</v>
      </c>
      <c r="Q87" s="100">
        <v>9.32</v>
      </c>
      <c r="R87" s="6"/>
      <c r="S87" s="6"/>
      <c r="T87" s="156"/>
      <c r="U87" s="6"/>
    </row>
    <row r="88" spans="1:21" customFormat="1">
      <c r="A88" s="163" t="s">
        <v>2150</v>
      </c>
      <c r="B88" s="100">
        <v>11.18</v>
      </c>
      <c r="C88" s="100">
        <v>21.79</v>
      </c>
      <c r="D88" s="100">
        <v>20.350000000000001</v>
      </c>
      <c r="E88" s="100">
        <v>6.14</v>
      </c>
      <c r="F88" s="100">
        <v>1.1399999999999999</v>
      </c>
      <c r="G88" s="100">
        <v>44.19</v>
      </c>
      <c r="H88" s="100">
        <v>17.61</v>
      </c>
      <c r="I88" s="100">
        <v>13.82</v>
      </c>
      <c r="J88" s="100">
        <v>0.36</v>
      </c>
      <c r="K88" s="100">
        <v>162.09</v>
      </c>
      <c r="L88" s="100">
        <v>19.5</v>
      </c>
      <c r="M88" s="100">
        <v>66.12</v>
      </c>
      <c r="N88" s="100">
        <v>17.600000000000001</v>
      </c>
      <c r="O88" s="100">
        <v>0</v>
      </c>
      <c r="P88" s="100">
        <v>0.87</v>
      </c>
      <c r="Q88" s="100">
        <v>9.32</v>
      </c>
      <c r="R88" s="6"/>
      <c r="S88" s="6"/>
      <c r="T88" s="156"/>
      <c r="U88" s="6"/>
    </row>
    <row r="89" spans="1:21" customFormat="1">
      <c r="A89" s="163" t="s">
        <v>2151</v>
      </c>
      <c r="B89" s="100">
        <v>12.68</v>
      </c>
      <c r="C89" s="100">
        <v>21.84</v>
      </c>
      <c r="D89" s="100">
        <v>21.57</v>
      </c>
      <c r="E89" s="100">
        <v>5.73</v>
      </c>
      <c r="F89" s="100">
        <v>1.17</v>
      </c>
      <c r="G89" s="100">
        <v>48.2</v>
      </c>
      <c r="H89" s="100">
        <v>17.989999999999998</v>
      </c>
      <c r="I89" s="100">
        <v>14.5</v>
      </c>
      <c r="J89" s="100">
        <v>0.19</v>
      </c>
      <c r="K89" s="100">
        <v>193.15</v>
      </c>
      <c r="L89" s="100">
        <v>18.89</v>
      </c>
      <c r="M89" s="100">
        <v>74.73</v>
      </c>
      <c r="N89" s="100">
        <v>17.8</v>
      </c>
      <c r="O89" s="100">
        <v>0</v>
      </c>
      <c r="P89" s="100">
        <v>0.91</v>
      </c>
      <c r="Q89" s="100">
        <v>9.32</v>
      </c>
      <c r="R89" s="6"/>
      <c r="S89" s="6"/>
      <c r="T89" s="156"/>
      <c r="U89" s="6"/>
    </row>
    <row r="90" spans="1:21" customFormat="1">
      <c r="A90" s="163" t="s">
        <v>2152</v>
      </c>
      <c r="B90" s="100">
        <v>13.45</v>
      </c>
      <c r="C90" s="100">
        <v>21.74</v>
      </c>
      <c r="D90" s="100">
        <v>22.15</v>
      </c>
      <c r="E90" s="100">
        <v>5.79</v>
      </c>
      <c r="F90" s="100">
        <v>1.36</v>
      </c>
      <c r="G90" s="100">
        <v>48.43</v>
      </c>
      <c r="H90" s="100">
        <v>17.989999999999998</v>
      </c>
      <c r="I90" s="100">
        <v>14.96</v>
      </c>
      <c r="J90" s="100">
        <v>0.21</v>
      </c>
      <c r="K90" s="100">
        <v>170.07</v>
      </c>
      <c r="L90" s="100">
        <v>18.57</v>
      </c>
      <c r="M90" s="100">
        <v>73.39</v>
      </c>
      <c r="N90" s="100">
        <v>17.7</v>
      </c>
      <c r="O90" s="100">
        <v>0</v>
      </c>
      <c r="P90" s="100">
        <v>0.93</v>
      </c>
      <c r="Q90" s="100">
        <v>9.32</v>
      </c>
      <c r="R90" s="6"/>
      <c r="S90" s="6"/>
      <c r="T90" s="156"/>
      <c r="U90" s="6"/>
    </row>
    <row r="91" spans="1:21" customFormat="1">
      <c r="A91" s="163" t="s">
        <v>2153</v>
      </c>
      <c r="B91" s="100">
        <v>13.91</v>
      </c>
      <c r="C91" s="100">
        <v>21.5</v>
      </c>
      <c r="D91" s="100">
        <v>22.39</v>
      </c>
      <c r="E91" s="100">
        <v>5.68</v>
      </c>
      <c r="F91" s="100">
        <v>1.29</v>
      </c>
      <c r="G91" s="100">
        <v>48.43</v>
      </c>
      <c r="H91" s="100">
        <v>17.989999999999998</v>
      </c>
      <c r="I91" s="100">
        <v>15.41</v>
      </c>
      <c r="J91" s="100">
        <v>0.22</v>
      </c>
      <c r="K91" s="100">
        <v>170.42</v>
      </c>
      <c r="L91" s="100">
        <v>18.53</v>
      </c>
      <c r="M91" s="100">
        <v>77.98</v>
      </c>
      <c r="N91" s="100">
        <v>17.399999999999999</v>
      </c>
      <c r="O91" s="100">
        <v>0</v>
      </c>
      <c r="P91" s="100">
        <v>0.95</v>
      </c>
      <c r="Q91" s="100">
        <v>9.32</v>
      </c>
      <c r="R91" s="6"/>
      <c r="S91" s="6"/>
      <c r="T91" s="156"/>
      <c r="U91" s="6"/>
    </row>
    <row r="92" spans="1:21" customFormat="1">
      <c r="A92" s="163" t="s">
        <v>2154</v>
      </c>
      <c r="B92" s="100">
        <v>14.36</v>
      </c>
      <c r="C92" s="100">
        <v>21.1</v>
      </c>
      <c r="D92" s="100">
        <v>22.54</v>
      </c>
      <c r="E92" s="100">
        <v>5.89</v>
      </c>
      <c r="F92" s="100">
        <v>1.24</v>
      </c>
      <c r="G92" s="100">
        <v>48.43</v>
      </c>
      <c r="H92" s="100">
        <v>17.989999999999998</v>
      </c>
      <c r="I92" s="100">
        <v>15.8</v>
      </c>
      <c r="J92" s="100">
        <v>0.24</v>
      </c>
      <c r="K92" s="100">
        <v>168</v>
      </c>
      <c r="L92" s="100">
        <v>18.48</v>
      </c>
      <c r="M92" s="100">
        <v>81.39</v>
      </c>
      <c r="N92" s="100">
        <v>17.5</v>
      </c>
      <c r="O92" s="100">
        <v>0</v>
      </c>
      <c r="P92" s="100">
        <v>0.96</v>
      </c>
      <c r="Q92" s="100">
        <v>9.32</v>
      </c>
      <c r="R92" s="6"/>
      <c r="S92" s="6"/>
      <c r="T92" s="156"/>
      <c r="U92" s="6"/>
    </row>
    <row r="93" spans="1:21" customFormat="1">
      <c r="A93" s="163" t="s">
        <v>2155</v>
      </c>
      <c r="B93" s="100">
        <v>14.67</v>
      </c>
      <c r="C93" s="100">
        <v>20.74</v>
      </c>
      <c r="D93" s="100">
        <v>22.6</v>
      </c>
      <c r="E93" s="100">
        <v>5.52</v>
      </c>
      <c r="F93" s="100">
        <v>1.23</v>
      </c>
      <c r="G93" s="100">
        <v>49.27</v>
      </c>
      <c r="H93" s="100">
        <v>18.649999999999999</v>
      </c>
      <c r="I93" s="100">
        <v>16.12</v>
      </c>
      <c r="J93" s="100">
        <v>0.23</v>
      </c>
      <c r="K93" s="100">
        <v>168.7</v>
      </c>
      <c r="L93" s="100">
        <v>18.309999999999999</v>
      </c>
      <c r="M93" s="100">
        <v>82.8</v>
      </c>
      <c r="N93" s="100">
        <v>17.5</v>
      </c>
      <c r="O93" s="100">
        <v>0</v>
      </c>
      <c r="P93" s="100">
        <v>0.96</v>
      </c>
      <c r="Q93" s="100">
        <v>9.32</v>
      </c>
      <c r="R93" s="6"/>
      <c r="S93" s="6"/>
      <c r="T93" s="156"/>
      <c r="U93" s="6"/>
    </row>
    <row r="94" spans="1:21" customFormat="1">
      <c r="A94" s="163" t="s">
        <v>2156</v>
      </c>
      <c r="B94" s="100">
        <v>15.09</v>
      </c>
      <c r="C94" s="100">
        <v>20.45</v>
      </c>
      <c r="D94" s="100">
        <v>22.78</v>
      </c>
      <c r="E94" s="100">
        <v>5.6</v>
      </c>
      <c r="F94" s="100">
        <v>1.38</v>
      </c>
      <c r="G94" s="100">
        <v>49.32</v>
      </c>
      <c r="H94" s="100">
        <v>18.649999999999999</v>
      </c>
      <c r="I94" s="100">
        <v>16.350000000000001</v>
      </c>
      <c r="J94" s="100">
        <v>0.2</v>
      </c>
      <c r="K94" s="100">
        <v>205.63</v>
      </c>
      <c r="L94" s="100">
        <v>18.04</v>
      </c>
      <c r="M94" s="100">
        <v>82.61</v>
      </c>
      <c r="N94" s="100">
        <v>17.7</v>
      </c>
      <c r="O94" s="100">
        <v>0</v>
      </c>
      <c r="P94" s="100">
        <v>0.97</v>
      </c>
      <c r="Q94" s="100">
        <v>9.32</v>
      </c>
      <c r="R94" s="6"/>
      <c r="S94" s="6"/>
      <c r="T94" s="156"/>
      <c r="U94" s="6"/>
    </row>
    <row r="95" spans="1:21" customFormat="1">
      <c r="A95" s="163" t="s">
        <v>2157</v>
      </c>
      <c r="B95" s="100">
        <v>15.55</v>
      </c>
      <c r="C95" s="100">
        <v>20.23</v>
      </c>
      <c r="D95" s="100">
        <v>23.04</v>
      </c>
      <c r="E95" s="100">
        <v>5.49</v>
      </c>
      <c r="F95" s="100">
        <v>1.25</v>
      </c>
      <c r="G95" s="100">
        <v>49.32</v>
      </c>
      <c r="H95" s="100">
        <v>18.649999999999999</v>
      </c>
      <c r="I95" s="100">
        <v>16.489999999999998</v>
      </c>
      <c r="J95" s="100">
        <v>0.15</v>
      </c>
      <c r="K95" s="100">
        <v>171.62</v>
      </c>
      <c r="L95" s="100">
        <v>17.52</v>
      </c>
      <c r="M95" s="100">
        <v>82.92</v>
      </c>
      <c r="N95" s="100">
        <v>17.8</v>
      </c>
      <c r="O95" s="100">
        <v>0</v>
      </c>
      <c r="P95" s="100">
        <v>0.98</v>
      </c>
      <c r="Q95" s="100">
        <v>9.32</v>
      </c>
      <c r="R95" s="6"/>
      <c r="S95" s="6"/>
      <c r="T95" s="156"/>
      <c r="U95" s="6"/>
    </row>
    <row r="96" spans="1:21" customFormat="1">
      <c r="A96" s="163" t="s">
        <v>2158</v>
      </c>
      <c r="B96" s="100">
        <v>15.86</v>
      </c>
      <c r="C96" s="100">
        <v>19.98</v>
      </c>
      <c r="D96" s="100">
        <v>23.16</v>
      </c>
      <c r="E96" s="100">
        <v>5.62</v>
      </c>
      <c r="F96" s="100">
        <v>1.1499999999999999</v>
      </c>
      <c r="G96" s="100">
        <v>49.32</v>
      </c>
      <c r="H96" s="100">
        <v>18.649999999999999</v>
      </c>
      <c r="I96" s="100">
        <v>16.66</v>
      </c>
      <c r="J96" s="100">
        <v>0.11</v>
      </c>
      <c r="K96" s="100">
        <v>128.65</v>
      </c>
      <c r="L96" s="100">
        <v>17.72</v>
      </c>
      <c r="M96" s="100">
        <v>76.650000000000006</v>
      </c>
      <c r="N96" s="100">
        <v>17.5</v>
      </c>
      <c r="O96" s="100">
        <v>0</v>
      </c>
      <c r="P96" s="100">
        <v>0.98</v>
      </c>
      <c r="Q96" s="100">
        <v>9.32</v>
      </c>
      <c r="R96" s="6"/>
      <c r="S96" s="6"/>
      <c r="T96" s="156"/>
      <c r="U96" s="6"/>
    </row>
    <row r="97" spans="1:28" customFormat="1">
      <c r="A97" s="163" t="s">
        <v>2159</v>
      </c>
      <c r="B97" s="100">
        <v>16.809999999999999</v>
      </c>
      <c r="C97" s="100">
        <v>20.14</v>
      </c>
      <c r="D97" s="100">
        <v>24.01</v>
      </c>
      <c r="E97" s="100">
        <v>5.58</v>
      </c>
      <c r="F97" s="100">
        <v>1.36</v>
      </c>
      <c r="G97" s="100">
        <v>45.49</v>
      </c>
      <c r="H97" s="100">
        <v>18.38</v>
      </c>
      <c r="I97" s="100">
        <v>16.850000000000001</v>
      </c>
      <c r="J97" s="100">
        <v>0.14000000000000001</v>
      </c>
      <c r="K97" s="100">
        <v>107.81</v>
      </c>
      <c r="L97" s="100">
        <v>18.62</v>
      </c>
      <c r="M97" s="100">
        <v>64.540000000000006</v>
      </c>
      <c r="N97" s="100">
        <v>16.899999999999999</v>
      </c>
      <c r="O97" s="100">
        <v>0</v>
      </c>
      <c r="P97" s="100">
        <v>0.98</v>
      </c>
      <c r="Q97" s="100">
        <v>9.32</v>
      </c>
      <c r="R97" s="6"/>
      <c r="S97" s="6"/>
      <c r="T97" s="156"/>
      <c r="U97" s="6"/>
    </row>
    <row r="98" spans="1:28" customFormat="1">
      <c r="A98" s="163" t="s">
        <v>2160</v>
      </c>
      <c r="B98" s="100">
        <v>17.37</v>
      </c>
      <c r="C98" s="100">
        <v>20.38</v>
      </c>
      <c r="D98" s="100">
        <v>24.58</v>
      </c>
      <c r="E98" s="100">
        <v>5.82</v>
      </c>
      <c r="F98" s="100">
        <v>1.24</v>
      </c>
      <c r="G98" s="100">
        <v>45.27</v>
      </c>
      <c r="H98" s="100">
        <v>18.38</v>
      </c>
      <c r="I98" s="100">
        <v>17.02</v>
      </c>
      <c r="J98" s="100">
        <v>0.14000000000000001</v>
      </c>
      <c r="K98" s="100">
        <v>84.24</v>
      </c>
      <c r="L98" s="100">
        <v>19.600000000000001</v>
      </c>
      <c r="M98" s="100">
        <v>57.83</v>
      </c>
      <c r="N98" s="100">
        <v>16.899999999999999</v>
      </c>
      <c r="O98" s="100">
        <v>0</v>
      </c>
      <c r="P98" s="100">
        <v>1</v>
      </c>
      <c r="Q98" s="100">
        <v>9.32</v>
      </c>
      <c r="R98" s="6"/>
      <c r="S98" s="6"/>
      <c r="T98" s="156"/>
      <c r="U98" s="6"/>
    </row>
    <row r="99" spans="1:28" customFormat="1">
      <c r="A99" s="163" t="s">
        <v>2161</v>
      </c>
      <c r="B99" s="100">
        <v>17.28</v>
      </c>
      <c r="C99" s="100">
        <v>20.79</v>
      </c>
      <c r="D99" s="100">
        <v>24.72</v>
      </c>
      <c r="E99" s="100">
        <v>5.88</v>
      </c>
      <c r="F99" s="100">
        <v>1.1499999999999999</v>
      </c>
      <c r="G99" s="100">
        <v>45.27</v>
      </c>
      <c r="H99" s="100">
        <v>18.38</v>
      </c>
      <c r="I99" s="100">
        <v>17.16</v>
      </c>
      <c r="J99" s="100">
        <v>0.12</v>
      </c>
      <c r="K99" s="100">
        <v>92.43</v>
      </c>
      <c r="L99" s="100">
        <v>19.63</v>
      </c>
      <c r="M99" s="100">
        <v>57.84</v>
      </c>
      <c r="N99" s="100">
        <v>17.3</v>
      </c>
      <c r="O99" s="100">
        <v>0</v>
      </c>
      <c r="P99" s="100">
        <v>0.98</v>
      </c>
      <c r="Q99" s="100">
        <v>9.32</v>
      </c>
      <c r="R99" s="6"/>
      <c r="S99" s="6"/>
      <c r="T99" s="156"/>
      <c r="U99" s="6"/>
    </row>
    <row r="100" spans="1:28" customFormat="1">
      <c r="A100" s="163" t="s">
        <v>2162</v>
      </c>
      <c r="B100" s="100">
        <v>16.78</v>
      </c>
      <c r="C100" s="100">
        <v>21.02</v>
      </c>
      <c r="D100" s="100">
        <v>24.44</v>
      </c>
      <c r="E100" s="100">
        <v>5.47</v>
      </c>
      <c r="F100" s="100">
        <v>1.28</v>
      </c>
      <c r="G100" s="100">
        <v>45.27</v>
      </c>
      <c r="H100" s="100">
        <v>18.38</v>
      </c>
      <c r="I100" s="100">
        <v>17.2</v>
      </c>
      <c r="J100" s="100">
        <v>0.27</v>
      </c>
      <c r="K100" s="100">
        <v>74.709999999999994</v>
      </c>
      <c r="L100" s="100">
        <v>19.760000000000002</v>
      </c>
      <c r="M100" s="100">
        <v>56.18</v>
      </c>
      <c r="N100" s="100">
        <v>17.399999999999999</v>
      </c>
      <c r="O100" s="100">
        <v>0</v>
      </c>
      <c r="P100" s="100">
        <v>0.97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2163</v>
      </c>
      <c r="B101" s="100">
        <v>16.350000000000001</v>
      </c>
      <c r="C101" s="100">
        <v>21.02</v>
      </c>
      <c r="D101" s="100">
        <v>24.09</v>
      </c>
      <c r="E101" s="100">
        <v>5.81</v>
      </c>
      <c r="F101" s="100">
        <v>1.3</v>
      </c>
      <c r="G101" s="100">
        <v>44.4</v>
      </c>
      <c r="H101" s="100">
        <v>19.350000000000001</v>
      </c>
      <c r="I101" s="100">
        <v>17.059999999999999</v>
      </c>
      <c r="J101" s="100">
        <v>0.21</v>
      </c>
      <c r="K101" s="100">
        <v>81.62</v>
      </c>
      <c r="L101" s="100">
        <v>19.73</v>
      </c>
      <c r="M101" s="100">
        <v>55.79</v>
      </c>
      <c r="N101" s="100">
        <v>17.5</v>
      </c>
      <c r="O101" s="100">
        <v>0</v>
      </c>
      <c r="P101" s="100">
        <v>0.96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2164</v>
      </c>
      <c r="B102" s="100">
        <v>15.96</v>
      </c>
      <c r="C102" s="100">
        <v>21.16</v>
      </c>
      <c r="D102" s="100">
        <v>23.85</v>
      </c>
      <c r="E102" s="100">
        <v>5.81</v>
      </c>
      <c r="F102" s="100">
        <v>1.1599999999999999</v>
      </c>
      <c r="G102" s="100">
        <v>44.34</v>
      </c>
      <c r="H102" s="100">
        <v>19.350000000000001</v>
      </c>
      <c r="I102" s="100">
        <v>16.829999999999998</v>
      </c>
      <c r="J102" s="100">
        <v>0.08</v>
      </c>
      <c r="K102" s="100">
        <v>174.8</v>
      </c>
      <c r="L102" s="100">
        <v>19.43</v>
      </c>
      <c r="M102" s="100">
        <v>58.1</v>
      </c>
      <c r="N102" s="100">
        <v>17.8</v>
      </c>
      <c r="O102" s="100">
        <v>0</v>
      </c>
      <c r="P102" s="100">
        <v>0.94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2165</v>
      </c>
      <c r="B103" s="100">
        <v>15.32</v>
      </c>
      <c r="C103" s="100">
        <v>21.09</v>
      </c>
      <c r="D103" s="100">
        <v>23.31</v>
      </c>
      <c r="E103" s="100">
        <v>5.72</v>
      </c>
      <c r="F103" s="100">
        <v>1.19</v>
      </c>
      <c r="G103" s="100">
        <v>44.34</v>
      </c>
      <c r="H103" s="100">
        <v>19.350000000000001</v>
      </c>
      <c r="I103" s="100">
        <v>16.61</v>
      </c>
      <c r="J103" s="100">
        <v>0.16</v>
      </c>
      <c r="K103" s="100">
        <v>203.84</v>
      </c>
      <c r="L103" s="100">
        <v>18.54</v>
      </c>
      <c r="M103" s="100">
        <v>64.86</v>
      </c>
      <c r="N103" s="100">
        <v>18.100000000000001</v>
      </c>
      <c r="O103" s="100">
        <v>0</v>
      </c>
      <c r="P103" s="100">
        <v>0.9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2166</v>
      </c>
      <c r="B104" s="100">
        <v>14.45</v>
      </c>
      <c r="C104" s="100">
        <v>20.86</v>
      </c>
      <c r="D104" s="100">
        <v>22.49</v>
      </c>
      <c r="E104" s="100">
        <v>5.61</v>
      </c>
      <c r="F104" s="100">
        <v>1.34</v>
      </c>
      <c r="G104" s="100">
        <v>44.34</v>
      </c>
      <c r="H104" s="100">
        <v>19.350000000000001</v>
      </c>
      <c r="I104" s="100">
        <v>16.399999999999999</v>
      </c>
      <c r="J104" s="100">
        <v>0.16</v>
      </c>
      <c r="K104" s="100">
        <v>215.09</v>
      </c>
      <c r="L104" s="100">
        <v>17.87</v>
      </c>
      <c r="M104" s="100">
        <v>69.08</v>
      </c>
      <c r="N104" s="100">
        <v>18</v>
      </c>
      <c r="O104" s="100">
        <v>0</v>
      </c>
      <c r="P104" s="100">
        <v>0.88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3.67</v>
      </c>
      <c r="C106" s="158">
        <f>MIN(C9:C104)</f>
        <v>15.74</v>
      </c>
      <c r="D106" s="158">
        <f t="shared" ref="D106:Q106" si="0">MIN(D9:D104)</f>
        <v>14.25</v>
      </c>
      <c r="E106" s="158">
        <f t="shared" si="0"/>
        <v>3.28</v>
      </c>
      <c r="F106" s="158">
        <f t="shared" si="0"/>
        <v>1.02</v>
      </c>
      <c r="G106" s="158">
        <f t="shared" si="0"/>
        <v>28.19</v>
      </c>
      <c r="H106" s="158">
        <f t="shared" si="0"/>
        <v>13.81</v>
      </c>
      <c r="I106" s="158">
        <f t="shared" si="0"/>
        <v>11.9</v>
      </c>
      <c r="J106" s="158">
        <f t="shared" si="0"/>
        <v>0</v>
      </c>
      <c r="K106" s="158">
        <f t="shared" si="0"/>
        <v>0.63</v>
      </c>
      <c r="L106" s="158">
        <f t="shared" si="0"/>
        <v>14.42</v>
      </c>
      <c r="M106" s="158">
        <f t="shared" si="0"/>
        <v>27.04</v>
      </c>
      <c r="N106" s="158">
        <f t="shared" si="0"/>
        <v>16.899999999999999</v>
      </c>
      <c r="O106" s="158">
        <f t="shared" si="0"/>
        <v>0</v>
      </c>
      <c r="P106" s="158">
        <f t="shared" si="0"/>
        <v>0.67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22.71</v>
      </c>
      <c r="C107" s="157">
        <f t="shared" ref="C107:Q107" si="1">MAX(C9:C104)</f>
        <v>22.59</v>
      </c>
      <c r="D107" s="157">
        <f t="shared" si="1"/>
        <v>27.65</v>
      </c>
      <c r="E107" s="157">
        <f t="shared" si="1"/>
        <v>7.93</v>
      </c>
      <c r="F107" s="157">
        <f t="shared" si="1"/>
        <v>3.28</v>
      </c>
      <c r="G107" s="157">
        <f t="shared" si="1"/>
        <v>49.32</v>
      </c>
      <c r="H107" s="157">
        <f t="shared" si="1"/>
        <v>19.350000000000001</v>
      </c>
      <c r="I107" s="157">
        <f t="shared" si="1"/>
        <v>19.41</v>
      </c>
      <c r="J107" s="157">
        <f t="shared" si="1"/>
        <v>1.04</v>
      </c>
      <c r="K107" s="157">
        <f t="shared" si="1"/>
        <v>359.54</v>
      </c>
      <c r="L107" s="157">
        <f t="shared" si="1"/>
        <v>28.08</v>
      </c>
      <c r="M107" s="157">
        <f t="shared" si="1"/>
        <v>91.26</v>
      </c>
      <c r="N107" s="157">
        <f t="shared" si="1"/>
        <v>548.4</v>
      </c>
      <c r="O107" s="157">
        <f t="shared" si="1"/>
        <v>0</v>
      </c>
      <c r="P107" s="157">
        <f t="shared" si="1"/>
        <v>1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14.323854166666671</v>
      </c>
      <c r="C108" s="158">
        <f t="shared" ref="C108:Q108" si="2">AVERAGE(C9:C104)</f>
        <v>19.656145833333333</v>
      </c>
      <c r="D108" s="158">
        <f t="shared" si="2"/>
        <v>21.756354166666664</v>
      </c>
      <c r="E108" s="158">
        <f t="shared" si="2"/>
        <v>5.7856249999999987</v>
      </c>
      <c r="F108" s="158">
        <f t="shared" si="2"/>
        <v>1.5402083333333334</v>
      </c>
      <c r="G108" s="158">
        <f t="shared" si="2"/>
        <v>37.748854166666682</v>
      </c>
      <c r="H108" s="158">
        <f t="shared" si="2"/>
        <v>16.292916666666674</v>
      </c>
      <c r="I108" s="158">
        <f t="shared" si="2"/>
        <v>15.088124999999996</v>
      </c>
      <c r="J108" s="158">
        <f t="shared" si="2"/>
        <v>0.28281249999999997</v>
      </c>
      <c r="K108" s="158">
        <f t="shared" si="2"/>
        <v>149.33520833333338</v>
      </c>
      <c r="L108" s="158">
        <f t="shared" si="2"/>
        <v>20.490833333333335</v>
      </c>
      <c r="M108" s="158">
        <f t="shared" si="2"/>
        <v>62.946145833333311</v>
      </c>
      <c r="N108" s="158">
        <f t="shared" si="2"/>
        <v>108.09479166666664</v>
      </c>
      <c r="O108" s="158">
        <f t="shared" si="2"/>
        <v>0</v>
      </c>
      <c r="P108" s="158">
        <f t="shared" si="2"/>
        <v>0.80072916666666671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6.0419274320615637</v>
      </c>
      <c r="C109" s="158">
        <f t="shared" ref="C109:Q109" si="3">STDEV(C9:C104)</f>
        <v>1.998987833243657</v>
      </c>
      <c r="D109" s="158">
        <f t="shared" si="3"/>
        <v>4.0931084879707669</v>
      </c>
      <c r="E109" s="158">
        <f t="shared" si="3"/>
        <v>0.85612568248508947</v>
      </c>
      <c r="F109" s="158">
        <f t="shared" si="3"/>
        <v>0.57840612060288266</v>
      </c>
      <c r="G109" s="158">
        <f t="shared" si="3"/>
        <v>6.1894041665093527</v>
      </c>
      <c r="H109" s="158">
        <f t="shared" si="3"/>
        <v>1.4509306753120232</v>
      </c>
      <c r="I109" s="158">
        <f t="shared" si="3"/>
        <v>2.0387789495831297</v>
      </c>
      <c r="J109" s="158">
        <f t="shared" si="3"/>
        <v>0.21485222889967415</v>
      </c>
      <c r="K109" s="158">
        <f t="shared" si="3"/>
        <v>92.440184995819678</v>
      </c>
      <c r="L109" s="158">
        <f t="shared" si="3"/>
        <v>4.8201123958650474</v>
      </c>
      <c r="M109" s="158">
        <f t="shared" si="3"/>
        <v>21.726024286666629</v>
      </c>
      <c r="N109" s="158">
        <f t="shared" si="3"/>
        <v>156.6138391208346</v>
      </c>
      <c r="O109" s="158">
        <f t="shared" si="3"/>
        <v>0</v>
      </c>
      <c r="P109" s="158">
        <f t="shared" si="3"/>
        <v>8.6429098312361549E-2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E14" sqref="E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2167</v>
      </c>
      <c r="B9" s="100">
        <v>13.77</v>
      </c>
      <c r="C9" s="100">
        <v>19.649999999999999</v>
      </c>
      <c r="D9" s="100">
        <v>21.31</v>
      </c>
      <c r="E9" s="100">
        <v>5.81</v>
      </c>
      <c r="F9" s="100">
        <v>1.26</v>
      </c>
      <c r="G9" s="100">
        <v>40.53</v>
      </c>
      <c r="H9" s="100">
        <v>18.73</v>
      </c>
      <c r="I9" s="100">
        <v>16.16</v>
      </c>
      <c r="J9" s="100">
        <v>0.16</v>
      </c>
      <c r="K9" s="100">
        <v>212.6</v>
      </c>
      <c r="L9" s="100">
        <v>17.64</v>
      </c>
      <c r="M9" s="100">
        <v>70.36</v>
      </c>
      <c r="N9" s="100">
        <v>17.8</v>
      </c>
      <c r="O9" s="100">
        <v>0</v>
      </c>
      <c r="P9" s="100">
        <v>0.87</v>
      </c>
      <c r="Q9" s="100">
        <v>9.32</v>
      </c>
      <c r="R9" s="6"/>
      <c r="S9" s="6"/>
      <c r="T9" s="156"/>
      <c r="U9" s="6"/>
    </row>
    <row r="10" spans="1:21" customFormat="1">
      <c r="A10" s="163" t="s">
        <v>2168</v>
      </c>
      <c r="B10" s="100">
        <v>13.59</v>
      </c>
      <c r="C10" s="100">
        <v>20.18</v>
      </c>
      <c r="D10" s="100">
        <v>21.44</v>
      </c>
      <c r="E10" s="100">
        <v>5.72</v>
      </c>
      <c r="F10" s="100">
        <v>1.24</v>
      </c>
      <c r="G10" s="100">
        <v>40.31</v>
      </c>
      <c r="H10" s="100">
        <v>18.73</v>
      </c>
      <c r="I10" s="100">
        <v>16</v>
      </c>
      <c r="J10" s="100">
        <v>0.15</v>
      </c>
      <c r="K10" s="100">
        <v>215.68</v>
      </c>
      <c r="L10" s="100">
        <v>17.399999999999999</v>
      </c>
      <c r="M10" s="100">
        <v>71.95</v>
      </c>
      <c r="N10" s="100">
        <v>17.8</v>
      </c>
      <c r="O10" s="100">
        <v>0</v>
      </c>
      <c r="P10" s="100">
        <v>0.86</v>
      </c>
      <c r="Q10" s="100">
        <v>9.32</v>
      </c>
      <c r="R10" s="6"/>
      <c r="S10" s="6"/>
      <c r="T10" s="156"/>
      <c r="U10" s="6"/>
    </row>
    <row r="11" spans="1:21" customFormat="1">
      <c r="A11" s="163" t="s">
        <v>2169</v>
      </c>
      <c r="B11" s="100">
        <v>13.25</v>
      </c>
      <c r="C11" s="100">
        <v>20.23</v>
      </c>
      <c r="D11" s="100">
        <v>21.19</v>
      </c>
      <c r="E11" s="100">
        <v>5.65</v>
      </c>
      <c r="F11" s="100">
        <v>1.38</v>
      </c>
      <c r="G11" s="100">
        <v>40.31</v>
      </c>
      <c r="H11" s="100">
        <v>18.73</v>
      </c>
      <c r="I11" s="100">
        <v>15.89</v>
      </c>
      <c r="J11" s="100">
        <v>0.17</v>
      </c>
      <c r="K11" s="100">
        <v>180.7</v>
      </c>
      <c r="L11" s="100">
        <v>17.23</v>
      </c>
      <c r="M11" s="100">
        <v>74.599999999999994</v>
      </c>
      <c r="N11" s="100">
        <v>17.600000000000001</v>
      </c>
      <c r="O11" s="100">
        <v>0</v>
      </c>
      <c r="P11" s="100">
        <v>0.84</v>
      </c>
      <c r="Q11" s="100">
        <v>9.32</v>
      </c>
      <c r="R11" s="6"/>
      <c r="S11" s="6"/>
      <c r="T11" s="156"/>
      <c r="U11" s="6"/>
    </row>
    <row r="12" spans="1:21" customFormat="1">
      <c r="A12" s="163" t="s">
        <v>2170</v>
      </c>
      <c r="B12" s="100">
        <v>12.93</v>
      </c>
      <c r="C12" s="100">
        <v>20.100000000000001</v>
      </c>
      <c r="D12" s="100">
        <v>20.87</v>
      </c>
      <c r="E12" s="100">
        <v>5.41</v>
      </c>
      <c r="F12" s="100">
        <v>1.3</v>
      </c>
      <c r="G12" s="100">
        <v>40.31</v>
      </c>
      <c r="H12" s="100">
        <v>18.73</v>
      </c>
      <c r="I12" s="100">
        <v>15.67</v>
      </c>
      <c r="J12" s="100">
        <v>0.14000000000000001</v>
      </c>
      <c r="K12" s="100">
        <v>173.79</v>
      </c>
      <c r="L12" s="100">
        <v>17.14</v>
      </c>
      <c r="M12" s="100">
        <v>80.709999999999994</v>
      </c>
      <c r="N12" s="100">
        <v>17.600000000000001</v>
      </c>
      <c r="O12" s="100">
        <v>0</v>
      </c>
      <c r="P12" s="100">
        <v>0.84</v>
      </c>
      <c r="Q12" s="100">
        <v>9.32</v>
      </c>
      <c r="R12" s="6"/>
      <c r="S12" s="6"/>
      <c r="T12" s="156"/>
      <c r="U12" s="6"/>
    </row>
    <row r="13" spans="1:21" customFormat="1">
      <c r="A13" s="163" t="s">
        <v>2171</v>
      </c>
      <c r="B13" s="100">
        <v>12.83</v>
      </c>
      <c r="C13" s="100">
        <v>19.66</v>
      </c>
      <c r="D13" s="100">
        <v>20.57</v>
      </c>
      <c r="E13" s="100">
        <v>5.73</v>
      </c>
      <c r="F13" s="100">
        <v>1.28</v>
      </c>
      <c r="G13" s="100">
        <v>36.39</v>
      </c>
      <c r="H13" s="100">
        <v>16.71</v>
      </c>
      <c r="I13" s="100">
        <v>14.01</v>
      </c>
      <c r="J13" s="100">
        <v>0.19</v>
      </c>
      <c r="K13" s="100">
        <v>158.56</v>
      </c>
      <c r="L13" s="100">
        <v>16.899999999999999</v>
      </c>
      <c r="M13" s="100">
        <v>79.52</v>
      </c>
      <c r="N13" s="100">
        <v>17.600000000000001</v>
      </c>
      <c r="O13" s="100">
        <v>0</v>
      </c>
      <c r="P13" s="100">
        <v>0.83</v>
      </c>
      <c r="Q13" s="100">
        <v>9.32</v>
      </c>
      <c r="R13" s="6"/>
      <c r="S13" s="6"/>
      <c r="T13" s="156"/>
      <c r="U13" s="6"/>
    </row>
    <row r="14" spans="1:21" customFormat="1">
      <c r="A14" s="163" t="s">
        <v>2172</v>
      </c>
      <c r="B14" s="100">
        <v>13.15</v>
      </c>
      <c r="C14" s="100">
        <v>19.399999999999999</v>
      </c>
      <c r="D14" s="100">
        <v>20.69</v>
      </c>
      <c r="E14" s="100">
        <v>5.61</v>
      </c>
      <c r="F14" s="100">
        <v>1.28</v>
      </c>
      <c r="G14" s="100">
        <v>36.159999999999997</v>
      </c>
      <c r="H14" s="100">
        <v>16.71</v>
      </c>
      <c r="I14" s="100">
        <v>13.84</v>
      </c>
      <c r="J14" s="100">
        <v>0.15</v>
      </c>
      <c r="K14" s="100">
        <v>204.57</v>
      </c>
      <c r="L14" s="100">
        <v>16.920000000000002</v>
      </c>
      <c r="M14" s="100">
        <v>82.44</v>
      </c>
      <c r="N14" s="100">
        <v>17.399999999999999</v>
      </c>
      <c r="O14" s="100">
        <v>0</v>
      </c>
      <c r="P14" s="100">
        <v>0.82</v>
      </c>
      <c r="Q14" s="100">
        <v>9.32</v>
      </c>
      <c r="R14" s="6"/>
      <c r="S14" s="6"/>
      <c r="T14" s="156"/>
      <c r="U14" s="6"/>
    </row>
    <row r="15" spans="1:21" customFormat="1">
      <c r="A15" s="163" t="s">
        <v>2173</v>
      </c>
      <c r="B15" s="100">
        <v>12.99</v>
      </c>
      <c r="C15" s="100">
        <v>18.89</v>
      </c>
      <c r="D15" s="100">
        <v>20.29</v>
      </c>
      <c r="E15" s="100">
        <v>5.55</v>
      </c>
      <c r="F15" s="100">
        <v>1.28</v>
      </c>
      <c r="G15" s="100">
        <v>36.159999999999997</v>
      </c>
      <c r="H15" s="100">
        <v>16.71</v>
      </c>
      <c r="I15" s="100">
        <v>15.38</v>
      </c>
      <c r="J15" s="100">
        <v>0.27</v>
      </c>
      <c r="K15" s="100">
        <v>243.07</v>
      </c>
      <c r="L15" s="100">
        <v>16.48</v>
      </c>
      <c r="M15" s="100">
        <v>83.09</v>
      </c>
      <c r="N15" s="100">
        <v>17.7</v>
      </c>
      <c r="O15" s="100">
        <v>0</v>
      </c>
      <c r="P15" s="100">
        <v>0.81</v>
      </c>
      <c r="Q15" s="100">
        <v>9.32</v>
      </c>
      <c r="R15" s="6"/>
      <c r="S15" s="6"/>
      <c r="T15" s="156"/>
      <c r="U15" s="6"/>
    </row>
    <row r="16" spans="1:21" customFormat="1">
      <c r="A16" s="163" t="s">
        <v>2174</v>
      </c>
      <c r="B16" s="100">
        <v>12.93</v>
      </c>
      <c r="C16" s="100">
        <v>18.600000000000001</v>
      </c>
      <c r="D16" s="100">
        <v>20.079999999999998</v>
      </c>
      <c r="E16" s="100">
        <v>5.45</v>
      </c>
      <c r="F16" s="100">
        <v>1.1000000000000001</v>
      </c>
      <c r="G16" s="100">
        <v>36.159999999999997</v>
      </c>
      <c r="H16" s="100">
        <v>16.71</v>
      </c>
      <c r="I16" s="100">
        <v>15.28</v>
      </c>
      <c r="J16" s="100">
        <v>0.16</v>
      </c>
      <c r="K16" s="100">
        <v>215.2</v>
      </c>
      <c r="L16" s="100">
        <v>16.23</v>
      </c>
      <c r="M16" s="100">
        <v>81.430000000000007</v>
      </c>
      <c r="N16" s="100">
        <v>17.8</v>
      </c>
      <c r="O16" s="100">
        <v>0</v>
      </c>
      <c r="P16" s="100">
        <v>0.82</v>
      </c>
      <c r="Q16" s="100">
        <v>9.32</v>
      </c>
      <c r="R16" s="6"/>
      <c r="S16" s="6"/>
      <c r="T16" s="156"/>
      <c r="U16" s="6"/>
    </row>
    <row r="17" spans="1:21" customFormat="1">
      <c r="A17" s="163" t="s">
        <v>2175</v>
      </c>
      <c r="B17" s="100">
        <v>13.35</v>
      </c>
      <c r="C17" s="100">
        <v>18.57</v>
      </c>
      <c r="D17" s="100">
        <v>20.41</v>
      </c>
      <c r="E17" s="100">
        <v>4.8600000000000003</v>
      </c>
      <c r="F17" s="100">
        <v>1.1399999999999999</v>
      </c>
      <c r="G17" s="100">
        <v>31.28</v>
      </c>
      <c r="H17" s="100">
        <v>15.49</v>
      </c>
      <c r="I17" s="100">
        <v>13.77</v>
      </c>
      <c r="J17" s="100">
        <v>0.16</v>
      </c>
      <c r="K17" s="100">
        <v>153.37</v>
      </c>
      <c r="L17" s="100">
        <v>16.059999999999999</v>
      </c>
      <c r="M17" s="100">
        <v>81.98</v>
      </c>
      <c r="N17" s="100">
        <v>17.7</v>
      </c>
      <c r="O17" s="100">
        <v>0</v>
      </c>
      <c r="P17" s="100">
        <v>0.81</v>
      </c>
      <c r="Q17" s="100">
        <v>9.32</v>
      </c>
      <c r="R17" s="6"/>
      <c r="S17" s="6"/>
      <c r="T17" s="156"/>
      <c r="U17" s="6"/>
    </row>
    <row r="18" spans="1:21" customFormat="1">
      <c r="A18" s="163" t="s">
        <v>2176</v>
      </c>
      <c r="B18" s="100">
        <v>14.19</v>
      </c>
      <c r="C18" s="100">
        <v>18.690000000000001</v>
      </c>
      <c r="D18" s="100">
        <v>21.14</v>
      </c>
      <c r="E18" s="100">
        <v>6.38</v>
      </c>
      <c r="F18" s="100">
        <v>1.1299999999999999</v>
      </c>
      <c r="G18" s="100">
        <v>31</v>
      </c>
      <c r="H18" s="100">
        <v>15.49</v>
      </c>
      <c r="I18" s="100">
        <v>12.17</v>
      </c>
      <c r="J18" s="100">
        <v>0.2</v>
      </c>
      <c r="K18" s="100">
        <v>156.01</v>
      </c>
      <c r="L18" s="100">
        <v>16.239999999999998</v>
      </c>
      <c r="M18" s="100">
        <v>81.99</v>
      </c>
      <c r="N18" s="100">
        <v>17.3</v>
      </c>
      <c r="O18" s="100">
        <v>0</v>
      </c>
      <c r="P18" s="100">
        <v>0.81</v>
      </c>
      <c r="Q18" s="100">
        <v>9.32</v>
      </c>
      <c r="R18" s="6"/>
      <c r="S18" s="6"/>
      <c r="T18" s="156"/>
      <c r="U18" s="6"/>
    </row>
    <row r="19" spans="1:21" customFormat="1">
      <c r="A19" s="163" t="s">
        <v>2177</v>
      </c>
      <c r="B19" s="100">
        <v>15.15</v>
      </c>
      <c r="C19" s="100">
        <v>18.8</v>
      </c>
      <c r="D19" s="100">
        <v>21.98</v>
      </c>
      <c r="E19" s="100">
        <v>6.03</v>
      </c>
      <c r="F19" s="100">
        <v>1.18</v>
      </c>
      <c r="G19" s="100">
        <v>31</v>
      </c>
      <c r="H19" s="100">
        <v>15.49</v>
      </c>
      <c r="I19" s="100">
        <v>12.2</v>
      </c>
      <c r="J19" s="100">
        <v>0.15</v>
      </c>
      <c r="K19" s="100">
        <v>174.95</v>
      </c>
      <c r="L19" s="100">
        <v>16.07</v>
      </c>
      <c r="M19" s="100">
        <v>84.69</v>
      </c>
      <c r="N19" s="100">
        <v>17.399999999999999</v>
      </c>
      <c r="O19" s="100">
        <v>0</v>
      </c>
      <c r="P19" s="100">
        <v>0.81</v>
      </c>
      <c r="Q19" s="100">
        <v>9.32</v>
      </c>
      <c r="R19" s="6"/>
      <c r="S19" s="6"/>
      <c r="T19" s="156"/>
      <c r="U19" s="6"/>
    </row>
    <row r="20" spans="1:21" customFormat="1">
      <c r="A20" s="163" t="s">
        <v>2178</v>
      </c>
      <c r="B20" s="100">
        <v>15.39</v>
      </c>
      <c r="C20" s="100">
        <v>18.579999999999998</v>
      </c>
      <c r="D20" s="100">
        <v>22.05</v>
      </c>
      <c r="E20" s="100">
        <v>5.79</v>
      </c>
      <c r="F20" s="100">
        <v>1.18</v>
      </c>
      <c r="G20" s="100">
        <v>31</v>
      </c>
      <c r="H20" s="100">
        <v>15.49</v>
      </c>
      <c r="I20" s="100">
        <v>12.21</v>
      </c>
      <c r="J20" s="100">
        <v>0.13</v>
      </c>
      <c r="K20" s="100">
        <v>212.59</v>
      </c>
      <c r="L20" s="100">
        <v>15.86</v>
      </c>
      <c r="M20" s="100">
        <v>87.71</v>
      </c>
      <c r="N20" s="100">
        <v>17.5</v>
      </c>
      <c r="O20" s="100">
        <v>0</v>
      </c>
      <c r="P20" s="100">
        <v>0.81</v>
      </c>
      <c r="Q20" s="100">
        <v>9.32</v>
      </c>
      <c r="R20" s="6"/>
      <c r="S20" s="6"/>
      <c r="T20" s="156"/>
      <c r="U20" s="6"/>
    </row>
    <row r="21" spans="1:21" customFormat="1">
      <c r="A21" s="163" t="s">
        <v>2179</v>
      </c>
      <c r="B21" s="100">
        <v>15.21</v>
      </c>
      <c r="C21" s="100">
        <v>18.11</v>
      </c>
      <c r="D21" s="100">
        <v>21.66</v>
      </c>
      <c r="E21" s="100">
        <v>6.1</v>
      </c>
      <c r="F21" s="100">
        <v>1.08</v>
      </c>
      <c r="G21" s="100">
        <v>30.89</v>
      </c>
      <c r="H21" s="100">
        <v>15.57</v>
      </c>
      <c r="I21" s="100">
        <v>12.19</v>
      </c>
      <c r="J21" s="100">
        <v>0.16</v>
      </c>
      <c r="K21" s="100">
        <v>172.55</v>
      </c>
      <c r="L21" s="100">
        <v>15.59</v>
      </c>
      <c r="M21" s="100">
        <v>87.87</v>
      </c>
      <c r="N21" s="100">
        <v>17.5</v>
      </c>
      <c r="O21" s="100">
        <v>0</v>
      </c>
      <c r="P21" s="100">
        <v>0.81</v>
      </c>
      <c r="Q21" s="100">
        <v>9.32</v>
      </c>
      <c r="R21" s="6"/>
      <c r="S21" s="6"/>
      <c r="T21" s="156"/>
      <c r="U21" s="6"/>
    </row>
    <row r="22" spans="1:21" customFormat="1">
      <c r="A22" s="163" t="s">
        <v>2180</v>
      </c>
      <c r="B22" s="100">
        <v>14.91</v>
      </c>
      <c r="C22" s="100">
        <v>17.809999999999999</v>
      </c>
      <c r="D22" s="100">
        <v>21.26</v>
      </c>
      <c r="E22" s="100">
        <v>5.95</v>
      </c>
      <c r="F22" s="100">
        <v>1.1100000000000001</v>
      </c>
      <c r="G22" s="100">
        <v>30.89</v>
      </c>
      <c r="H22" s="100">
        <v>15.57</v>
      </c>
      <c r="I22" s="100">
        <v>12.17</v>
      </c>
      <c r="J22" s="100">
        <v>0.19</v>
      </c>
      <c r="K22" s="100">
        <v>207.95</v>
      </c>
      <c r="L22" s="100">
        <v>15.53</v>
      </c>
      <c r="M22" s="100">
        <v>89.27</v>
      </c>
      <c r="N22" s="100">
        <v>17.5</v>
      </c>
      <c r="O22" s="100">
        <v>0</v>
      </c>
      <c r="P22" s="100">
        <v>0.8</v>
      </c>
      <c r="Q22" s="100">
        <v>9.32</v>
      </c>
      <c r="R22" s="6"/>
      <c r="S22" s="6"/>
      <c r="T22" s="156"/>
      <c r="U22" s="6"/>
    </row>
    <row r="23" spans="1:21" customFormat="1">
      <c r="A23" s="163" t="s">
        <v>2181</v>
      </c>
      <c r="B23" s="100">
        <v>14.59</v>
      </c>
      <c r="C23" s="100">
        <v>17.559999999999999</v>
      </c>
      <c r="D23" s="100">
        <v>20.88</v>
      </c>
      <c r="E23" s="100">
        <v>6.01</v>
      </c>
      <c r="F23" s="100">
        <v>1.36</v>
      </c>
      <c r="G23" s="100">
        <v>30.89</v>
      </c>
      <c r="H23" s="100">
        <v>15.57</v>
      </c>
      <c r="I23" s="100">
        <v>12.18</v>
      </c>
      <c r="J23" s="100">
        <v>0.17</v>
      </c>
      <c r="K23" s="100">
        <v>205.61</v>
      </c>
      <c r="L23" s="100">
        <v>15.21</v>
      </c>
      <c r="M23" s="100">
        <v>89.43</v>
      </c>
      <c r="N23" s="100">
        <v>17.600000000000001</v>
      </c>
      <c r="O23" s="100">
        <v>0</v>
      </c>
      <c r="P23" s="100">
        <v>0.8</v>
      </c>
      <c r="Q23" s="100">
        <v>9.32</v>
      </c>
      <c r="R23" s="6"/>
      <c r="S23" s="6"/>
      <c r="T23" s="156"/>
      <c r="U23" s="6"/>
    </row>
    <row r="24" spans="1:21" customFormat="1">
      <c r="A24" s="163" t="s">
        <v>2182</v>
      </c>
      <c r="B24" s="100">
        <v>14.22</v>
      </c>
      <c r="C24" s="100">
        <v>17.29</v>
      </c>
      <c r="D24" s="100">
        <v>20.440000000000001</v>
      </c>
      <c r="E24" s="100">
        <v>6.02</v>
      </c>
      <c r="F24" s="100">
        <v>1.4</v>
      </c>
      <c r="G24" s="100">
        <v>30.89</v>
      </c>
      <c r="H24" s="100">
        <v>15.57</v>
      </c>
      <c r="I24" s="100">
        <v>12.18</v>
      </c>
      <c r="J24" s="100">
        <v>0.1</v>
      </c>
      <c r="K24" s="100">
        <v>155.72999999999999</v>
      </c>
      <c r="L24" s="100">
        <v>14.76</v>
      </c>
      <c r="M24" s="100">
        <v>88.93</v>
      </c>
      <c r="N24" s="100">
        <v>17.8</v>
      </c>
      <c r="O24" s="100">
        <v>0</v>
      </c>
      <c r="P24" s="100">
        <v>0.8</v>
      </c>
      <c r="Q24" s="100">
        <v>9.32</v>
      </c>
      <c r="R24" s="6"/>
      <c r="S24" s="6"/>
      <c r="T24" s="156"/>
      <c r="U24" s="6"/>
    </row>
    <row r="25" spans="1:21" customFormat="1">
      <c r="A25" s="163" t="s">
        <v>2183</v>
      </c>
      <c r="B25" s="100">
        <v>13.82</v>
      </c>
      <c r="C25" s="100">
        <v>16.760000000000002</v>
      </c>
      <c r="D25" s="100">
        <v>19.84</v>
      </c>
      <c r="E25" s="100">
        <v>6</v>
      </c>
      <c r="F25" s="100">
        <v>1.25</v>
      </c>
      <c r="G25" s="100">
        <v>27.43</v>
      </c>
      <c r="H25" s="100">
        <v>16.14</v>
      </c>
      <c r="I25" s="100">
        <v>12.17</v>
      </c>
      <c r="J25" s="100">
        <v>0.12</v>
      </c>
      <c r="K25" s="100">
        <v>198.2</v>
      </c>
      <c r="L25" s="100">
        <v>14.64</v>
      </c>
      <c r="M25" s="100">
        <v>89.32</v>
      </c>
      <c r="N25" s="100">
        <v>17.5</v>
      </c>
      <c r="O25" s="100">
        <v>0</v>
      </c>
      <c r="P25" s="100">
        <v>0.79</v>
      </c>
      <c r="Q25" s="100">
        <v>9.32</v>
      </c>
      <c r="R25" s="6"/>
      <c r="S25" s="6"/>
      <c r="T25" s="156"/>
      <c r="U25" s="6"/>
    </row>
    <row r="26" spans="1:21" customFormat="1">
      <c r="A26" s="163" t="s">
        <v>2184</v>
      </c>
      <c r="B26" s="100">
        <v>13.34</v>
      </c>
      <c r="C26" s="100">
        <v>16.399999999999999</v>
      </c>
      <c r="D26" s="100">
        <v>19.27</v>
      </c>
      <c r="E26" s="100">
        <v>5.99</v>
      </c>
      <c r="F26" s="100">
        <v>1.33</v>
      </c>
      <c r="G26" s="100">
        <v>27.23</v>
      </c>
      <c r="H26" s="100">
        <v>16.14</v>
      </c>
      <c r="I26" s="100">
        <v>12.17</v>
      </c>
      <c r="J26" s="100">
        <v>0.13</v>
      </c>
      <c r="K26" s="100">
        <v>211.35</v>
      </c>
      <c r="L26" s="100">
        <v>14.65</v>
      </c>
      <c r="M26" s="100">
        <v>89.23</v>
      </c>
      <c r="N26" s="100">
        <v>17.399999999999999</v>
      </c>
      <c r="O26" s="100">
        <v>0</v>
      </c>
      <c r="P26" s="100">
        <v>0.79</v>
      </c>
      <c r="Q26" s="100">
        <v>9.32</v>
      </c>
      <c r="R26" s="6"/>
      <c r="S26" s="6"/>
      <c r="T26" s="156"/>
      <c r="U26" s="6"/>
    </row>
    <row r="27" spans="1:21" customFormat="1">
      <c r="A27" s="163" t="s">
        <v>2185</v>
      </c>
      <c r="B27" s="100">
        <v>12.9</v>
      </c>
      <c r="C27" s="100">
        <v>16.11</v>
      </c>
      <c r="D27" s="100">
        <v>18.77</v>
      </c>
      <c r="E27" s="100">
        <v>3.84</v>
      </c>
      <c r="F27" s="100">
        <v>1.26</v>
      </c>
      <c r="G27" s="100">
        <v>27.23</v>
      </c>
      <c r="H27" s="100">
        <v>16.14</v>
      </c>
      <c r="I27" s="100">
        <v>12.16</v>
      </c>
      <c r="J27" s="100">
        <v>0.12</v>
      </c>
      <c r="K27" s="100">
        <v>173.36</v>
      </c>
      <c r="L27" s="100">
        <v>14.54</v>
      </c>
      <c r="M27" s="100">
        <v>89.6</v>
      </c>
      <c r="N27" s="100">
        <v>17.5</v>
      </c>
      <c r="O27" s="100">
        <v>0</v>
      </c>
      <c r="P27" s="100">
        <v>0.8</v>
      </c>
      <c r="Q27" s="100">
        <v>9.32</v>
      </c>
      <c r="R27" s="6"/>
      <c r="S27" s="6"/>
      <c r="T27" s="156"/>
      <c r="U27" s="6"/>
    </row>
    <row r="28" spans="1:21" customFormat="1">
      <c r="A28" s="163" t="s">
        <v>2186</v>
      </c>
      <c r="B28" s="100">
        <v>12.61</v>
      </c>
      <c r="C28" s="100">
        <v>15.68</v>
      </c>
      <c r="D28" s="100">
        <v>18.3</v>
      </c>
      <c r="E28" s="100">
        <v>5.55</v>
      </c>
      <c r="F28" s="100">
        <v>1.36</v>
      </c>
      <c r="G28" s="100">
        <v>27.23</v>
      </c>
      <c r="H28" s="100">
        <v>16.14</v>
      </c>
      <c r="I28" s="100">
        <v>12.16</v>
      </c>
      <c r="J28" s="100">
        <v>0.09</v>
      </c>
      <c r="K28" s="100">
        <v>191.74</v>
      </c>
      <c r="L28" s="100">
        <v>14.53</v>
      </c>
      <c r="M28" s="100">
        <v>90.36</v>
      </c>
      <c r="N28" s="100">
        <v>17.399999999999999</v>
      </c>
      <c r="O28" s="100">
        <v>0</v>
      </c>
      <c r="P28" s="100">
        <v>0.8</v>
      </c>
      <c r="Q28" s="100">
        <v>9.32</v>
      </c>
      <c r="R28" s="6"/>
      <c r="S28" s="6"/>
      <c r="T28" s="156"/>
      <c r="U28" s="6"/>
    </row>
    <row r="29" spans="1:21" customFormat="1">
      <c r="A29" s="163" t="s">
        <v>2187</v>
      </c>
      <c r="B29" s="100">
        <v>12.37</v>
      </c>
      <c r="C29" s="100">
        <v>15.29</v>
      </c>
      <c r="D29" s="100">
        <v>17.899999999999999</v>
      </c>
      <c r="E29" s="100">
        <v>5.55</v>
      </c>
      <c r="F29" s="100">
        <v>1.4</v>
      </c>
      <c r="G29" s="100">
        <v>29.62</v>
      </c>
      <c r="H29" s="100">
        <v>16.05</v>
      </c>
      <c r="I29" s="100">
        <v>12.14</v>
      </c>
      <c r="J29" s="100">
        <v>0.14000000000000001</v>
      </c>
      <c r="K29" s="100">
        <v>191.43</v>
      </c>
      <c r="L29" s="100">
        <v>14.34</v>
      </c>
      <c r="M29" s="100">
        <v>91.54</v>
      </c>
      <c r="N29" s="100">
        <v>17.5</v>
      </c>
      <c r="O29" s="100">
        <v>0</v>
      </c>
      <c r="P29" s="100">
        <v>0.79</v>
      </c>
      <c r="Q29" s="100">
        <v>9.32</v>
      </c>
      <c r="R29" s="6"/>
      <c r="S29" s="6"/>
      <c r="T29" s="156"/>
      <c r="U29" s="6"/>
    </row>
    <row r="30" spans="1:21" customFormat="1">
      <c r="A30" s="163" t="s">
        <v>2188</v>
      </c>
      <c r="B30" s="100">
        <v>12.19</v>
      </c>
      <c r="C30" s="100">
        <v>14.82</v>
      </c>
      <c r="D30" s="100">
        <v>17.510000000000002</v>
      </c>
      <c r="E30" s="100">
        <v>5.86</v>
      </c>
      <c r="F30" s="100">
        <v>1.32</v>
      </c>
      <c r="G30" s="100">
        <v>29.79</v>
      </c>
      <c r="H30" s="100">
        <v>16.05</v>
      </c>
      <c r="I30" s="100">
        <v>12.08</v>
      </c>
      <c r="J30" s="100">
        <v>0.08</v>
      </c>
      <c r="K30" s="100">
        <v>155.18</v>
      </c>
      <c r="L30" s="100">
        <v>14.14</v>
      </c>
      <c r="M30" s="100">
        <v>92.29</v>
      </c>
      <c r="N30" s="100">
        <v>17.600000000000001</v>
      </c>
      <c r="O30" s="100">
        <v>0</v>
      </c>
      <c r="P30" s="100">
        <v>0.78</v>
      </c>
      <c r="Q30" s="100">
        <v>9.32</v>
      </c>
      <c r="R30" s="6"/>
      <c r="S30" s="6"/>
      <c r="T30" s="156"/>
      <c r="U30" s="6"/>
    </row>
    <row r="31" spans="1:21" customFormat="1">
      <c r="A31" s="163" t="s">
        <v>2189</v>
      </c>
      <c r="B31" s="100">
        <v>12.71</v>
      </c>
      <c r="C31" s="100">
        <v>14.85</v>
      </c>
      <c r="D31" s="100">
        <v>17.95</v>
      </c>
      <c r="E31" s="100">
        <v>5.45</v>
      </c>
      <c r="F31" s="100">
        <v>1.22</v>
      </c>
      <c r="G31" s="100">
        <v>29.79</v>
      </c>
      <c r="H31" s="100">
        <v>16.05</v>
      </c>
      <c r="I31" s="100">
        <v>12.04</v>
      </c>
      <c r="J31" s="100">
        <v>0.16</v>
      </c>
      <c r="K31" s="100">
        <v>131.35</v>
      </c>
      <c r="L31" s="100">
        <v>14.13</v>
      </c>
      <c r="M31" s="100">
        <v>91.09</v>
      </c>
      <c r="N31" s="100">
        <v>17.399999999999999</v>
      </c>
      <c r="O31" s="100">
        <v>0</v>
      </c>
      <c r="P31" s="100">
        <v>0.78</v>
      </c>
      <c r="Q31" s="100">
        <v>9.32</v>
      </c>
      <c r="R31" s="6"/>
      <c r="S31" s="6"/>
      <c r="T31" s="156"/>
      <c r="U31" s="6"/>
    </row>
    <row r="32" spans="1:21" customFormat="1">
      <c r="A32" s="163" t="s">
        <v>2190</v>
      </c>
      <c r="B32" s="100">
        <v>15.02</v>
      </c>
      <c r="C32" s="100">
        <v>15.35</v>
      </c>
      <c r="D32" s="100">
        <v>20.07</v>
      </c>
      <c r="E32" s="100">
        <v>5.17</v>
      </c>
      <c r="F32" s="100">
        <v>1.35</v>
      </c>
      <c r="G32" s="100">
        <v>29.79</v>
      </c>
      <c r="H32" s="100">
        <v>16.05</v>
      </c>
      <c r="I32" s="100">
        <v>12.02</v>
      </c>
      <c r="J32" s="100">
        <v>0.16</v>
      </c>
      <c r="K32" s="100">
        <v>150.69</v>
      </c>
      <c r="L32" s="100">
        <v>14.17</v>
      </c>
      <c r="M32" s="100">
        <v>90.18</v>
      </c>
      <c r="N32" s="100">
        <v>17.399999999999999</v>
      </c>
      <c r="O32" s="100">
        <v>0</v>
      </c>
      <c r="P32" s="100">
        <v>0.79</v>
      </c>
      <c r="Q32" s="100">
        <v>9.32</v>
      </c>
      <c r="R32" s="6"/>
      <c r="S32" s="6"/>
      <c r="T32" s="156"/>
      <c r="U32" s="6"/>
    </row>
    <row r="33" spans="1:21" customFormat="1">
      <c r="A33" s="163" t="s">
        <v>2191</v>
      </c>
      <c r="B33" s="100">
        <v>16.61</v>
      </c>
      <c r="C33" s="100">
        <v>15.78</v>
      </c>
      <c r="D33" s="100">
        <v>21.57</v>
      </c>
      <c r="E33" s="100">
        <v>5.22</v>
      </c>
      <c r="F33" s="100">
        <v>1.1200000000000001</v>
      </c>
      <c r="G33" s="100">
        <v>28.8</v>
      </c>
      <c r="H33" s="100">
        <v>15.46</v>
      </c>
      <c r="I33" s="100">
        <v>12.07</v>
      </c>
      <c r="J33" s="100">
        <v>0.16</v>
      </c>
      <c r="K33" s="100">
        <v>150.76</v>
      </c>
      <c r="L33" s="100">
        <v>14.17</v>
      </c>
      <c r="M33" s="100">
        <v>89.94</v>
      </c>
      <c r="N33" s="100">
        <v>17.399999999999999</v>
      </c>
      <c r="O33" s="100">
        <v>0</v>
      </c>
      <c r="P33" s="100">
        <v>0.79</v>
      </c>
      <c r="Q33" s="100">
        <v>9.32</v>
      </c>
      <c r="R33" s="6"/>
      <c r="S33" s="6"/>
      <c r="T33" s="156"/>
      <c r="U33" s="6"/>
    </row>
    <row r="34" spans="1:21" customFormat="1">
      <c r="A34" s="163" t="s">
        <v>2192</v>
      </c>
      <c r="B34" s="100">
        <v>17.77</v>
      </c>
      <c r="C34" s="100">
        <v>15.91</v>
      </c>
      <c r="D34" s="100">
        <v>22.56</v>
      </c>
      <c r="E34" s="100">
        <v>5.66</v>
      </c>
      <c r="F34" s="100">
        <v>1.22</v>
      </c>
      <c r="G34" s="100">
        <v>28.74</v>
      </c>
      <c r="H34" s="100">
        <v>15.46</v>
      </c>
      <c r="I34" s="100">
        <v>12.16</v>
      </c>
      <c r="J34" s="100">
        <v>0.11</v>
      </c>
      <c r="K34" s="100">
        <v>166.57</v>
      </c>
      <c r="L34" s="100">
        <v>13.98</v>
      </c>
      <c r="M34" s="100">
        <v>90.33</v>
      </c>
      <c r="N34" s="100">
        <v>18.3</v>
      </c>
      <c r="O34" s="100">
        <v>0</v>
      </c>
      <c r="P34" s="100">
        <v>0.78</v>
      </c>
      <c r="Q34" s="100">
        <v>9.32</v>
      </c>
      <c r="R34" s="6"/>
      <c r="S34" s="6"/>
      <c r="T34" s="156"/>
      <c r="U34" s="6"/>
    </row>
    <row r="35" spans="1:21" customFormat="1">
      <c r="A35" s="163" t="s">
        <v>2193</v>
      </c>
      <c r="B35" s="100">
        <v>20.72</v>
      </c>
      <c r="C35" s="100">
        <v>16.64</v>
      </c>
      <c r="D35" s="100">
        <v>25.31</v>
      </c>
      <c r="E35" s="100">
        <v>5.55</v>
      </c>
      <c r="F35" s="100">
        <v>1.24</v>
      </c>
      <c r="G35" s="100">
        <v>28.74</v>
      </c>
      <c r="H35" s="100">
        <v>15.46</v>
      </c>
      <c r="I35" s="100">
        <v>12.22</v>
      </c>
      <c r="J35" s="100">
        <v>0.15</v>
      </c>
      <c r="K35" s="100">
        <v>221.7</v>
      </c>
      <c r="L35" s="100">
        <v>13.97</v>
      </c>
      <c r="M35" s="100">
        <v>90.54</v>
      </c>
      <c r="N35" s="100">
        <v>22</v>
      </c>
      <c r="O35" s="100">
        <v>0</v>
      </c>
      <c r="P35" s="100">
        <v>0.79</v>
      </c>
      <c r="Q35" s="100">
        <v>9.32</v>
      </c>
      <c r="R35" s="6"/>
      <c r="S35" s="6"/>
      <c r="T35" s="156"/>
      <c r="U35" s="6"/>
    </row>
    <row r="36" spans="1:21" customFormat="1">
      <c r="A36" s="163" t="s">
        <v>2194</v>
      </c>
      <c r="B36" s="100">
        <v>23.82</v>
      </c>
      <c r="C36" s="100">
        <v>17.43</v>
      </c>
      <c r="D36" s="100">
        <v>28.2</v>
      </c>
      <c r="E36" s="100">
        <v>5.66</v>
      </c>
      <c r="F36" s="100">
        <v>1.22</v>
      </c>
      <c r="G36" s="100">
        <v>28.74</v>
      </c>
      <c r="H36" s="100">
        <v>15.46</v>
      </c>
      <c r="I36" s="100">
        <v>12.31</v>
      </c>
      <c r="J36" s="100">
        <v>0.13</v>
      </c>
      <c r="K36" s="100">
        <v>195.71</v>
      </c>
      <c r="L36" s="100">
        <v>14.03</v>
      </c>
      <c r="M36" s="100">
        <v>90.21</v>
      </c>
      <c r="N36" s="100">
        <v>30.1</v>
      </c>
      <c r="O36" s="100">
        <v>0</v>
      </c>
      <c r="P36" s="100">
        <v>0.81</v>
      </c>
      <c r="Q36" s="100">
        <v>9.32</v>
      </c>
      <c r="R36" s="6"/>
      <c r="S36" s="6"/>
      <c r="T36" s="156"/>
      <c r="U36" s="6"/>
    </row>
    <row r="37" spans="1:21" customFormat="1">
      <c r="A37" s="163" t="s">
        <v>2195</v>
      </c>
      <c r="B37" s="100">
        <v>26.09</v>
      </c>
      <c r="C37" s="100">
        <v>17.84</v>
      </c>
      <c r="D37" s="100">
        <v>30.25</v>
      </c>
      <c r="E37" s="100">
        <v>5.48</v>
      </c>
      <c r="F37" s="100">
        <v>1.3</v>
      </c>
      <c r="G37" s="100">
        <v>30.98</v>
      </c>
      <c r="H37" s="100">
        <v>17.47</v>
      </c>
      <c r="I37" s="100">
        <v>12.5</v>
      </c>
      <c r="J37" s="100">
        <v>0.13</v>
      </c>
      <c r="K37" s="100">
        <v>177.37</v>
      </c>
      <c r="L37" s="100">
        <v>14.39</v>
      </c>
      <c r="M37" s="100">
        <v>91.1</v>
      </c>
      <c r="N37" s="100">
        <v>38.799999999999997</v>
      </c>
      <c r="O37" s="100">
        <v>0</v>
      </c>
      <c r="P37" s="100">
        <v>0.82</v>
      </c>
      <c r="Q37" s="100">
        <v>9.32</v>
      </c>
      <c r="R37" s="6"/>
      <c r="S37" s="6"/>
      <c r="T37" s="156"/>
      <c r="U37" s="6"/>
    </row>
    <row r="38" spans="1:21" customFormat="1">
      <c r="A38" s="163" t="s">
        <v>2196</v>
      </c>
      <c r="B38" s="100">
        <v>26.99</v>
      </c>
      <c r="C38" s="100">
        <v>17.690000000000001</v>
      </c>
      <c r="D38" s="100">
        <v>30.89</v>
      </c>
      <c r="E38" s="100">
        <v>5.52</v>
      </c>
      <c r="F38" s="100">
        <v>1.2</v>
      </c>
      <c r="G38" s="100">
        <v>31.11</v>
      </c>
      <c r="H38" s="100">
        <v>17.47</v>
      </c>
      <c r="I38" s="100">
        <v>12.88</v>
      </c>
      <c r="J38" s="100">
        <v>0.16</v>
      </c>
      <c r="K38" s="100">
        <v>214.47</v>
      </c>
      <c r="L38" s="100">
        <v>14.84</v>
      </c>
      <c r="M38" s="100">
        <v>92.23</v>
      </c>
      <c r="N38" s="100">
        <v>50.3</v>
      </c>
      <c r="O38" s="100">
        <v>0</v>
      </c>
      <c r="P38" s="100">
        <v>0.82</v>
      </c>
      <c r="Q38" s="100">
        <v>9.32</v>
      </c>
      <c r="R38" s="6"/>
      <c r="S38" s="6"/>
      <c r="T38" s="156"/>
      <c r="U38" s="6"/>
    </row>
    <row r="39" spans="1:21" customFormat="1">
      <c r="A39" s="163" t="s">
        <v>2197</v>
      </c>
      <c r="B39" s="100">
        <v>27.36</v>
      </c>
      <c r="C39" s="100">
        <v>17.63</v>
      </c>
      <c r="D39" s="100">
        <v>31.15</v>
      </c>
      <c r="E39" s="100">
        <v>5.51</v>
      </c>
      <c r="F39" s="100">
        <v>1.19</v>
      </c>
      <c r="G39" s="100">
        <v>31.11</v>
      </c>
      <c r="H39" s="100">
        <v>17.47</v>
      </c>
      <c r="I39" s="100">
        <v>13.28</v>
      </c>
      <c r="J39" s="100">
        <v>0.17</v>
      </c>
      <c r="K39" s="100">
        <v>180.53</v>
      </c>
      <c r="L39" s="100">
        <v>15.42</v>
      </c>
      <c r="M39" s="100">
        <v>90.41</v>
      </c>
      <c r="N39" s="100">
        <v>63.4</v>
      </c>
      <c r="O39" s="100">
        <v>0</v>
      </c>
      <c r="P39" s="100">
        <v>0.82</v>
      </c>
      <c r="Q39" s="100">
        <v>9.32</v>
      </c>
      <c r="R39" s="6"/>
      <c r="S39" s="6"/>
      <c r="T39" s="156"/>
      <c r="U39" s="6"/>
    </row>
    <row r="40" spans="1:21" customFormat="1">
      <c r="A40" s="163" t="s">
        <v>2198</v>
      </c>
      <c r="B40" s="100">
        <v>27.91</v>
      </c>
      <c r="C40" s="100">
        <v>17.71</v>
      </c>
      <c r="D40" s="100">
        <v>31.63</v>
      </c>
      <c r="E40" s="100">
        <v>5.82</v>
      </c>
      <c r="F40" s="100">
        <v>1.1299999999999999</v>
      </c>
      <c r="G40" s="100">
        <v>31.11</v>
      </c>
      <c r="H40" s="100">
        <v>17.47</v>
      </c>
      <c r="I40" s="100">
        <v>13.42</v>
      </c>
      <c r="J40" s="100">
        <v>0.17</v>
      </c>
      <c r="K40" s="100">
        <v>70.77</v>
      </c>
      <c r="L40" s="100">
        <v>16.260000000000002</v>
      </c>
      <c r="M40" s="100">
        <v>86.14</v>
      </c>
      <c r="N40" s="100">
        <v>75.099999999999994</v>
      </c>
      <c r="O40" s="100">
        <v>0</v>
      </c>
      <c r="P40" s="100">
        <v>0.82</v>
      </c>
      <c r="Q40" s="100">
        <v>9.32</v>
      </c>
      <c r="R40" s="6"/>
      <c r="S40" s="6"/>
      <c r="T40" s="156"/>
      <c r="U40" s="6"/>
    </row>
    <row r="41" spans="1:21" customFormat="1">
      <c r="A41" s="163" t="s">
        <v>2199</v>
      </c>
      <c r="B41" s="100">
        <v>27.97</v>
      </c>
      <c r="C41" s="100">
        <v>18.11</v>
      </c>
      <c r="D41" s="100">
        <v>31.9</v>
      </c>
      <c r="E41" s="100">
        <v>5.62</v>
      </c>
      <c r="F41" s="100">
        <v>1.03</v>
      </c>
      <c r="G41" s="100">
        <v>31.79</v>
      </c>
      <c r="H41" s="100">
        <v>17.170000000000002</v>
      </c>
      <c r="I41" s="100">
        <v>13.51</v>
      </c>
      <c r="J41" s="100">
        <v>0.47</v>
      </c>
      <c r="K41" s="100">
        <v>50.14</v>
      </c>
      <c r="L41" s="100">
        <v>17.510000000000002</v>
      </c>
      <c r="M41" s="100">
        <v>73.569999999999993</v>
      </c>
      <c r="N41" s="100">
        <v>137.1</v>
      </c>
      <c r="O41" s="100">
        <v>0</v>
      </c>
      <c r="P41" s="100">
        <v>0.83</v>
      </c>
      <c r="Q41" s="100">
        <v>9.32</v>
      </c>
      <c r="R41" s="6"/>
      <c r="S41" s="6"/>
      <c r="T41" s="156"/>
      <c r="U41" s="6"/>
    </row>
    <row r="42" spans="1:21" customFormat="1">
      <c r="A42" s="163" t="s">
        <v>2200</v>
      </c>
      <c r="B42" s="100">
        <v>27.52</v>
      </c>
      <c r="C42" s="100">
        <v>18.87</v>
      </c>
      <c r="D42" s="100">
        <v>31.93</v>
      </c>
      <c r="E42" s="100">
        <v>5.81</v>
      </c>
      <c r="F42" s="100">
        <v>1.19</v>
      </c>
      <c r="G42" s="100">
        <v>31.83</v>
      </c>
      <c r="H42" s="100">
        <v>17.170000000000002</v>
      </c>
      <c r="I42" s="100">
        <v>13.62</v>
      </c>
      <c r="J42" s="100">
        <v>0.41</v>
      </c>
      <c r="K42" s="100">
        <v>43.19</v>
      </c>
      <c r="L42" s="100">
        <v>18.37</v>
      </c>
      <c r="M42" s="100">
        <v>68.13</v>
      </c>
      <c r="N42" s="100">
        <v>199.9</v>
      </c>
      <c r="O42" s="100">
        <v>0</v>
      </c>
      <c r="P42" s="100">
        <v>0.85</v>
      </c>
      <c r="Q42" s="100">
        <v>9.32</v>
      </c>
      <c r="R42" s="6"/>
      <c r="S42" s="6"/>
      <c r="T42" s="156"/>
      <c r="U42" s="6"/>
    </row>
    <row r="43" spans="1:21" customFormat="1">
      <c r="A43" s="163" t="s">
        <v>2201</v>
      </c>
      <c r="B43" s="100">
        <v>27</v>
      </c>
      <c r="C43" s="100">
        <v>19.38</v>
      </c>
      <c r="D43" s="100">
        <v>31.78</v>
      </c>
      <c r="E43" s="100">
        <v>6.23</v>
      </c>
      <c r="F43" s="100">
        <v>1.28</v>
      </c>
      <c r="G43" s="100">
        <v>31.83</v>
      </c>
      <c r="H43" s="100">
        <v>17.170000000000002</v>
      </c>
      <c r="I43" s="100">
        <v>13.72</v>
      </c>
      <c r="J43" s="100">
        <v>0.22</v>
      </c>
      <c r="K43" s="100">
        <v>65.69</v>
      </c>
      <c r="L43" s="100">
        <v>19.48</v>
      </c>
      <c r="M43" s="100">
        <v>63.79</v>
      </c>
      <c r="N43" s="100">
        <v>229.6</v>
      </c>
      <c r="O43" s="100">
        <v>0</v>
      </c>
      <c r="P43" s="100">
        <v>0.85</v>
      </c>
      <c r="Q43" s="100">
        <v>9.32</v>
      </c>
      <c r="R43" s="6"/>
      <c r="S43" s="6"/>
      <c r="T43" s="156"/>
      <c r="U43" s="6"/>
    </row>
    <row r="44" spans="1:21" customFormat="1">
      <c r="A44" s="163" t="s">
        <v>2202</v>
      </c>
      <c r="B44" s="100">
        <v>26.36</v>
      </c>
      <c r="C44" s="100">
        <v>19.850000000000001</v>
      </c>
      <c r="D44" s="100">
        <v>31.51</v>
      </c>
      <c r="E44" s="100">
        <v>6.22</v>
      </c>
      <c r="F44" s="100">
        <v>1.24</v>
      </c>
      <c r="G44" s="100">
        <v>31.83</v>
      </c>
      <c r="H44" s="100">
        <v>17.170000000000002</v>
      </c>
      <c r="I44" s="100">
        <v>13.77</v>
      </c>
      <c r="J44" s="100">
        <v>0.24</v>
      </c>
      <c r="K44" s="100">
        <v>116.49</v>
      </c>
      <c r="L44" s="100">
        <v>20.61</v>
      </c>
      <c r="M44" s="100">
        <v>59.77</v>
      </c>
      <c r="N44" s="100">
        <v>249.5</v>
      </c>
      <c r="O44" s="100">
        <v>0</v>
      </c>
      <c r="P44" s="100">
        <v>0.85</v>
      </c>
      <c r="Q44" s="100">
        <v>9.32</v>
      </c>
      <c r="R44" s="6"/>
      <c r="S44" s="6"/>
      <c r="T44" s="156"/>
      <c r="U44" s="6"/>
    </row>
    <row r="45" spans="1:21" customFormat="1">
      <c r="A45" s="163" t="s">
        <v>2203</v>
      </c>
      <c r="B45" s="100">
        <v>25.62</v>
      </c>
      <c r="C45" s="100">
        <v>20.25</v>
      </c>
      <c r="D45" s="100">
        <v>31.13</v>
      </c>
      <c r="E45" s="100">
        <v>5.98</v>
      </c>
      <c r="F45" s="100">
        <v>1.33</v>
      </c>
      <c r="G45" s="100">
        <v>36.880000000000003</v>
      </c>
      <c r="H45" s="100">
        <v>19.53</v>
      </c>
      <c r="I45" s="100">
        <v>13.79</v>
      </c>
      <c r="J45" s="100">
        <v>0.18</v>
      </c>
      <c r="K45" s="100">
        <v>77.75</v>
      </c>
      <c r="L45" s="100">
        <v>21.61</v>
      </c>
      <c r="M45" s="100">
        <v>56.43</v>
      </c>
      <c r="N45" s="100">
        <v>175.5</v>
      </c>
      <c r="O45" s="100">
        <v>0</v>
      </c>
      <c r="P45" s="100">
        <v>0.84</v>
      </c>
      <c r="Q45" s="100">
        <v>9.32</v>
      </c>
      <c r="R45" s="6"/>
      <c r="S45" s="6"/>
      <c r="T45" s="156"/>
      <c r="U45" s="6"/>
    </row>
    <row r="46" spans="1:21" customFormat="1">
      <c r="A46" s="163" t="s">
        <v>2204</v>
      </c>
      <c r="B46" s="100">
        <v>25.06</v>
      </c>
      <c r="C46" s="100">
        <v>20.29</v>
      </c>
      <c r="D46" s="100">
        <v>30.7</v>
      </c>
      <c r="E46" s="100">
        <v>6.51</v>
      </c>
      <c r="F46" s="100">
        <v>1.31</v>
      </c>
      <c r="G46" s="100">
        <v>37.17</v>
      </c>
      <c r="H46" s="100">
        <v>19.53</v>
      </c>
      <c r="I46" s="100">
        <v>13.83</v>
      </c>
      <c r="J46" s="100">
        <v>0.74</v>
      </c>
      <c r="K46" s="100">
        <v>39.42</v>
      </c>
      <c r="L46" s="100">
        <v>21.96</v>
      </c>
      <c r="M46" s="100">
        <v>54.29</v>
      </c>
      <c r="N46" s="100">
        <v>142.30000000000001</v>
      </c>
      <c r="O46" s="100">
        <v>0</v>
      </c>
      <c r="P46" s="100">
        <v>0.83</v>
      </c>
      <c r="Q46" s="100">
        <v>9.32</v>
      </c>
      <c r="R46" s="6"/>
      <c r="S46" s="6"/>
      <c r="T46" s="156"/>
      <c r="U46" s="6"/>
    </row>
    <row r="47" spans="1:21" customFormat="1">
      <c r="A47" s="163" t="s">
        <v>2205</v>
      </c>
      <c r="B47" s="100">
        <v>24.62</v>
      </c>
      <c r="C47" s="100">
        <v>20.65</v>
      </c>
      <c r="D47" s="100">
        <v>30.53</v>
      </c>
      <c r="E47" s="100">
        <v>6.59</v>
      </c>
      <c r="F47" s="100">
        <v>1.28</v>
      </c>
      <c r="G47" s="100">
        <v>37.17</v>
      </c>
      <c r="H47" s="100">
        <v>19.53</v>
      </c>
      <c r="I47" s="100">
        <v>13.91</v>
      </c>
      <c r="J47" s="100">
        <v>0.61</v>
      </c>
      <c r="K47" s="100">
        <v>63.99</v>
      </c>
      <c r="L47" s="100">
        <v>22.52</v>
      </c>
      <c r="M47" s="100">
        <v>50.8</v>
      </c>
      <c r="N47" s="100">
        <v>149.69999999999999</v>
      </c>
      <c r="O47" s="100">
        <v>0</v>
      </c>
      <c r="P47" s="100">
        <v>0.81</v>
      </c>
      <c r="Q47" s="100">
        <v>9.32</v>
      </c>
      <c r="R47" s="6"/>
      <c r="S47" s="6"/>
      <c r="T47" s="156"/>
      <c r="U47" s="6"/>
    </row>
    <row r="48" spans="1:21" customFormat="1">
      <c r="A48" s="163" t="s">
        <v>2206</v>
      </c>
      <c r="B48" s="100">
        <v>24.3</v>
      </c>
      <c r="C48" s="100">
        <v>21</v>
      </c>
      <c r="D48" s="100">
        <v>30.46</v>
      </c>
      <c r="E48" s="100">
        <v>6.74</v>
      </c>
      <c r="F48" s="100">
        <v>1.36</v>
      </c>
      <c r="G48" s="100">
        <v>37.17</v>
      </c>
      <c r="H48" s="100">
        <v>19.53</v>
      </c>
      <c r="I48" s="100">
        <v>16.079999999999998</v>
      </c>
      <c r="J48" s="100">
        <v>0.49</v>
      </c>
      <c r="K48" s="100">
        <v>59.82</v>
      </c>
      <c r="L48" s="100">
        <v>23.35</v>
      </c>
      <c r="M48" s="100">
        <v>46.09</v>
      </c>
      <c r="N48" s="100">
        <v>165</v>
      </c>
      <c r="O48" s="100">
        <v>0</v>
      </c>
      <c r="P48" s="100">
        <v>0.8</v>
      </c>
      <c r="Q48" s="100">
        <v>9.32</v>
      </c>
      <c r="R48" s="6"/>
      <c r="S48" s="6"/>
      <c r="T48" s="156"/>
      <c r="U48" s="6"/>
    </row>
    <row r="49" spans="1:21" customFormat="1">
      <c r="A49" s="163" t="s">
        <v>2207</v>
      </c>
      <c r="B49" s="100">
        <v>24.21</v>
      </c>
      <c r="C49" s="100">
        <v>21.45</v>
      </c>
      <c r="D49" s="100">
        <v>30.62</v>
      </c>
      <c r="E49" s="100">
        <v>4.74</v>
      </c>
      <c r="F49" s="100">
        <v>1.35</v>
      </c>
      <c r="G49" s="100">
        <v>44.11</v>
      </c>
      <c r="H49" s="100">
        <v>20.329999999999998</v>
      </c>
      <c r="I49" s="100">
        <v>18.350000000000001</v>
      </c>
      <c r="J49" s="100">
        <v>0.44</v>
      </c>
      <c r="K49" s="100">
        <v>67.95</v>
      </c>
      <c r="L49" s="100">
        <v>24.07</v>
      </c>
      <c r="M49" s="100">
        <v>42.33</v>
      </c>
      <c r="N49" s="100">
        <v>361.4</v>
      </c>
      <c r="O49" s="100">
        <v>0</v>
      </c>
      <c r="P49" s="100">
        <v>0.78</v>
      </c>
      <c r="Q49" s="100">
        <v>9.32</v>
      </c>
      <c r="R49" s="6"/>
      <c r="S49" s="6"/>
      <c r="T49" s="156"/>
      <c r="U49" s="6"/>
    </row>
    <row r="50" spans="1:21" customFormat="1">
      <c r="A50" s="163" t="s">
        <v>2208</v>
      </c>
      <c r="B50" s="100">
        <v>24.25</v>
      </c>
      <c r="C50" s="100">
        <v>21.91</v>
      </c>
      <c r="D50" s="100">
        <v>30.89</v>
      </c>
      <c r="E50" s="100">
        <v>5.6</v>
      </c>
      <c r="F50" s="100">
        <v>1.45</v>
      </c>
      <c r="G50" s="100">
        <v>44.52</v>
      </c>
      <c r="H50" s="100">
        <v>20.329999999999998</v>
      </c>
      <c r="I50" s="100">
        <v>18.22</v>
      </c>
      <c r="J50" s="100">
        <v>0.72</v>
      </c>
      <c r="K50" s="100">
        <v>50.22</v>
      </c>
      <c r="L50" s="100">
        <v>24.49</v>
      </c>
      <c r="M50" s="100">
        <v>39.11</v>
      </c>
      <c r="N50" s="100">
        <v>444.6</v>
      </c>
      <c r="O50" s="100">
        <v>0</v>
      </c>
      <c r="P50" s="100">
        <v>0.77</v>
      </c>
      <c r="Q50" s="100">
        <v>9.32</v>
      </c>
      <c r="R50" s="6"/>
      <c r="S50" s="6"/>
      <c r="T50" s="156"/>
      <c r="U50" s="6"/>
    </row>
    <row r="51" spans="1:21" customFormat="1">
      <c r="A51" s="163" t="s">
        <v>2209</v>
      </c>
      <c r="B51" s="100">
        <v>24.17</v>
      </c>
      <c r="C51" s="100">
        <v>22.39</v>
      </c>
      <c r="D51" s="100">
        <v>31.08</v>
      </c>
      <c r="E51" s="100">
        <v>6.07</v>
      </c>
      <c r="F51" s="100">
        <v>1.52</v>
      </c>
      <c r="G51" s="100">
        <v>44.52</v>
      </c>
      <c r="H51" s="100">
        <v>20.329999999999998</v>
      </c>
      <c r="I51" s="100">
        <v>18.05</v>
      </c>
      <c r="J51" s="100">
        <v>0.48</v>
      </c>
      <c r="K51" s="100">
        <v>47.52</v>
      </c>
      <c r="L51" s="100">
        <v>24.93</v>
      </c>
      <c r="M51" s="100">
        <v>37.270000000000003</v>
      </c>
      <c r="N51" s="100">
        <v>475.8</v>
      </c>
      <c r="O51" s="100">
        <v>0</v>
      </c>
      <c r="P51" s="100">
        <v>0.75</v>
      </c>
      <c r="Q51" s="100">
        <v>9.32</v>
      </c>
      <c r="R51" s="6"/>
      <c r="S51" s="6"/>
      <c r="T51" s="156"/>
      <c r="U51" s="6"/>
    </row>
    <row r="52" spans="1:21" customFormat="1">
      <c r="A52" s="163" t="s">
        <v>2210</v>
      </c>
      <c r="B52" s="100">
        <v>23.89</v>
      </c>
      <c r="C52" s="100">
        <v>22.75</v>
      </c>
      <c r="D52" s="100">
        <v>31.04</v>
      </c>
      <c r="E52" s="100">
        <v>5.97</v>
      </c>
      <c r="F52" s="100">
        <v>1.45</v>
      </c>
      <c r="G52" s="100">
        <v>44.52</v>
      </c>
      <c r="H52" s="100">
        <v>20.329999999999998</v>
      </c>
      <c r="I52" s="100">
        <v>17.89</v>
      </c>
      <c r="J52" s="100">
        <v>0.61</v>
      </c>
      <c r="K52" s="100">
        <v>44.56</v>
      </c>
      <c r="L52" s="100">
        <v>25.52</v>
      </c>
      <c r="M52" s="100">
        <v>35.04</v>
      </c>
      <c r="N52" s="100">
        <v>487.1</v>
      </c>
      <c r="O52" s="100">
        <v>0</v>
      </c>
      <c r="P52" s="100">
        <v>0.74</v>
      </c>
      <c r="Q52" s="100">
        <v>9.32</v>
      </c>
      <c r="R52" s="6"/>
      <c r="S52" s="6"/>
      <c r="T52" s="156"/>
      <c r="U52" s="6"/>
    </row>
    <row r="53" spans="1:21" customFormat="1">
      <c r="A53" s="163" t="s">
        <v>2211</v>
      </c>
      <c r="B53" s="100">
        <v>23.33</v>
      </c>
      <c r="C53" s="100">
        <v>23.05</v>
      </c>
      <c r="D53" s="100">
        <v>30.76</v>
      </c>
      <c r="E53" s="100">
        <v>6.09</v>
      </c>
      <c r="F53" s="100">
        <v>1.44</v>
      </c>
      <c r="G53" s="100">
        <v>45.74</v>
      </c>
      <c r="H53" s="100">
        <v>19.05</v>
      </c>
      <c r="I53" s="100">
        <v>17.62</v>
      </c>
      <c r="J53" s="100">
        <v>0.34</v>
      </c>
      <c r="K53" s="100">
        <v>64.91</v>
      </c>
      <c r="L53" s="100">
        <v>26.17</v>
      </c>
      <c r="M53" s="100">
        <v>34.9</v>
      </c>
      <c r="N53" s="100">
        <v>483.9</v>
      </c>
      <c r="O53" s="100">
        <v>0</v>
      </c>
      <c r="P53" s="100">
        <v>0.72</v>
      </c>
      <c r="Q53" s="100">
        <v>9.32</v>
      </c>
      <c r="R53" s="6"/>
      <c r="S53" s="6"/>
      <c r="T53" s="156"/>
      <c r="U53" s="6"/>
    </row>
    <row r="54" spans="1:21" customFormat="1">
      <c r="A54" s="163" t="s">
        <v>2212</v>
      </c>
      <c r="B54" s="100">
        <v>22.48</v>
      </c>
      <c r="C54" s="100">
        <v>23.24</v>
      </c>
      <c r="D54" s="100">
        <v>30.17</v>
      </c>
      <c r="E54" s="100">
        <v>5.93</v>
      </c>
      <c r="F54" s="100">
        <v>1.38</v>
      </c>
      <c r="G54" s="100">
        <v>45.81</v>
      </c>
      <c r="H54" s="100">
        <v>19.05</v>
      </c>
      <c r="I54" s="100">
        <v>15.31</v>
      </c>
      <c r="J54" s="100">
        <v>0.46</v>
      </c>
      <c r="K54" s="100">
        <v>73.489999999999995</v>
      </c>
      <c r="L54" s="100">
        <v>26.43</v>
      </c>
      <c r="M54" s="100">
        <v>35.200000000000003</v>
      </c>
      <c r="N54" s="100">
        <v>513.1</v>
      </c>
      <c r="O54" s="100">
        <v>0</v>
      </c>
      <c r="P54" s="100">
        <v>0.71</v>
      </c>
      <c r="Q54" s="100">
        <v>9.32</v>
      </c>
      <c r="R54" s="6"/>
      <c r="S54" s="6"/>
      <c r="T54" s="156"/>
      <c r="U54" s="6"/>
    </row>
    <row r="55" spans="1:21" customFormat="1">
      <c r="A55" s="163" t="s">
        <v>2213</v>
      </c>
      <c r="B55" s="100">
        <v>21.39</v>
      </c>
      <c r="C55" s="100">
        <v>23.51</v>
      </c>
      <c r="D55" s="100">
        <v>29.44</v>
      </c>
      <c r="E55" s="100">
        <v>6.34</v>
      </c>
      <c r="F55" s="100">
        <v>1.44</v>
      </c>
      <c r="G55" s="100">
        <v>45.81</v>
      </c>
      <c r="H55" s="100">
        <v>19.05</v>
      </c>
      <c r="I55" s="100">
        <v>12.87</v>
      </c>
      <c r="J55" s="100">
        <v>0.48</v>
      </c>
      <c r="K55" s="100">
        <v>77.63</v>
      </c>
      <c r="L55" s="100">
        <v>26.7</v>
      </c>
      <c r="M55" s="100">
        <v>33.72</v>
      </c>
      <c r="N55" s="100">
        <v>477</v>
      </c>
      <c r="O55" s="100">
        <v>0</v>
      </c>
      <c r="P55" s="100">
        <v>0.7</v>
      </c>
      <c r="Q55" s="100">
        <v>9.32</v>
      </c>
      <c r="R55" s="6"/>
      <c r="S55" s="6"/>
      <c r="T55" s="156"/>
      <c r="U55" s="6"/>
    </row>
    <row r="56" spans="1:21" customFormat="1">
      <c r="A56" s="163" t="s">
        <v>2214</v>
      </c>
      <c r="B56" s="100">
        <v>20.34</v>
      </c>
      <c r="C56" s="100">
        <v>23.77</v>
      </c>
      <c r="D56" s="100">
        <v>28.73</v>
      </c>
      <c r="E56" s="100">
        <v>6.09</v>
      </c>
      <c r="F56" s="100">
        <v>1.46</v>
      </c>
      <c r="G56" s="100">
        <v>45.81</v>
      </c>
      <c r="H56" s="100">
        <v>19.05</v>
      </c>
      <c r="I56" s="100">
        <v>12.64</v>
      </c>
      <c r="J56" s="100">
        <v>0.51</v>
      </c>
      <c r="K56" s="100">
        <v>38.5</v>
      </c>
      <c r="L56" s="100">
        <v>27.2</v>
      </c>
      <c r="M56" s="100">
        <v>32.01</v>
      </c>
      <c r="N56" s="100">
        <v>523.70000000000005</v>
      </c>
      <c r="O56" s="100">
        <v>0</v>
      </c>
      <c r="P56" s="100">
        <v>0.68</v>
      </c>
      <c r="Q56" s="100">
        <v>9.32</v>
      </c>
      <c r="R56" s="6"/>
      <c r="S56" s="6"/>
      <c r="T56" s="156"/>
      <c r="U56" s="6"/>
    </row>
    <row r="57" spans="1:21" customFormat="1">
      <c r="A57" s="163" t="s">
        <v>2215</v>
      </c>
      <c r="B57" s="100">
        <v>19.39</v>
      </c>
      <c r="C57" s="100">
        <v>23.94</v>
      </c>
      <c r="D57" s="100">
        <v>28.06</v>
      </c>
      <c r="E57" s="100">
        <v>5.86</v>
      </c>
      <c r="F57" s="100">
        <v>1.59</v>
      </c>
      <c r="G57" s="100">
        <v>39.22</v>
      </c>
      <c r="H57" s="100">
        <v>16.61</v>
      </c>
      <c r="I57" s="100">
        <v>12.39</v>
      </c>
      <c r="J57" s="100">
        <v>0.75</v>
      </c>
      <c r="K57" s="100">
        <v>36.869999999999997</v>
      </c>
      <c r="L57" s="100">
        <v>27.31</v>
      </c>
      <c r="M57" s="100">
        <v>30.75</v>
      </c>
      <c r="N57" s="100">
        <v>519</v>
      </c>
      <c r="O57" s="100">
        <v>0</v>
      </c>
      <c r="P57" s="100">
        <v>0.67</v>
      </c>
      <c r="Q57" s="100">
        <v>9.32</v>
      </c>
      <c r="R57" s="6"/>
      <c r="S57" s="6"/>
      <c r="T57" s="156"/>
      <c r="U57" s="6"/>
    </row>
    <row r="58" spans="1:21" customFormat="1">
      <c r="A58" s="163" t="s">
        <v>2216</v>
      </c>
      <c r="B58" s="100">
        <v>18.48</v>
      </c>
      <c r="C58" s="100">
        <v>23.98</v>
      </c>
      <c r="D58" s="100">
        <v>27.35</v>
      </c>
      <c r="E58" s="100">
        <v>5.54</v>
      </c>
      <c r="F58" s="100">
        <v>1.58</v>
      </c>
      <c r="G58" s="100">
        <v>38.840000000000003</v>
      </c>
      <c r="H58" s="100">
        <v>16.61</v>
      </c>
      <c r="I58" s="100">
        <v>12.15</v>
      </c>
      <c r="J58" s="100">
        <v>0.12</v>
      </c>
      <c r="K58" s="100">
        <v>48.93</v>
      </c>
      <c r="L58" s="100">
        <v>27.92</v>
      </c>
      <c r="M58" s="100">
        <v>28.35</v>
      </c>
      <c r="N58" s="100">
        <v>497</v>
      </c>
      <c r="O58" s="100">
        <v>0</v>
      </c>
      <c r="P58" s="100">
        <v>0.66</v>
      </c>
      <c r="Q58" s="100">
        <v>9.32</v>
      </c>
      <c r="R58" s="6"/>
      <c r="S58" s="6"/>
      <c r="T58" s="156"/>
      <c r="U58" s="6"/>
    </row>
    <row r="59" spans="1:21" customFormat="1">
      <c r="A59" s="163" t="s">
        <v>2217</v>
      </c>
      <c r="B59" s="100">
        <v>17.600000000000001</v>
      </c>
      <c r="C59" s="100">
        <v>24</v>
      </c>
      <c r="D59" s="100">
        <v>26.65</v>
      </c>
      <c r="E59" s="100">
        <v>5.91</v>
      </c>
      <c r="F59" s="100">
        <v>1.45</v>
      </c>
      <c r="G59" s="100">
        <v>38.840000000000003</v>
      </c>
      <c r="H59" s="100">
        <v>16.61</v>
      </c>
      <c r="I59" s="100">
        <v>11.9</v>
      </c>
      <c r="J59" s="100">
        <v>0.35</v>
      </c>
      <c r="K59" s="100">
        <v>1.3</v>
      </c>
      <c r="L59" s="100">
        <v>28.04</v>
      </c>
      <c r="M59" s="100">
        <v>26.34</v>
      </c>
      <c r="N59" s="100">
        <v>394.1</v>
      </c>
      <c r="O59" s="100">
        <v>0</v>
      </c>
      <c r="P59" s="100">
        <v>0.65</v>
      </c>
      <c r="Q59" s="100">
        <v>9.32</v>
      </c>
      <c r="R59" s="6"/>
      <c r="S59" s="6"/>
      <c r="T59" s="156"/>
      <c r="U59" s="6"/>
    </row>
    <row r="60" spans="1:21" customFormat="1">
      <c r="A60" s="163" t="s">
        <v>2218</v>
      </c>
      <c r="B60" s="100">
        <v>16.91</v>
      </c>
      <c r="C60" s="100">
        <v>24.07</v>
      </c>
      <c r="D60" s="100">
        <v>26.13</v>
      </c>
      <c r="E60" s="100">
        <v>5.94</v>
      </c>
      <c r="F60" s="100">
        <v>1.37</v>
      </c>
      <c r="G60" s="100">
        <v>38.840000000000003</v>
      </c>
      <c r="H60" s="100">
        <v>16.61</v>
      </c>
      <c r="I60" s="100">
        <v>11.62</v>
      </c>
      <c r="J60" s="100">
        <v>0.52</v>
      </c>
      <c r="K60" s="100">
        <v>294.93</v>
      </c>
      <c r="L60" s="100">
        <v>27.74</v>
      </c>
      <c r="M60" s="100">
        <v>25.98</v>
      </c>
      <c r="N60" s="100">
        <v>374.4</v>
      </c>
      <c r="O60" s="100">
        <v>0</v>
      </c>
      <c r="P60" s="100">
        <v>0.64</v>
      </c>
      <c r="Q60" s="100">
        <v>9.32</v>
      </c>
      <c r="R60" s="6"/>
      <c r="S60" s="6"/>
      <c r="T60" s="156"/>
      <c r="U60" s="6"/>
    </row>
    <row r="61" spans="1:21" customFormat="1">
      <c r="A61" s="163" t="s">
        <v>2219</v>
      </c>
      <c r="B61" s="100">
        <v>16.34</v>
      </c>
      <c r="C61" s="100">
        <v>24.07</v>
      </c>
      <c r="D61" s="100">
        <v>25.68</v>
      </c>
      <c r="E61" s="100">
        <v>5.94</v>
      </c>
      <c r="F61" s="100">
        <v>1.5</v>
      </c>
      <c r="G61" s="100">
        <v>30.07</v>
      </c>
      <c r="H61" s="100">
        <v>14.3</v>
      </c>
      <c r="I61" s="100">
        <v>12.5</v>
      </c>
      <c r="J61" s="100">
        <v>0.22</v>
      </c>
      <c r="K61" s="100">
        <v>35.590000000000003</v>
      </c>
      <c r="L61" s="100">
        <v>28.05</v>
      </c>
      <c r="M61" s="100">
        <v>25.69</v>
      </c>
      <c r="N61" s="100">
        <v>327.60000000000002</v>
      </c>
      <c r="O61" s="100">
        <v>0</v>
      </c>
      <c r="P61" s="100">
        <v>0.62</v>
      </c>
      <c r="Q61" s="100">
        <v>9.32</v>
      </c>
      <c r="R61" s="6"/>
      <c r="S61" s="6"/>
      <c r="T61" s="156"/>
      <c r="U61" s="6"/>
    </row>
    <row r="62" spans="1:21" customFormat="1">
      <c r="A62" s="163" t="s">
        <v>2220</v>
      </c>
      <c r="B62" s="100">
        <v>15.84</v>
      </c>
      <c r="C62" s="100">
        <v>24.01</v>
      </c>
      <c r="D62" s="100">
        <v>25.25</v>
      </c>
      <c r="E62" s="100">
        <v>6.07</v>
      </c>
      <c r="F62" s="100">
        <v>1.51</v>
      </c>
      <c r="G62" s="100">
        <v>29.56</v>
      </c>
      <c r="H62" s="100">
        <v>14.3</v>
      </c>
      <c r="I62" s="100">
        <v>13.49</v>
      </c>
      <c r="J62" s="100">
        <v>0.55000000000000004</v>
      </c>
      <c r="K62" s="100">
        <v>25.75</v>
      </c>
      <c r="L62" s="100">
        <v>28.03</v>
      </c>
      <c r="M62" s="100">
        <v>24.62</v>
      </c>
      <c r="N62" s="100">
        <v>218.9</v>
      </c>
      <c r="O62" s="100">
        <v>0</v>
      </c>
      <c r="P62" s="100">
        <v>0.61</v>
      </c>
      <c r="Q62" s="100">
        <v>9.32</v>
      </c>
      <c r="R62" s="6"/>
      <c r="S62" s="6"/>
      <c r="T62" s="156"/>
      <c r="U62" s="6"/>
    </row>
    <row r="63" spans="1:21" customFormat="1">
      <c r="A63" s="163" t="s">
        <v>2221</v>
      </c>
      <c r="B63" s="100">
        <v>15.07</v>
      </c>
      <c r="C63" s="100">
        <v>24.11</v>
      </c>
      <c r="D63" s="100">
        <v>24.68</v>
      </c>
      <c r="E63" s="100">
        <v>6.5</v>
      </c>
      <c r="F63" s="100">
        <v>1.64</v>
      </c>
      <c r="G63" s="100">
        <v>29.56</v>
      </c>
      <c r="H63" s="100">
        <v>14.3</v>
      </c>
      <c r="I63" s="100">
        <v>13.23</v>
      </c>
      <c r="J63" s="100">
        <v>0.6</v>
      </c>
      <c r="K63" s="100">
        <v>15.28</v>
      </c>
      <c r="L63" s="100">
        <v>27.92</v>
      </c>
      <c r="M63" s="100">
        <v>24.03</v>
      </c>
      <c r="N63" s="100">
        <v>163.6</v>
      </c>
      <c r="O63" s="100">
        <v>0</v>
      </c>
      <c r="P63" s="100">
        <v>0.61</v>
      </c>
      <c r="Q63" s="100">
        <v>9.32</v>
      </c>
      <c r="R63" s="6"/>
      <c r="S63" s="6"/>
      <c r="T63" s="156"/>
      <c r="U63" s="6"/>
    </row>
    <row r="64" spans="1:21" customFormat="1">
      <c r="A64" s="163" t="s">
        <v>2222</v>
      </c>
      <c r="B64" s="100">
        <v>14.07</v>
      </c>
      <c r="C64" s="100">
        <v>24.26</v>
      </c>
      <c r="D64" s="100">
        <v>23.96</v>
      </c>
      <c r="E64" s="100">
        <v>6.65</v>
      </c>
      <c r="F64" s="100">
        <v>1.79</v>
      </c>
      <c r="G64" s="100">
        <v>29.56</v>
      </c>
      <c r="H64" s="100">
        <v>14.3</v>
      </c>
      <c r="I64" s="100">
        <v>13.13</v>
      </c>
      <c r="J64" s="100">
        <v>0.71</v>
      </c>
      <c r="K64" s="100">
        <v>54.17</v>
      </c>
      <c r="L64" s="100">
        <v>28.12</v>
      </c>
      <c r="M64" s="100">
        <v>23.85</v>
      </c>
      <c r="N64" s="100">
        <v>152.1</v>
      </c>
      <c r="O64" s="100">
        <v>0</v>
      </c>
      <c r="P64" s="100">
        <v>0.6</v>
      </c>
      <c r="Q64" s="100">
        <v>9.32</v>
      </c>
      <c r="R64" s="6"/>
      <c r="S64" s="6"/>
      <c r="T64" s="156"/>
      <c r="U64" s="6"/>
    </row>
    <row r="65" spans="1:21" customFormat="1">
      <c r="A65" s="163" t="s">
        <v>2223</v>
      </c>
      <c r="B65" s="100">
        <v>12.85</v>
      </c>
      <c r="C65" s="100">
        <v>24.37</v>
      </c>
      <c r="D65" s="100">
        <v>23.04</v>
      </c>
      <c r="E65" s="100">
        <v>6.36</v>
      </c>
      <c r="F65" s="100">
        <v>1.92</v>
      </c>
      <c r="G65" s="100">
        <v>33.32</v>
      </c>
      <c r="H65" s="100">
        <v>10.59</v>
      </c>
      <c r="I65" s="100">
        <v>13.03</v>
      </c>
      <c r="J65" s="100">
        <v>0.35</v>
      </c>
      <c r="K65" s="100">
        <v>287.44</v>
      </c>
      <c r="L65" s="100">
        <v>28.14</v>
      </c>
      <c r="M65" s="100">
        <v>24.43</v>
      </c>
      <c r="N65" s="100">
        <v>128.19999999999999</v>
      </c>
      <c r="O65" s="100">
        <v>0</v>
      </c>
      <c r="P65" s="100">
        <v>0.57999999999999996</v>
      </c>
      <c r="Q65" s="100">
        <v>9.32</v>
      </c>
      <c r="R65" s="6"/>
      <c r="S65" s="6"/>
      <c r="T65" s="156"/>
      <c r="U65" s="6"/>
    </row>
    <row r="66" spans="1:21" customFormat="1">
      <c r="A66" s="163" t="s">
        <v>2224</v>
      </c>
      <c r="B66" s="100">
        <v>11.6</v>
      </c>
      <c r="C66" s="100">
        <v>24.31</v>
      </c>
      <c r="D66" s="100">
        <v>22</v>
      </c>
      <c r="E66" s="100">
        <v>6.16</v>
      </c>
      <c r="F66" s="100">
        <v>2.0299999999999998</v>
      </c>
      <c r="G66" s="100">
        <v>33.54</v>
      </c>
      <c r="H66" s="100">
        <v>10.59</v>
      </c>
      <c r="I66" s="100">
        <v>12.88</v>
      </c>
      <c r="J66" s="100">
        <v>0.14000000000000001</v>
      </c>
      <c r="K66" s="100">
        <v>309.81</v>
      </c>
      <c r="L66" s="100">
        <v>27.94</v>
      </c>
      <c r="M66" s="100">
        <v>26.21</v>
      </c>
      <c r="N66" s="100">
        <v>126.2</v>
      </c>
      <c r="O66" s="100">
        <v>0</v>
      </c>
      <c r="P66" s="100">
        <v>0.61</v>
      </c>
      <c r="Q66" s="100">
        <v>9.32</v>
      </c>
      <c r="R66" s="6"/>
      <c r="S66" s="6"/>
      <c r="T66" s="156"/>
      <c r="U66" s="6"/>
    </row>
    <row r="67" spans="1:21" customFormat="1">
      <c r="A67" s="163" t="s">
        <v>2225</v>
      </c>
      <c r="B67" s="100">
        <v>10.66</v>
      </c>
      <c r="C67" s="100">
        <v>24.13</v>
      </c>
      <c r="D67" s="100">
        <v>21.16</v>
      </c>
      <c r="E67" s="100">
        <v>6.16</v>
      </c>
      <c r="F67" s="100">
        <v>2.15</v>
      </c>
      <c r="G67" s="100">
        <v>33.54</v>
      </c>
      <c r="H67" s="100">
        <v>10.59</v>
      </c>
      <c r="I67" s="100">
        <v>12.8</v>
      </c>
      <c r="J67" s="100">
        <v>0.17</v>
      </c>
      <c r="K67" s="100">
        <v>75.510000000000005</v>
      </c>
      <c r="L67" s="100">
        <v>28.02</v>
      </c>
      <c r="M67" s="100">
        <v>25.46</v>
      </c>
      <c r="N67" s="100">
        <v>115.5</v>
      </c>
      <c r="O67" s="100">
        <v>0</v>
      </c>
      <c r="P67" s="100">
        <v>0.63</v>
      </c>
      <c r="Q67" s="100">
        <v>9.32</v>
      </c>
      <c r="R67" s="6"/>
      <c r="S67" s="6"/>
      <c r="T67" s="156"/>
      <c r="U67" s="6"/>
    </row>
    <row r="68" spans="1:21" customFormat="1">
      <c r="A68" s="163" t="s">
        <v>2226</v>
      </c>
      <c r="B68" s="100">
        <v>9.9700000000000006</v>
      </c>
      <c r="C68" s="100">
        <v>23.59</v>
      </c>
      <c r="D68" s="100">
        <v>20.32</v>
      </c>
      <c r="E68" s="100">
        <v>6.4</v>
      </c>
      <c r="F68" s="100">
        <v>2.67</v>
      </c>
      <c r="G68" s="100">
        <v>33.54</v>
      </c>
      <c r="H68" s="100">
        <v>10.59</v>
      </c>
      <c r="I68" s="100">
        <v>12.61</v>
      </c>
      <c r="J68" s="100">
        <v>0.73</v>
      </c>
      <c r="K68" s="100">
        <v>22.81</v>
      </c>
      <c r="L68" s="100">
        <v>28.21</v>
      </c>
      <c r="M68" s="100">
        <v>25.51</v>
      </c>
      <c r="N68" s="100">
        <v>95.6</v>
      </c>
      <c r="O68" s="100">
        <v>0</v>
      </c>
      <c r="P68" s="100">
        <v>0.62</v>
      </c>
      <c r="Q68" s="100">
        <v>9.32</v>
      </c>
      <c r="R68" s="6"/>
      <c r="S68" s="6"/>
      <c r="T68" s="156"/>
      <c r="U68" s="6"/>
    </row>
    <row r="69" spans="1:21" customFormat="1">
      <c r="A69" s="163" t="s">
        <v>2227</v>
      </c>
      <c r="B69" s="100">
        <v>9.41</v>
      </c>
      <c r="C69" s="100">
        <v>23.17</v>
      </c>
      <c r="D69" s="100">
        <v>19.649999999999999</v>
      </c>
      <c r="E69" s="100">
        <v>7.07</v>
      </c>
      <c r="F69" s="100">
        <v>4.04</v>
      </c>
      <c r="G69" s="100">
        <v>33.770000000000003</v>
      </c>
      <c r="H69" s="100">
        <v>15.11</v>
      </c>
      <c r="I69" s="100">
        <v>12.46</v>
      </c>
      <c r="J69" s="100">
        <v>0.59</v>
      </c>
      <c r="K69" s="100">
        <v>7.98</v>
      </c>
      <c r="L69" s="100">
        <v>28.21</v>
      </c>
      <c r="M69" s="100">
        <v>25.62</v>
      </c>
      <c r="N69" s="100">
        <v>91</v>
      </c>
      <c r="O69" s="100">
        <v>0</v>
      </c>
      <c r="P69" s="100">
        <v>0.62</v>
      </c>
      <c r="Q69" s="100">
        <v>9.32</v>
      </c>
      <c r="R69" s="6"/>
      <c r="S69" s="6"/>
      <c r="T69" s="156"/>
      <c r="U69" s="6"/>
    </row>
    <row r="70" spans="1:21" customFormat="1">
      <c r="A70" s="163" t="s">
        <v>2228</v>
      </c>
      <c r="B70" s="100">
        <v>8.7799999999999994</v>
      </c>
      <c r="C70" s="100">
        <v>22.93</v>
      </c>
      <c r="D70" s="100">
        <v>19.02</v>
      </c>
      <c r="E70" s="100">
        <v>6.18</v>
      </c>
      <c r="F70" s="100">
        <v>3.27</v>
      </c>
      <c r="G70" s="100">
        <v>33.78</v>
      </c>
      <c r="H70" s="100">
        <v>15.11</v>
      </c>
      <c r="I70" s="100">
        <v>12.37</v>
      </c>
      <c r="J70" s="100">
        <v>0.32</v>
      </c>
      <c r="K70" s="100">
        <v>325.58</v>
      </c>
      <c r="L70" s="100">
        <v>27.94</v>
      </c>
      <c r="M70" s="100">
        <v>26.64</v>
      </c>
      <c r="N70" s="100">
        <v>80.7</v>
      </c>
      <c r="O70" s="100">
        <v>0</v>
      </c>
      <c r="P70" s="100">
        <v>0.62</v>
      </c>
      <c r="Q70" s="100">
        <v>9.32</v>
      </c>
      <c r="R70" s="6"/>
      <c r="S70" s="6"/>
      <c r="T70" s="156"/>
      <c r="U70" s="6"/>
    </row>
    <row r="71" spans="1:21" customFormat="1">
      <c r="A71" s="163" t="s">
        <v>2229</v>
      </c>
      <c r="B71" s="100">
        <v>8.16</v>
      </c>
      <c r="C71" s="100">
        <v>22.39</v>
      </c>
      <c r="D71" s="100">
        <v>18.239999999999998</v>
      </c>
      <c r="E71" s="100">
        <v>6.21</v>
      </c>
      <c r="F71" s="100">
        <v>3.39</v>
      </c>
      <c r="G71" s="100">
        <v>33.78</v>
      </c>
      <c r="H71" s="100">
        <v>15.11</v>
      </c>
      <c r="I71" s="100">
        <v>12.29</v>
      </c>
      <c r="J71" s="100">
        <v>0.34</v>
      </c>
      <c r="K71" s="100">
        <v>359.93</v>
      </c>
      <c r="L71" s="100">
        <v>27.87</v>
      </c>
      <c r="M71" s="100">
        <v>26.28</v>
      </c>
      <c r="N71" s="100">
        <v>69</v>
      </c>
      <c r="O71" s="100">
        <v>0</v>
      </c>
      <c r="P71" s="100">
        <v>0.63</v>
      </c>
      <c r="Q71" s="100">
        <v>9.32</v>
      </c>
      <c r="R71" s="6"/>
      <c r="S71" s="6"/>
      <c r="T71" s="156"/>
      <c r="U71" s="6"/>
    </row>
    <row r="72" spans="1:21" customFormat="1">
      <c r="A72" s="163" t="s">
        <v>2230</v>
      </c>
      <c r="B72" s="100">
        <v>7.65</v>
      </c>
      <c r="C72" s="100">
        <v>22</v>
      </c>
      <c r="D72" s="100">
        <v>17.63</v>
      </c>
      <c r="E72" s="100">
        <v>5.96</v>
      </c>
      <c r="F72" s="100">
        <v>2.65</v>
      </c>
      <c r="G72" s="100">
        <v>33.78</v>
      </c>
      <c r="H72" s="100">
        <v>15.11</v>
      </c>
      <c r="I72" s="100">
        <v>12.23</v>
      </c>
      <c r="J72" s="100">
        <v>0.28000000000000003</v>
      </c>
      <c r="K72" s="100">
        <v>19.16</v>
      </c>
      <c r="L72" s="100">
        <v>27.72</v>
      </c>
      <c r="M72" s="100">
        <v>26.54</v>
      </c>
      <c r="N72" s="100">
        <v>63.3</v>
      </c>
      <c r="O72" s="100">
        <v>0</v>
      </c>
      <c r="P72" s="100">
        <v>0.63</v>
      </c>
      <c r="Q72" s="100">
        <v>9.32</v>
      </c>
      <c r="R72" s="6"/>
      <c r="S72" s="6"/>
      <c r="T72" s="156"/>
      <c r="U72" s="6"/>
    </row>
    <row r="73" spans="1:21" customFormat="1">
      <c r="A73" s="163" t="s">
        <v>2231</v>
      </c>
      <c r="B73" s="100">
        <v>7.25</v>
      </c>
      <c r="C73" s="100">
        <v>21.62</v>
      </c>
      <c r="D73" s="100">
        <v>17.11</v>
      </c>
      <c r="E73" s="100">
        <v>5.81</v>
      </c>
      <c r="F73" s="100">
        <v>2.2599999999999998</v>
      </c>
      <c r="G73" s="100">
        <v>30.78</v>
      </c>
      <c r="H73" s="100">
        <v>15.08</v>
      </c>
      <c r="I73" s="100">
        <v>12.16</v>
      </c>
      <c r="J73" s="100">
        <v>0.44</v>
      </c>
      <c r="K73" s="100">
        <v>35.619999999999997</v>
      </c>
      <c r="L73" s="100">
        <v>27.64</v>
      </c>
      <c r="M73" s="100">
        <v>25.14</v>
      </c>
      <c r="N73" s="100">
        <v>56.5</v>
      </c>
      <c r="O73" s="100">
        <v>0</v>
      </c>
      <c r="P73" s="100">
        <v>0.64</v>
      </c>
      <c r="Q73" s="100">
        <v>9.32</v>
      </c>
      <c r="R73" s="6"/>
      <c r="S73" s="6"/>
      <c r="T73" s="156"/>
      <c r="U73" s="6"/>
    </row>
    <row r="74" spans="1:21" customFormat="1">
      <c r="A74" s="163" t="s">
        <v>2232</v>
      </c>
      <c r="B74" s="100">
        <v>7.58</v>
      </c>
      <c r="C74" s="100">
        <v>22.28</v>
      </c>
      <c r="D74" s="100">
        <v>17.72</v>
      </c>
      <c r="E74" s="100">
        <v>6.1</v>
      </c>
      <c r="F74" s="100">
        <v>1.91</v>
      </c>
      <c r="G74" s="100">
        <v>30.6</v>
      </c>
      <c r="H74" s="100">
        <v>15.08</v>
      </c>
      <c r="I74" s="100">
        <v>12.06</v>
      </c>
      <c r="J74" s="100">
        <v>0.35</v>
      </c>
      <c r="K74" s="100">
        <v>41.57</v>
      </c>
      <c r="L74" s="100">
        <v>27.4</v>
      </c>
      <c r="M74" s="100">
        <v>26.72</v>
      </c>
      <c r="N74" s="100">
        <v>46.7</v>
      </c>
      <c r="O74" s="100">
        <v>0</v>
      </c>
      <c r="P74" s="100">
        <v>0.64</v>
      </c>
      <c r="Q74" s="100">
        <v>9.32</v>
      </c>
      <c r="R74" s="6"/>
      <c r="S74" s="6"/>
      <c r="T74" s="156"/>
      <c r="U74" s="6"/>
    </row>
    <row r="75" spans="1:21" customFormat="1">
      <c r="A75" s="163" t="s">
        <v>2233</v>
      </c>
      <c r="B75" s="100">
        <v>7.14</v>
      </c>
      <c r="C75" s="100">
        <v>21.49</v>
      </c>
      <c r="D75" s="100">
        <v>16.96</v>
      </c>
      <c r="E75" s="100">
        <v>5.58</v>
      </c>
      <c r="F75" s="100">
        <v>1.55</v>
      </c>
      <c r="G75" s="100">
        <v>30.6</v>
      </c>
      <c r="H75" s="100">
        <v>15.08</v>
      </c>
      <c r="I75" s="100">
        <v>12</v>
      </c>
      <c r="J75" s="100">
        <v>0.28999999999999998</v>
      </c>
      <c r="K75" s="100">
        <v>49.6</v>
      </c>
      <c r="L75" s="100">
        <v>26.73</v>
      </c>
      <c r="M75" s="100">
        <v>29.14</v>
      </c>
      <c r="N75" s="100">
        <v>39.6</v>
      </c>
      <c r="O75" s="100">
        <v>0</v>
      </c>
      <c r="P75" s="100">
        <v>0.64</v>
      </c>
      <c r="Q75" s="100">
        <v>9.32</v>
      </c>
      <c r="R75" s="6"/>
      <c r="S75" s="6"/>
      <c r="T75" s="156"/>
      <c r="U75" s="6"/>
    </row>
    <row r="76" spans="1:21" customFormat="1">
      <c r="A76" s="163" t="s">
        <v>2234</v>
      </c>
      <c r="B76" s="100">
        <v>7.09</v>
      </c>
      <c r="C76" s="100">
        <v>20.92</v>
      </c>
      <c r="D76" s="100">
        <v>16.61</v>
      </c>
      <c r="E76" s="100">
        <v>5.55</v>
      </c>
      <c r="F76" s="100">
        <v>1.54</v>
      </c>
      <c r="G76" s="100">
        <v>30.6</v>
      </c>
      <c r="H76" s="100">
        <v>15.08</v>
      </c>
      <c r="I76" s="100">
        <v>11.96</v>
      </c>
      <c r="J76" s="100">
        <v>0.33</v>
      </c>
      <c r="K76" s="100">
        <v>160.19999999999999</v>
      </c>
      <c r="L76" s="100">
        <v>25.4</v>
      </c>
      <c r="M76" s="100">
        <v>36.159999999999997</v>
      </c>
      <c r="N76" s="100">
        <v>33.6</v>
      </c>
      <c r="O76" s="100">
        <v>0</v>
      </c>
      <c r="P76" s="100">
        <v>0.65</v>
      </c>
      <c r="Q76" s="100">
        <v>9.32</v>
      </c>
      <c r="R76" s="6"/>
      <c r="S76" s="6"/>
      <c r="T76" s="156"/>
      <c r="U76" s="6"/>
    </row>
    <row r="77" spans="1:21" customFormat="1">
      <c r="A77" s="163" t="s">
        <v>2235</v>
      </c>
      <c r="B77" s="100">
        <v>6.94</v>
      </c>
      <c r="C77" s="100">
        <v>20.64</v>
      </c>
      <c r="D77" s="100">
        <v>16.350000000000001</v>
      </c>
      <c r="E77" s="100">
        <v>5.35</v>
      </c>
      <c r="F77" s="100">
        <v>1.85</v>
      </c>
      <c r="G77" s="100">
        <v>32.94</v>
      </c>
      <c r="H77" s="100">
        <v>16.09</v>
      </c>
      <c r="I77" s="100">
        <v>11.92</v>
      </c>
      <c r="J77" s="100">
        <v>0.28000000000000003</v>
      </c>
      <c r="K77" s="100">
        <v>159.55000000000001</v>
      </c>
      <c r="L77" s="100">
        <v>24.23</v>
      </c>
      <c r="M77" s="100">
        <v>38.85</v>
      </c>
      <c r="N77" s="100">
        <v>27.3</v>
      </c>
      <c r="O77" s="100">
        <v>0</v>
      </c>
      <c r="P77" s="100">
        <v>0.66</v>
      </c>
      <c r="Q77" s="100">
        <v>9.32</v>
      </c>
      <c r="R77" s="6"/>
      <c r="S77" s="6"/>
      <c r="T77" s="156"/>
      <c r="U77" s="6"/>
    </row>
    <row r="78" spans="1:21" customFormat="1">
      <c r="A78" s="163" t="s">
        <v>2236</v>
      </c>
      <c r="B78" s="100">
        <v>6.82</v>
      </c>
      <c r="C78" s="100">
        <v>20.49</v>
      </c>
      <c r="D78" s="100">
        <v>16.18</v>
      </c>
      <c r="E78" s="100">
        <v>5.36</v>
      </c>
      <c r="F78" s="100">
        <v>1.58</v>
      </c>
      <c r="G78" s="100">
        <v>33.08</v>
      </c>
      <c r="H78" s="100">
        <v>16.09</v>
      </c>
      <c r="I78" s="100">
        <v>11.88</v>
      </c>
      <c r="J78" s="100">
        <v>0.32</v>
      </c>
      <c r="K78" s="100">
        <v>163.41</v>
      </c>
      <c r="L78" s="100">
        <v>23.53</v>
      </c>
      <c r="M78" s="100">
        <v>41.35</v>
      </c>
      <c r="N78" s="100">
        <v>21.2</v>
      </c>
      <c r="O78" s="100">
        <v>0</v>
      </c>
      <c r="P78" s="100">
        <v>0.69</v>
      </c>
      <c r="Q78" s="100">
        <v>9.32</v>
      </c>
      <c r="R78" s="6"/>
      <c r="S78" s="6"/>
      <c r="T78" s="156"/>
      <c r="U78" s="6"/>
    </row>
    <row r="79" spans="1:21" customFormat="1">
      <c r="A79" s="163" t="s">
        <v>2237</v>
      </c>
      <c r="B79" s="100">
        <v>6.82</v>
      </c>
      <c r="C79" s="100">
        <v>20.63</v>
      </c>
      <c r="D79" s="100">
        <v>16.25</v>
      </c>
      <c r="E79" s="100">
        <v>5.17</v>
      </c>
      <c r="F79" s="100">
        <v>1.53</v>
      </c>
      <c r="G79" s="100">
        <v>33.08</v>
      </c>
      <c r="H79" s="100">
        <v>16.09</v>
      </c>
      <c r="I79" s="100">
        <v>11.85</v>
      </c>
      <c r="J79" s="100">
        <v>0.28000000000000003</v>
      </c>
      <c r="K79" s="100">
        <v>165.18</v>
      </c>
      <c r="L79" s="100">
        <v>22.7</v>
      </c>
      <c r="M79" s="100">
        <v>44.57</v>
      </c>
      <c r="N79" s="100">
        <v>18.5</v>
      </c>
      <c r="O79" s="100">
        <v>0</v>
      </c>
      <c r="P79" s="100">
        <v>0.77</v>
      </c>
      <c r="Q79" s="100">
        <v>9.32</v>
      </c>
      <c r="R79" s="6"/>
      <c r="S79" s="6"/>
      <c r="T79" s="156"/>
      <c r="U79" s="6"/>
    </row>
    <row r="80" spans="1:21" customFormat="1">
      <c r="A80" s="163" t="s">
        <v>2238</v>
      </c>
      <c r="B80" s="100">
        <v>6.84</v>
      </c>
      <c r="C80" s="100">
        <v>20.62</v>
      </c>
      <c r="D80" s="100">
        <v>16.260000000000002</v>
      </c>
      <c r="E80" s="100">
        <v>4.88</v>
      </c>
      <c r="F80" s="100">
        <v>1.46</v>
      </c>
      <c r="G80" s="100">
        <v>33.08</v>
      </c>
      <c r="H80" s="100">
        <v>16.09</v>
      </c>
      <c r="I80" s="100">
        <v>12.06</v>
      </c>
      <c r="J80" s="100">
        <v>0.26</v>
      </c>
      <c r="K80" s="100">
        <v>172.05</v>
      </c>
      <c r="L80" s="100">
        <v>22.08</v>
      </c>
      <c r="M80" s="100">
        <v>50.51</v>
      </c>
      <c r="N80" s="100">
        <v>18.100000000000001</v>
      </c>
      <c r="O80" s="100">
        <v>0</v>
      </c>
      <c r="P80" s="100">
        <v>0.83</v>
      </c>
      <c r="Q80" s="100">
        <v>9.32</v>
      </c>
      <c r="R80" s="6"/>
      <c r="S80" s="6"/>
      <c r="T80" s="156"/>
      <c r="U80" s="6"/>
    </row>
    <row r="81" spans="1:21" customFormat="1">
      <c r="A81" s="163" t="s">
        <v>2239</v>
      </c>
      <c r="B81" s="100">
        <v>6.94</v>
      </c>
      <c r="C81" s="100">
        <v>20.65</v>
      </c>
      <c r="D81" s="100">
        <v>16.36</v>
      </c>
      <c r="E81" s="100">
        <v>5.62</v>
      </c>
      <c r="F81" s="100">
        <v>1.33</v>
      </c>
      <c r="G81" s="100">
        <v>71.83</v>
      </c>
      <c r="H81" s="100">
        <v>23.65</v>
      </c>
      <c r="I81" s="100">
        <v>12.34</v>
      </c>
      <c r="J81" s="100">
        <v>0.2</v>
      </c>
      <c r="K81" s="100">
        <v>176.69</v>
      </c>
      <c r="L81" s="100">
        <v>21.34</v>
      </c>
      <c r="M81" s="100">
        <v>58.67</v>
      </c>
      <c r="N81" s="100">
        <v>18</v>
      </c>
      <c r="O81" s="100">
        <v>0</v>
      </c>
      <c r="P81" s="100">
        <v>0.85</v>
      </c>
      <c r="Q81" s="100">
        <v>9.32</v>
      </c>
      <c r="R81" s="6"/>
      <c r="S81" s="6"/>
      <c r="T81" s="156"/>
      <c r="U81" s="6"/>
    </row>
    <row r="82" spans="1:21" customFormat="1">
      <c r="A82" s="163" t="s">
        <v>2240</v>
      </c>
      <c r="B82" s="100">
        <v>7.37</v>
      </c>
      <c r="C82" s="100">
        <v>20.64</v>
      </c>
      <c r="D82" s="100">
        <v>16.7</v>
      </c>
      <c r="E82" s="100">
        <v>6.78</v>
      </c>
      <c r="F82" s="100">
        <v>1.4</v>
      </c>
      <c r="G82" s="100">
        <v>74.11</v>
      </c>
      <c r="H82" s="100">
        <v>23.65</v>
      </c>
      <c r="I82" s="100">
        <v>12.47</v>
      </c>
      <c r="J82" s="100">
        <v>0.21</v>
      </c>
      <c r="K82" s="100">
        <v>182.11</v>
      </c>
      <c r="L82" s="100">
        <v>20.79</v>
      </c>
      <c r="M82" s="100">
        <v>62.94</v>
      </c>
      <c r="N82" s="100">
        <v>17.899999999999999</v>
      </c>
      <c r="O82" s="100">
        <v>0</v>
      </c>
      <c r="P82" s="100">
        <v>0.9</v>
      </c>
      <c r="Q82" s="100">
        <v>9.32</v>
      </c>
      <c r="R82" s="6"/>
      <c r="S82" s="6"/>
      <c r="T82" s="156"/>
      <c r="U82" s="6"/>
    </row>
    <row r="83" spans="1:21" customFormat="1">
      <c r="A83" s="163" t="s">
        <v>2241</v>
      </c>
      <c r="B83" s="100">
        <v>7.7</v>
      </c>
      <c r="C83" s="100">
        <v>20.57</v>
      </c>
      <c r="D83" s="100">
        <v>16.920000000000002</v>
      </c>
      <c r="E83" s="100">
        <v>6.55</v>
      </c>
      <c r="F83" s="100">
        <v>1.4</v>
      </c>
      <c r="G83" s="100">
        <v>74.11</v>
      </c>
      <c r="H83" s="100">
        <v>23.65</v>
      </c>
      <c r="I83" s="100">
        <v>12.63</v>
      </c>
      <c r="J83" s="100">
        <v>0.17</v>
      </c>
      <c r="K83" s="100">
        <v>179.61</v>
      </c>
      <c r="L83" s="100">
        <v>20.149999999999999</v>
      </c>
      <c r="M83" s="100">
        <v>64.63</v>
      </c>
      <c r="N83" s="100">
        <v>17.899999999999999</v>
      </c>
      <c r="O83" s="100">
        <v>0</v>
      </c>
      <c r="P83" s="100">
        <v>0.92</v>
      </c>
      <c r="Q83" s="100">
        <v>9.32</v>
      </c>
      <c r="R83" s="6"/>
      <c r="S83" s="6"/>
      <c r="T83" s="156"/>
      <c r="U83" s="6"/>
    </row>
    <row r="84" spans="1:21" customFormat="1">
      <c r="A84" s="163" t="s">
        <v>2242</v>
      </c>
      <c r="B84" s="100">
        <v>7.75</v>
      </c>
      <c r="C84" s="100">
        <v>20.36</v>
      </c>
      <c r="D84" s="100">
        <v>16.850000000000001</v>
      </c>
      <c r="E84" s="100">
        <v>6.63</v>
      </c>
      <c r="F84" s="100">
        <v>1.35</v>
      </c>
      <c r="G84" s="100">
        <v>74.11</v>
      </c>
      <c r="H84" s="100">
        <v>23.65</v>
      </c>
      <c r="I84" s="100">
        <v>12.82</v>
      </c>
      <c r="J84" s="100">
        <v>0.28999999999999998</v>
      </c>
      <c r="K84" s="100">
        <v>151.30000000000001</v>
      </c>
      <c r="L84" s="100">
        <v>19.88</v>
      </c>
      <c r="M84" s="100">
        <v>65.03</v>
      </c>
      <c r="N84" s="100">
        <v>17.7</v>
      </c>
      <c r="O84" s="100">
        <v>0</v>
      </c>
      <c r="P84" s="100">
        <v>0.94</v>
      </c>
      <c r="Q84" s="100">
        <v>9.32</v>
      </c>
      <c r="R84" s="6"/>
      <c r="S84" s="6"/>
      <c r="T84" s="156"/>
      <c r="U84" s="6"/>
    </row>
    <row r="85" spans="1:21" customFormat="1">
      <c r="A85" s="163" t="s">
        <v>2243</v>
      </c>
      <c r="B85" s="100">
        <v>7.74</v>
      </c>
      <c r="C85" s="100">
        <v>20.100000000000001</v>
      </c>
      <c r="D85" s="100">
        <v>16.71</v>
      </c>
      <c r="E85" s="100">
        <v>6.73</v>
      </c>
      <c r="F85" s="100">
        <v>1.46</v>
      </c>
      <c r="G85" s="100">
        <v>49.53</v>
      </c>
      <c r="H85" s="100">
        <v>23.98</v>
      </c>
      <c r="I85" s="100">
        <v>13.17</v>
      </c>
      <c r="J85" s="100">
        <v>0.22</v>
      </c>
      <c r="K85" s="100">
        <v>159.08000000000001</v>
      </c>
      <c r="L85" s="100">
        <v>19.54</v>
      </c>
      <c r="M85" s="100">
        <v>65.37</v>
      </c>
      <c r="N85" s="100">
        <v>17.8</v>
      </c>
      <c r="O85" s="100">
        <v>0</v>
      </c>
      <c r="P85" s="100">
        <v>0.94</v>
      </c>
      <c r="Q85" s="100">
        <v>9.32</v>
      </c>
      <c r="R85" s="6"/>
      <c r="S85" s="6"/>
      <c r="T85" s="156"/>
      <c r="U85" s="6"/>
    </row>
    <row r="86" spans="1:21" customFormat="1">
      <c r="A86" s="163" t="s">
        <v>2244</v>
      </c>
      <c r="B86" s="100">
        <v>7.59</v>
      </c>
      <c r="C86" s="100">
        <v>19.87</v>
      </c>
      <c r="D86" s="100">
        <v>16.47</v>
      </c>
      <c r="E86" s="100">
        <v>6.8</v>
      </c>
      <c r="F86" s="100">
        <v>1.35</v>
      </c>
      <c r="G86" s="100">
        <v>48.09</v>
      </c>
      <c r="H86" s="100">
        <v>23.98</v>
      </c>
      <c r="I86" s="100">
        <v>13.5</v>
      </c>
      <c r="J86" s="100">
        <v>0.22</v>
      </c>
      <c r="K86" s="100">
        <v>160.79</v>
      </c>
      <c r="L86" s="100">
        <v>19.63</v>
      </c>
      <c r="M86" s="100">
        <v>65.209999999999994</v>
      </c>
      <c r="N86" s="100">
        <v>17.5</v>
      </c>
      <c r="O86" s="100">
        <v>0</v>
      </c>
      <c r="P86" s="100">
        <v>0.93</v>
      </c>
      <c r="Q86" s="100">
        <v>9.32</v>
      </c>
      <c r="R86" s="6"/>
      <c r="S86" s="6"/>
      <c r="T86" s="156"/>
      <c r="U86" s="6"/>
    </row>
    <row r="87" spans="1:21" customFormat="1">
      <c r="A87" s="163" t="s">
        <v>2245</v>
      </c>
      <c r="B87" s="100">
        <v>7.46</v>
      </c>
      <c r="C87" s="100">
        <v>19.73</v>
      </c>
      <c r="D87" s="100">
        <v>16.29</v>
      </c>
      <c r="E87" s="100">
        <v>6.76</v>
      </c>
      <c r="F87" s="100">
        <v>1.33</v>
      </c>
      <c r="G87" s="100">
        <v>48.09</v>
      </c>
      <c r="H87" s="100">
        <v>23.98</v>
      </c>
      <c r="I87" s="100">
        <v>13.62</v>
      </c>
      <c r="J87" s="100">
        <v>0.23</v>
      </c>
      <c r="K87" s="100">
        <v>189.91</v>
      </c>
      <c r="L87" s="100">
        <v>19.559999999999999</v>
      </c>
      <c r="M87" s="100">
        <v>67.14</v>
      </c>
      <c r="N87" s="100">
        <v>17.399999999999999</v>
      </c>
      <c r="O87" s="100">
        <v>0</v>
      </c>
      <c r="P87" s="100">
        <v>0.93</v>
      </c>
      <c r="Q87" s="100">
        <v>9.32</v>
      </c>
      <c r="R87" s="6"/>
      <c r="S87" s="6"/>
      <c r="T87" s="156"/>
      <c r="U87" s="6"/>
    </row>
    <row r="88" spans="1:21" customFormat="1">
      <c r="A88" s="163" t="s">
        <v>2246</v>
      </c>
      <c r="B88" s="100">
        <v>7.36</v>
      </c>
      <c r="C88" s="100">
        <v>19.66</v>
      </c>
      <c r="D88" s="100">
        <v>16.170000000000002</v>
      </c>
      <c r="E88" s="100">
        <v>6.94</v>
      </c>
      <c r="F88" s="100">
        <v>1.43</v>
      </c>
      <c r="G88" s="100">
        <v>48.09</v>
      </c>
      <c r="H88" s="100">
        <v>23.98</v>
      </c>
      <c r="I88" s="100">
        <v>13.76</v>
      </c>
      <c r="J88" s="100">
        <v>0.18</v>
      </c>
      <c r="K88" s="100">
        <v>206.45</v>
      </c>
      <c r="L88" s="100">
        <v>19.13</v>
      </c>
      <c r="M88" s="100">
        <v>68.62</v>
      </c>
      <c r="N88" s="100">
        <v>17.7</v>
      </c>
      <c r="O88" s="100">
        <v>0</v>
      </c>
      <c r="P88" s="100">
        <v>0.93</v>
      </c>
      <c r="Q88" s="100">
        <v>9.32</v>
      </c>
      <c r="R88" s="6"/>
      <c r="S88" s="6"/>
      <c r="T88" s="156"/>
      <c r="U88" s="6"/>
    </row>
    <row r="89" spans="1:21" customFormat="1">
      <c r="A89" s="163" t="s">
        <v>2247</v>
      </c>
      <c r="B89" s="100">
        <v>7.27</v>
      </c>
      <c r="C89" s="100">
        <v>19.61</v>
      </c>
      <c r="D89" s="100">
        <v>16.07</v>
      </c>
      <c r="E89" s="100">
        <v>6.43</v>
      </c>
      <c r="F89" s="100">
        <v>1.42</v>
      </c>
      <c r="G89" s="100">
        <v>38.799999999999997</v>
      </c>
      <c r="H89" s="100">
        <v>20.5</v>
      </c>
      <c r="I89" s="100">
        <v>13.91</v>
      </c>
      <c r="J89" s="100">
        <v>0.15</v>
      </c>
      <c r="K89" s="100">
        <v>203.28</v>
      </c>
      <c r="L89" s="100">
        <v>18.71</v>
      </c>
      <c r="M89" s="100">
        <v>69.760000000000005</v>
      </c>
      <c r="N89" s="100">
        <v>17.7</v>
      </c>
      <c r="O89" s="100">
        <v>0</v>
      </c>
      <c r="P89" s="100">
        <v>0.93</v>
      </c>
      <c r="Q89" s="100">
        <v>9.32</v>
      </c>
      <c r="R89" s="6"/>
      <c r="S89" s="6"/>
      <c r="T89" s="156"/>
      <c r="U89" s="6"/>
    </row>
    <row r="90" spans="1:21" customFormat="1">
      <c r="A90" s="163" t="s">
        <v>2248</v>
      </c>
      <c r="B90" s="100">
        <v>7.18</v>
      </c>
      <c r="C90" s="100">
        <v>19.52</v>
      </c>
      <c r="D90" s="100">
        <v>15.96</v>
      </c>
      <c r="E90" s="100">
        <v>6.75</v>
      </c>
      <c r="F90" s="100">
        <v>1.38</v>
      </c>
      <c r="G90" s="100">
        <v>38.25</v>
      </c>
      <c r="H90" s="100">
        <v>20.5</v>
      </c>
      <c r="I90" s="100">
        <v>14.17</v>
      </c>
      <c r="J90" s="100">
        <v>0.17</v>
      </c>
      <c r="K90" s="100">
        <v>166.46</v>
      </c>
      <c r="L90" s="100">
        <v>18.57</v>
      </c>
      <c r="M90" s="100">
        <v>72.069999999999993</v>
      </c>
      <c r="N90" s="100">
        <v>17.5</v>
      </c>
      <c r="O90" s="100">
        <v>0</v>
      </c>
      <c r="P90" s="100">
        <v>0.93</v>
      </c>
      <c r="Q90" s="100">
        <v>9.32</v>
      </c>
      <c r="R90" s="6"/>
      <c r="S90" s="6"/>
      <c r="T90" s="156"/>
      <c r="U90" s="6"/>
    </row>
    <row r="91" spans="1:21" customFormat="1">
      <c r="A91" s="163" t="s">
        <v>2249</v>
      </c>
      <c r="B91" s="100">
        <v>7.12</v>
      </c>
      <c r="C91" s="100">
        <v>19.309999999999999</v>
      </c>
      <c r="D91" s="100">
        <v>15.8</v>
      </c>
      <c r="E91" s="100">
        <v>7.01</v>
      </c>
      <c r="F91" s="100">
        <v>1.45</v>
      </c>
      <c r="G91" s="100">
        <v>38.25</v>
      </c>
      <c r="H91" s="100">
        <v>20.5</v>
      </c>
      <c r="I91" s="100">
        <v>14.6</v>
      </c>
      <c r="J91" s="100">
        <v>0.23</v>
      </c>
      <c r="K91" s="100">
        <v>164.5</v>
      </c>
      <c r="L91" s="100">
        <v>18.57</v>
      </c>
      <c r="M91" s="100">
        <v>75.87</v>
      </c>
      <c r="N91" s="100">
        <v>17.399999999999999</v>
      </c>
      <c r="O91" s="100">
        <v>0</v>
      </c>
      <c r="P91" s="100">
        <v>0.93</v>
      </c>
      <c r="Q91" s="100">
        <v>9.32</v>
      </c>
      <c r="R91" s="6"/>
      <c r="S91" s="6"/>
      <c r="T91" s="156"/>
      <c r="U91" s="6"/>
    </row>
    <row r="92" spans="1:21" customFormat="1">
      <c r="A92" s="163" t="s">
        <v>2250</v>
      </c>
      <c r="B92" s="100">
        <v>7.09</v>
      </c>
      <c r="C92" s="100">
        <v>18.97</v>
      </c>
      <c r="D92" s="100">
        <v>15.6</v>
      </c>
      <c r="E92" s="100">
        <v>6.71</v>
      </c>
      <c r="F92" s="100">
        <v>1.24</v>
      </c>
      <c r="G92" s="100">
        <v>38.25</v>
      </c>
      <c r="H92" s="100">
        <v>20.5</v>
      </c>
      <c r="I92" s="100">
        <v>14.94</v>
      </c>
      <c r="J92" s="100">
        <v>0.17</v>
      </c>
      <c r="K92" s="100">
        <v>201.66</v>
      </c>
      <c r="L92" s="100">
        <v>18.5</v>
      </c>
      <c r="M92" s="100">
        <v>77.45</v>
      </c>
      <c r="N92" s="100">
        <v>17.399999999999999</v>
      </c>
      <c r="O92" s="100">
        <v>0</v>
      </c>
      <c r="P92" s="100">
        <v>0.93</v>
      </c>
      <c r="Q92" s="100">
        <v>9.32</v>
      </c>
      <c r="R92" s="6"/>
      <c r="S92" s="6"/>
      <c r="T92" s="156"/>
      <c r="U92" s="6"/>
    </row>
    <row r="93" spans="1:21" customFormat="1">
      <c r="A93" s="163" t="s">
        <v>2251</v>
      </c>
      <c r="B93" s="100">
        <v>7.09</v>
      </c>
      <c r="C93" s="100">
        <v>18.739999999999998</v>
      </c>
      <c r="D93" s="100">
        <v>15.48</v>
      </c>
      <c r="E93" s="100">
        <v>6.93</v>
      </c>
      <c r="F93" s="100">
        <v>1.25</v>
      </c>
      <c r="G93" s="100">
        <v>44.81</v>
      </c>
      <c r="H93" s="100">
        <v>20.76</v>
      </c>
      <c r="I93" s="100">
        <v>15.05</v>
      </c>
      <c r="J93" s="100">
        <v>0.19</v>
      </c>
      <c r="K93" s="100">
        <v>176.14</v>
      </c>
      <c r="L93" s="100">
        <v>18.3</v>
      </c>
      <c r="M93" s="100">
        <v>78.41</v>
      </c>
      <c r="N93" s="100">
        <v>17.5</v>
      </c>
      <c r="O93" s="100">
        <v>0</v>
      </c>
      <c r="P93" s="100">
        <v>0.93</v>
      </c>
      <c r="Q93" s="100">
        <v>9.32</v>
      </c>
      <c r="R93" s="6"/>
      <c r="S93" s="6"/>
      <c r="T93" s="156"/>
      <c r="U93" s="6"/>
    </row>
    <row r="94" spans="1:21" customFormat="1">
      <c r="A94" s="163" t="s">
        <v>2252</v>
      </c>
      <c r="B94" s="100">
        <v>7.12</v>
      </c>
      <c r="C94" s="100">
        <v>18.559999999999999</v>
      </c>
      <c r="D94" s="100">
        <v>15.4</v>
      </c>
      <c r="E94" s="100">
        <v>6.85</v>
      </c>
      <c r="F94" s="100">
        <v>1.3</v>
      </c>
      <c r="G94" s="100">
        <v>45.2</v>
      </c>
      <c r="H94" s="100">
        <v>20.76</v>
      </c>
      <c r="I94" s="100">
        <v>15.14</v>
      </c>
      <c r="J94" s="100">
        <v>0.18</v>
      </c>
      <c r="K94" s="100">
        <v>189.69</v>
      </c>
      <c r="L94" s="100">
        <v>18.16</v>
      </c>
      <c r="M94" s="100">
        <v>80.489999999999995</v>
      </c>
      <c r="N94" s="100">
        <v>17.5</v>
      </c>
      <c r="O94" s="100">
        <v>0</v>
      </c>
      <c r="P94" s="100">
        <v>0.93</v>
      </c>
      <c r="Q94" s="100">
        <v>9.32</v>
      </c>
      <c r="R94" s="6"/>
      <c r="S94" s="6"/>
      <c r="T94" s="156"/>
      <c r="U94" s="6"/>
    </row>
    <row r="95" spans="1:21" customFormat="1">
      <c r="A95" s="163" t="s">
        <v>2253</v>
      </c>
      <c r="B95" s="100">
        <v>7.16</v>
      </c>
      <c r="C95" s="100">
        <v>18.309999999999999</v>
      </c>
      <c r="D95" s="100">
        <v>15.31</v>
      </c>
      <c r="E95" s="100">
        <v>6.67</v>
      </c>
      <c r="F95" s="100">
        <v>1.32</v>
      </c>
      <c r="G95" s="100">
        <v>45.2</v>
      </c>
      <c r="H95" s="100">
        <v>20.76</v>
      </c>
      <c r="I95" s="100">
        <v>15.25</v>
      </c>
      <c r="J95" s="100">
        <v>0.21</v>
      </c>
      <c r="K95" s="100">
        <v>207.85</v>
      </c>
      <c r="L95" s="100">
        <v>17.89</v>
      </c>
      <c r="M95" s="100">
        <v>82.13</v>
      </c>
      <c r="N95" s="100">
        <v>17.600000000000001</v>
      </c>
      <c r="O95" s="100">
        <v>0</v>
      </c>
      <c r="P95" s="100">
        <v>0.94</v>
      </c>
      <c r="Q95" s="100">
        <v>9.32</v>
      </c>
      <c r="R95" s="6"/>
      <c r="S95" s="6"/>
      <c r="T95" s="156"/>
      <c r="U95" s="6"/>
    </row>
    <row r="96" spans="1:21" customFormat="1">
      <c r="A96" s="163" t="s">
        <v>2254</v>
      </c>
      <c r="B96" s="100">
        <v>7.24</v>
      </c>
      <c r="C96" s="100">
        <v>18.14</v>
      </c>
      <c r="D96" s="100">
        <v>15.28</v>
      </c>
      <c r="E96" s="100">
        <v>6.78</v>
      </c>
      <c r="F96" s="100">
        <v>1.37</v>
      </c>
      <c r="G96" s="100">
        <v>45.2</v>
      </c>
      <c r="H96" s="100">
        <v>20.76</v>
      </c>
      <c r="I96" s="100">
        <v>15.35</v>
      </c>
      <c r="J96" s="100">
        <v>0.12</v>
      </c>
      <c r="K96" s="100">
        <v>195.65</v>
      </c>
      <c r="L96" s="100">
        <v>17.47</v>
      </c>
      <c r="M96" s="100">
        <v>82.67</v>
      </c>
      <c r="N96" s="100">
        <v>17.8</v>
      </c>
      <c r="O96" s="100">
        <v>0</v>
      </c>
      <c r="P96" s="100">
        <v>0.93</v>
      </c>
      <c r="Q96" s="100">
        <v>9.32</v>
      </c>
      <c r="R96" s="6"/>
      <c r="S96" s="6"/>
      <c r="T96" s="156"/>
      <c r="U96" s="6"/>
    </row>
    <row r="97" spans="1:28" customFormat="1">
      <c r="A97" s="163" t="s">
        <v>2255</v>
      </c>
      <c r="B97" s="100">
        <v>7.36</v>
      </c>
      <c r="C97" s="100">
        <v>17.86</v>
      </c>
      <c r="D97" s="100">
        <v>15.23</v>
      </c>
      <c r="E97" s="100">
        <v>6.51</v>
      </c>
      <c r="F97" s="100">
        <v>1.33</v>
      </c>
      <c r="G97" s="100">
        <v>42.19</v>
      </c>
      <c r="H97" s="100">
        <v>19.29</v>
      </c>
      <c r="I97" s="100">
        <v>13.99</v>
      </c>
      <c r="J97" s="100">
        <v>0.23</v>
      </c>
      <c r="K97" s="100">
        <v>150.66999999999999</v>
      </c>
      <c r="L97" s="100">
        <v>17.46</v>
      </c>
      <c r="M97" s="100">
        <v>82.79</v>
      </c>
      <c r="N97" s="100">
        <v>17.600000000000001</v>
      </c>
      <c r="O97" s="100">
        <v>0</v>
      </c>
      <c r="P97" s="100">
        <v>0.94</v>
      </c>
      <c r="Q97" s="100">
        <v>9.32</v>
      </c>
      <c r="R97" s="6"/>
      <c r="S97" s="6"/>
      <c r="T97" s="156"/>
      <c r="U97" s="6"/>
    </row>
    <row r="98" spans="1:28" customFormat="1">
      <c r="A98" s="163" t="s">
        <v>2256</v>
      </c>
      <c r="B98" s="100">
        <v>7.45</v>
      </c>
      <c r="C98" s="100">
        <v>17.600000000000001</v>
      </c>
      <c r="D98" s="100">
        <v>15.17</v>
      </c>
      <c r="E98" s="100">
        <v>6.42</v>
      </c>
      <c r="F98" s="100">
        <v>1.42</v>
      </c>
      <c r="G98" s="100">
        <v>42.01</v>
      </c>
      <c r="H98" s="100">
        <v>19.29</v>
      </c>
      <c r="I98" s="100">
        <v>13.9</v>
      </c>
      <c r="J98" s="100">
        <v>0.11</v>
      </c>
      <c r="K98" s="100">
        <v>204.88</v>
      </c>
      <c r="L98" s="100">
        <v>17.38</v>
      </c>
      <c r="M98" s="100">
        <v>83.75</v>
      </c>
      <c r="N98" s="100">
        <v>17.399999999999999</v>
      </c>
      <c r="O98" s="100">
        <v>0</v>
      </c>
      <c r="P98" s="100">
        <v>0.95</v>
      </c>
      <c r="Q98" s="100">
        <v>9.32</v>
      </c>
      <c r="R98" s="6"/>
      <c r="S98" s="6"/>
      <c r="T98" s="156"/>
      <c r="U98" s="6"/>
    </row>
    <row r="99" spans="1:28" customFormat="1">
      <c r="A99" s="163" t="s">
        <v>2257</v>
      </c>
      <c r="B99" s="100">
        <v>7.57</v>
      </c>
      <c r="C99" s="100">
        <v>17.18</v>
      </c>
      <c r="D99" s="100">
        <v>15.05</v>
      </c>
      <c r="E99" s="100">
        <v>6.95</v>
      </c>
      <c r="F99" s="100">
        <v>1.36</v>
      </c>
      <c r="G99" s="100">
        <v>42.01</v>
      </c>
      <c r="H99" s="100">
        <v>19.29</v>
      </c>
      <c r="I99" s="100">
        <v>14.13</v>
      </c>
      <c r="J99" s="100">
        <v>0.13</v>
      </c>
      <c r="K99" s="100">
        <v>218.18</v>
      </c>
      <c r="L99" s="100">
        <v>17.21</v>
      </c>
      <c r="M99" s="100">
        <v>85.82</v>
      </c>
      <c r="N99" s="100">
        <v>17.5</v>
      </c>
      <c r="O99" s="100">
        <v>0</v>
      </c>
      <c r="P99" s="100">
        <v>0.96</v>
      </c>
      <c r="Q99" s="100">
        <v>9.32</v>
      </c>
      <c r="R99" s="6"/>
      <c r="S99" s="6"/>
      <c r="T99" s="156"/>
      <c r="U99" s="6"/>
    </row>
    <row r="100" spans="1:28" customFormat="1">
      <c r="A100" s="163" t="s">
        <v>2258</v>
      </c>
      <c r="B100" s="100">
        <v>7.72</v>
      </c>
      <c r="C100" s="100">
        <v>17.05</v>
      </c>
      <c r="D100" s="100">
        <v>15.1</v>
      </c>
      <c r="E100" s="100">
        <v>6.75</v>
      </c>
      <c r="F100" s="100">
        <v>1.22</v>
      </c>
      <c r="G100" s="100">
        <v>42.01</v>
      </c>
      <c r="H100" s="100">
        <v>19.29</v>
      </c>
      <c r="I100" s="100">
        <v>12.68</v>
      </c>
      <c r="J100" s="100">
        <v>0.15</v>
      </c>
      <c r="K100" s="100">
        <v>214.22</v>
      </c>
      <c r="L100" s="100">
        <v>17.079999999999998</v>
      </c>
      <c r="M100" s="100">
        <v>85.68</v>
      </c>
      <c r="N100" s="100">
        <v>17.5</v>
      </c>
      <c r="O100" s="100">
        <v>0</v>
      </c>
      <c r="P100" s="100">
        <v>0.96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2259</v>
      </c>
      <c r="B101" s="100">
        <v>7.92</v>
      </c>
      <c r="C101" s="100">
        <v>16.829999999999998</v>
      </c>
      <c r="D101" s="100">
        <v>15.14</v>
      </c>
      <c r="E101" s="100">
        <v>6.89</v>
      </c>
      <c r="F101" s="100">
        <v>1.23</v>
      </c>
      <c r="G101" s="100">
        <v>38.29</v>
      </c>
      <c r="H101" s="100">
        <v>19.329999999999998</v>
      </c>
      <c r="I101" s="100">
        <v>12.76</v>
      </c>
      <c r="J101" s="100">
        <v>0.17</v>
      </c>
      <c r="K101" s="100">
        <v>187.61</v>
      </c>
      <c r="L101" s="100">
        <v>16.829999999999998</v>
      </c>
      <c r="M101" s="100">
        <v>84.2</v>
      </c>
      <c r="N101" s="100">
        <v>17.7</v>
      </c>
      <c r="O101" s="100">
        <v>0</v>
      </c>
      <c r="P101" s="100">
        <v>0.96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2260</v>
      </c>
      <c r="B102" s="100">
        <v>8.0500000000000007</v>
      </c>
      <c r="C102" s="100">
        <v>16.63</v>
      </c>
      <c r="D102" s="100">
        <v>15.15</v>
      </c>
      <c r="E102" s="100">
        <v>6.58</v>
      </c>
      <c r="F102" s="100">
        <v>1.19</v>
      </c>
      <c r="G102" s="100">
        <v>38.07</v>
      </c>
      <c r="H102" s="100">
        <v>19.329999999999998</v>
      </c>
      <c r="I102" s="100">
        <v>12.85</v>
      </c>
      <c r="J102" s="100">
        <v>0.22</v>
      </c>
      <c r="K102" s="100">
        <v>146.44</v>
      </c>
      <c r="L102" s="100">
        <v>16.84</v>
      </c>
      <c r="M102" s="100">
        <v>84.58</v>
      </c>
      <c r="N102" s="100">
        <v>17.5</v>
      </c>
      <c r="O102" s="100">
        <v>0</v>
      </c>
      <c r="P102" s="100">
        <v>0.97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2261</v>
      </c>
      <c r="B103" s="100">
        <v>8.23</v>
      </c>
      <c r="C103" s="100">
        <v>16.440000000000001</v>
      </c>
      <c r="D103" s="100">
        <v>15.19</v>
      </c>
      <c r="E103" s="100">
        <v>4.41</v>
      </c>
      <c r="F103" s="100">
        <v>1.18</v>
      </c>
      <c r="G103" s="100">
        <v>38.07</v>
      </c>
      <c r="H103" s="100">
        <v>19.329999999999998</v>
      </c>
      <c r="I103" s="100">
        <v>12.92</v>
      </c>
      <c r="J103" s="100">
        <v>0.2</v>
      </c>
      <c r="K103" s="100">
        <v>149.88999999999999</v>
      </c>
      <c r="L103" s="100">
        <v>16.78</v>
      </c>
      <c r="M103" s="100">
        <v>84.49</v>
      </c>
      <c r="N103" s="100">
        <v>17.5</v>
      </c>
      <c r="O103" s="100">
        <v>0</v>
      </c>
      <c r="P103" s="100">
        <v>0.98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2262</v>
      </c>
      <c r="B104" s="100">
        <v>8.39</v>
      </c>
      <c r="C104" s="100">
        <v>16.23</v>
      </c>
      <c r="D104" s="100">
        <v>15.21</v>
      </c>
      <c r="E104" s="100">
        <v>6.5</v>
      </c>
      <c r="F104" s="100">
        <v>1.36</v>
      </c>
      <c r="G104" s="100">
        <v>38.07</v>
      </c>
      <c r="H104" s="100">
        <v>19.329999999999998</v>
      </c>
      <c r="I104" s="100">
        <v>12.98</v>
      </c>
      <c r="J104" s="100">
        <v>0.11</v>
      </c>
      <c r="K104" s="100">
        <v>162.78</v>
      </c>
      <c r="L104" s="100">
        <v>16.57</v>
      </c>
      <c r="M104" s="100">
        <v>85.36</v>
      </c>
      <c r="N104" s="100">
        <v>17.399999999999999</v>
      </c>
      <c r="O104" s="100">
        <v>0</v>
      </c>
      <c r="P104" s="100">
        <v>0.99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6.82</v>
      </c>
      <c r="C106" s="158">
        <f>MIN(C9:C104)</f>
        <v>14.82</v>
      </c>
      <c r="D106" s="158">
        <f t="shared" ref="D106:Q106" si="0">MIN(D9:D104)</f>
        <v>15.05</v>
      </c>
      <c r="E106" s="158">
        <f t="shared" si="0"/>
        <v>3.84</v>
      </c>
      <c r="F106" s="158">
        <f t="shared" si="0"/>
        <v>1.03</v>
      </c>
      <c r="G106" s="158">
        <f t="shared" si="0"/>
        <v>27.23</v>
      </c>
      <c r="H106" s="158">
        <f t="shared" si="0"/>
        <v>10.59</v>
      </c>
      <c r="I106" s="158">
        <f t="shared" si="0"/>
        <v>11.62</v>
      </c>
      <c r="J106" s="158">
        <f t="shared" si="0"/>
        <v>0.08</v>
      </c>
      <c r="K106" s="158">
        <f t="shared" si="0"/>
        <v>1.3</v>
      </c>
      <c r="L106" s="158">
        <f t="shared" si="0"/>
        <v>13.97</v>
      </c>
      <c r="M106" s="158">
        <f t="shared" si="0"/>
        <v>23.85</v>
      </c>
      <c r="N106" s="158">
        <f t="shared" si="0"/>
        <v>17.3</v>
      </c>
      <c r="O106" s="158">
        <f t="shared" si="0"/>
        <v>0</v>
      </c>
      <c r="P106" s="158">
        <f t="shared" si="0"/>
        <v>0.57999999999999996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27.97</v>
      </c>
      <c r="C107" s="157">
        <f t="shared" ref="C107:Q107" si="1">MAX(C9:C104)</f>
        <v>24.37</v>
      </c>
      <c r="D107" s="157">
        <f t="shared" si="1"/>
        <v>31.93</v>
      </c>
      <c r="E107" s="157">
        <f t="shared" si="1"/>
        <v>7.07</v>
      </c>
      <c r="F107" s="157">
        <f t="shared" si="1"/>
        <v>4.04</v>
      </c>
      <c r="G107" s="157">
        <f t="shared" si="1"/>
        <v>74.11</v>
      </c>
      <c r="H107" s="157">
        <f t="shared" si="1"/>
        <v>23.98</v>
      </c>
      <c r="I107" s="157">
        <f t="shared" si="1"/>
        <v>18.350000000000001</v>
      </c>
      <c r="J107" s="157">
        <f t="shared" si="1"/>
        <v>0.75</v>
      </c>
      <c r="K107" s="157">
        <f t="shared" si="1"/>
        <v>359.93</v>
      </c>
      <c r="L107" s="157">
        <f t="shared" si="1"/>
        <v>28.21</v>
      </c>
      <c r="M107" s="157">
        <f t="shared" si="1"/>
        <v>92.29</v>
      </c>
      <c r="N107" s="157">
        <f t="shared" si="1"/>
        <v>523.70000000000005</v>
      </c>
      <c r="O107" s="157">
        <f t="shared" si="1"/>
        <v>0</v>
      </c>
      <c r="P107" s="157">
        <f t="shared" si="1"/>
        <v>0.99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14.128333333333329</v>
      </c>
      <c r="C108" s="158">
        <f t="shared" ref="C108:Q108" si="2">AVERAGE(C9:C104)</f>
        <v>19.802708333333332</v>
      </c>
      <c r="D108" s="158">
        <f t="shared" si="2"/>
        <v>21.676770833333336</v>
      </c>
      <c r="E108" s="158">
        <f t="shared" si="2"/>
        <v>6.0113541666666661</v>
      </c>
      <c r="F108" s="158">
        <f t="shared" si="2"/>
        <v>1.4752083333333339</v>
      </c>
      <c r="G108" s="158">
        <f t="shared" si="2"/>
        <v>37.490208333333349</v>
      </c>
      <c r="H108" s="158">
        <f t="shared" si="2"/>
        <v>17.624583333333323</v>
      </c>
      <c r="I108" s="158">
        <f t="shared" si="2"/>
        <v>13.418333333333335</v>
      </c>
      <c r="J108" s="158">
        <f t="shared" si="2"/>
        <v>0.27062500000000012</v>
      </c>
      <c r="K108" s="158">
        <f t="shared" si="2"/>
        <v>146.03583333333336</v>
      </c>
      <c r="L108" s="158">
        <f t="shared" si="2"/>
        <v>20.350104166666672</v>
      </c>
      <c r="M108" s="158">
        <f t="shared" si="2"/>
        <v>62.96666666666664</v>
      </c>
      <c r="N108" s="158">
        <f t="shared" si="2"/>
        <v>104.70833333333339</v>
      </c>
      <c r="O108" s="158">
        <f t="shared" si="2"/>
        <v>0</v>
      </c>
      <c r="P108" s="158">
        <f t="shared" si="2"/>
        <v>0.79625000000000001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6.7711861149660439</v>
      </c>
      <c r="C109" s="158">
        <f t="shared" ref="C109:Q109" si="3">STDEV(C9:C104)</f>
        <v>2.6308007502886817</v>
      </c>
      <c r="D109" s="158">
        <f t="shared" si="3"/>
        <v>5.69797664822977</v>
      </c>
      <c r="E109" s="158">
        <f t="shared" si="3"/>
        <v>0.60287664757641957</v>
      </c>
      <c r="F109" s="158">
        <f t="shared" si="3"/>
        <v>0.47527272872179993</v>
      </c>
      <c r="G109" s="158">
        <f t="shared" si="3"/>
        <v>9.5944683601559841</v>
      </c>
      <c r="H109" s="158">
        <f t="shared" si="3"/>
        <v>2.9779229485867278</v>
      </c>
      <c r="I109" s="158">
        <f t="shared" si="3"/>
        <v>1.5852867359212213</v>
      </c>
      <c r="J109" s="158">
        <f t="shared" si="3"/>
        <v>0.17163494000808491</v>
      </c>
      <c r="K109" s="158">
        <f t="shared" si="3"/>
        <v>77.359246168245974</v>
      </c>
      <c r="L109" s="158">
        <f t="shared" si="3"/>
        <v>4.9677290151519218</v>
      </c>
      <c r="M109" s="158">
        <f t="shared" si="3"/>
        <v>24.842325540206943</v>
      </c>
      <c r="N109" s="158">
        <f t="shared" si="3"/>
        <v>150.40023212934673</v>
      </c>
      <c r="O109" s="158">
        <f t="shared" si="3"/>
        <v>0</v>
      </c>
      <c r="P109" s="158">
        <f t="shared" si="3"/>
        <v>0.11120630425143621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7"/>
  <sheetViews>
    <sheetView zoomScale="85" zoomScaleNormal="85" workbookViewId="0">
      <pane xSplit="1" ySplit="8" topLeftCell="B12" activePane="bottomRight" state="frozen"/>
      <selection pane="topRight"/>
      <selection pane="bottomLeft"/>
      <selection pane="bottomRight" activeCell="G13" sqref="G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2263</v>
      </c>
      <c r="B9" s="100">
        <v>8.5299999999999994</v>
      </c>
      <c r="C9" s="100">
        <v>15.36</v>
      </c>
      <c r="D9" s="100">
        <v>14.86</v>
      </c>
      <c r="E9" s="100">
        <v>6.66</v>
      </c>
      <c r="F9" s="100">
        <v>1.29</v>
      </c>
      <c r="G9" s="100">
        <v>35.26</v>
      </c>
      <c r="H9" s="100">
        <v>18.53</v>
      </c>
      <c r="I9" s="100">
        <v>13.07</v>
      </c>
      <c r="J9" s="100">
        <v>0.18</v>
      </c>
      <c r="K9" s="100">
        <v>167.65</v>
      </c>
      <c r="L9" s="100">
        <v>16.739999999999998</v>
      </c>
      <c r="M9" s="100">
        <v>86.14</v>
      </c>
      <c r="N9" s="100">
        <v>17.2</v>
      </c>
      <c r="O9" s="100">
        <v>0</v>
      </c>
      <c r="P9" s="100">
        <v>0.99</v>
      </c>
      <c r="Q9" s="100">
        <v>9.32</v>
      </c>
      <c r="R9" s="6"/>
      <c r="S9" s="6"/>
      <c r="T9" s="156"/>
      <c r="U9" s="6"/>
    </row>
    <row r="10" spans="1:21" customFormat="1">
      <c r="A10" s="163" t="s">
        <v>2264</v>
      </c>
      <c r="B10" s="100">
        <v>8.69</v>
      </c>
      <c r="C10" s="100">
        <v>15.71</v>
      </c>
      <c r="D10" s="100">
        <v>15.18</v>
      </c>
      <c r="E10" s="100">
        <v>6.92</v>
      </c>
      <c r="F10" s="100">
        <v>1.25</v>
      </c>
      <c r="G10" s="100">
        <v>35.1</v>
      </c>
      <c r="H10" s="100">
        <v>18.53</v>
      </c>
      <c r="I10" s="100">
        <v>13.15</v>
      </c>
      <c r="J10" s="100">
        <v>0.13</v>
      </c>
      <c r="K10" s="100">
        <v>114.28</v>
      </c>
      <c r="L10" s="100">
        <v>16.52</v>
      </c>
      <c r="M10" s="100">
        <v>85.94</v>
      </c>
      <c r="N10" s="100">
        <v>17.600000000000001</v>
      </c>
      <c r="O10" s="100">
        <v>0</v>
      </c>
      <c r="P10" s="100">
        <v>1.01</v>
      </c>
      <c r="Q10" s="100">
        <v>9.32</v>
      </c>
      <c r="R10" s="6"/>
      <c r="S10" s="6"/>
      <c r="T10" s="156"/>
      <c r="U10" s="6"/>
    </row>
    <row r="11" spans="1:21" customFormat="1">
      <c r="A11" s="163" t="s">
        <v>2265</v>
      </c>
      <c r="B11" s="100">
        <v>9.6999999999999993</v>
      </c>
      <c r="C11" s="100">
        <v>15.86</v>
      </c>
      <c r="D11" s="100">
        <v>16.07</v>
      </c>
      <c r="E11" s="100">
        <v>6.74</v>
      </c>
      <c r="F11" s="100">
        <v>1.27</v>
      </c>
      <c r="G11" s="100">
        <v>35.1</v>
      </c>
      <c r="H11" s="100">
        <v>18.53</v>
      </c>
      <c r="I11" s="100">
        <v>13.2</v>
      </c>
      <c r="J11" s="100">
        <v>0.2</v>
      </c>
      <c r="K11" s="100">
        <v>30.45</v>
      </c>
      <c r="L11" s="100">
        <v>16.559999999999999</v>
      </c>
      <c r="M11" s="100">
        <v>79.88</v>
      </c>
      <c r="N11" s="100">
        <v>17.2</v>
      </c>
      <c r="O11" s="100">
        <v>0</v>
      </c>
      <c r="P11" s="100">
        <v>1.02</v>
      </c>
      <c r="Q11" s="100">
        <v>9.32</v>
      </c>
      <c r="R11" s="6"/>
      <c r="S11" s="6"/>
      <c r="T11" s="156"/>
      <c r="U11" s="6"/>
    </row>
    <row r="12" spans="1:21" customFormat="1">
      <c r="A12" s="163" t="s">
        <v>2266</v>
      </c>
      <c r="B12" s="100">
        <v>12.28</v>
      </c>
      <c r="C12" s="100">
        <v>16.47</v>
      </c>
      <c r="D12" s="100">
        <v>18.45</v>
      </c>
      <c r="E12" s="100">
        <v>6.69</v>
      </c>
      <c r="F12" s="100">
        <v>1.1200000000000001</v>
      </c>
      <c r="G12" s="100">
        <v>35.1</v>
      </c>
      <c r="H12" s="100">
        <v>18.53</v>
      </c>
      <c r="I12" s="100">
        <v>14.78</v>
      </c>
      <c r="J12" s="100">
        <v>0.03</v>
      </c>
      <c r="K12" s="100">
        <v>260.69</v>
      </c>
      <c r="L12" s="100">
        <v>16.760000000000002</v>
      </c>
      <c r="M12" s="100">
        <v>78.22</v>
      </c>
      <c r="N12" s="100">
        <v>17.3</v>
      </c>
      <c r="O12" s="100">
        <v>0</v>
      </c>
      <c r="P12" s="100">
        <v>1.04</v>
      </c>
      <c r="Q12" s="100">
        <v>9.32</v>
      </c>
      <c r="R12" s="6"/>
      <c r="S12" s="6"/>
      <c r="T12" s="156"/>
      <c r="U12" s="6"/>
    </row>
    <row r="13" spans="1:21" customFormat="1">
      <c r="A13" s="163" t="s">
        <v>2267</v>
      </c>
      <c r="B13" s="100">
        <v>14.77</v>
      </c>
      <c r="C13" s="100">
        <v>17.260000000000002</v>
      </c>
      <c r="D13" s="100">
        <v>20.86</v>
      </c>
      <c r="E13" s="100">
        <v>6.5</v>
      </c>
      <c r="F13" s="100">
        <v>1.1100000000000001</v>
      </c>
      <c r="G13" s="100">
        <v>36.4</v>
      </c>
      <c r="H13" s="100">
        <v>19.79</v>
      </c>
      <c r="I13" s="100">
        <v>16.559999999999999</v>
      </c>
      <c r="J13" s="100">
        <v>0.1</v>
      </c>
      <c r="K13" s="100">
        <v>175.3</v>
      </c>
      <c r="L13" s="100">
        <v>16.72</v>
      </c>
      <c r="M13" s="100">
        <v>79.790000000000006</v>
      </c>
      <c r="N13" s="100">
        <v>17.5</v>
      </c>
      <c r="O13" s="100">
        <v>0</v>
      </c>
      <c r="P13" s="100">
        <v>1.06</v>
      </c>
      <c r="Q13" s="100">
        <v>9.32</v>
      </c>
      <c r="R13" s="6"/>
      <c r="S13" s="6"/>
      <c r="T13" s="156"/>
      <c r="U13" s="6"/>
    </row>
    <row r="14" spans="1:21" customFormat="1">
      <c r="A14" s="163" t="s">
        <v>2268</v>
      </c>
      <c r="B14" s="100">
        <v>16.97</v>
      </c>
      <c r="C14" s="100">
        <v>17.739999999999998</v>
      </c>
      <c r="D14" s="100">
        <v>22.88</v>
      </c>
      <c r="E14" s="100">
        <v>6.57</v>
      </c>
      <c r="F14" s="100">
        <v>1.28</v>
      </c>
      <c r="G14" s="100">
        <v>36.479999999999997</v>
      </c>
      <c r="H14" s="100">
        <v>19.79</v>
      </c>
      <c r="I14" s="100">
        <v>15.32</v>
      </c>
      <c r="J14" s="100">
        <v>0.17</v>
      </c>
      <c r="K14" s="100">
        <v>166.97</v>
      </c>
      <c r="L14" s="100">
        <v>16.559999999999999</v>
      </c>
      <c r="M14" s="100">
        <v>82.21</v>
      </c>
      <c r="N14" s="100">
        <v>17.7</v>
      </c>
      <c r="O14" s="100">
        <v>0</v>
      </c>
      <c r="P14" s="100">
        <v>1.0900000000000001</v>
      </c>
      <c r="Q14" s="100">
        <v>9.32</v>
      </c>
      <c r="R14" s="6"/>
      <c r="S14" s="6"/>
      <c r="T14" s="156"/>
      <c r="U14" s="6"/>
    </row>
    <row r="15" spans="1:21" customFormat="1">
      <c r="A15" s="163" t="s">
        <v>2269</v>
      </c>
      <c r="B15" s="100">
        <v>18.739999999999998</v>
      </c>
      <c r="C15" s="100">
        <v>18.059999999999999</v>
      </c>
      <c r="D15" s="100">
        <v>24.47</v>
      </c>
      <c r="E15" s="100">
        <v>6.78</v>
      </c>
      <c r="F15" s="100">
        <v>1.1499999999999999</v>
      </c>
      <c r="G15" s="100">
        <v>36.479999999999997</v>
      </c>
      <c r="H15" s="100">
        <v>19.79</v>
      </c>
      <c r="I15" s="100">
        <v>14</v>
      </c>
      <c r="J15" s="100">
        <v>0.15</v>
      </c>
      <c r="K15" s="100">
        <v>188.46</v>
      </c>
      <c r="L15" s="100">
        <v>16.29</v>
      </c>
      <c r="M15" s="100">
        <v>85.03</v>
      </c>
      <c r="N15" s="100">
        <v>17.7</v>
      </c>
      <c r="O15" s="100">
        <v>0</v>
      </c>
      <c r="P15" s="100">
        <v>1.1100000000000001</v>
      </c>
      <c r="Q15" s="100">
        <v>9.32</v>
      </c>
      <c r="R15" s="6"/>
      <c r="S15" s="6"/>
      <c r="T15" s="156"/>
      <c r="U15" s="6"/>
    </row>
    <row r="16" spans="1:21" customFormat="1">
      <c r="A16" s="163" t="s">
        <v>2270</v>
      </c>
      <c r="B16" s="100">
        <v>20.149999999999999</v>
      </c>
      <c r="C16" s="100">
        <v>18.16</v>
      </c>
      <c r="D16" s="100">
        <v>25.65</v>
      </c>
      <c r="E16" s="100">
        <v>6.54</v>
      </c>
      <c r="F16" s="100">
        <v>1.1299999999999999</v>
      </c>
      <c r="G16" s="100">
        <v>36.479999999999997</v>
      </c>
      <c r="H16" s="100">
        <v>19.79</v>
      </c>
      <c r="I16" s="100">
        <v>14.32</v>
      </c>
      <c r="J16" s="100">
        <v>0.13</v>
      </c>
      <c r="K16" s="100">
        <v>170.32</v>
      </c>
      <c r="L16" s="100">
        <v>16.12</v>
      </c>
      <c r="M16" s="100">
        <v>86.84</v>
      </c>
      <c r="N16" s="100">
        <v>17.7</v>
      </c>
      <c r="O16" s="100">
        <v>0</v>
      </c>
      <c r="P16" s="100">
        <v>1.1200000000000001</v>
      </c>
      <c r="Q16" s="100">
        <v>9.32</v>
      </c>
      <c r="R16" s="6"/>
      <c r="S16" s="6"/>
      <c r="T16" s="156"/>
      <c r="U16" s="6"/>
    </row>
    <row r="17" spans="1:21" customFormat="1">
      <c r="A17" s="163" t="s">
        <v>2271</v>
      </c>
      <c r="B17" s="100">
        <v>21.43</v>
      </c>
      <c r="C17" s="100">
        <v>18.149999999999999</v>
      </c>
      <c r="D17" s="100">
        <v>26.67</v>
      </c>
      <c r="E17" s="100">
        <v>3.81</v>
      </c>
      <c r="F17" s="100">
        <v>1.07</v>
      </c>
      <c r="G17" s="100">
        <v>44.45</v>
      </c>
      <c r="H17" s="100">
        <v>20.6</v>
      </c>
      <c r="I17" s="100">
        <v>14.66</v>
      </c>
      <c r="J17" s="100">
        <v>0.17</v>
      </c>
      <c r="K17" s="100">
        <v>222.22</v>
      </c>
      <c r="L17" s="100">
        <v>15.91</v>
      </c>
      <c r="M17" s="100">
        <v>87.2</v>
      </c>
      <c r="N17" s="100">
        <v>17.5</v>
      </c>
      <c r="O17" s="100">
        <v>0</v>
      </c>
      <c r="P17" s="100">
        <v>1.1299999999999999</v>
      </c>
      <c r="Q17" s="100">
        <v>9.32</v>
      </c>
      <c r="R17" s="6"/>
      <c r="S17" s="6"/>
      <c r="T17" s="156"/>
      <c r="U17" s="6"/>
    </row>
    <row r="18" spans="1:21" customFormat="1">
      <c r="A18" s="163" t="s">
        <v>2272</v>
      </c>
      <c r="B18" s="100">
        <v>22.54</v>
      </c>
      <c r="C18" s="100">
        <v>18.149999999999999</v>
      </c>
      <c r="D18" s="100">
        <v>27.56</v>
      </c>
      <c r="E18" s="100">
        <v>4.34</v>
      </c>
      <c r="F18" s="100">
        <v>1.3</v>
      </c>
      <c r="G18" s="100">
        <v>44.91</v>
      </c>
      <c r="H18" s="100">
        <v>20.6</v>
      </c>
      <c r="I18" s="100">
        <v>14.96</v>
      </c>
      <c r="J18" s="100">
        <v>0.14000000000000001</v>
      </c>
      <c r="K18" s="100">
        <v>219.83</v>
      </c>
      <c r="L18" s="100">
        <v>15.69</v>
      </c>
      <c r="M18" s="100">
        <v>88.38</v>
      </c>
      <c r="N18" s="100">
        <v>17.7</v>
      </c>
      <c r="O18" s="100">
        <v>0</v>
      </c>
      <c r="P18" s="100">
        <v>1.1499999999999999</v>
      </c>
      <c r="Q18" s="100">
        <v>9.32</v>
      </c>
      <c r="R18" s="6"/>
      <c r="S18" s="6"/>
      <c r="T18" s="156"/>
      <c r="U18" s="6"/>
    </row>
    <row r="19" spans="1:21" customFormat="1">
      <c r="A19" s="163" t="s">
        <v>2273</v>
      </c>
      <c r="B19" s="100">
        <v>23.41</v>
      </c>
      <c r="C19" s="100">
        <v>18.18</v>
      </c>
      <c r="D19" s="100">
        <v>28.27</v>
      </c>
      <c r="E19" s="100">
        <v>4.29</v>
      </c>
      <c r="F19" s="100">
        <v>1.21</v>
      </c>
      <c r="G19" s="100">
        <v>44.91</v>
      </c>
      <c r="H19" s="100">
        <v>20.6</v>
      </c>
      <c r="I19" s="100">
        <v>15.26</v>
      </c>
      <c r="J19" s="100">
        <v>0.13</v>
      </c>
      <c r="K19" s="100">
        <v>115.85</v>
      </c>
      <c r="L19" s="100">
        <v>15.49</v>
      </c>
      <c r="M19" s="100">
        <v>88.31</v>
      </c>
      <c r="N19" s="100">
        <v>17.7</v>
      </c>
      <c r="O19" s="100">
        <v>0</v>
      </c>
      <c r="P19" s="100">
        <v>1.1599999999999999</v>
      </c>
      <c r="Q19" s="100">
        <v>9.32</v>
      </c>
      <c r="R19" s="6"/>
      <c r="S19" s="6"/>
      <c r="T19" s="156"/>
      <c r="U19" s="6"/>
    </row>
    <row r="20" spans="1:21" customFormat="1">
      <c r="A20" s="163" t="s">
        <v>2274</v>
      </c>
      <c r="B20" s="100">
        <v>25.04</v>
      </c>
      <c r="C20" s="100">
        <v>18.29</v>
      </c>
      <c r="D20" s="100">
        <v>29.64</v>
      </c>
      <c r="E20" s="100">
        <v>4.28</v>
      </c>
      <c r="F20" s="100">
        <v>1.24</v>
      </c>
      <c r="G20" s="100">
        <v>44.91</v>
      </c>
      <c r="H20" s="100">
        <v>20.6</v>
      </c>
      <c r="I20" s="100">
        <v>15.6</v>
      </c>
      <c r="J20" s="100">
        <v>0.16</v>
      </c>
      <c r="K20" s="100">
        <v>141.79</v>
      </c>
      <c r="L20" s="100">
        <v>15.59</v>
      </c>
      <c r="M20" s="100">
        <v>85.96</v>
      </c>
      <c r="N20" s="100">
        <v>17.399999999999999</v>
      </c>
      <c r="O20" s="100">
        <v>0</v>
      </c>
      <c r="P20" s="100">
        <v>1.17</v>
      </c>
      <c r="Q20" s="100">
        <v>9.32</v>
      </c>
      <c r="R20" s="6"/>
      <c r="S20" s="6"/>
      <c r="T20" s="156"/>
      <c r="U20" s="6"/>
    </row>
    <row r="21" spans="1:21" customFormat="1">
      <c r="A21" s="163" t="s">
        <v>2275</v>
      </c>
      <c r="B21" s="100">
        <v>26.63</v>
      </c>
      <c r="C21" s="100">
        <v>18.48</v>
      </c>
      <c r="D21" s="100">
        <v>31.01</v>
      </c>
      <c r="E21" s="100">
        <v>4.63</v>
      </c>
      <c r="F21" s="100">
        <v>1.1299999999999999</v>
      </c>
      <c r="G21" s="100">
        <v>44.29</v>
      </c>
      <c r="H21" s="100">
        <v>20.38</v>
      </c>
      <c r="I21" s="100">
        <v>15.91</v>
      </c>
      <c r="J21" s="100">
        <v>0.14000000000000001</v>
      </c>
      <c r="K21" s="100">
        <v>188.63</v>
      </c>
      <c r="L21" s="100">
        <v>15.86</v>
      </c>
      <c r="M21" s="100">
        <v>84.53</v>
      </c>
      <c r="N21" s="100">
        <v>17.399999999999999</v>
      </c>
      <c r="O21" s="100">
        <v>0</v>
      </c>
      <c r="P21" s="100">
        <v>1.18</v>
      </c>
      <c r="Q21" s="100">
        <v>9.32</v>
      </c>
      <c r="R21" s="6"/>
      <c r="S21" s="6"/>
      <c r="T21" s="156"/>
      <c r="U21" s="6"/>
    </row>
    <row r="22" spans="1:21" customFormat="1">
      <c r="A22" s="163" t="s">
        <v>2276</v>
      </c>
      <c r="B22" s="100">
        <v>27.62</v>
      </c>
      <c r="C22" s="100">
        <v>18.559999999999999</v>
      </c>
      <c r="D22" s="100">
        <v>31.84</v>
      </c>
      <c r="E22" s="100">
        <v>4.6900000000000004</v>
      </c>
      <c r="F22" s="100">
        <v>0.92</v>
      </c>
      <c r="G22" s="100">
        <v>44.25</v>
      </c>
      <c r="H22" s="100">
        <v>20.38</v>
      </c>
      <c r="I22" s="100">
        <v>16.18</v>
      </c>
      <c r="J22" s="100">
        <v>0.15</v>
      </c>
      <c r="K22" s="100">
        <v>199.78</v>
      </c>
      <c r="L22" s="100">
        <v>15.62</v>
      </c>
      <c r="M22" s="100">
        <v>86.69</v>
      </c>
      <c r="N22" s="100">
        <v>17.600000000000001</v>
      </c>
      <c r="O22" s="100">
        <v>0</v>
      </c>
      <c r="P22" s="100">
        <v>1.18</v>
      </c>
      <c r="Q22" s="100">
        <v>9.32</v>
      </c>
      <c r="R22" s="6"/>
      <c r="S22" s="6"/>
      <c r="T22" s="156"/>
      <c r="U22" s="6"/>
    </row>
    <row r="23" spans="1:21" customFormat="1">
      <c r="A23" s="163" t="s">
        <v>2277</v>
      </c>
      <c r="B23" s="100">
        <v>28.11</v>
      </c>
      <c r="C23" s="100">
        <v>18.48</v>
      </c>
      <c r="D23" s="100">
        <v>32.200000000000003</v>
      </c>
      <c r="E23" s="100">
        <v>4.49</v>
      </c>
      <c r="F23" s="100">
        <v>1.1499999999999999</v>
      </c>
      <c r="G23" s="100">
        <v>44.25</v>
      </c>
      <c r="H23" s="100">
        <v>20.38</v>
      </c>
      <c r="I23" s="100">
        <v>16.41</v>
      </c>
      <c r="J23" s="100">
        <v>0.12</v>
      </c>
      <c r="K23" s="100">
        <v>189.83</v>
      </c>
      <c r="L23" s="100">
        <v>15.32</v>
      </c>
      <c r="M23" s="100">
        <v>88.43</v>
      </c>
      <c r="N23" s="100">
        <v>17.7</v>
      </c>
      <c r="O23" s="100">
        <v>0</v>
      </c>
      <c r="P23" s="100">
        <v>1.18</v>
      </c>
      <c r="Q23" s="100">
        <v>9.32</v>
      </c>
      <c r="R23" s="6"/>
      <c r="S23" s="6"/>
      <c r="T23" s="156"/>
      <c r="U23" s="6"/>
    </row>
    <row r="24" spans="1:21" customFormat="1">
      <c r="A24" s="163" t="s">
        <v>2278</v>
      </c>
      <c r="B24" s="100">
        <v>28.73</v>
      </c>
      <c r="C24" s="100">
        <v>18.32</v>
      </c>
      <c r="D24" s="100">
        <v>32.61</v>
      </c>
      <c r="E24" s="100">
        <v>4.58</v>
      </c>
      <c r="F24" s="100">
        <v>1.19</v>
      </c>
      <c r="G24" s="100">
        <v>44.25</v>
      </c>
      <c r="H24" s="100">
        <v>20.38</v>
      </c>
      <c r="I24" s="100">
        <v>16.57</v>
      </c>
      <c r="J24" s="100">
        <v>0.17</v>
      </c>
      <c r="K24" s="100">
        <v>144.55000000000001</v>
      </c>
      <c r="L24" s="100">
        <v>15.21</v>
      </c>
      <c r="M24" s="100">
        <v>87.68</v>
      </c>
      <c r="N24" s="100">
        <v>17.600000000000001</v>
      </c>
      <c r="O24" s="100">
        <v>0</v>
      </c>
      <c r="P24" s="100">
        <v>1.17</v>
      </c>
      <c r="Q24" s="100">
        <v>9.32</v>
      </c>
      <c r="R24" s="6"/>
      <c r="S24" s="6"/>
      <c r="T24" s="156"/>
      <c r="U24" s="6"/>
    </row>
    <row r="25" spans="1:21" customFormat="1">
      <c r="A25" s="163" t="s">
        <v>2279</v>
      </c>
      <c r="B25" s="100">
        <v>29.21</v>
      </c>
      <c r="C25" s="100">
        <v>18.260000000000002</v>
      </c>
      <c r="D25" s="100">
        <v>32.97</v>
      </c>
      <c r="E25" s="100">
        <v>4.5</v>
      </c>
      <c r="F25" s="100">
        <v>1.1000000000000001</v>
      </c>
      <c r="G25" s="100">
        <v>38.01</v>
      </c>
      <c r="H25" s="100">
        <v>20.48</v>
      </c>
      <c r="I25" s="100">
        <v>16.62</v>
      </c>
      <c r="J25" s="100">
        <v>0.17</v>
      </c>
      <c r="K25" s="100">
        <v>157.63</v>
      </c>
      <c r="L25" s="100">
        <v>15.13</v>
      </c>
      <c r="M25" s="100">
        <v>88.15</v>
      </c>
      <c r="N25" s="100">
        <v>17.5</v>
      </c>
      <c r="O25" s="100">
        <v>0</v>
      </c>
      <c r="P25" s="100">
        <v>1.1599999999999999</v>
      </c>
      <c r="Q25" s="100">
        <v>9.32</v>
      </c>
      <c r="R25" s="6"/>
      <c r="S25" s="6"/>
      <c r="T25" s="156"/>
      <c r="U25" s="6"/>
    </row>
    <row r="26" spans="1:21" customFormat="1">
      <c r="A26" s="163" t="s">
        <v>2280</v>
      </c>
      <c r="B26" s="100">
        <v>29.34</v>
      </c>
      <c r="C26" s="100">
        <v>18.12</v>
      </c>
      <c r="D26" s="100">
        <v>33</v>
      </c>
      <c r="E26" s="100">
        <v>4.28</v>
      </c>
      <c r="F26" s="100">
        <v>1.22</v>
      </c>
      <c r="G26" s="100">
        <v>37.64</v>
      </c>
      <c r="H26" s="100">
        <v>20.48</v>
      </c>
      <c r="I26" s="100">
        <v>16.61</v>
      </c>
      <c r="J26" s="100">
        <v>0.14000000000000001</v>
      </c>
      <c r="K26" s="100">
        <v>202.69</v>
      </c>
      <c r="L26" s="100">
        <v>15.09</v>
      </c>
      <c r="M26" s="100">
        <v>90.02</v>
      </c>
      <c r="N26" s="100">
        <v>17.5</v>
      </c>
      <c r="O26" s="100">
        <v>0</v>
      </c>
      <c r="P26" s="100">
        <v>1.1499999999999999</v>
      </c>
      <c r="Q26" s="100">
        <v>9.32</v>
      </c>
      <c r="R26" s="6"/>
      <c r="S26" s="6"/>
      <c r="T26" s="156"/>
      <c r="U26" s="6"/>
    </row>
    <row r="27" spans="1:21" customFormat="1">
      <c r="A27" s="163" t="s">
        <v>2281</v>
      </c>
      <c r="B27" s="100">
        <v>28.94</v>
      </c>
      <c r="C27" s="100">
        <v>17.93</v>
      </c>
      <c r="D27" s="100">
        <v>32.58</v>
      </c>
      <c r="E27" s="100">
        <v>4.03</v>
      </c>
      <c r="F27" s="100">
        <v>1.1200000000000001</v>
      </c>
      <c r="G27" s="100">
        <v>37.64</v>
      </c>
      <c r="H27" s="100">
        <v>20.48</v>
      </c>
      <c r="I27" s="100">
        <v>16.53</v>
      </c>
      <c r="J27" s="100">
        <v>0.17</v>
      </c>
      <c r="K27" s="100">
        <v>225.22</v>
      </c>
      <c r="L27" s="100">
        <v>14.83</v>
      </c>
      <c r="M27" s="100">
        <v>90.17</v>
      </c>
      <c r="N27" s="100">
        <v>17.600000000000001</v>
      </c>
      <c r="O27" s="100">
        <v>0</v>
      </c>
      <c r="P27" s="100">
        <v>1.1200000000000001</v>
      </c>
      <c r="Q27" s="100">
        <v>9.32</v>
      </c>
      <c r="R27" s="6"/>
      <c r="S27" s="6"/>
      <c r="T27" s="156"/>
      <c r="U27" s="6"/>
    </row>
    <row r="28" spans="1:21" customFormat="1">
      <c r="A28" s="163" t="s">
        <v>2282</v>
      </c>
      <c r="B28" s="100">
        <v>28.25</v>
      </c>
      <c r="C28" s="100">
        <v>17.71</v>
      </c>
      <c r="D28" s="100">
        <v>31.9</v>
      </c>
      <c r="E28" s="100">
        <v>4.16</v>
      </c>
      <c r="F28" s="100">
        <v>1.22</v>
      </c>
      <c r="G28" s="100">
        <v>37.64</v>
      </c>
      <c r="H28" s="100">
        <v>20.48</v>
      </c>
      <c r="I28" s="100">
        <v>16.41</v>
      </c>
      <c r="J28" s="100">
        <v>0.12</v>
      </c>
      <c r="K28" s="100">
        <v>168.32</v>
      </c>
      <c r="L28" s="100">
        <v>14.64</v>
      </c>
      <c r="M28" s="100">
        <v>90.39</v>
      </c>
      <c r="N28" s="100">
        <v>17.7</v>
      </c>
      <c r="O28" s="100">
        <v>0</v>
      </c>
      <c r="P28" s="100">
        <v>1.1100000000000001</v>
      </c>
      <c r="Q28" s="100">
        <v>9.32</v>
      </c>
      <c r="R28" s="6"/>
      <c r="S28" s="6"/>
      <c r="T28" s="156"/>
      <c r="U28" s="6"/>
    </row>
    <row r="29" spans="1:21" customFormat="1">
      <c r="A29" s="163" t="s">
        <v>2283</v>
      </c>
      <c r="B29" s="100">
        <v>27.75</v>
      </c>
      <c r="C29" s="100">
        <v>17.690000000000001</v>
      </c>
      <c r="D29" s="100">
        <v>31.49</v>
      </c>
      <c r="E29" s="100">
        <v>4.25</v>
      </c>
      <c r="F29" s="100">
        <v>0.97</v>
      </c>
      <c r="G29" s="100">
        <v>34.03</v>
      </c>
      <c r="H29" s="100">
        <v>19.16</v>
      </c>
      <c r="I29" s="100">
        <v>16.23</v>
      </c>
      <c r="J29" s="100">
        <v>0.14000000000000001</v>
      </c>
      <c r="K29" s="100">
        <v>156.1</v>
      </c>
      <c r="L29" s="100">
        <v>14.65</v>
      </c>
      <c r="M29" s="100">
        <v>90.16</v>
      </c>
      <c r="N29" s="100">
        <v>17.5</v>
      </c>
      <c r="O29" s="100">
        <v>0</v>
      </c>
      <c r="P29" s="100">
        <v>1.07</v>
      </c>
      <c r="Q29" s="100">
        <v>9.32</v>
      </c>
      <c r="R29" s="6"/>
      <c r="S29" s="6"/>
      <c r="T29" s="156"/>
      <c r="U29" s="6"/>
    </row>
    <row r="30" spans="1:21" customFormat="1">
      <c r="A30" s="163" t="s">
        <v>2284</v>
      </c>
      <c r="B30" s="100">
        <v>28.23</v>
      </c>
      <c r="C30" s="100">
        <v>17.63</v>
      </c>
      <c r="D30" s="100">
        <v>31.85</v>
      </c>
      <c r="E30" s="100">
        <v>4.3899999999999997</v>
      </c>
      <c r="F30" s="100">
        <v>1.06</v>
      </c>
      <c r="G30" s="100">
        <v>33.770000000000003</v>
      </c>
      <c r="H30" s="100">
        <v>19.16</v>
      </c>
      <c r="I30" s="100">
        <v>16.010000000000002</v>
      </c>
      <c r="J30" s="100">
        <v>0.09</v>
      </c>
      <c r="K30" s="100">
        <v>145.78</v>
      </c>
      <c r="L30" s="100">
        <v>14.74</v>
      </c>
      <c r="M30" s="100">
        <v>87.99</v>
      </c>
      <c r="N30" s="100">
        <v>17.399999999999999</v>
      </c>
      <c r="O30" s="100">
        <v>0</v>
      </c>
      <c r="P30" s="100">
        <v>1.05</v>
      </c>
      <c r="Q30" s="100">
        <v>9.32</v>
      </c>
      <c r="R30" s="6"/>
      <c r="S30" s="6"/>
      <c r="T30" s="156"/>
      <c r="U30" s="6"/>
    </row>
    <row r="31" spans="1:21" customFormat="1">
      <c r="A31" s="163" t="s">
        <v>2285</v>
      </c>
      <c r="B31" s="100">
        <v>29.31</v>
      </c>
      <c r="C31" s="100">
        <v>17.91</v>
      </c>
      <c r="D31" s="100">
        <v>32.86</v>
      </c>
      <c r="E31" s="100">
        <v>4.5</v>
      </c>
      <c r="F31" s="100">
        <v>1.23</v>
      </c>
      <c r="G31" s="100">
        <v>33.770000000000003</v>
      </c>
      <c r="H31" s="100">
        <v>19.16</v>
      </c>
      <c r="I31" s="100">
        <v>15.88</v>
      </c>
      <c r="J31" s="100">
        <v>0.17</v>
      </c>
      <c r="K31" s="100">
        <v>193.36</v>
      </c>
      <c r="L31" s="100">
        <v>14.83</v>
      </c>
      <c r="M31" s="100">
        <v>86.77</v>
      </c>
      <c r="N31" s="100">
        <v>17.2</v>
      </c>
      <c r="O31" s="100">
        <v>0</v>
      </c>
      <c r="P31" s="100">
        <v>1.03</v>
      </c>
      <c r="Q31" s="100">
        <v>9.32</v>
      </c>
      <c r="R31" s="6"/>
      <c r="S31" s="6"/>
      <c r="T31" s="156"/>
      <c r="U31" s="6"/>
    </row>
    <row r="32" spans="1:21" customFormat="1">
      <c r="A32" s="163" t="s">
        <v>2286</v>
      </c>
      <c r="B32" s="100">
        <v>29.85</v>
      </c>
      <c r="C32" s="100">
        <v>18.07</v>
      </c>
      <c r="D32" s="100">
        <v>33.380000000000003</v>
      </c>
      <c r="E32" s="100">
        <v>4.5599999999999996</v>
      </c>
      <c r="F32" s="100">
        <v>1.28</v>
      </c>
      <c r="G32" s="100">
        <v>33.770000000000003</v>
      </c>
      <c r="H32" s="100">
        <v>19.16</v>
      </c>
      <c r="I32" s="100">
        <v>15.74</v>
      </c>
      <c r="J32" s="100">
        <v>0.1</v>
      </c>
      <c r="K32" s="100">
        <v>177.46</v>
      </c>
      <c r="L32" s="100">
        <v>14.77</v>
      </c>
      <c r="M32" s="100">
        <v>88.02</v>
      </c>
      <c r="N32" s="100">
        <v>17.5</v>
      </c>
      <c r="O32" s="100">
        <v>0</v>
      </c>
      <c r="P32" s="100">
        <v>1.01</v>
      </c>
      <c r="Q32" s="100">
        <v>9.32</v>
      </c>
      <c r="R32" s="6"/>
      <c r="S32" s="6"/>
      <c r="T32" s="156"/>
      <c r="U32" s="6"/>
    </row>
    <row r="33" spans="1:21" customFormat="1">
      <c r="A33" s="163" t="s">
        <v>2287</v>
      </c>
      <c r="B33" s="100">
        <v>30.52</v>
      </c>
      <c r="C33" s="100">
        <v>18.440000000000001</v>
      </c>
      <c r="D33" s="100">
        <v>34.11</v>
      </c>
      <c r="E33" s="100">
        <v>4.8899999999999997</v>
      </c>
      <c r="F33" s="100">
        <v>1.18</v>
      </c>
      <c r="G33" s="100">
        <v>35.74</v>
      </c>
      <c r="H33" s="100">
        <v>18.79</v>
      </c>
      <c r="I33" s="100">
        <v>15.57</v>
      </c>
      <c r="J33" s="100">
        <v>0.16</v>
      </c>
      <c r="K33" s="100">
        <v>183.59</v>
      </c>
      <c r="L33" s="100">
        <v>14.76</v>
      </c>
      <c r="M33" s="100">
        <v>86.32</v>
      </c>
      <c r="N33" s="100">
        <v>17.399999999999999</v>
      </c>
      <c r="O33" s="100">
        <v>0</v>
      </c>
      <c r="P33" s="100">
        <v>1.01</v>
      </c>
      <c r="Q33" s="100">
        <v>9.32</v>
      </c>
      <c r="R33" s="6"/>
      <c r="S33" s="6"/>
      <c r="T33" s="156"/>
      <c r="U33" s="6"/>
    </row>
    <row r="34" spans="1:21" customFormat="1">
      <c r="A34" s="163" t="s">
        <v>2288</v>
      </c>
      <c r="B34" s="100">
        <v>30.96</v>
      </c>
      <c r="C34" s="100">
        <v>18.559999999999999</v>
      </c>
      <c r="D34" s="100">
        <v>34.53</v>
      </c>
      <c r="E34" s="100">
        <v>4.3499999999999996</v>
      </c>
      <c r="F34" s="100">
        <v>1.1299999999999999</v>
      </c>
      <c r="G34" s="100">
        <v>35.880000000000003</v>
      </c>
      <c r="H34" s="100">
        <v>18.79</v>
      </c>
      <c r="I34" s="100">
        <v>15.37</v>
      </c>
      <c r="J34" s="100">
        <v>0.13</v>
      </c>
      <c r="K34" s="100">
        <v>193.17</v>
      </c>
      <c r="L34" s="100">
        <v>14.71</v>
      </c>
      <c r="M34" s="100">
        <v>87.09</v>
      </c>
      <c r="N34" s="100">
        <v>18.3</v>
      </c>
      <c r="O34" s="100">
        <v>0</v>
      </c>
      <c r="P34" s="100">
        <v>0.99</v>
      </c>
      <c r="Q34" s="100">
        <v>9.32</v>
      </c>
      <c r="R34" s="6"/>
      <c r="S34" s="6"/>
      <c r="T34" s="156"/>
      <c r="U34" s="6"/>
    </row>
    <row r="35" spans="1:21" customFormat="1">
      <c r="A35" s="163" t="s">
        <v>2289</v>
      </c>
      <c r="B35" s="100">
        <v>30.88</v>
      </c>
      <c r="C35" s="100">
        <v>18.61</v>
      </c>
      <c r="D35" s="100">
        <v>34.479999999999997</v>
      </c>
      <c r="E35" s="100">
        <v>4.6900000000000004</v>
      </c>
      <c r="F35" s="100">
        <v>1.18</v>
      </c>
      <c r="G35" s="100">
        <v>35.880000000000003</v>
      </c>
      <c r="H35" s="100">
        <v>18.79</v>
      </c>
      <c r="I35" s="100">
        <v>15.23</v>
      </c>
      <c r="J35" s="100">
        <v>0.15</v>
      </c>
      <c r="K35" s="100">
        <v>170.68</v>
      </c>
      <c r="L35" s="100">
        <v>14.64</v>
      </c>
      <c r="M35" s="100">
        <v>88.44</v>
      </c>
      <c r="N35" s="100">
        <v>21.2</v>
      </c>
      <c r="O35" s="100">
        <v>0</v>
      </c>
      <c r="P35" s="100">
        <v>0.97</v>
      </c>
      <c r="Q35" s="100">
        <v>9.32</v>
      </c>
      <c r="R35" s="6"/>
      <c r="S35" s="6"/>
      <c r="T35" s="156"/>
      <c r="U35" s="6"/>
    </row>
    <row r="36" spans="1:21" customFormat="1">
      <c r="A36" s="163" t="s">
        <v>2290</v>
      </c>
      <c r="B36" s="100">
        <v>31.92</v>
      </c>
      <c r="C36" s="100">
        <v>18.760000000000002</v>
      </c>
      <c r="D36" s="100">
        <v>35.4</v>
      </c>
      <c r="E36" s="100">
        <v>4.53</v>
      </c>
      <c r="F36" s="100">
        <v>1.1499999999999999</v>
      </c>
      <c r="G36" s="100">
        <v>35.880000000000003</v>
      </c>
      <c r="H36" s="100">
        <v>18.79</v>
      </c>
      <c r="I36" s="100">
        <v>15.11</v>
      </c>
      <c r="J36" s="100">
        <v>0.18</v>
      </c>
      <c r="K36" s="100">
        <v>162.53</v>
      </c>
      <c r="L36" s="100">
        <v>14.83</v>
      </c>
      <c r="M36" s="100">
        <v>86.98</v>
      </c>
      <c r="N36" s="100">
        <v>28.4</v>
      </c>
      <c r="O36" s="100">
        <v>0</v>
      </c>
      <c r="P36" s="100">
        <v>0.97</v>
      </c>
      <c r="Q36" s="100">
        <v>9.32</v>
      </c>
      <c r="R36" s="6"/>
      <c r="S36" s="6"/>
      <c r="T36" s="156"/>
      <c r="U36" s="6"/>
    </row>
    <row r="37" spans="1:21" customFormat="1">
      <c r="A37" s="163" t="s">
        <v>2291</v>
      </c>
      <c r="B37" s="100">
        <v>33.01</v>
      </c>
      <c r="C37" s="100">
        <v>19.059999999999999</v>
      </c>
      <c r="D37" s="100">
        <v>36.43</v>
      </c>
      <c r="E37" s="100">
        <v>4.6399999999999997</v>
      </c>
      <c r="F37" s="100">
        <v>1.21</v>
      </c>
      <c r="G37" s="100">
        <v>35.43</v>
      </c>
      <c r="H37" s="100">
        <v>19.71</v>
      </c>
      <c r="I37" s="100">
        <v>14.99</v>
      </c>
      <c r="J37" s="100">
        <v>0.15</v>
      </c>
      <c r="K37" s="100">
        <v>178.29</v>
      </c>
      <c r="L37" s="100">
        <v>15.13</v>
      </c>
      <c r="M37" s="100">
        <v>86.84</v>
      </c>
      <c r="N37" s="100">
        <v>38.1</v>
      </c>
      <c r="O37" s="100">
        <v>0</v>
      </c>
      <c r="P37" s="100">
        <v>0.96</v>
      </c>
      <c r="Q37" s="100">
        <v>9.32</v>
      </c>
      <c r="R37" s="6"/>
      <c r="S37" s="6"/>
      <c r="T37" s="156"/>
      <c r="U37" s="6"/>
    </row>
    <row r="38" spans="1:21" customFormat="1">
      <c r="A38" s="163" t="s">
        <v>2292</v>
      </c>
      <c r="B38" s="100">
        <v>32.94</v>
      </c>
      <c r="C38" s="100">
        <v>19.2</v>
      </c>
      <c r="D38" s="100">
        <v>36.450000000000003</v>
      </c>
      <c r="E38" s="100">
        <v>4.6900000000000004</v>
      </c>
      <c r="F38" s="100">
        <v>1.22</v>
      </c>
      <c r="G38" s="100">
        <v>35.4</v>
      </c>
      <c r="H38" s="100">
        <v>19.71</v>
      </c>
      <c r="I38" s="100">
        <v>14.97</v>
      </c>
      <c r="J38" s="100">
        <v>7.0000000000000007E-2</v>
      </c>
      <c r="K38" s="100">
        <v>149.66999999999999</v>
      </c>
      <c r="L38" s="100">
        <v>15.62</v>
      </c>
      <c r="M38" s="100">
        <v>87.74</v>
      </c>
      <c r="N38" s="100">
        <v>50.6</v>
      </c>
      <c r="O38" s="100">
        <v>0</v>
      </c>
      <c r="P38" s="100">
        <v>0.96</v>
      </c>
      <c r="Q38" s="100">
        <v>9.32</v>
      </c>
      <c r="R38" s="6"/>
      <c r="S38" s="6"/>
      <c r="T38" s="156"/>
      <c r="U38" s="6"/>
    </row>
    <row r="39" spans="1:21" customFormat="1">
      <c r="A39" s="163" t="s">
        <v>2293</v>
      </c>
      <c r="B39" s="100">
        <v>32.1</v>
      </c>
      <c r="C39" s="100">
        <v>19.18</v>
      </c>
      <c r="D39" s="100">
        <v>35.76</v>
      </c>
      <c r="E39" s="100">
        <v>4.59</v>
      </c>
      <c r="F39" s="100">
        <v>1.36</v>
      </c>
      <c r="G39" s="100">
        <v>35.4</v>
      </c>
      <c r="H39" s="100">
        <v>19.71</v>
      </c>
      <c r="I39" s="100">
        <v>14.97</v>
      </c>
      <c r="J39" s="100">
        <v>0.25</v>
      </c>
      <c r="K39" s="100">
        <v>75.290000000000006</v>
      </c>
      <c r="L39" s="100">
        <v>16.54</v>
      </c>
      <c r="M39" s="100">
        <v>78.28</v>
      </c>
      <c r="N39" s="100">
        <v>61.5</v>
      </c>
      <c r="O39" s="100">
        <v>0</v>
      </c>
      <c r="P39" s="100">
        <v>0.94</v>
      </c>
      <c r="Q39" s="100">
        <v>9.32</v>
      </c>
      <c r="R39" s="6"/>
      <c r="S39" s="6"/>
      <c r="T39" s="156"/>
      <c r="U39" s="6"/>
    </row>
    <row r="40" spans="1:21" customFormat="1">
      <c r="A40" s="163" t="s">
        <v>2294</v>
      </c>
      <c r="B40" s="100">
        <v>30.86</v>
      </c>
      <c r="C40" s="100">
        <v>19.440000000000001</v>
      </c>
      <c r="D40" s="100">
        <v>34.9</v>
      </c>
      <c r="E40" s="100">
        <v>4.53</v>
      </c>
      <c r="F40" s="100">
        <v>1.3</v>
      </c>
      <c r="G40" s="100">
        <v>35.4</v>
      </c>
      <c r="H40" s="100">
        <v>19.71</v>
      </c>
      <c r="I40" s="100">
        <v>14.99</v>
      </c>
      <c r="J40" s="100">
        <v>0.4</v>
      </c>
      <c r="K40" s="100">
        <v>61.98</v>
      </c>
      <c r="L40" s="100">
        <v>17.21</v>
      </c>
      <c r="M40" s="100">
        <v>72.61</v>
      </c>
      <c r="N40" s="100">
        <v>74.3</v>
      </c>
      <c r="O40" s="100">
        <v>0</v>
      </c>
      <c r="P40" s="100">
        <v>0.94</v>
      </c>
      <c r="Q40" s="100">
        <v>9.32</v>
      </c>
      <c r="R40" s="6"/>
      <c r="S40" s="6"/>
      <c r="T40" s="156"/>
      <c r="U40" s="6"/>
    </row>
    <row r="41" spans="1:21" customFormat="1">
      <c r="A41" s="163" t="s">
        <v>2295</v>
      </c>
      <c r="B41" s="100">
        <v>29.48</v>
      </c>
      <c r="C41" s="100">
        <v>20.170000000000002</v>
      </c>
      <c r="D41" s="100">
        <v>34.18</v>
      </c>
      <c r="E41" s="100">
        <v>4.4400000000000004</v>
      </c>
      <c r="F41" s="100">
        <v>1.32</v>
      </c>
      <c r="G41" s="100">
        <v>36.28</v>
      </c>
      <c r="H41" s="100">
        <v>20.03</v>
      </c>
      <c r="I41" s="100">
        <v>17.14</v>
      </c>
      <c r="J41" s="100">
        <v>0.32</v>
      </c>
      <c r="K41" s="100">
        <v>88</v>
      </c>
      <c r="L41" s="100">
        <v>17.989999999999998</v>
      </c>
      <c r="M41" s="100">
        <v>67.540000000000006</v>
      </c>
      <c r="N41" s="100">
        <v>130.6</v>
      </c>
      <c r="O41" s="100">
        <v>0</v>
      </c>
      <c r="P41" s="100">
        <v>0.94</v>
      </c>
      <c r="Q41" s="100">
        <v>9.32</v>
      </c>
      <c r="R41" s="6"/>
      <c r="S41" s="6"/>
      <c r="T41" s="156"/>
      <c r="U41" s="6"/>
    </row>
    <row r="42" spans="1:21" customFormat="1">
      <c r="A42" s="163" t="s">
        <v>2296</v>
      </c>
      <c r="B42" s="100">
        <v>27.98</v>
      </c>
      <c r="C42" s="100">
        <v>21.02</v>
      </c>
      <c r="D42" s="100">
        <v>33.42</v>
      </c>
      <c r="E42" s="100">
        <v>4.7300000000000004</v>
      </c>
      <c r="F42" s="100">
        <v>1.24</v>
      </c>
      <c r="G42" s="100">
        <v>36.33</v>
      </c>
      <c r="H42" s="100">
        <v>20.03</v>
      </c>
      <c r="I42" s="100">
        <v>17.41</v>
      </c>
      <c r="J42" s="100">
        <v>0.37</v>
      </c>
      <c r="K42" s="100">
        <v>80.13</v>
      </c>
      <c r="L42" s="100">
        <v>18.88</v>
      </c>
      <c r="M42" s="100">
        <v>64.75</v>
      </c>
      <c r="N42" s="100">
        <v>185.5</v>
      </c>
      <c r="O42" s="100">
        <v>0</v>
      </c>
      <c r="P42" s="100">
        <v>0.94</v>
      </c>
      <c r="Q42" s="100">
        <v>9.32</v>
      </c>
      <c r="R42" s="6"/>
      <c r="S42" s="6"/>
      <c r="T42" s="156"/>
      <c r="U42" s="6"/>
    </row>
    <row r="43" spans="1:21" customFormat="1">
      <c r="A43" s="163" t="s">
        <v>2297</v>
      </c>
      <c r="B43" s="100">
        <v>26.77</v>
      </c>
      <c r="C43" s="100">
        <v>21.5</v>
      </c>
      <c r="D43" s="100">
        <v>32.700000000000003</v>
      </c>
      <c r="E43" s="100">
        <v>4.99</v>
      </c>
      <c r="F43" s="100">
        <v>1.28</v>
      </c>
      <c r="G43" s="100">
        <v>36.33</v>
      </c>
      <c r="H43" s="100">
        <v>20.03</v>
      </c>
      <c r="I43" s="100">
        <v>17.23</v>
      </c>
      <c r="J43" s="100">
        <v>0.93</v>
      </c>
      <c r="K43" s="100">
        <v>41.63</v>
      </c>
      <c r="L43" s="100">
        <v>19.43</v>
      </c>
      <c r="M43" s="100">
        <v>63.79</v>
      </c>
      <c r="N43" s="100">
        <v>208.2</v>
      </c>
      <c r="O43" s="100">
        <v>0</v>
      </c>
      <c r="P43" s="100">
        <v>0.93</v>
      </c>
      <c r="Q43" s="100">
        <v>9.32</v>
      </c>
      <c r="R43" s="6"/>
      <c r="S43" s="6"/>
      <c r="T43" s="156"/>
      <c r="U43" s="6"/>
    </row>
    <row r="44" spans="1:21" customFormat="1">
      <c r="A44" s="163" t="s">
        <v>2298</v>
      </c>
      <c r="B44" s="100">
        <v>26.26</v>
      </c>
      <c r="C44" s="100">
        <v>21.64</v>
      </c>
      <c r="D44" s="100">
        <v>32.369999999999997</v>
      </c>
      <c r="E44" s="100">
        <v>4.72</v>
      </c>
      <c r="F44" s="100">
        <v>1.22</v>
      </c>
      <c r="G44" s="100">
        <v>36.33</v>
      </c>
      <c r="H44" s="100">
        <v>20.03</v>
      </c>
      <c r="I44" s="100">
        <v>19.54</v>
      </c>
      <c r="J44" s="100">
        <v>1.23</v>
      </c>
      <c r="K44" s="100">
        <v>42.97</v>
      </c>
      <c r="L44" s="100">
        <v>20.260000000000002</v>
      </c>
      <c r="M44" s="100">
        <v>59.64</v>
      </c>
      <c r="N44" s="100">
        <v>237.1</v>
      </c>
      <c r="O44" s="100">
        <v>0</v>
      </c>
      <c r="P44" s="100">
        <v>0.93</v>
      </c>
      <c r="Q44" s="100">
        <v>9.32</v>
      </c>
      <c r="R44" s="6"/>
      <c r="S44" s="6"/>
      <c r="T44" s="156"/>
      <c r="U44" s="6"/>
    </row>
    <row r="45" spans="1:21" customFormat="1">
      <c r="A45" s="163" t="s">
        <v>2299</v>
      </c>
      <c r="B45" s="100">
        <v>25.74</v>
      </c>
      <c r="C45" s="100">
        <v>22.22</v>
      </c>
      <c r="D45" s="100">
        <v>32.26</v>
      </c>
      <c r="E45" s="100">
        <v>5.32</v>
      </c>
      <c r="F45" s="100">
        <v>1.39</v>
      </c>
      <c r="G45" s="100">
        <v>43.7</v>
      </c>
      <c r="H45" s="100">
        <v>20.04</v>
      </c>
      <c r="I45" s="100">
        <v>19.690000000000001</v>
      </c>
      <c r="J45" s="100">
        <v>1.52</v>
      </c>
      <c r="K45" s="100">
        <v>40.64</v>
      </c>
      <c r="L45" s="100">
        <v>20.8</v>
      </c>
      <c r="M45" s="100">
        <v>57.12</v>
      </c>
      <c r="N45" s="100">
        <v>175.5</v>
      </c>
      <c r="O45" s="100">
        <v>0</v>
      </c>
      <c r="P45" s="100">
        <v>0.92</v>
      </c>
      <c r="Q45" s="100">
        <v>9.32</v>
      </c>
      <c r="R45" s="6"/>
      <c r="S45" s="6"/>
      <c r="T45" s="156"/>
      <c r="U45" s="6"/>
    </row>
    <row r="46" spans="1:21" customFormat="1">
      <c r="A46" s="163" t="s">
        <v>2300</v>
      </c>
      <c r="B46" s="100">
        <v>24.95</v>
      </c>
      <c r="C46" s="100">
        <v>22.45</v>
      </c>
      <c r="D46" s="100">
        <v>31.74</v>
      </c>
      <c r="E46" s="100">
        <v>5.03</v>
      </c>
      <c r="F46" s="100">
        <v>1.44</v>
      </c>
      <c r="G46" s="100">
        <v>44.14</v>
      </c>
      <c r="H46" s="100">
        <v>20.04</v>
      </c>
      <c r="I46" s="100">
        <v>19.760000000000002</v>
      </c>
      <c r="J46" s="100">
        <v>1.39</v>
      </c>
      <c r="K46" s="100">
        <v>36.15</v>
      </c>
      <c r="L46" s="100">
        <v>21.39</v>
      </c>
      <c r="M46" s="100">
        <v>55.01</v>
      </c>
      <c r="N46" s="100">
        <v>140.19999999999999</v>
      </c>
      <c r="O46" s="100">
        <v>0</v>
      </c>
      <c r="P46" s="100">
        <v>0.91</v>
      </c>
      <c r="Q46" s="100">
        <v>9.32</v>
      </c>
      <c r="R46" s="6"/>
      <c r="S46" s="6"/>
      <c r="T46" s="156"/>
      <c r="U46" s="6"/>
    </row>
    <row r="47" spans="1:21" customFormat="1">
      <c r="A47" s="163" t="s">
        <v>2301</v>
      </c>
      <c r="B47" s="100">
        <v>24.28</v>
      </c>
      <c r="C47" s="100">
        <v>22.68</v>
      </c>
      <c r="D47" s="100">
        <v>31.32</v>
      </c>
      <c r="E47" s="100">
        <v>5.47</v>
      </c>
      <c r="F47" s="100">
        <v>1.44</v>
      </c>
      <c r="G47" s="100">
        <v>44.14</v>
      </c>
      <c r="H47" s="100">
        <v>20.04</v>
      </c>
      <c r="I47" s="100">
        <v>19.559999999999999</v>
      </c>
      <c r="J47" s="100">
        <v>1.24</v>
      </c>
      <c r="K47" s="100">
        <v>45.17</v>
      </c>
      <c r="L47" s="100">
        <v>21.86</v>
      </c>
      <c r="M47" s="100">
        <v>53.61</v>
      </c>
      <c r="N47" s="100">
        <v>146.5</v>
      </c>
      <c r="O47" s="100">
        <v>0</v>
      </c>
      <c r="P47" s="100">
        <v>0.9</v>
      </c>
      <c r="Q47" s="100">
        <v>9.32</v>
      </c>
      <c r="R47" s="6"/>
      <c r="S47" s="6"/>
      <c r="T47" s="156"/>
      <c r="U47" s="6"/>
    </row>
    <row r="48" spans="1:21" customFormat="1">
      <c r="A48" s="163" t="s">
        <v>2302</v>
      </c>
      <c r="B48" s="100">
        <v>23.58</v>
      </c>
      <c r="C48" s="100">
        <v>22.78</v>
      </c>
      <c r="D48" s="100">
        <v>30.81</v>
      </c>
      <c r="E48" s="100">
        <v>5.3</v>
      </c>
      <c r="F48" s="100">
        <v>1.35</v>
      </c>
      <c r="G48" s="100">
        <v>44.14</v>
      </c>
      <c r="H48" s="100">
        <v>20.04</v>
      </c>
      <c r="I48" s="100">
        <v>19.27</v>
      </c>
      <c r="J48" s="100">
        <v>1.02</v>
      </c>
      <c r="K48" s="100">
        <v>48.54</v>
      </c>
      <c r="L48" s="100">
        <v>22.72</v>
      </c>
      <c r="M48" s="100">
        <v>51.3</v>
      </c>
      <c r="N48" s="100">
        <v>162.5</v>
      </c>
      <c r="O48" s="100">
        <v>0</v>
      </c>
      <c r="P48" s="100">
        <v>0.89</v>
      </c>
      <c r="Q48" s="100">
        <v>9.32</v>
      </c>
      <c r="R48" s="6"/>
      <c r="S48" s="6"/>
      <c r="T48" s="156"/>
      <c r="U48" s="6"/>
    </row>
    <row r="49" spans="1:21" customFormat="1">
      <c r="A49" s="163" t="s">
        <v>2303</v>
      </c>
      <c r="B49" s="100">
        <v>22.79</v>
      </c>
      <c r="C49" s="100">
        <v>23.06</v>
      </c>
      <c r="D49" s="100">
        <v>30.33</v>
      </c>
      <c r="E49" s="100">
        <v>5.5</v>
      </c>
      <c r="F49" s="100">
        <v>1.31</v>
      </c>
      <c r="G49" s="100">
        <v>37.29</v>
      </c>
      <c r="H49" s="100">
        <v>19.27</v>
      </c>
      <c r="I49" s="100">
        <v>18.97</v>
      </c>
      <c r="J49" s="100">
        <v>0.75</v>
      </c>
      <c r="K49" s="100">
        <v>49.94</v>
      </c>
      <c r="L49" s="100">
        <v>23.71</v>
      </c>
      <c r="M49" s="100">
        <v>47.1</v>
      </c>
      <c r="N49" s="100">
        <v>351.5</v>
      </c>
      <c r="O49" s="100">
        <v>0</v>
      </c>
      <c r="P49" s="100">
        <v>0.88</v>
      </c>
      <c r="Q49" s="100">
        <v>9.32</v>
      </c>
      <c r="R49" s="6"/>
      <c r="S49" s="6"/>
      <c r="T49" s="156"/>
      <c r="U49" s="6"/>
    </row>
    <row r="50" spans="1:21" customFormat="1">
      <c r="A50" s="163" t="s">
        <v>2304</v>
      </c>
      <c r="B50" s="100">
        <v>22.15</v>
      </c>
      <c r="C50" s="100">
        <v>23.08</v>
      </c>
      <c r="D50" s="100">
        <v>29.83</v>
      </c>
      <c r="E50" s="100">
        <v>6.5</v>
      </c>
      <c r="F50" s="100">
        <v>1.48</v>
      </c>
      <c r="G50" s="100">
        <v>36.880000000000003</v>
      </c>
      <c r="H50" s="100">
        <v>19.27</v>
      </c>
      <c r="I50" s="100">
        <v>18.73</v>
      </c>
      <c r="J50" s="100">
        <v>0.99</v>
      </c>
      <c r="K50" s="100">
        <v>40.590000000000003</v>
      </c>
      <c r="L50" s="100">
        <v>24.3</v>
      </c>
      <c r="M50" s="100">
        <v>44.35</v>
      </c>
      <c r="N50" s="100">
        <v>434.6</v>
      </c>
      <c r="O50" s="100">
        <v>0</v>
      </c>
      <c r="P50" s="100">
        <v>0.89</v>
      </c>
      <c r="Q50" s="100">
        <v>9.32</v>
      </c>
      <c r="R50" s="6"/>
      <c r="S50" s="6"/>
      <c r="T50" s="156"/>
      <c r="U50" s="6"/>
    </row>
    <row r="51" spans="1:21" customFormat="1">
      <c r="A51" s="163" t="s">
        <v>2305</v>
      </c>
      <c r="B51" s="100">
        <v>21.55</v>
      </c>
      <c r="C51" s="100">
        <v>22.75</v>
      </c>
      <c r="D51" s="100">
        <v>29.17</v>
      </c>
      <c r="E51" s="100">
        <v>6.56</v>
      </c>
      <c r="F51" s="100">
        <v>1.48</v>
      </c>
      <c r="G51" s="100">
        <v>36.880000000000003</v>
      </c>
      <c r="H51" s="100">
        <v>19.27</v>
      </c>
      <c r="I51" s="100">
        <v>16.41</v>
      </c>
      <c r="J51" s="100">
        <v>0.45</v>
      </c>
      <c r="K51" s="100">
        <v>52.12</v>
      </c>
      <c r="L51" s="100">
        <v>25.39</v>
      </c>
      <c r="M51" s="100">
        <v>40.700000000000003</v>
      </c>
      <c r="N51" s="100">
        <v>461.2</v>
      </c>
      <c r="O51" s="100">
        <v>0</v>
      </c>
      <c r="P51" s="100">
        <v>0.87</v>
      </c>
      <c r="Q51" s="100">
        <v>9.32</v>
      </c>
      <c r="R51" s="6"/>
      <c r="S51" s="6"/>
      <c r="T51" s="156"/>
      <c r="U51" s="6"/>
    </row>
    <row r="52" spans="1:21" customFormat="1">
      <c r="A52" s="163" t="s">
        <v>2306</v>
      </c>
      <c r="B52" s="100">
        <v>20.88</v>
      </c>
      <c r="C52" s="100">
        <v>22.43</v>
      </c>
      <c r="D52" s="100">
        <v>28.46</v>
      </c>
      <c r="E52" s="100">
        <v>6.39</v>
      </c>
      <c r="F52" s="100">
        <v>1.54</v>
      </c>
      <c r="G52" s="100">
        <v>36.880000000000003</v>
      </c>
      <c r="H52" s="100">
        <v>19.27</v>
      </c>
      <c r="I52" s="100">
        <v>13.85</v>
      </c>
      <c r="J52" s="100">
        <v>0.91</v>
      </c>
      <c r="K52" s="100">
        <v>38.42</v>
      </c>
      <c r="L52" s="100">
        <v>26.06</v>
      </c>
      <c r="M52" s="100">
        <v>37.18</v>
      </c>
      <c r="N52" s="100">
        <v>484.3</v>
      </c>
      <c r="O52" s="100">
        <v>0</v>
      </c>
      <c r="P52" s="100">
        <v>0.86</v>
      </c>
      <c r="Q52" s="100">
        <v>9.32</v>
      </c>
      <c r="R52" s="6"/>
      <c r="S52" s="6"/>
      <c r="T52" s="156"/>
      <c r="U52" s="6"/>
    </row>
    <row r="53" spans="1:21" customFormat="1">
      <c r="A53" s="163" t="s">
        <v>2307</v>
      </c>
      <c r="B53" s="100">
        <v>20.12</v>
      </c>
      <c r="C53" s="100">
        <v>22.2</v>
      </c>
      <c r="D53" s="100">
        <v>27.73</v>
      </c>
      <c r="E53" s="100">
        <v>6.61</v>
      </c>
      <c r="F53" s="100">
        <v>1.67</v>
      </c>
      <c r="G53" s="100">
        <v>32.56</v>
      </c>
      <c r="H53" s="100">
        <v>19.059999999999999</v>
      </c>
      <c r="I53" s="100">
        <v>13.63</v>
      </c>
      <c r="J53" s="100">
        <v>1.02</v>
      </c>
      <c r="K53" s="100">
        <v>39.700000000000003</v>
      </c>
      <c r="L53" s="100">
        <v>26.22</v>
      </c>
      <c r="M53" s="100">
        <v>36.46</v>
      </c>
      <c r="N53" s="100">
        <v>463.9</v>
      </c>
      <c r="O53" s="100">
        <v>0</v>
      </c>
      <c r="P53" s="100">
        <v>0.85</v>
      </c>
      <c r="Q53" s="100">
        <v>9.32</v>
      </c>
      <c r="R53" s="6"/>
      <c r="S53" s="6"/>
      <c r="T53" s="156"/>
      <c r="U53" s="6"/>
    </row>
    <row r="54" spans="1:21" customFormat="1">
      <c r="A54" s="163" t="s">
        <v>2308</v>
      </c>
      <c r="B54" s="100">
        <v>19.170000000000002</v>
      </c>
      <c r="C54" s="100">
        <v>21.84</v>
      </c>
      <c r="D54" s="100">
        <v>26.78</v>
      </c>
      <c r="E54" s="100">
        <v>6.93</v>
      </c>
      <c r="F54" s="100">
        <v>1.7</v>
      </c>
      <c r="G54" s="100">
        <v>32.299999999999997</v>
      </c>
      <c r="H54" s="100">
        <v>19.059999999999999</v>
      </c>
      <c r="I54" s="100">
        <v>13.43</v>
      </c>
      <c r="J54" s="100">
        <v>0.47</v>
      </c>
      <c r="K54" s="100">
        <v>61.56</v>
      </c>
      <c r="L54" s="100">
        <v>26.7</v>
      </c>
      <c r="M54" s="100">
        <v>34.83</v>
      </c>
      <c r="N54" s="100">
        <v>508.2</v>
      </c>
      <c r="O54" s="100">
        <v>0</v>
      </c>
      <c r="P54" s="100">
        <v>0.84</v>
      </c>
      <c r="Q54" s="100">
        <v>9.32</v>
      </c>
      <c r="R54" s="6"/>
      <c r="S54" s="6"/>
      <c r="T54" s="156"/>
      <c r="U54" s="6"/>
    </row>
    <row r="55" spans="1:21" customFormat="1">
      <c r="A55" s="163" t="s">
        <v>2309</v>
      </c>
      <c r="B55" s="100">
        <v>17.97</v>
      </c>
      <c r="C55" s="100">
        <v>21.61</v>
      </c>
      <c r="D55" s="100">
        <v>25.7</v>
      </c>
      <c r="E55" s="100">
        <v>6.58</v>
      </c>
      <c r="F55" s="100">
        <v>1.53</v>
      </c>
      <c r="G55" s="100">
        <v>32.299999999999997</v>
      </c>
      <c r="H55" s="100">
        <v>19.059999999999999</v>
      </c>
      <c r="I55" s="100">
        <v>13.24</v>
      </c>
      <c r="J55" s="100">
        <v>0.56000000000000005</v>
      </c>
      <c r="K55" s="100">
        <v>44.78</v>
      </c>
      <c r="L55" s="100">
        <v>27.16</v>
      </c>
      <c r="M55" s="100">
        <v>33.47</v>
      </c>
      <c r="N55" s="100">
        <v>520.4</v>
      </c>
      <c r="O55" s="100">
        <v>0</v>
      </c>
      <c r="P55" s="100">
        <v>0.83</v>
      </c>
      <c r="Q55" s="100">
        <v>9.32</v>
      </c>
      <c r="R55" s="6"/>
      <c r="S55" s="6"/>
      <c r="T55" s="156"/>
      <c r="U55" s="6"/>
    </row>
    <row r="56" spans="1:21" customFormat="1">
      <c r="A56" s="163" t="s">
        <v>2310</v>
      </c>
      <c r="B56" s="100">
        <v>16.62</v>
      </c>
      <c r="C56" s="100">
        <v>21.49</v>
      </c>
      <c r="D56" s="100">
        <v>24.56</v>
      </c>
      <c r="E56" s="100">
        <v>6.47</v>
      </c>
      <c r="F56" s="100">
        <v>1.64</v>
      </c>
      <c r="G56" s="100">
        <v>32.299999999999997</v>
      </c>
      <c r="H56" s="100">
        <v>19.059999999999999</v>
      </c>
      <c r="I56" s="100">
        <v>14.33</v>
      </c>
      <c r="J56" s="100">
        <v>0.31</v>
      </c>
      <c r="K56" s="100">
        <v>82.85</v>
      </c>
      <c r="L56" s="100">
        <v>27.79</v>
      </c>
      <c r="M56" s="100">
        <v>32.28</v>
      </c>
      <c r="N56" s="100">
        <v>523.6</v>
      </c>
      <c r="O56" s="100">
        <v>0</v>
      </c>
      <c r="P56" s="100">
        <v>0.82</v>
      </c>
      <c r="Q56" s="100">
        <v>9.32</v>
      </c>
      <c r="R56" s="6"/>
      <c r="S56" s="6"/>
      <c r="T56" s="156"/>
      <c r="U56" s="6"/>
    </row>
    <row r="57" spans="1:21" customFormat="1">
      <c r="A57" s="163" t="s">
        <v>2311</v>
      </c>
      <c r="B57" s="100">
        <v>15.24</v>
      </c>
      <c r="C57" s="100">
        <v>21.49</v>
      </c>
      <c r="D57" s="100">
        <v>23.45</v>
      </c>
      <c r="E57" s="100">
        <v>6.91</v>
      </c>
      <c r="F57" s="100">
        <v>2.34</v>
      </c>
      <c r="G57" s="100">
        <v>30.79</v>
      </c>
      <c r="H57" s="100">
        <v>16.59</v>
      </c>
      <c r="I57" s="100">
        <v>15.56</v>
      </c>
      <c r="J57" s="100">
        <v>0.55000000000000004</v>
      </c>
      <c r="K57" s="100">
        <v>59.11</v>
      </c>
      <c r="L57" s="100">
        <v>27.81</v>
      </c>
      <c r="M57" s="100">
        <v>30.71</v>
      </c>
      <c r="N57" s="100">
        <v>536.29999999999995</v>
      </c>
      <c r="O57" s="100">
        <v>0</v>
      </c>
      <c r="P57" s="100">
        <v>0.8</v>
      </c>
      <c r="Q57" s="100">
        <v>9.32</v>
      </c>
      <c r="R57" s="6"/>
      <c r="S57" s="6"/>
      <c r="T57" s="156"/>
      <c r="U57" s="6"/>
    </row>
    <row r="58" spans="1:21" customFormat="1">
      <c r="A58" s="163" t="s">
        <v>2312</v>
      </c>
      <c r="B58" s="100">
        <v>13.78</v>
      </c>
      <c r="C58" s="100">
        <v>21.58</v>
      </c>
      <c r="D58" s="100">
        <v>22.32</v>
      </c>
      <c r="E58" s="100">
        <v>6.65</v>
      </c>
      <c r="F58" s="100">
        <v>1.87</v>
      </c>
      <c r="G58" s="100">
        <v>30.71</v>
      </c>
      <c r="H58" s="100">
        <v>16.59</v>
      </c>
      <c r="I58" s="100">
        <v>15.32</v>
      </c>
      <c r="J58" s="100">
        <v>0.51</v>
      </c>
      <c r="K58" s="100">
        <v>47.86</v>
      </c>
      <c r="L58" s="100">
        <v>28.24</v>
      </c>
      <c r="M58" s="100">
        <v>29.47</v>
      </c>
      <c r="N58" s="100">
        <v>512</v>
      </c>
      <c r="O58" s="100">
        <v>0</v>
      </c>
      <c r="P58" s="100">
        <v>0.79</v>
      </c>
      <c r="Q58" s="100">
        <v>9.32</v>
      </c>
      <c r="R58" s="6"/>
      <c r="S58" s="6"/>
      <c r="T58" s="156"/>
      <c r="U58" s="6"/>
    </row>
    <row r="59" spans="1:21" customFormat="1">
      <c r="A59" s="163" t="s">
        <v>2313</v>
      </c>
      <c r="B59" s="100">
        <v>12.41</v>
      </c>
      <c r="C59" s="100">
        <v>21.62</v>
      </c>
      <c r="D59" s="100">
        <v>21.25</v>
      </c>
      <c r="E59" s="100">
        <v>6.63</v>
      </c>
      <c r="F59" s="100">
        <v>1.92</v>
      </c>
      <c r="G59" s="100">
        <v>30.71</v>
      </c>
      <c r="H59" s="100">
        <v>16.59</v>
      </c>
      <c r="I59" s="100">
        <v>15.12</v>
      </c>
      <c r="J59" s="100">
        <v>0.82</v>
      </c>
      <c r="K59" s="100">
        <v>44.84</v>
      </c>
      <c r="L59" s="100">
        <v>27.91</v>
      </c>
      <c r="M59" s="100">
        <v>29.42</v>
      </c>
      <c r="N59" s="100">
        <v>338.4</v>
      </c>
      <c r="O59" s="100">
        <v>0</v>
      </c>
      <c r="P59" s="100">
        <v>0.79</v>
      </c>
      <c r="Q59" s="100">
        <v>9.32</v>
      </c>
      <c r="R59" s="6"/>
      <c r="S59" s="6"/>
      <c r="T59" s="156"/>
      <c r="U59" s="6"/>
    </row>
    <row r="60" spans="1:21" customFormat="1">
      <c r="A60" s="163" t="s">
        <v>2314</v>
      </c>
      <c r="B60" s="100">
        <v>11.15</v>
      </c>
      <c r="C60" s="100">
        <v>21.65</v>
      </c>
      <c r="D60" s="100">
        <v>20.25</v>
      </c>
      <c r="E60" s="100">
        <v>6.77</v>
      </c>
      <c r="F60" s="100">
        <v>2.02</v>
      </c>
      <c r="G60" s="100">
        <v>30.71</v>
      </c>
      <c r="H60" s="100">
        <v>16.59</v>
      </c>
      <c r="I60" s="100">
        <v>14.96</v>
      </c>
      <c r="J60" s="100">
        <v>0.28999999999999998</v>
      </c>
      <c r="K60" s="100">
        <v>45.34</v>
      </c>
      <c r="L60" s="100">
        <v>28.3</v>
      </c>
      <c r="M60" s="100">
        <v>27.25</v>
      </c>
      <c r="N60" s="100">
        <v>495.5</v>
      </c>
      <c r="O60" s="100">
        <v>0</v>
      </c>
      <c r="P60" s="100">
        <v>0.78</v>
      </c>
      <c r="Q60" s="100">
        <v>9.32</v>
      </c>
      <c r="R60" s="6"/>
      <c r="S60" s="6"/>
      <c r="T60" s="156"/>
      <c r="U60" s="6"/>
    </row>
    <row r="61" spans="1:21" customFormat="1">
      <c r="A61" s="163" t="s">
        <v>2315</v>
      </c>
      <c r="B61" s="100">
        <v>10.01</v>
      </c>
      <c r="C61" s="100">
        <v>21.55</v>
      </c>
      <c r="D61" s="100">
        <v>19.29</v>
      </c>
      <c r="E61" s="100">
        <v>6.63</v>
      </c>
      <c r="F61" s="100">
        <v>1.83</v>
      </c>
      <c r="G61" s="100">
        <v>28.8</v>
      </c>
      <c r="H61" s="100">
        <v>15.01</v>
      </c>
      <c r="I61" s="100">
        <v>14.7</v>
      </c>
      <c r="J61" s="100">
        <v>0.44</v>
      </c>
      <c r="K61" s="100">
        <v>71.84</v>
      </c>
      <c r="L61" s="100">
        <v>28.64</v>
      </c>
      <c r="M61" s="100">
        <v>27.81</v>
      </c>
      <c r="N61" s="100">
        <v>363</v>
      </c>
      <c r="O61" s="100">
        <v>0</v>
      </c>
      <c r="P61" s="100">
        <v>0.76</v>
      </c>
      <c r="Q61" s="100">
        <v>9.32</v>
      </c>
      <c r="R61" s="6"/>
      <c r="S61" s="6"/>
      <c r="T61" s="156"/>
      <c r="U61" s="6"/>
    </row>
    <row r="62" spans="1:21" customFormat="1">
      <c r="A62" s="163" t="s">
        <v>2316</v>
      </c>
      <c r="B62" s="100">
        <v>8.9600000000000009</v>
      </c>
      <c r="C62" s="100">
        <v>21.3</v>
      </c>
      <c r="D62" s="100">
        <v>18.309999999999999</v>
      </c>
      <c r="E62" s="100">
        <v>6.44</v>
      </c>
      <c r="F62" s="100">
        <v>1.76</v>
      </c>
      <c r="G62" s="100">
        <v>28.69</v>
      </c>
      <c r="H62" s="100">
        <v>15.01</v>
      </c>
      <c r="I62" s="100">
        <v>14.49</v>
      </c>
      <c r="J62" s="100">
        <v>0.23</v>
      </c>
      <c r="K62" s="100">
        <v>136.52000000000001</v>
      </c>
      <c r="L62" s="100">
        <v>28.52</v>
      </c>
      <c r="M62" s="100">
        <v>28.32</v>
      </c>
      <c r="N62" s="100">
        <v>209.3</v>
      </c>
      <c r="O62" s="100">
        <v>0</v>
      </c>
      <c r="P62" s="100">
        <v>0.75</v>
      </c>
      <c r="Q62" s="100">
        <v>9.32</v>
      </c>
      <c r="R62" s="6"/>
      <c r="S62" s="6"/>
      <c r="T62" s="156"/>
      <c r="U62" s="6"/>
    </row>
    <row r="63" spans="1:21" customFormat="1">
      <c r="A63" s="163" t="s">
        <v>2317</v>
      </c>
      <c r="B63" s="100">
        <v>7.94</v>
      </c>
      <c r="C63" s="100">
        <v>20.94</v>
      </c>
      <c r="D63" s="100">
        <v>17.309999999999999</v>
      </c>
      <c r="E63" s="100">
        <v>6.51</v>
      </c>
      <c r="F63" s="100">
        <v>1.81</v>
      </c>
      <c r="G63" s="100">
        <v>28.69</v>
      </c>
      <c r="H63" s="100">
        <v>15.01</v>
      </c>
      <c r="I63" s="100">
        <v>14.32</v>
      </c>
      <c r="J63" s="100">
        <v>0.31</v>
      </c>
      <c r="K63" s="100">
        <v>154.75</v>
      </c>
      <c r="L63" s="100">
        <v>28.01</v>
      </c>
      <c r="M63" s="100">
        <v>30.47</v>
      </c>
      <c r="N63" s="100">
        <v>166.1</v>
      </c>
      <c r="O63" s="100">
        <v>0</v>
      </c>
      <c r="P63" s="100">
        <v>0.74</v>
      </c>
      <c r="Q63" s="100">
        <v>9.32</v>
      </c>
      <c r="R63" s="6"/>
      <c r="S63" s="6"/>
      <c r="T63" s="156"/>
      <c r="U63" s="6"/>
    </row>
    <row r="64" spans="1:21" customFormat="1">
      <c r="A64" s="163" t="s">
        <v>2318</v>
      </c>
      <c r="B64" s="100">
        <v>6.91</v>
      </c>
      <c r="C64" s="100">
        <v>20.56</v>
      </c>
      <c r="D64" s="100">
        <v>16.29</v>
      </c>
      <c r="E64" s="100">
        <v>6.9</v>
      </c>
      <c r="F64" s="100">
        <v>2.65</v>
      </c>
      <c r="G64" s="100">
        <v>28.69</v>
      </c>
      <c r="H64" s="100">
        <v>15.01</v>
      </c>
      <c r="I64" s="100">
        <v>14.09</v>
      </c>
      <c r="J64" s="100">
        <v>0.19</v>
      </c>
      <c r="K64" s="100">
        <v>146.55000000000001</v>
      </c>
      <c r="L64" s="100">
        <v>28.07</v>
      </c>
      <c r="M64" s="100">
        <v>31.04</v>
      </c>
      <c r="N64" s="100">
        <v>164.1</v>
      </c>
      <c r="O64" s="100">
        <v>0</v>
      </c>
      <c r="P64" s="100">
        <v>0.72</v>
      </c>
      <c r="Q64" s="100">
        <v>9.32</v>
      </c>
      <c r="R64" s="6"/>
      <c r="S64" s="6"/>
      <c r="T64" s="156"/>
      <c r="U64" s="6"/>
    </row>
    <row r="65" spans="1:21" customFormat="1">
      <c r="A65" s="163" t="s">
        <v>2319</v>
      </c>
      <c r="B65" s="100">
        <v>6.13</v>
      </c>
      <c r="C65" s="100">
        <v>20.09</v>
      </c>
      <c r="D65" s="100">
        <v>15.41</v>
      </c>
      <c r="E65" s="100">
        <v>6.79</v>
      </c>
      <c r="F65" s="100">
        <v>2.64</v>
      </c>
      <c r="G65" s="100">
        <v>25.62</v>
      </c>
      <c r="H65" s="100">
        <v>12.77</v>
      </c>
      <c r="I65" s="100">
        <v>13.85</v>
      </c>
      <c r="J65" s="100">
        <v>0.23</v>
      </c>
      <c r="K65" s="100">
        <v>120.92</v>
      </c>
      <c r="L65" s="100">
        <v>28.23</v>
      </c>
      <c r="M65" s="100">
        <v>29.36</v>
      </c>
      <c r="N65" s="100">
        <v>191.6</v>
      </c>
      <c r="O65" s="100">
        <v>0</v>
      </c>
      <c r="P65" s="100">
        <v>0.7</v>
      </c>
      <c r="Q65" s="100">
        <v>9.32</v>
      </c>
      <c r="R65" s="6"/>
      <c r="S65" s="6"/>
      <c r="T65" s="156"/>
      <c r="U65" s="6"/>
    </row>
    <row r="66" spans="1:21" customFormat="1">
      <c r="A66" s="163" t="s">
        <v>2320</v>
      </c>
      <c r="B66" s="100">
        <v>5.5</v>
      </c>
      <c r="C66" s="100">
        <v>19.739999999999998</v>
      </c>
      <c r="D66" s="100">
        <v>14.72</v>
      </c>
      <c r="E66" s="100">
        <v>6.84</v>
      </c>
      <c r="F66" s="100">
        <v>2.64</v>
      </c>
      <c r="G66" s="100">
        <v>25.44</v>
      </c>
      <c r="H66" s="100">
        <v>12.77</v>
      </c>
      <c r="I66" s="100">
        <v>13.64</v>
      </c>
      <c r="J66" s="100">
        <v>0.37</v>
      </c>
      <c r="K66" s="100">
        <v>40.58</v>
      </c>
      <c r="L66" s="100">
        <v>28.6</v>
      </c>
      <c r="M66" s="100">
        <v>28.7</v>
      </c>
      <c r="N66" s="100">
        <v>139.5</v>
      </c>
      <c r="O66" s="100">
        <v>0</v>
      </c>
      <c r="P66" s="100">
        <v>0.72</v>
      </c>
      <c r="Q66" s="100">
        <v>9.32</v>
      </c>
      <c r="R66" s="6"/>
      <c r="S66" s="6"/>
      <c r="T66" s="156"/>
      <c r="U66" s="6"/>
    </row>
    <row r="67" spans="1:21" customFormat="1">
      <c r="A67" s="163" t="s">
        <v>2321</v>
      </c>
      <c r="B67" s="100">
        <v>4.99</v>
      </c>
      <c r="C67" s="100">
        <v>19.53</v>
      </c>
      <c r="D67" s="100">
        <v>14.2</v>
      </c>
      <c r="E67" s="100">
        <v>7.05</v>
      </c>
      <c r="F67" s="100">
        <v>3.95</v>
      </c>
      <c r="G67" s="100">
        <v>25.44</v>
      </c>
      <c r="H67" s="100">
        <v>12.77</v>
      </c>
      <c r="I67" s="100">
        <v>13.62</v>
      </c>
      <c r="J67" s="100">
        <v>0.43</v>
      </c>
      <c r="K67" s="100">
        <v>58.06</v>
      </c>
      <c r="L67" s="100">
        <v>28.42</v>
      </c>
      <c r="M67" s="100">
        <v>28.5</v>
      </c>
      <c r="N67" s="100">
        <v>116.7</v>
      </c>
      <c r="O67" s="100">
        <v>0</v>
      </c>
      <c r="P67" s="100">
        <v>0.71</v>
      </c>
      <c r="Q67" s="100">
        <v>9.32</v>
      </c>
      <c r="R67" s="6"/>
      <c r="S67" s="6"/>
      <c r="T67" s="156"/>
      <c r="U67" s="6"/>
    </row>
    <row r="68" spans="1:21" customFormat="1">
      <c r="A68" s="163" t="s">
        <v>2322</v>
      </c>
      <c r="B68" s="100">
        <v>4.6100000000000003</v>
      </c>
      <c r="C68" s="100">
        <v>19.170000000000002</v>
      </c>
      <c r="D68" s="100">
        <v>13.71</v>
      </c>
      <c r="E68" s="100">
        <v>6.79</v>
      </c>
      <c r="F68" s="100">
        <v>3.03</v>
      </c>
      <c r="G68" s="100">
        <v>25.44</v>
      </c>
      <c r="H68" s="100">
        <v>12.77</v>
      </c>
      <c r="I68" s="100">
        <v>13.49</v>
      </c>
      <c r="J68" s="100">
        <v>0.2</v>
      </c>
      <c r="K68" s="100">
        <v>40.75</v>
      </c>
      <c r="L68" s="100">
        <v>28.22</v>
      </c>
      <c r="M68" s="100">
        <v>29.64</v>
      </c>
      <c r="N68" s="100">
        <v>101.5</v>
      </c>
      <c r="O68" s="100">
        <v>0</v>
      </c>
      <c r="P68" s="100">
        <v>0.7</v>
      </c>
      <c r="Q68" s="100">
        <v>9.32</v>
      </c>
      <c r="R68" s="6"/>
      <c r="S68" s="6"/>
      <c r="T68" s="156"/>
      <c r="U68" s="6"/>
    </row>
    <row r="69" spans="1:21" customFormat="1">
      <c r="A69" s="163" t="s">
        <v>2323</v>
      </c>
      <c r="B69" s="100">
        <v>4.1900000000000004</v>
      </c>
      <c r="C69" s="100">
        <v>19.12</v>
      </c>
      <c r="D69" s="100">
        <v>13.35</v>
      </c>
      <c r="E69" s="100">
        <v>7.31</v>
      </c>
      <c r="F69" s="100">
        <v>2.94</v>
      </c>
      <c r="G69" s="100">
        <v>24.74</v>
      </c>
      <c r="H69" s="100">
        <v>14.01</v>
      </c>
      <c r="I69" s="100">
        <v>13.3</v>
      </c>
      <c r="J69" s="100">
        <v>0.55000000000000004</v>
      </c>
      <c r="K69" s="100">
        <v>5.37</v>
      </c>
      <c r="L69" s="100">
        <v>28.32</v>
      </c>
      <c r="M69" s="100">
        <v>28.59</v>
      </c>
      <c r="N69" s="100">
        <v>96.4</v>
      </c>
      <c r="O69" s="100">
        <v>0</v>
      </c>
      <c r="P69" s="100">
        <v>0.68</v>
      </c>
      <c r="Q69" s="100">
        <v>9.32</v>
      </c>
      <c r="R69" s="6"/>
      <c r="S69" s="6"/>
      <c r="T69" s="156"/>
      <c r="U69" s="6"/>
    </row>
    <row r="70" spans="1:21" customFormat="1">
      <c r="A70" s="163" t="s">
        <v>2324</v>
      </c>
      <c r="B70" s="100">
        <v>3.91</v>
      </c>
      <c r="C70" s="100">
        <v>19.489999999999998</v>
      </c>
      <c r="D70" s="100">
        <v>13.32</v>
      </c>
      <c r="E70" s="100">
        <v>7.05</v>
      </c>
      <c r="F70" s="100">
        <v>2.92</v>
      </c>
      <c r="G70" s="100">
        <v>24.7</v>
      </c>
      <c r="H70" s="100">
        <v>14.01</v>
      </c>
      <c r="I70" s="100">
        <v>13.29</v>
      </c>
      <c r="J70" s="100">
        <v>0.3</v>
      </c>
      <c r="K70" s="100">
        <v>66.209999999999994</v>
      </c>
      <c r="L70" s="100">
        <v>28.38</v>
      </c>
      <c r="M70" s="100">
        <v>28.83</v>
      </c>
      <c r="N70" s="100">
        <v>83.8</v>
      </c>
      <c r="O70" s="100">
        <v>0</v>
      </c>
      <c r="P70" s="100">
        <v>0.67</v>
      </c>
      <c r="Q70" s="100">
        <v>9.32</v>
      </c>
      <c r="R70" s="6"/>
      <c r="S70" s="6"/>
      <c r="T70" s="156"/>
      <c r="U70" s="6"/>
    </row>
    <row r="71" spans="1:21" customFormat="1">
      <c r="A71" s="163" t="s">
        <v>2325</v>
      </c>
      <c r="B71" s="100">
        <v>3.68</v>
      </c>
      <c r="C71" s="100">
        <v>19.690000000000001</v>
      </c>
      <c r="D71" s="100">
        <v>13.24</v>
      </c>
      <c r="E71" s="100">
        <v>7.04</v>
      </c>
      <c r="F71" s="100">
        <v>3.13</v>
      </c>
      <c r="G71" s="100">
        <v>24.7</v>
      </c>
      <c r="H71" s="100">
        <v>14.01</v>
      </c>
      <c r="I71" s="100">
        <v>13.02</v>
      </c>
      <c r="J71" s="100">
        <v>0.31</v>
      </c>
      <c r="K71" s="100">
        <v>49.49</v>
      </c>
      <c r="L71" s="100">
        <v>28.22</v>
      </c>
      <c r="M71" s="100">
        <v>29.55</v>
      </c>
      <c r="N71" s="100">
        <v>75.7</v>
      </c>
      <c r="O71" s="100">
        <v>0</v>
      </c>
      <c r="P71" s="100">
        <v>0.66</v>
      </c>
      <c r="Q71" s="100">
        <v>9.32</v>
      </c>
      <c r="R71" s="6"/>
      <c r="S71" s="6"/>
      <c r="T71" s="156"/>
      <c r="U71" s="6"/>
    </row>
    <row r="72" spans="1:21" customFormat="1">
      <c r="A72" s="163" t="s">
        <v>2326</v>
      </c>
      <c r="B72" s="100">
        <v>3.57</v>
      </c>
      <c r="C72" s="100">
        <v>19.87</v>
      </c>
      <c r="D72" s="100">
        <v>13.25</v>
      </c>
      <c r="E72" s="100">
        <v>7.11</v>
      </c>
      <c r="F72" s="100">
        <v>2.94</v>
      </c>
      <c r="G72" s="100">
        <v>24.7</v>
      </c>
      <c r="H72" s="100">
        <v>14.01</v>
      </c>
      <c r="I72" s="100">
        <v>12.85</v>
      </c>
      <c r="J72" s="100">
        <v>0.13</v>
      </c>
      <c r="K72" s="100">
        <v>101.92</v>
      </c>
      <c r="L72" s="100">
        <v>27.96</v>
      </c>
      <c r="M72" s="100">
        <v>32.22</v>
      </c>
      <c r="N72" s="100">
        <v>66.599999999999994</v>
      </c>
      <c r="O72" s="100">
        <v>0</v>
      </c>
      <c r="P72" s="100">
        <v>0.66</v>
      </c>
      <c r="Q72" s="100">
        <v>9.32</v>
      </c>
      <c r="R72" s="6"/>
      <c r="S72" s="6"/>
      <c r="T72" s="156"/>
      <c r="U72" s="6"/>
    </row>
    <row r="73" spans="1:21" customFormat="1">
      <c r="A73" s="163" t="s">
        <v>2327</v>
      </c>
      <c r="B73" s="100">
        <v>3.64</v>
      </c>
      <c r="C73" s="100">
        <v>20.14</v>
      </c>
      <c r="D73" s="100">
        <v>13.44</v>
      </c>
      <c r="E73" s="100">
        <v>7.46</v>
      </c>
      <c r="F73" s="100">
        <v>2.67</v>
      </c>
      <c r="G73" s="100">
        <v>57.02</v>
      </c>
      <c r="H73" s="100">
        <v>32.18</v>
      </c>
      <c r="I73" s="100">
        <v>12.68</v>
      </c>
      <c r="J73" s="100">
        <v>0.46</v>
      </c>
      <c r="K73" s="100">
        <v>43.14</v>
      </c>
      <c r="L73" s="100">
        <v>27.93</v>
      </c>
      <c r="M73" s="100">
        <v>29.89</v>
      </c>
      <c r="N73" s="100">
        <v>57.9</v>
      </c>
      <c r="O73" s="100">
        <v>0</v>
      </c>
      <c r="P73" s="100">
        <v>0.65</v>
      </c>
      <c r="Q73" s="100">
        <v>9.32</v>
      </c>
      <c r="R73" s="6"/>
      <c r="S73" s="6"/>
      <c r="T73" s="156"/>
      <c r="U73" s="6"/>
    </row>
    <row r="74" spans="1:21" customFormat="1">
      <c r="A74" s="163" t="s">
        <v>2328</v>
      </c>
      <c r="B74" s="100">
        <v>3.94</v>
      </c>
      <c r="C74" s="100">
        <v>20.47</v>
      </c>
      <c r="D74" s="100">
        <v>13.85</v>
      </c>
      <c r="E74" s="100">
        <v>7.23</v>
      </c>
      <c r="F74" s="100">
        <v>2.29</v>
      </c>
      <c r="G74" s="100">
        <v>59.02</v>
      </c>
      <c r="H74" s="100">
        <v>32.18</v>
      </c>
      <c r="I74" s="100">
        <v>12.49</v>
      </c>
      <c r="J74" s="100">
        <v>0.31</v>
      </c>
      <c r="K74" s="100">
        <v>26.75</v>
      </c>
      <c r="L74" s="100">
        <v>27.81</v>
      </c>
      <c r="M74" s="100">
        <v>30.9</v>
      </c>
      <c r="N74" s="100">
        <v>52.8</v>
      </c>
      <c r="O74" s="100">
        <v>0</v>
      </c>
      <c r="P74" s="100">
        <v>0.65</v>
      </c>
      <c r="Q74" s="100">
        <v>9.32</v>
      </c>
      <c r="R74" s="6"/>
      <c r="S74" s="6"/>
      <c r="T74" s="156"/>
      <c r="U74" s="6"/>
    </row>
    <row r="75" spans="1:21" customFormat="1">
      <c r="A75" s="163" t="s">
        <v>2329</v>
      </c>
      <c r="B75" s="100">
        <v>4.3600000000000003</v>
      </c>
      <c r="C75" s="100">
        <v>20.96</v>
      </c>
      <c r="D75" s="100">
        <v>14.45</v>
      </c>
      <c r="E75" s="100">
        <v>6.91</v>
      </c>
      <c r="F75" s="100">
        <v>1.81</v>
      </c>
      <c r="G75" s="100">
        <v>59.02</v>
      </c>
      <c r="H75" s="100">
        <v>32.18</v>
      </c>
      <c r="I75" s="100">
        <v>12.46</v>
      </c>
      <c r="J75" s="100">
        <v>0.32</v>
      </c>
      <c r="K75" s="100">
        <v>41.37</v>
      </c>
      <c r="L75" s="100">
        <v>27.41</v>
      </c>
      <c r="M75" s="100">
        <v>32.25</v>
      </c>
      <c r="N75" s="100">
        <v>43.4</v>
      </c>
      <c r="O75" s="100">
        <v>0</v>
      </c>
      <c r="P75" s="100">
        <v>0.64</v>
      </c>
      <c r="Q75" s="100">
        <v>9.32</v>
      </c>
      <c r="R75" s="6"/>
      <c r="S75" s="6"/>
      <c r="T75" s="156"/>
      <c r="U75" s="6"/>
    </row>
    <row r="76" spans="1:21" customFormat="1">
      <c r="A76" s="163" t="s">
        <v>2330</v>
      </c>
      <c r="B76" s="100">
        <v>4.8099999999999996</v>
      </c>
      <c r="C76" s="100">
        <v>21.42</v>
      </c>
      <c r="D76" s="100">
        <v>15.04</v>
      </c>
      <c r="E76" s="100">
        <v>6.89</v>
      </c>
      <c r="F76" s="100">
        <v>1.47</v>
      </c>
      <c r="G76" s="100">
        <v>59.02</v>
      </c>
      <c r="H76" s="100">
        <v>32.18</v>
      </c>
      <c r="I76" s="100">
        <v>12.32</v>
      </c>
      <c r="J76" s="100">
        <v>0.19</v>
      </c>
      <c r="K76" s="100">
        <v>66.22</v>
      </c>
      <c r="L76" s="100">
        <v>26.69</v>
      </c>
      <c r="M76" s="100">
        <v>36.799999999999997</v>
      </c>
      <c r="N76" s="100">
        <v>35.200000000000003</v>
      </c>
      <c r="O76" s="100">
        <v>0</v>
      </c>
      <c r="P76" s="100">
        <v>0.64</v>
      </c>
      <c r="Q76" s="100">
        <v>9.32</v>
      </c>
      <c r="R76" s="6"/>
      <c r="S76" s="6"/>
      <c r="T76" s="156"/>
      <c r="U76" s="6"/>
    </row>
    <row r="77" spans="1:21" customFormat="1">
      <c r="A77" s="163" t="s">
        <v>2331</v>
      </c>
      <c r="B77" s="100">
        <v>5.16</v>
      </c>
      <c r="C77" s="100">
        <v>21.48</v>
      </c>
      <c r="D77" s="100">
        <v>15.36</v>
      </c>
      <c r="E77" s="100">
        <v>6.82</v>
      </c>
      <c r="F77" s="100">
        <v>1.5</v>
      </c>
      <c r="G77" s="100">
        <v>60.84</v>
      </c>
      <c r="H77" s="100">
        <v>34.33</v>
      </c>
      <c r="I77" s="100">
        <v>12.18</v>
      </c>
      <c r="J77" s="100">
        <v>0.34</v>
      </c>
      <c r="K77" s="100">
        <v>160.06</v>
      </c>
      <c r="L77" s="100">
        <v>25.3</v>
      </c>
      <c r="M77" s="100">
        <v>44.12</v>
      </c>
      <c r="N77" s="100">
        <v>27.7</v>
      </c>
      <c r="O77" s="100">
        <v>0</v>
      </c>
      <c r="P77" s="100">
        <v>0.63</v>
      </c>
      <c r="Q77" s="100">
        <v>9.32</v>
      </c>
      <c r="R77" s="6"/>
      <c r="S77" s="6"/>
      <c r="T77" s="156"/>
      <c r="U77" s="6"/>
    </row>
    <row r="78" spans="1:21" customFormat="1">
      <c r="A78" s="163" t="s">
        <v>2332</v>
      </c>
      <c r="B78" s="100">
        <v>5.38</v>
      </c>
      <c r="C78" s="100">
        <v>21.59</v>
      </c>
      <c r="D78" s="100">
        <v>15.6</v>
      </c>
      <c r="E78" s="100">
        <v>6.7</v>
      </c>
      <c r="F78" s="100">
        <v>1.48</v>
      </c>
      <c r="G78" s="100">
        <v>60.95</v>
      </c>
      <c r="H78" s="100">
        <v>34.33</v>
      </c>
      <c r="I78" s="100">
        <v>12.07</v>
      </c>
      <c r="J78" s="100">
        <v>0.37</v>
      </c>
      <c r="K78" s="100">
        <v>161.35</v>
      </c>
      <c r="L78" s="100">
        <v>24.29</v>
      </c>
      <c r="M78" s="100">
        <v>47.76</v>
      </c>
      <c r="N78" s="100">
        <v>22.8</v>
      </c>
      <c r="O78" s="100">
        <v>0</v>
      </c>
      <c r="P78" s="100">
        <v>0.63</v>
      </c>
      <c r="Q78" s="100">
        <v>9.32</v>
      </c>
      <c r="R78" s="6"/>
      <c r="S78" s="6"/>
      <c r="T78" s="156"/>
      <c r="U78" s="6"/>
    </row>
    <row r="79" spans="1:21" customFormat="1">
      <c r="A79" s="163" t="s">
        <v>2333</v>
      </c>
      <c r="B79" s="100">
        <v>5.49</v>
      </c>
      <c r="C79" s="100">
        <v>21.64</v>
      </c>
      <c r="D79" s="100">
        <v>15.71</v>
      </c>
      <c r="E79" s="100">
        <v>6.76</v>
      </c>
      <c r="F79" s="100">
        <v>1.5</v>
      </c>
      <c r="G79" s="100">
        <v>60.95</v>
      </c>
      <c r="H79" s="100">
        <v>34.33</v>
      </c>
      <c r="I79" s="100">
        <v>12</v>
      </c>
      <c r="J79" s="100">
        <v>0.36</v>
      </c>
      <c r="K79" s="100">
        <v>160.68</v>
      </c>
      <c r="L79" s="100">
        <v>23.4</v>
      </c>
      <c r="M79" s="100">
        <v>51.19</v>
      </c>
      <c r="N79" s="100">
        <v>20.9</v>
      </c>
      <c r="O79" s="100">
        <v>0</v>
      </c>
      <c r="P79" s="100">
        <v>0.63</v>
      </c>
      <c r="Q79" s="100">
        <v>9.32</v>
      </c>
      <c r="R79" s="6"/>
      <c r="S79" s="6"/>
      <c r="T79" s="156"/>
      <c r="U79" s="6"/>
    </row>
    <row r="80" spans="1:21" customFormat="1">
      <c r="A80" s="163" t="s">
        <v>2334</v>
      </c>
      <c r="B80" s="100">
        <v>5.68</v>
      </c>
      <c r="C80" s="100">
        <v>21.51</v>
      </c>
      <c r="D80" s="100">
        <v>15.79</v>
      </c>
      <c r="E80" s="100">
        <v>6.62</v>
      </c>
      <c r="F80" s="100">
        <v>1.4</v>
      </c>
      <c r="G80" s="100">
        <v>60.95</v>
      </c>
      <c r="H80" s="100">
        <v>34.33</v>
      </c>
      <c r="I80" s="100">
        <v>11.89</v>
      </c>
      <c r="J80" s="100">
        <v>0.21</v>
      </c>
      <c r="K80" s="100">
        <v>142.61000000000001</v>
      </c>
      <c r="L80" s="100">
        <v>23</v>
      </c>
      <c r="M80" s="100">
        <v>52.88</v>
      </c>
      <c r="N80" s="100">
        <v>20.100000000000001</v>
      </c>
      <c r="O80" s="100">
        <v>0</v>
      </c>
      <c r="P80" s="100">
        <v>0.65</v>
      </c>
      <c r="Q80" s="100">
        <v>9.32</v>
      </c>
      <c r="R80" s="6"/>
      <c r="S80" s="6"/>
      <c r="T80" s="156"/>
      <c r="U80" s="6"/>
    </row>
    <row r="81" spans="1:21" customFormat="1">
      <c r="A81" s="163" t="s">
        <v>2335</v>
      </c>
      <c r="B81" s="100">
        <v>6.27</v>
      </c>
      <c r="C81" s="100">
        <v>21.65</v>
      </c>
      <c r="D81" s="100">
        <v>16.34</v>
      </c>
      <c r="E81" s="100">
        <v>5.05</v>
      </c>
      <c r="F81" s="100">
        <v>1.37</v>
      </c>
      <c r="G81" s="100">
        <v>82</v>
      </c>
      <c r="H81" s="100">
        <v>37.659999999999997</v>
      </c>
      <c r="I81" s="100">
        <v>11.84</v>
      </c>
      <c r="J81" s="100">
        <v>0.19</v>
      </c>
      <c r="K81" s="100">
        <v>150.08000000000001</v>
      </c>
      <c r="L81" s="100">
        <v>22.88</v>
      </c>
      <c r="M81" s="100">
        <v>51.97</v>
      </c>
      <c r="N81" s="100">
        <v>20.100000000000001</v>
      </c>
      <c r="O81" s="100">
        <v>0</v>
      </c>
      <c r="P81" s="100">
        <v>0.66</v>
      </c>
      <c r="Q81" s="100">
        <v>9.32</v>
      </c>
      <c r="R81" s="6"/>
      <c r="S81" s="6"/>
      <c r="T81" s="156"/>
      <c r="U81" s="6"/>
    </row>
    <row r="82" spans="1:21" customFormat="1">
      <c r="A82" s="163" t="s">
        <v>2336</v>
      </c>
      <c r="B82" s="100">
        <v>7.23</v>
      </c>
      <c r="C82" s="100">
        <v>21.99</v>
      </c>
      <c r="D82" s="100">
        <v>17.29</v>
      </c>
      <c r="E82" s="100">
        <v>6.1</v>
      </c>
      <c r="F82" s="100">
        <v>1.31</v>
      </c>
      <c r="G82" s="100">
        <v>83.24</v>
      </c>
      <c r="H82" s="100">
        <v>37.659999999999997</v>
      </c>
      <c r="I82" s="100">
        <v>11.9</v>
      </c>
      <c r="J82" s="100">
        <v>0.22</v>
      </c>
      <c r="K82" s="100">
        <v>140.32</v>
      </c>
      <c r="L82" s="100">
        <v>22.52</v>
      </c>
      <c r="M82" s="100">
        <v>54.15</v>
      </c>
      <c r="N82" s="100">
        <v>20.100000000000001</v>
      </c>
      <c r="O82" s="100">
        <v>0</v>
      </c>
      <c r="P82" s="100">
        <v>0.68</v>
      </c>
      <c r="Q82" s="100">
        <v>9.32</v>
      </c>
      <c r="R82" s="6"/>
      <c r="S82" s="6"/>
      <c r="T82" s="156"/>
      <c r="U82" s="6"/>
    </row>
    <row r="83" spans="1:21" customFormat="1">
      <c r="A83" s="163" t="s">
        <v>2337</v>
      </c>
      <c r="B83" s="100">
        <v>8.4600000000000009</v>
      </c>
      <c r="C83" s="100">
        <v>22.41</v>
      </c>
      <c r="D83" s="100">
        <v>18.489999999999998</v>
      </c>
      <c r="E83" s="100">
        <v>4.32</v>
      </c>
      <c r="F83" s="100">
        <v>1.31</v>
      </c>
      <c r="G83" s="100">
        <v>83.24</v>
      </c>
      <c r="H83" s="100">
        <v>37.659999999999997</v>
      </c>
      <c r="I83" s="100">
        <v>11.98</v>
      </c>
      <c r="J83" s="100">
        <v>0.2</v>
      </c>
      <c r="K83" s="100">
        <v>136.72999999999999</v>
      </c>
      <c r="L83" s="100">
        <v>22.11</v>
      </c>
      <c r="M83" s="100">
        <v>56.21</v>
      </c>
      <c r="N83" s="100">
        <v>20.100000000000001</v>
      </c>
      <c r="O83" s="100">
        <v>0</v>
      </c>
      <c r="P83" s="100">
        <v>0.71</v>
      </c>
      <c r="Q83" s="100">
        <v>9.32</v>
      </c>
      <c r="R83" s="6"/>
      <c r="S83" s="6"/>
      <c r="T83" s="156"/>
      <c r="U83" s="6"/>
    </row>
    <row r="84" spans="1:21" customFormat="1">
      <c r="A84" s="163" t="s">
        <v>2338</v>
      </c>
      <c r="B84" s="100">
        <v>9.73</v>
      </c>
      <c r="C84" s="100">
        <v>22.84</v>
      </c>
      <c r="D84" s="100">
        <v>19.73</v>
      </c>
      <c r="E84" s="100">
        <v>5.71</v>
      </c>
      <c r="F84" s="100">
        <v>1.21</v>
      </c>
      <c r="G84" s="100">
        <v>83.24</v>
      </c>
      <c r="H84" s="100">
        <v>37.659999999999997</v>
      </c>
      <c r="I84" s="100">
        <v>12.2</v>
      </c>
      <c r="J84" s="100">
        <v>0.21</v>
      </c>
      <c r="K84" s="100">
        <v>195.39</v>
      </c>
      <c r="L84" s="100">
        <v>21.62</v>
      </c>
      <c r="M84" s="100">
        <v>59.22</v>
      </c>
      <c r="N84" s="100">
        <v>20.100000000000001</v>
      </c>
      <c r="O84" s="100">
        <v>0</v>
      </c>
      <c r="P84" s="100">
        <v>0.74</v>
      </c>
      <c r="Q84" s="100">
        <v>9.32</v>
      </c>
      <c r="R84" s="6"/>
      <c r="S84" s="6"/>
      <c r="T84" s="156"/>
      <c r="U84" s="6"/>
    </row>
    <row r="85" spans="1:21" customFormat="1">
      <c r="A85" s="163" t="s">
        <v>2339</v>
      </c>
      <c r="B85" s="100">
        <v>10.6</v>
      </c>
      <c r="C85" s="100">
        <v>23.18</v>
      </c>
      <c r="D85" s="100">
        <v>20.61</v>
      </c>
      <c r="E85" s="100">
        <v>5.92</v>
      </c>
      <c r="F85" s="100">
        <v>1.23</v>
      </c>
      <c r="G85" s="100">
        <v>104.28</v>
      </c>
      <c r="H85" s="100">
        <v>44.92</v>
      </c>
      <c r="I85" s="100">
        <v>12.48</v>
      </c>
      <c r="J85" s="100">
        <v>0.19</v>
      </c>
      <c r="K85" s="100">
        <v>193.7</v>
      </c>
      <c r="L85" s="100">
        <v>20.85</v>
      </c>
      <c r="M85" s="100">
        <v>65.38</v>
      </c>
      <c r="N85" s="100">
        <v>20.3</v>
      </c>
      <c r="O85" s="100">
        <v>0</v>
      </c>
      <c r="P85" s="100">
        <v>0.75</v>
      </c>
      <c r="Q85" s="100">
        <v>9.32</v>
      </c>
      <c r="R85" s="6"/>
      <c r="S85" s="6"/>
      <c r="T85" s="156"/>
      <c r="U85" s="6"/>
    </row>
    <row r="86" spans="1:21" customFormat="1">
      <c r="A86" s="163" t="s">
        <v>2340</v>
      </c>
      <c r="B86" s="100">
        <v>11.06</v>
      </c>
      <c r="C86" s="100">
        <v>23.17</v>
      </c>
      <c r="D86" s="100">
        <v>20.97</v>
      </c>
      <c r="E86" s="100">
        <v>5.75</v>
      </c>
      <c r="F86" s="100">
        <v>1.4</v>
      </c>
      <c r="G86" s="100">
        <v>105.61</v>
      </c>
      <c r="H86" s="100">
        <v>44.92</v>
      </c>
      <c r="I86" s="100">
        <v>12.97</v>
      </c>
      <c r="J86" s="100">
        <v>0.19</v>
      </c>
      <c r="K86" s="100">
        <v>183.67</v>
      </c>
      <c r="L86" s="100">
        <v>20.329999999999998</v>
      </c>
      <c r="M86" s="100">
        <v>71.180000000000007</v>
      </c>
      <c r="N86" s="100">
        <v>20</v>
      </c>
      <c r="O86" s="100">
        <v>0</v>
      </c>
      <c r="P86" s="100">
        <v>0.77</v>
      </c>
      <c r="Q86" s="100">
        <v>9.32</v>
      </c>
      <c r="R86" s="6"/>
      <c r="S86" s="6"/>
      <c r="T86" s="156"/>
      <c r="U86" s="6"/>
    </row>
    <row r="87" spans="1:21" customFormat="1">
      <c r="A87" s="163" t="s">
        <v>2341</v>
      </c>
      <c r="B87" s="100">
        <v>11.3</v>
      </c>
      <c r="C87" s="100">
        <v>22.86</v>
      </c>
      <c r="D87" s="100">
        <v>21.01</v>
      </c>
      <c r="E87" s="100">
        <v>6.12</v>
      </c>
      <c r="F87" s="100">
        <v>1.31</v>
      </c>
      <c r="G87" s="100">
        <v>105.61</v>
      </c>
      <c r="H87" s="100">
        <v>44.92</v>
      </c>
      <c r="I87" s="100">
        <v>13.53</v>
      </c>
      <c r="J87" s="100">
        <v>0.2</v>
      </c>
      <c r="K87" s="100">
        <v>171.39</v>
      </c>
      <c r="L87" s="100">
        <v>20.04</v>
      </c>
      <c r="M87" s="100">
        <v>73.680000000000007</v>
      </c>
      <c r="N87" s="100">
        <v>19.899999999999999</v>
      </c>
      <c r="O87" s="100">
        <v>0</v>
      </c>
      <c r="P87" s="100">
        <v>0.79</v>
      </c>
      <c r="Q87" s="100">
        <v>9.32</v>
      </c>
      <c r="R87" s="6"/>
      <c r="S87" s="6"/>
      <c r="T87" s="156"/>
      <c r="U87" s="6"/>
    </row>
    <row r="88" spans="1:21" customFormat="1">
      <c r="A88" s="163" t="s">
        <v>2342</v>
      </c>
      <c r="B88" s="100">
        <v>11.41</v>
      </c>
      <c r="C88" s="100">
        <v>22.63</v>
      </c>
      <c r="D88" s="100">
        <v>20.98</v>
      </c>
      <c r="E88" s="100">
        <v>5.67</v>
      </c>
      <c r="F88" s="100">
        <v>1.34</v>
      </c>
      <c r="G88" s="100">
        <v>105.61</v>
      </c>
      <c r="H88" s="100">
        <v>44.92</v>
      </c>
      <c r="I88" s="100">
        <v>13.84</v>
      </c>
      <c r="J88" s="100">
        <v>0.21</v>
      </c>
      <c r="K88" s="100">
        <v>172.06</v>
      </c>
      <c r="L88" s="100">
        <v>19.98</v>
      </c>
      <c r="M88" s="100">
        <v>75.459999999999994</v>
      </c>
      <c r="N88" s="100">
        <v>19.600000000000001</v>
      </c>
      <c r="O88" s="100">
        <v>0</v>
      </c>
      <c r="P88" s="100">
        <v>0.8</v>
      </c>
      <c r="Q88" s="100">
        <v>9.32</v>
      </c>
      <c r="R88" s="6"/>
      <c r="S88" s="6"/>
      <c r="T88" s="156"/>
      <c r="U88" s="6"/>
    </row>
    <row r="89" spans="1:21" customFormat="1">
      <c r="A89" s="163" t="s">
        <v>2343</v>
      </c>
      <c r="B89" s="100">
        <v>11.66</v>
      </c>
      <c r="C89" s="100">
        <v>22.16</v>
      </c>
      <c r="D89" s="100">
        <v>20.93</v>
      </c>
      <c r="E89" s="100">
        <v>5.79</v>
      </c>
      <c r="F89" s="100">
        <v>1.3</v>
      </c>
      <c r="G89" s="100">
        <v>104.3</v>
      </c>
      <c r="H89" s="100">
        <v>45.67</v>
      </c>
      <c r="I89" s="100">
        <v>14.08</v>
      </c>
      <c r="J89" s="100">
        <v>0.15</v>
      </c>
      <c r="K89" s="100">
        <v>201.48</v>
      </c>
      <c r="L89" s="100">
        <v>19.5</v>
      </c>
      <c r="M89" s="100">
        <v>81.290000000000006</v>
      </c>
      <c r="N89" s="100">
        <v>19.899999999999999</v>
      </c>
      <c r="O89" s="100">
        <v>0</v>
      </c>
      <c r="P89" s="100">
        <v>0.83</v>
      </c>
      <c r="Q89" s="100">
        <v>9.32</v>
      </c>
      <c r="R89" s="6"/>
      <c r="S89" s="6"/>
      <c r="T89" s="156"/>
      <c r="U89" s="6"/>
    </row>
    <row r="90" spans="1:21" customFormat="1">
      <c r="A90" s="163" t="s">
        <v>2344</v>
      </c>
      <c r="B90" s="100">
        <v>11.9</v>
      </c>
      <c r="C90" s="100">
        <v>21.72</v>
      </c>
      <c r="D90" s="100">
        <v>20.89</v>
      </c>
      <c r="E90" s="100">
        <v>5.7</v>
      </c>
      <c r="F90" s="100">
        <v>1.28</v>
      </c>
      <c r="G90" s="100">
        <v>104.22</v>
      </c>
      <c r="H90" s="100">
        <v>45.67</v>
      </c>
      <c r="I90" s="100">
        <v>14.39</v>
      </c>
      <c r="J90" s="100">
        <v>0.15</v>
      </c>
      <c r="K90" s="100">
        <v>216.72</v>
      </c>
      <c r="L90" s="100">
        <v>19.07</v>
      </c>
      <c r="M90" s="100">
        <v>79.7</v>
      </c>
      <c r="N90" s="100">
        <v>20</v>
      </c>
      <c r="O90" s="100">
        <v>0</v>
      </c>
      <c r="P90" s="100">
        <v>0.86</v>
      </c>
      <c r="Q90" s="100">
        <v>9.32</v>
      </c>
      <c r="R90" s="6"/>
      <c r="S90" s="6"/>
      <c r="T90" s="156"/>
      <c r="U90" s="6"/>
    </row>
    <row r="91" spans="1:21" customFormat="1">
      <c r="A91" s="163" t="s">
        <v>2345</v>
      </c>
      <c r="B91" s="100">
        <v>11.95</v>
      </c>
      <c r="C91" s="100">
        <v>21.22</v>
      </c>
      <c r="D91" s="100">
        <v>20.67</v>
      </c>
      <c r="E91" s="100">
        <v>5.47</v>
      </c>
      <c r="F91" s="100">
        <v>1.25</v>
      </c>
      <c r="G91" s="100">
        <v>104.22</v>
      </c>
      <c r="H91" s="100">
        <v>45.67</v>
      </c>
      <c r="I91" s="100">
        <v>14.78</v>
      </c>
      <c r="J91" s="100">
        <v>0.16</v>
      </c>
      <c r="K91" s="100">
        <v>177.75</v>
      </c>
      <c r="L91" s="100">
        <v>18.97</v>
      </c>
      <c r="M91" s="100">
        <v>79.81</v>
      </c>
      <c r="N91" s="100">
        <v>19.7</v>
      </c>
      <c r="O91" s="100">
        <v>0</v>
      </c>
      <c r="P91" s="100">
        <v>0.86</v>
      </c>
      <c r="Q91" s="100">
        <v>9.32</v>
      </c>
      <c r="R91" s="6"/>
      <c r="S91" s="6"/>
      <c r="T91" s="156"/>
      <c r="U91" s="6"/>
    </row>
    <row r="92" spans="1:21" customFormat="1">
      <c r="A92" s="163" t="s">
        <v>2346</v>
      </c>
      <c r="B92" s="100">
        <v>12.2</v>
      </c>
      <c r="C92" s="100">
        <v>20.94</v>
      </c>
      <c r="D92" s="100">
        <v>20.73</v>
      </c>
      <c r="E92" s="100">
        <v>5.36</v>
      </c>
      <c r="F92" s="100">
        <v>1.41</v>
      </c>
      <c r="G92" s="100">
        <v>104.22</v>
      </c>
      <c r="H92" s="100">
        <v>45.67</v>
      </c>
      <c r="I92" s="100">
        <v>15.22</v>
      </c>
      <c r="J92" s="100">
        <v>0.14000000000000001</v>
      </c>
      <c r="K92" s="100">
        <v>187.69</v>
      </c>
      <c r="L92" s="100">
        <v>18.93</v>
      </c>
      <c r="M92" s="100">
        <v>77.86</v>
      </c>
      <c r="N92" s="100">
        <v>19.600000000000001</v>
      </c>
      <c r="O92" s="100">
        <v>0</v>
      </c>
      <c r="P92" s="100">
        <v>0.86</v>
      </c>
      <c r="Q92" s="100">
        <v>9.32</v>
      </c>
      <c r="R92" s="6"/>
      <c r="S92" s="6"/>
      <c r="T92" s="156"/>
      <c r="U92" s="6"/>
    </row>
    <row r="93" spans="1:21" customFormat="1">
      <c r="A93" s="163" t="s">
        <v>2347</v>
      </c>
      <c r="B93" s="100">
        <v>13.64</v>
      </c>
      <c r="C93" s="100">
        <v>21.08</v>
      </c>
      <c r="D93" s="100">
        <v>21.95</v>
      </c>
      <c r="E93" s="100">
        <v>5.62</v>
      </c>
      <c r="F93" s="100">
        <v>1.36</v>
      </c>
      <c r="G93" s="100">
        <v>100.77</v>
      </c>
      <c r="H93" s="100">
        <v>47.88</v>
      </c>
      <c r="I93" s="100">
        <v>15.5</v>
      </c>
      <c r="J93" s="100">
        <v>0.19</v>
      </c>
      <c r="K93" s="100">
        <v>202.79</v>
      </c>
      <c r="L93" s="100">
        <v>18.87</v>
      </c>
      <c r="M93" s="100">
        <v>77.650000000000006</v>
      </c>
      <c r="N93" s="100">
        <v>19.7</v>
      </c>
      <c r="O93" s="100">
        <v>0</v>
      </c>
      <c r="P93" s="100">
        <v>0.88</v>
      </c>
      <c r="Q93" s="100">
        <v>9.32</v>
      </c>
      <c r="R93" s="6"/>
      <c r="S93" s="6"/>
      <c r="T93" s="156"/>
      <c r="U93" s="6"/>
    </row>
    <row r="94" spans="1:21" customFormat="1">
      <c r="A94" s="163" t="s">
        <v>2348</v>
      </c>
      <c r="B94" s="100">
        <v>16.05</v>
      </c>
      <c r="C94" s="100">
        <v>21.39</v>
      </c>
      <c r="D94" s="100">
        <v>24.05</v>
      </c>
      <c r="E94" s="100">
        <v>5.53</v>
      </c>
      <c r="F94" s="100">
        <v>1.22</v>
      </c>
      <c r="G94" s="100">
        <v>100.56</v>
      </c>
      <c r="H94" s="100">
        <v>47.88</v>
      </c>
      <c r="I94" s="100">
        <v>15.72</v>
      </c>
      <c r="J94" s="100">
        <v>0.14000000000000001</v>
      </c>
      <c r="K94" s="100">
        <v>184.96</v>
      </c>
      <c r="L94" s="100">
        <v>18.559999999999999</v>
      </c>
      <c r="M94" s="100">
        <v>82.05</v>
      </c>
      <c r="N94" s="100">
        <v>19.8</v>
      </c>
      <c r="O94" s="100">
        <v>0</v>
      </c>
      <c r="P94" s="100">
        <v>0.91</v>
      </c>
      <c r="Q94" s="100">
        <v>9.32</v>
      </c>
      <c r="R94" s="6"/>
      <c r="S94" s="6"/>
      <c r="T94" s="156"/>
      <c r="U94" s="6"/>
    </row>
    <row r="95" spans="1:21" customFormat="1">
      <c r="A95" s="163" t="s">
        <v>2349</v>
      </c>
      <c r="B95" s="100">
        <v>18.07</v>
      </c>
      <c r="C95" s="100">
        <v>21.74</v>
      </c>
      <c r="D95" s="100">
        <v>25.85</v>
      </c>
      <c r="E95" s="100">
        <v>5.6</v>
      </c>
      <c r="F95" s="100">
        <v>1.05</v>
      </c>
      <c r="G95" s="100">
        <v>100.56</v>
      </c>
      <c r="H95" s="100">
        <v>47.88</v>
      </c>
      <c r="I95" s="100">
        <v>16.02</v>
      </c>
      <c r="J95" s="100">
        <v>0.22</v>
      </c>
      <c r="K95" s="100">
        <v>164.41</v>
      </c>
      <c r="L95" s="100">
        <v>18.600000000000001</v>
      </c>
      <c r="M95" s="100">
        <v>81.08</v>
      </c>
      <c r="N95" s="100">
        <v>19.600000000000001</v>
      </c>
      <c r="O95" s="100">
        <v>0</v>
      </c>
      <c r="P95" s="100">
        <v>0.94</v>
      </c>
      <c r="Q95" s="100">
        <v>9.32</v>
      </c>
      <c r="R95" s="6"/>
      <c r="S95" s="6"/>
      <c r="T95" s="156"/>
      <c r="U95" s="6"/>
    </row>
    <row r="96" spans="1:21" customFormat="1">
      <c r="A96" s="163" t="s">
        <v>2350</v>
      </c>
      <c r="B96" s="100">
        <v>20.8</v>
      </c>
      <c r="C96" s="100">
        <v>22.17</v>
      </c>
      <c r="D96" s="100">
        <v>28.26</v>
      </c>
      <c r="E96" s="100">
        <v>5.48</v>
      </c>
      <c r="F96" s="100">
        <v>1.1499999999999999</v>
      </c>
      <c r="G96" s="100">
        <v>100.56</v>
      </c>
      <c r="H96" s="100">
        <v>47.88</v>
      </c>
      <c r="I96" s="100">
        <v>16.37</v>
      </c>
      <c r="J96" s="100">
        <v>0.18</v>
      </c>
      <c r="K96" s="100">
        <v>160.57</v>
      </c>
      <c r="L96" s="100">
        <v>18.489999999999998</v>
      </c>
      <c r="M96" s="100">
        <v>81.790000000000006</v>
      </c>
      <c r="N96" s="100">
        <v>19.8</v>
      </c>
      <c r="O96" s="100">
        <v>0</v>
      </c>
      <c r="P96" s="100">
        <v>0.98</v>
      </c>
      <c r="Q96" s="100">
        <v>9.32</v>
      </c>
      <c r="R96" s="6"/>
      <c r="S96" s="6"/>
      <c r="T96" s="156"/>
      <c r="U96" s="6"/>
    </row>
    <row r="97" spans="1:28" customFormat="1">
      <c r="A97" s="163" t="s">
        <v>2351</v>
      </c>
      <c r="B97" s="100">
        <v>24.01</v>
      </c>
      <c r="C97" s="100">
        <v>22.56</v>
      </c>
      <c r="D97" s="100">
        <v>31.04</v>
      </c>
      <c r="E97" s="100">
        <v>5.51</v>
      </c>
      <c r="F97" s="100">
        <v>1.3</v>
      </c>
      <c r="G97" s="100">
        <v>96.27</v>
      </c>
      <c r="H97" s="100">
        <v>53.01</v>
      </c>
      <c r="I97" s="100">
        <v>16.7</v>
      </c>
      <c r="J97" s="100">
        <v>0.19</v>
      </c>
      <c r="K97" s="100">
        <v>149.82</v>
      </c>
      <c r="L97" s="100">
        <v>18.649999999999999</v>
      </c>
      <c r="M97" s="100">
        <v>78.849999999999994</v>
      </c>
      <c r="N97" s="100">
        <v>19.600000000000001</v>
      </c>
      <c r="O97" s="100">
        <v>0</v>
      </c>
      <c r="P97" s="100">
        <v>1.02</v>
      </c>
      <c r="Q97" s="100">
        <v>9.32</v>
      </c>
      <c r="R97" s="6"/>
      <c r="S97" s="6"/>
      <c r="T97" s="156"/>
      <c r="U97" s="6"/>
    </row>
    <row r="98" spans="1:28" customFormat="1">
      <c r="A98" s="163" t="s">
        <v>2352</v>
      </c>
      <c r="B98" s="100">
        <v>27.13</v>
      </c>
      <c r="C98" s="100">
        <v>23.22</v>
      </c>
      <c r="D98" s="100">
        <v>33.89</v>
      </c>
      <c r="E98" s="100">
        <v>5.62</v>
      </c>
      <c r="F98" s="100">
        <v>1.1499999999999999</v>
      </c>
      <c r="G98" s="100">
        <v>96.01</v>
      </c>
      <c r="H98" s="100">
        <v>53.01</v>
      </c>
      <c r="I98" s="100">
        <v>17.149999999999999</v>
      </c>
      <c r="J98" s="100">
        <v>0.21</v>
      </c>
      <c r="K98" s="100">
        <v>181.81</v>
      </c>
      <c r="L98" s="100">
        <v>18.399999999999999</v>
      </c>
      <c r="M98" s="100">
        <v>83.41</v>
      </c>
      <c r="N98" s="100">
        <v>19.8</v>
      </c>
      <c r="O98" s="100">
        <v>0</v>
      </c>
      <c r="P98" s="100">
        <v>1.07</v>
      </c>
      <c r="Q98" s="100">
        <v>9.32</v>
      </c>
      <c r="R98" s="6"/>
      <c r="S98" s="6"/>
      <c r="T98" s="156"/>
      <c r="U98" s="6"/>
    </row>
    <row r="99" spans="1:28" customFormat="1">
      <c r="A99" s="163" t="s">
        <v>2353</v>
      </c>
      <c r="B99" s="100">
        <v>29.15</v>
      </c>
      <c r="C99" s="100">
        <v>23.39</v>
      </c>
      <c r="D99" s="100">
        <v>35.590000000000003</v>
      </c>
      <c r="E99" s="100">
        <v>5.8</v>
      </c>
      <c r="F99" s="100">
        <v>1.18</v>
      </c>
      <c r="G99" s="100">
        <v>96.01</v>
      </c>
      <c r="H99" s="100">
        <v>53.01</v>
      </c>
      <c r="I99" s="100">
        <v>16.100000000000001</v>
      </c>
      <c r="J99" s="100">
        <v>0.17</v>
      </c>
      <c r="K99" s="100">
        <v>167.27</v>
      </c>
      <c r="L99" s="100">
        <v>17.899999999999999</v>
      </c>
      <c r="M99" s="100">
        <v>86.38</v>
      </c>
      <c r="N99" s="100">
        <v>20</v>
      </c>
      <c r="O99" s="100">
        <v>0</v>
      </c>
      <c r="P99" s="100">
        <v>1.1000000000000001</v>
      </c>
      <c r="Q99" s="100">
        <v>9.32</v>
      </c>
      <c r="R99" s="6"/>
      <c r="S99" s="6"/>
      <c r="T99" s="156"/>
      <c r="U99" s="6"/>
    </row>
    <row r="100" spans="1:28" customFormat="1">
      <c r="A100" s="163" t="s">
        <v>2354</v>
      </c>
      <c r="B100" s="100">
        <v>30.03</v>
      </c>
      <c r="C100" s="100">
        <v>23.23</v>
      </c>
      <c r="D100" s="100">
        <v>36.22</v>
      </c>
      <c r="E100" s="100">
        <v>5.78</v>
      </c>
      <c r="F100" s="100">
        <v>1.06</v>
      </c>
      <c r="G100" s="100">
        <v>96.01</v>
      </c>
      <c r="H100" s="100">
        <v>53.01</v>
      </c>
      <c r="I100" s="100">
        <v>14.8</v>
      </c>
      <c r="J100" s="100">
        <v>0.16</v>
      </c>
      <c r="K100" s="100">
        <v>194.69</v>
      </c>
      <c r="L100" s="100">
        <v>17.739999999999998</v>
      </c>
      <c r="M100" s="100">
        <v>87.69</v>
      </c>
      <c r="N100" s="100">
        <v>19.8</v>
      </c>
      <c r="O100" s="100">
        <v>0</v>
      </c>
      <c r="P100" s="100">
        <v>1.1200000000000001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2355</v>
      </c>
      <c r="B101" s="100">
        <v>30.43</v>
      </c>
      <c r="C101" s="100">
        <v>22.86</v>
      </c>
      <c r="D101" s="100">
        <v>36.35</v>
      </c>
      <c r="E101" s="100">
        <v>5.58</v>
      </c>
      <c r="F101" s="100">
        <v>1.06</v>
      </c>
      <c r="G101" s="100">
        <v>100.2</v>
      </c>
      <c r="H101" s="100">
        <v>56.51</v>
      </c>
      <c r="I101" s="100">
        <v>15.18</v>
      </c>
      <c r="J101" s="100">
        <v>0.2</v>
      </c>
      <c r="K101" s="100">
        <v>206.55</v>
      </c>
      <c r="L101" s="100">
        <v>17.600000000000001</v>
      </c>
      <c r="M101" s="100">
        <v>87.66</v>
      </c>
      <c r="N101" s="100">
        <v>19.8</v>
      </c>
      <c r="O101" s="100">
        <v>0</v>
      </c>
      <c r="P101" s="100">
        <v>1.1299999999999999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2356</v>
      </c>
      <c r="B102" s="100">
        <v>30.49</v>
      </c>
      <c r="C102" s="100">
        <v>22.51</v>
      </c>
      <c r="D102" s="100">
        <v>36.21</v>
      </c>
      <c r="E102" s="100">
        <v>5.67</v>
      </c>
      <c r="F102" s="100">
        <v>1.26</v>
      </c>
      <c r="G102" s="100">
        <v>100.44</v>
      </c>
      <c r="H102" s="100">
        <v>56.51</v>
      </c>
      <c r="I102" s="100">
        <v>15.45</v>
      </c>
      <c r="J102" s="100">
        <v>0.11</v>
      </c>
      <c r="K102" s="100">
        <v>171.69</v>
      </c>
      <c r="L102" s="100">
        <v>17.38</v>
      </c>
      <c r="M102" s="100">
        <v>89.16</v>
      </c>
      <c r="N102" s="100">
        <v>19.899999999999999</v>
      </c>
      <c r="O102" s="100">
        <v>0</v>
      </c>
      <c r="P102" s="100">
        <v>1.1399999999999999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2357</v>
      </c>
      <c r="B103" s="100">
        <v>30.32</v>
      </c>
      <c r="C103" s="100">
        <v>22.28</v>
      </c>
      <c r="D103" s="100">
        <v>35.96</v>
      </c>
      <c r="E103" s="100">
        <v>5.69</v>
      </c>
      <c r="F103" s="100">
        <v>1.21</v>
      </c>
      <c r="G103" s="100">
        <v>100.44</v>
      </c>
      <c r="H103" s="100">
        <v>56.51</v>
      </c>
      <c r="I103" s="100">
        <v>15.66</v>
      </c>
      <c r="J103" s="100">
        <v>0.18</v>
      </c>
      <c r="K103" s="100">
        <v>167.59</v>
      </c>
      <c r="L103" s="100">
        <v>17.48</v>
      </c>
      <c r="M103" s="100">
        <v>87.27</v>
      </c>
      <c r="N103" s="100">
        <v>19.600000000000001</v>
      </c>
      <c r="O103" s="100">
        <v>0</v>
      </c>
      <c r="P103" s="100">
        <v>1.1399999999999999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2358</v>
      </c>
      <c r="B104" s="100">
        <v>30.73</v>
      </c>
      <c r="C104" s="100">
        <v>22.11</v>
      </c>
      <c r="D104" s="100">
        <v>36.19</v>
      </c>
      <c r="E104" s="100">
        <v>5.55</v>
      </c>
      <c r="F104" s="100">
        <v>1.22</v>
      </c>
      <c r="G104" s="100">
        <v>100.44</v>
      </c>
      <c r="H104" s="100">
        <v>56.51</v>
      </c>
      <c r="I104" s="100">
        <v>15.8</v>
      </c>
      <c r="J104" s="100">
        <v>0.18</v>
      </c>
      <c r="K104" s="100">
        <v>197.37</v>
      </c>
      <c r="L104" s="100">
        <v>17.350000000000001</v>
      </c>
      <c r="M104" s="100">
        <v>88.78</v>
      </c>
      <c r="N104" s="100">
        <v>19.7</v>
      </c>
      <c r="O104" s="100">
        <v>0</v>
      </c>
      <c r="P104" s="100">
        <v>1.1499999999999999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3.57</v>
      </c>
      <c r="C106" s="158">
        <f>MIN(C9:C104)</f>
        <v>15.36</v>
      </c>
      <c r="D106" s="158">
        <f t="shared" ref="D106:Q106" si="0">MIN(D9:D104)</f>
        <v>13.24</v>
      </c>
      <c r="E106" s="158">
        <f t="shared" si="0"/>
        <v>3.81</v>
      </c>
      <c r="F106" s="158">
        <f t="shared" si="0"/>
        <v>0.92</v>
      </c>
      <c r="G106" s="158">
        <f t="shared" si="0"/>
        <v>24.7</v>
      </c>
      <c r="H106" s="158">
        <f t="shared" si="0"/>
        <v>12.77</v>
      </c>
      <c r="I106" s="158">
        <f t="shared" si="0"/>
        <v>11.84</v>
      </c>
      <c r="J106" s="158">
        <f t="shared" si="0"/>
        <v>0.03</v>
      </c>
      <c r="K106" s="158">
        <f t="shared" si="0"/>
        <v>5.37</v>
      </c>
      <c r="L106" s="158">
        <f t="shared" si="0"/>
        <v>14.64</v>
      </c>
      <c r="M106" s="158">
        <f t="shared" si="0"/>
        <v>27.25</v>
      </c>
      <c r="N106" s="158">
        <f t="shared" si="0"/>
        <v>17.2</v>
      </c>
      <c r="O106" s="158">
        <f t="shared" si="0"/>
        <v>0</v>
      </c>
      <c r="P106" s="158">
        <f t="shared" si="0"/>
        <v>0.63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33.01</v>
      </c>
      <c r="C107" s="157">
        <f t="shared" ref="C107:Q107" si="1">MAX(C9:C104)</f>
        <v>23.39</v>
      </c>
      <c r="D107" s="157">
        <f t="shared" si="1"/>
        <v>36.450000000000003</v>
      </c>
      <c r="E107" s="157">
        <f t="shared" si="1"/>
        <v>7.46</v>
      </c>
      <c r="F107" s="157">
        <f t="shared" si="1"/>
        <v>3.95</v>
      </c>
      <c r="G107" s="157">
        <f t="shared" si="1"/>
        <v>105.61</v>
      </c>
      <c r="H107" s="157">
        <f t="shared" si="1"/>
        <v>56.51</v>
      </c>
      <c r="I107" s="157">
        <f t="shared" si="1"/>
        <v>19.760000000000002</v>
      </c>
      <c r="J107" s="157">
        <f t="shared" si="1"/>
        <v>1.52</v>
      </c>
      <c r="K107" s="157">
        <f t="shared" si="1"/>
        <v>260.69</v>
      </c>
      <c r="L107" s="157">
        <f t="shared" si="1"/>
        <v>28.64</v>
      </c>
      <c r="M107" s="157">
        <f t="shared" si="1"/>
        <v>90.39</v>
      </c>
      <c r="N107" s="157">
        <f t="shared" si="1"/>
        <v>536.29999999999995</v>
      </c>
      <c r="O107" s="157">
        <f t="shared" si="1"/>
        <v>0</v>
      </c>
      <c r="P107" s="157">
        <f t="shared" si="1"/>
        <v>1.18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18.268333333333345</v>
      </c>
      <c r="C108" s="158">
        <f t="shared" ref="C108:Q108" si="2">AVERAGE(C9:C104)</f>
        <v>20.423229166666673</v>
      </c>
      <c r="D108" s="158">
        <f t="shared" si="2"/>
        <v>25.320624999999993</v>
      </c>
      <c r="E108" s="158">
        <f t="shared" si="2"/>
        <v>5.7378125000000004</v>
      </c>
      <c r="F108" s="158">
        <f t="shared" si="2"/>
        <v>1.5127083333333342</v>
      </c>
      <c r="G108" s="158">
        <f t="shared" si="2"/>
        <v>52.990416666666668</v>
      </c>
      <c r="H108" s="158">
        <f t="shared" si="2"/>
        <v>26.932500000000029</v>
      </c>
      <c r="I108" s="158">
        <f t="shared" si="2"/>
        <v>14.966041666666669</v>
      </c>
      <c r="J108" s="158">
        <f t="shared" si="2"/>
        <v>0.3239583333333334</v>
      </c>
      <c r="K108" s="158">
        <f t="shared" si="2"/>
        <v>129.17020833333333</v>
      </c>
      <c r="L108" s="158">
        <f t="shared" si="2"/>
        <v>20.74208333333333</v>
      </c>
      <c r="M108" s="158">
        <f t="shared" si="2"/>
        <v>64.163333333333341</v>
      </c>
      <c r="N108" s="158">
        <f t="shared" si="2"/>
        <v>107.06041666666668</v>
      </c>
      <c r="O108" s="158">
        <f t="shared" si="2"/>
        <v>0</v>
      </c>
      <c r="P108" s="158">
        <f t="shared" si="2"/>
        <v>0.90666666666666629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9.7142724804568381</v>
      </c>
      <c r="C109" s="158">
        <f t="shared" ref="C109:Q109" si="3">STDEV(C9:C104)</f>
        <v>2.0196547358875439</v>
      </c>
      <c r="D109" s="158">
        <f t="shared" si="3"/>
        <v>7.7390834235613797</v>
      </c>
      <c r="E109" s="158">
        <f t="shared" si="3"/>
        <v>0.99636518682975894</v>
      </c>
      <c r="F109" s="158">
        <f t="shared" si="3"/>
        <v>0.56639669781721347</v>
      </c>
      <c r="G109" s="158">
        <f t="shared" si="3"/>
        <v>27.789384566078528</v>
      </c>
      <c r="H109" s="158">
        <f t="shared" si="3"/>
        <v>13.176264545326177</v>
      </c>
      <c r="I109" s="158">
        <f t="shared" si="3"/>
        <v>1.9081986430672035</v>
      </c>
      <c r="J109" s="158">
        <f t="shared" si="3"/>
        <v>0.30350402465610932</v>
      </c>
      <c r="K109" s="158">
        <f t="shared" si="3"/>
        <v>63.99277946076446</v>
      </c>
      <c r="L109" s="158">
        <f t="shared" si="3"/>
        <v>4.9748188894125907</v>
      </c>
      <c r="M109" s="158">
        <f t="shared" si="3"/>
        <v>23.526835950134902</v>
      </c>
      <c r="N109" s="158">
        <f t="shared" si="3"/>
        <v>152.76480269676796</v>
      </c>
      <c r="O109" s="158">
        <f t="shared" si="3"/>
        <v>0</v>
      </c>
      <c r="P109" s="158">
        <f t="shared" si="3"/>
        <v>0.171750533082247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F14" sqref="F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2359</v>
      </c>
      <c r="B9" s="100">
        <v>30.85</v>
      </c>
      <c r="C9" s="100">
        <v>21.12</v>
      </c>
      <c r="D9" s="100">
        <v>35.770000000000003</v>
      </c>
      <c r="E9" s="100">
        <v>5.61</v>
      </c>
      <c r="F9" s="100">
        <v>1.0900000000000001</v>
      </c>
      <c r="G9" s="100">
        <v>98</v>
      </c>
      <c r="H9" s="100">
        <v>57.6</v>
      </c>
      <c r="I9" s="100">
        <v>15.98</v>
      </c>
      <c r="J9" s="100">
        <v>0.16</v>
      </c>
      <c r="K9" s="100">
        <v>183.42</v>
      </c>
      <c r="L9" s="100">
        <v>17.149999999999999</v>
      </c>
      <c r="M9" s="100">
        <v>90.32</v>
      </c>
      <c r="N9" s="100">
        <v>19.899999999999999</v>
      </c>
      <c r="O9" s="100">
        <v>0</v>
      </c>
      <c r="P9" s="100">
        <v>1.1399999999999999</v>
      </c>
      <c r="Q9" s="100">
        <v>9.32</v>
      </c>
      <c r="R9" s="6"/>
      <c r="S9" s="6"/>
      <c r="T9" s="156"/>
      <c r="U9" s="6"/>
    </row>
    <row r="10" spans="1:21" customFormat="1">
      <c r="A10" s="163" t="s">
        <v>2360</v>
      </c>
      <c r="B10" s="100">
        <v>30.57</v>
      </c>
      <c r="C10" s="100">
        <v>21.26</v>
      </c>
      <c r="D10" s="100">
        <v>35.619999999999997</v>
      </c>
      <c r="E10" s="100">
        <v>5.39</v>
      </c>
      <c r="F10" s="100">
        <v>1.1100000000000001</v>
      </c>
      <c r="G10" s="100">
        <v>97.85</v>
      </c>
      <c r="H10" s="100">
        <v>57.6</v>
      </c>
      <c r="I10" s="100">
        <v>16.14</v>
      </c>
      <c r="J10" s="100">
        <v>0.12</v>
      </c>
      <c r="K10" s="100">
        <v>189.31</v>
      </c>
      <c r="L10" s="100">
        <v>16.940000000000001</v>
      </c>
      <c r="M10" s="100">
        <v>90.48</v>
      </c>
      <c r="N10" s="100">
        <v>19.899999999999999</v>
      </c>
      <c r="O10" s="100">
        <v>0</v>
      </c>
      <c r="P10" s="100">
        <v>1.1499999999999999</v>
      </c>
      <c r="Q10" s="100">
        <v>9.32</v>
      </c>
      <c r="R10" s="6"/>
      <c r="S10" s="6"/>
      <c r="T10" s="156"/>
      <c r="U10" s="6"/>
    </row>
    <row r="11" spans="1:21" customFormat="1">
      <c r="A11" s="163" t="s">
        <v>2361</v>
      </c>
      <c r="B11" s="100">
        <v>30.07</v>
      </c>
      <c r="C11" s="100">
        <v>21.11</v>
      </c>
      <c r="D11" s="100">
        <v>35.14</v>
      </c>
      <c r="E11" s="100">
        <v>5.09</v>
      </c>
      <c r="F11" s="100">
        <v>1.1499999999999999</v>
      </c>
      <c r="G11" s="100">
        <v>97.85</v>
      </c>
      <c r="H11" s="100">
        <v>57.6</v>
      </c>
      <c r="I11" s="100">
        <v>16.21</v>
      </c>
      <c r="J11" s="100">
        <v>0.12</v>
      </c>
      <c r="K11" s="100">
        <v>167.5</v>
      </c>
      <c r="L11" s="100">
        <v>16.86</v>
      </c>
      <c r="M11" s="100">
        <v>90.46</v>
      </c>
      <c r="N11" s="100">
        <v>19.7</v>
      </c>
      <c r="O11" s="100">
        <v>0</v>
      </c>
      <c r="P11" s="100">
        <v>1.1399999999999999</v>
      </c>
      <c r="Q11" s="100">
        <v>9.32</v>
      </c>
      <c r="R11" s="6"/>
      <c r="S11" s="6"/>
      <c r="T11" s="156"/>
      <c r="U11" s="6"/>
    </row>
    <row r="12" spans="1:21" customFormat="1">
      <c r="A12" s="163" t="s">
        <v>2362</v>
      </c>
      <c r="B12" s="100">
        <v>29.45</v>
      </c>
      <c r="C12" s="100">
        <v>20.98</v>
      </c>
      <c r="D12" s="100">
        <v>34.58</v>
      </c>
      <c r="E12" s="100">
        <v>5.35</v>
      </c>
      <c r="F12" s="100">
        <v>1.1200000000000001</v>
      </c>
      <c r="G12" s="100">
        <v>97.85</v>
      </c>
      <c r="H12" s="100">
        <v>57.6</v>
      </c>
      <c r="I12" s="100">
        <v>16.21</v>
      </c>
      <c r="J12" s="100">
        <v>0.12</v>
      </c>
      <c r="K12" s="100">
        <v>179.6</v>
      </c>
      <c r="L12" s="100">
        <v>16.82</v>
      </c>
      <c r="M12" s="100">
        <v>90.61</v>
      </c>
      <c r="N12" s="100">
        <v>19.7</v>
      </c>
      <c r="O12" s="100">
        <v>0</v>
      </c>
      <c r="P12" s="100">
        <v>1.1299999999999999</v>
      </c>
      <c r="Q12" s="100">
        <v>9.32</v>
      </c>
      <c r="R12" s="6"/>
      <c r="S12" s="6"/>
      <c r="T12" s="156"/>
      <c r="U12" s="6"/>
    </row>
    <row r="13" spans="1:21" customFormat="1">
      <c r="A13" s="163" t="s">
        <v>2363</v>
      </c>
      <c r="B13" s="100">
        <v>28.99</v>
      </c>
      <c r="C13" s="100">
        <v>20.95</v>
      </c>
      <c r="D13" s="100">
        <v>34.19</v>
      </c>
      <c r="E13" s="100">
        <v>5.6</v>
      </c>
      <c r="F13" s="100">
        <v>1.29</v>
      </c>
      <c r="G13" s="100">
        <v>93.09</v>
      </c>
      <c r="H13" s="100">
        <v>54.06</v>
      </c>
      <c r="I13" s="100">
        <v>16.16</v>
      </c>
      <c r="J13" s="100">
        <v>0.16</v>
      </c>
      <c r="K13" s="100">
        <v>212.53</v>
      </c>
      <c r="L13" s="100">
        <v>16.920000000000002</v>
      </c>
      <c r="M13" s="100">
        <v>88.2</v>
      </c>
      <c r="N13" s="100">
        <v>19.5</v>
      </c>
      <c r="O13" s="100">
        <v>0</v>
      </c>
      <c r="P13" s="100">
        <v>1.1100000000000001</v>
      </c>
      <c r="Q13" s="100">
        <v>9.32</v>
      </c>
      <c r="R13" s="6"/>
      <c r="S13" s="6"/>
      <c r="T13" s="156"/>
      <c r="U13" s="6"/>
    </row>
    <row r="14" spans="1:21" customFormat="1">
      <c r="A14" s="163" t="s">
        <v>2364</v>
      </c>
      <c r="B14" s="100">
        <v>29.11</v>
      </c>
      <c r="C14" s="100">
        <v>20.86</v>
      </c>
      <c r="D14" s="100">
        <v>34.24</v>
      </c>
      <c r="E14" s="100">
        <v>5.8</v>
      </c>
      <c r="F14" s="100">
        <v>1.1599999999999999</v>
      </c>
      <c r="G14" s="100">
        <v>92.81</v>
      </c>
      <c r="H14" s="100">
        <v>54.06</v>
      </c>
      <c r="I14" s="100">
        <v>16.12</v>
      </c>
      <c r="J14" s="100">
        <v>0.21</v>
      </c>
      <c r="K14" s="100">
        <v>240.97</v>
      </c>
      <c r="L14" s="100">
        <v>16.84</v>
      </c>
      <c r="M14" s="100">
        <v>88.89</v>
      </c>
      <c r="N14" s="100">
        <v>19.600000000000001</v>
      </c>
      <c r="O14" s="100">
        <v>0</v>
      </c>
      <c r="P14" s="100">
        <v>1.1100000000000001</v>
      </c>
      <c r="Q14" s="100">
        <v>9.32</v>
      </c>
      <c r="R14" s="6"/>
      <c r="S14" s="6"/>
      <c r="T14" s="156"/>
      <c r="U14" s="6"/>
    </row>
    <row r="15" spans="1:21" customFormat="1">
      <c r="A15" s="163" t="s">
        <v>2365</v>
      </c>
      <c r="B15" s="100">
        <v>28.57</v>
      </c>
      <c r="C15" s="100">
        <v>20.9</v>
      </c>
      <c r="D15" s="100">
        <v>33.83</v>
      </c>
      <c r="E15" s="100">
        <v>5.81</v>
      </c>
      <c r="F15" s="100">
        <v>1.05</v>
      </c>
      <c r="G15" s="100">
        <v>92.81</v>
      </c>
      <c r="H15" s="100">
        <v>54.06</v>
      </c>
      <c r="I15" s="100">
        <v>16.02</v>
      </c>
      <c r="J15" s="100">
        <v>0.12</v>
      </c>
      <c r="K15" s="100">
        <v>213.88</v>
      </c>
      <c r="L15" s="100">
        <v>16.510000000000002</v>
      </c>
      <c r="M15" s="100">
        <v>89.15</v>
      </c>
      <c r="N15" s="100">
        <v>19.8</v>
      </c>
      <c r="O15" s="100">
        <v>0</v>
      </c>
      <c r="P15" s="100">
        <v>1.0900000000000001</v>
      </c>
      <c r="Q15" s="100">
        <v>0</v>
      </c>
      <c r="R15" s="6"/>
      <c r="S15" s="6"/>
      <c r="T15" s="156"/>
      <c r="U15" s="6"/>
    </row>
    <row r="16" spans="1:21" customFormat="1">
      <c r="A16" s="163" t="s">
        <v>2366</v>
      </c>
      <c r="B16" s="100">
        <v>27.93</v>
      </c>
      <c r="C16" s="100">
        <v>20.68</v>
      </c>
      <c r="D16" s="100">
        <v>33.21</v>
      </c>
      <c r="E16" s="100">
        <v>5.81</v>
      </c>
      <c r="F16" s="100">
        <v>1.19</v>
      </c>
      <c r="G16" s="100">
        <v>92.81</v>
      </c>
      <c r="H16" s="100">
        <v>54.06</v>
      </c>
      <c r="I16" s="100">
        <v>15.94</v>
      </c>
      <c r="J16" s="100">
        <v>0.18</v>
      </c>
      <c r="K16" s="100">
        <v>201.79</v>
      </c>
      <c r="L16" s="100">
        <v>16.41</v>
      </c>
      <c r="M16" s="100">
        <v>90.96</v>
      </c>
      <c r="N16" s="100">
        <v>19.7</v>
      </c>
      <c r="O16" s="100">
        <v>0</v>
      </c>
      <c r="P16" s="100">
        <v>1.0900000000000001</v>
      </c>
      <c r="Q16" s="100">
        <v>9.32</v>
      </c>
      <c r="R16" s="6"/>
      <c r="S16" s="6"/>
      <c r="T16" s="156"/>
      <c r="U16" s="6"/>
    </row>
    <row r="17" spans="1:21" customFormat="1">
      <c r="A17" s="163" t="s">
        <v>2367</v>
      </c>
      <c r="B17" s="100">
        <v>27.03</v>
      </c>
      <c r="C17" s="100">
        <v>20.420000000000002</v>
      </c>
      <c r="D17" s="100">
        <v>32.35</v>
      </c>
      <c r="E17" s="100">
        <v>4.4800000000000004</v>
      </c>
      <c r="F17" s="100">
        <v>1.2</v>
      </c>
      <c r="G17" s="100">
        <v>86.48</v>
      </c>
      <c r="H17" s="100">
        <v>51.47</v>
      </c>
      <c r="I17" s="100">
        <v>15.82</v>
      </c>
      <c r="J17" s="100">
        <v>0.12</v>
      </c>
      <c r="K17" s="100">
        <v>169.25</v>
      </c>
      <c r="L17" s="100">
        <v>16.25</v>
      </c>
      <c r="M17" s="100">
        <v>91.06</v>
      </c>
      <c r="N17" s="100">
        <v>19.8</v>
      </c>
      <c r="O17" s="100">
        <v>0</v>
      </c>
      <c r="P17" s="100">
        <v>1.08</v>
      </c>
      <c r="Q17" s="100">
        <v>9.32</v>
      </c>
      <c r="R17" s="6"/>
      <c r="S17" s="6"/>
      <c r="T17" s="156"/>
      <c r="U17" s="6"/>
    </row>
    <row r="18" spans="1:21" customFormat="1">
      <c r="A18" s="163" t="s">
        <v>2368</v>
      </c>
      <c r="B18" s="100">
        <v>25.99</v>
      </c>
      <c r="C18" s="100">
        <v>20.09</v>
      </c>
      <c r="D18" s="100">
        <v>31.34</v>
      </c>
      <c r="E18" s="100">
        <v>5.26</v>
      </c>
      <c r="F18" s="100">
        <v>1.28</v>
      </c>
      <c r="G18" s="100">
        <v>86.03</v>
      </c>
      <c r="H18" s="100">
        <v>51.47</v>
      </c>
      <c r="I18" s="100">
        <v>15.66</v>
      </c>
      <c r="J18" s="100">
        <v>0.11</v>
      </c>
      <c r="K18" s="100">
        <v>216.87</v>
      </c>
      <c r="L18" s="100">
        <v>16.239999999999998</v>
      </c>
      <c r="M18" s="100">
        <v>90.52</v>
      </c>
      <c r="N18" s="100">
        <v>19.600000000000001</v>
      </c>
      <c r="O18" s="100">
        <v>0</v>
      </c>
      <c r="P18" s="100">
        <v>1.07</v>
      </c>
      <c r="Q18" s="100">
        <v>9.32</v>
      </c>
      <c r="R18" s="6"/>
      <c r="S18" s="6"/>
      <c r="T18" s="156"/>
      <c r="U18" s="6"/>
    </row>
    <row r="19" spans="1:21" customFormat="1">
      <c r="A19" s="163" t="s">
        <v>2369</v>
      </c>
      <c r="B19" s="100">
        <v>25.38</v>
      </c>
      <c r="C19" s="100">
        <v>20.27</v>
      </c>
      <c r="D19" s="100">
        <v>30.95</v>
      </c>
      <c r="E19" s="100">
        <v>5.1100000000000003</v>
      </c>
      <c r="F19" s="100">
        <v>1.06</v>
      </c>
      <c r="G19" s="100">
        <v>86.03</v>
      </c>
      <c r="H19" s="100">
        <v>51.47</v>
      </c>
      <c r="I19" s="100">
        <v>15.52</v>
      </c>
      <c r="J19" s="100">
        <v>0.11</v>
      </c>
      <c r="K19" s="100">
        <v>183.69</v>
      </c>
      <c r="L19" s="100">
        <v>16.23</v>
      </c>
      <c r="M19" s="100">
        <v>89.53</v>
      </c>
      <c r="N19" s="100">
        <v>19.600000000000001</v>
      </c>
      <c r="O19" s="100">
        <v>0</v>
      </c>
      <c r="P19" s="100">
        <v>1.05</v>
      </c>
      <c r="Q19" s="100">
        <v>9.32</v>
      </c>
      <c r="R19" s="6"/>
      <c r="S19" s="6"/>
      <c r="T19" s="156"/>
      <c r="U19" s="6"/>
    </row>
    <row r="20" spans="1:21" customFormat="1">
      <c r="A20" s="163" t="s">
        <v>2370</v>
      </c>
      <c r="B20" s="100">
        <v>25.76</v>
      </c>
      <c r="C20" s="100">
        <v>20.56</v>
      </c>
      <c r="D20" s="100">
        <v>31.4</v>
      </c>
      <c r="E20" s="100">
        <v>5.03</v>
      </c>
      <c r="F20" s="100">
        <v>1.1399999999999999</v>
      </c>
      <c r="G20" s="100">
        <v>86.03</v>
      </c>
      <c r="H20" s="100">
        <v>51.47</v>
      </c>
      <c r="I20" s="100">
        <v>15.36</v>
      </c>
      <c r="J20" s="100">
        <v>0.14000000000000001</v>
      </c>
      <c r="K20" s="100">
        <v>193.06</v>
      </c>
      <c r="L20" s="100">
        <v>16.16</v>
      </c>
      <c r="M20" s="100">
        <v>88.91</v>
      </c>
      <c r="N20" s="100">
        <v>19.600000000000001</v>
      </c>
      <c r="O20" s="100">
        <v>0</v>
      </c>
      <c r="P20" s="100">
        <v>1.05</v>
      </c>
      <c r="Q20" s="100">
        <v>9.32</v>
      </c>
      <c r="R20" s="6"/>
      <c r="S20" s="6"/>
      <c r="T20" s="156"/>
      <c r="U20" s="6"/>
    </row>
    <row r="21" spans="1:21" customFormat="1">
      <c r="A21" s="163" t="s">
        <v>2371</v>
      </c>
      <c r="B21" s="100">
        <v>26.79</v>
      </c>
      <c r="C21" s="100">
        <v>20.66</v>
      </c>
      <c r="D21" s="100">
        <v>32.28</v>
      </c>
      <c r="E21" s="100">
        <v>5.17</v>
      </c>
      <c r="F21" s="100">
        <v>1.2</v>
      </c>
      <c r="G21" s="100">
        <v>87.57</v>
      </c>
      <c r="H21" s="100">
        <v>51.61</v>
      </c>
      <c r="I21" s="100">
        <v>15.22</v>
      </c>
      <c r="J21" s="100">
        <v>0.12</v>
      </c>
      <c r="K21" s="100">
        <v>165.76</v>
      </c>
      <c r="L21" s="100">
        <v>16</v>
      </c>
      <c r="M21" s="100">
        <v>89.26</v>
      </c>
      <c r="N21" s="100">
        <v>19.600000000000001</v>
      </c>
      <c r="O21" s="100">
        <v>0</v>
      </c>
      <c r="P21" s="100">
        <v>1.04</v>
      </c>
      <c r="Q21" s="100">
        <v>9.32</v>
      </c>
      <c r="R21" s="6"/>
      <c r="S21" s="6"/>
      <c r="T21" s="156"/>
      <c r="U21" s="6"/>
    </row>
    <row r="22" spans="1:21" customFormat="1">
      <c r="A22" s="163" t="s">
        <v>2372</v>
      </c>
      <c r="B22" s="100">
        <v>28.05</v>
      </c>
      <c r="C22" s="100">
        <v>20.85</v>
      </c>
      <c r="D22" s="100">
        <v>33.380000000000003</v>
      </c>
      <c r="E22" s="100">
        <v>5.33</v>
      </c>
      <c r="F22" s="100">
        <v>1.22</v>
      </c>
      <c r="G22" s="100">
        <v>87.68</v>
      </c>
      <c r="H22" s="100">
        <v>51.61</v>
      </c>
      <c r="I22" s="100">
        <v>15.06</v>
      </c>
      <c r="J22" s="100">
        <v>0.14000000000000001</v>
      </c>
      <c r="K22" s="100">
        <v>213.38</v>
      </c>
      <c r="L22" s="100">
        <v>15.97</v>
      </c>
      <c r="M22" s="100">
        <v>89.38</v>
      </c>
      <c r="N22" s="100">
        <v>19.5</v>
      </c>
      <c r="O22" s="100">
        <v>0</v>
      </c>
      <c r="P22" s="100">
        <v>1.03</v>
      </c>
      <c r="Q22" s="100">
        <v>9.32</v>
      </c>
      <c r="R22" s="6"/>
      <c r="S22" s="6"/>
      <c r="T22" s="156"/>
      <c r="U22" s="6"/>
    </row>
    <row r="23" spans="1:21" customFormat="1">
      <c r="A23" s="163" t="s">
        <v>2373</v>
      </c>
      <c r="B23" s="100">
        <v>29.01</v>
      </c>
      <c r="C23" s="100">
        <v>20.97</v>
      </c>
      <c r="D23" s="100">
        <v>34.21</v>
      </c>
      <c r="E23" s="100">
        <v>4.88</v>
      </c>
      <c r="F23" s="100">
        <v>1.21</v>
      </c>
      <c r="G23" s="100">
        <v>87.68</v>
      </c>
      <c r="H23" s="100">
        <v>51.61</v>
      </c>
      <c r="I23" s="100">
        <v>14.95</v>
      </c>
      <c r="J23" s="100">
        <v>0.17</v>
      </c>
      <c r="K23" s="100">
        <v>231.36</v>
      </c>
      <c r="L23" s="100">
        <v>15.88</v>
      </c>
      <c r="M23" s="100">
        <v>88.89</v>
      </c>
      <c r="N23" s="100">
        <v>19.600000000000001</v>
      </c>
      <c r="O23" s="100">
        <v>0</v>
      </c>
      <c r="P23" s="100">
        <v>1.03</v>
      </c>
      <c r="Q23" s="100">
        <v>9.32</v>
      </c>
      <c r="R23" s="6"/>
      <c r="S23" s="6"/>
      <c r="T23" s="156"/>
      <c r="U23" s="6"/>
    </row>
    <row r="24" spans="1:21" customFormat="1">
      <c r="A24" s="163" t="s">
        <v>2374</v>
      </c>
      <c r="B24" s="100">
        <v>29.38</v>
      </c>
      <c r="C24" s="100">
        <v>21.06</v>
      </c>
      <c r="D24" s="100">
        <v>34.56</v>
      </c>
      <c r="E24" s="100">
        <v>5.25</v>
      </c>
      <c r="F24" s="100">
        <v>1.17</v>
      </c>
      <c r="G24" s="100">
        <v>87.68</v>
      </c>
      <c r="H24" s="100">
        <v>51.61</v>
      </c>
      <c r="I24" s="100">
        <v>14.86</v>
      </c>
      <c r="J24" s="100">
        <v>0.18</v>
      </c>
      <c r="K24" s="100">
        <v>198.23</v>
      </c>
      <c r="L24" s="100">
        <v>15.82</v>
      </c>
      <c r="M24" s="100">
        <v>89.25</v>
      </c>
      <c r="N24" s="100">
        <v>19.600000000000001</v>
      </c>
      <c r="O24" s="100">
        <v>0</v>
      </c>
      <c r="P24" s="100">
        <v>1.02</v>
      </c>
      <c r="Q24" s="100">
        <v>9.32</v>
      </c>
      <c r="R24" s="6"/>
      <c r="S24" s="6"/>
      <c r="T24" s="156"/>
      <c r="U24" s="6"/>
    </row>
    <row r="25" spans="1:21" customFormat="1">
      <c r="A25" s="163" t="s">
        <v>2375</v>
      </c>
      <c r="B25" s="100">
        <v>29.01</v>
      </c>
      <c r="C25" s="100">
        <v>20.99</v>
      </c>
      <c r="D25" s="100">
        <v>34.229999999999997</v>
      </c>
      <c r="E25" s="100">
        <v>5.21</v>
      </c>
      <c r="F25" s="100">
        <v>1.1299999999999999</v>
      </c>
      <c r="G25" s="100">
        <v>86.8</v>
      </c>
      <c r="H25" s="100">
        <v>52.91</v>
      </c>
      <c r="I25" s="100">
        <v>14.76</v>
      </c>
      <c r="J25" s="100">
        <v>0.11</v>
      </c>
      <c r="K25" s="100">
        <v>185.09</v>
      </c>
      <c r="L25" s="100">
        <v>15.57</v>
      </c>
      <c r="M25" s="100">
        <v>90.81</v>
      </c>
      <c r="N25" s="100">
        <v>19.899999999999999</v>
      </c>
      <c r="O25" s="100">
        <v>0</v>
      </c>
      <c r="P25" s="100">
        <v>1.02</v>
      </c>
      <c r="Q25" s="100">
        <v>9.32</v>
      </c>
      <c r="R25" s="6"/>
      <c r="S25" s="6"/>
      <c r="T25" s="156"/>
      <c r="U25" s="6"/>
    </row>
    <row r="26" spans="1:21" customFormat="1">
      <c r="A26" s="163" t="s">
        <v>2376</v>
      </c>
      <c r="B26" s="100">
        <v>28.4</v>
      </c>
      <c r="C26" s="100">
        <v>20.59</v>
      </c>
      <c r="D26" s="100">
        <v>33.53</v>
      </c>
      <c r="E26" s="100">
        <v>5.07</v>
      </c>
      <c r="F26" s="100">
        <v>1.2</v>
      </c>
      <c r="G26" s="100">
        <v>86.74</v>
      </c>
      <c r="H26" s="100">
        <v>52.91</v>
      </c>
      <c r="I26" s="100">
        <v>14.7</v>
      </c>
      <c r="J26" s="100">
        <v>0.15</v>
      </c>
      <c r="K26" s="100">
        <v>170.24</v>
      </c>
      <c r="L26" s="100">
        <v>15.41</v>
      </c>
      <c r="M26" s="100">
        <v>91.63</v>
      </c>
      <c r="N26" s="100">
        <v>19.7</v>
      </c>
      <c r="O26" s="100">
        <v>0</v>
      </c>
      <c r="P26" s="100">
        <v>1.01</v>
      </c>
      <c r="Q26" s="100">
        <v>9.32</v>
      </c>
      <c r="R26" s="6"/>
      <c r="S26" s="6"/>
      <c r="T26" s="156"/>
      <c r="U26" s="6"/>
    </row>
    <row r="27" spans="1:21" customFormat="1">
      <c r="A27" s="163" t="s">
        <v>2377</v>
      </c>
      <c r="B27" s="100">
        <v>27.74</v>
      </c>
      <c r="C27" s="100">
        <v>20.18</v>
      </c>
      <c r="D27" s="100">
        <v>32.79</v>
      </c>
      <c r="E27" s="100">
        <v>4.9000000000000004</v>
      </c>
      <c r="F27" s="100">
        <v>1.18</v>
      </c>
      <c r="G27" s="100">
        <v>86.74</v>
      </c>
      <c r="H27" s="100">
        <v>52.91</v>
      </c>
      <c r="I27" s="100">
        <v>14.61</v>
      </c>
      <c r="J27" s="100">
        <v>0.19</v>
      </c>
      <c r="K27" s="100">
        <v>186.44</v>
      </c>
      <c r="L27" s="100">
        <v>15.55</v>
      </c>
      <c r="M27" s="100">
        <v>92.35</v>
      </c>
      <c r="N27" s="100">
        <v>19.5</v>
      </c>
      <c r="O27" s="100">
        <v>0</v>
      </c>
      <c r="P27" s="100">
        <v>1</v>
      </c>
      <c r="Q27" s="100">
        <v>9.32</v>
      </c>
      <c r="R27" s="6"/>
      <c r="S27" s="6"/>
      <c r="T27" s="156"/>
      <c r="U27" s="6"/>
    </row>
    <row r="28" spans="1:21" customFormat="1">
      <c r="A28" s="163" t="s">
        <v>2378</v>
      </c>
      <c r="B28" s="100">
        <v>27.01</v>
      </c>
      <c r="C28" s="100">
        <v>19.75</v>
      </c>
      <c r="D28" s="100">
        <v>31.98</v>
      </c>
      <c r="E28" s="100">
        <v>4.74</v>
      </c>
      <c r="F28" s="100">
        <v>1.25</v>
      </c>
      <c r="G28" s="100">
        <v>86.74</v>
      </c>
      <c r="H28" s="100">
        <v>52.91</v>
      </c>
      <c r="I28" s="100">
        <v>14.59</v>
      </c>
      <c r="J28" s="100">
        <v>0.11</v>
      </c>
      <c r="K28" s="100">
        <v>115.5</v>
      </c>
      <c r="L28" s="100">
        <v>15.2</v>
      </c>
      <c r="M28" s="100">
        <v>92.38</v>
      </c>
      <c r="N28" s="100">
        <v>20</v>
      </c>
      <c r="O28" s="100">
        <v>0</v>
      </c>
      <c r="P28" s="100">
        <v>1</v>
      </c>
      <c r="Q28" s="100">
        <v>9.32</v>
      </c>
      <c r="R28" s="6"/>
      <c r="S28" s="6"/>
      <c r="T28" s="156"/>
      <c r="U28" s="6"/>
    </row>
    <row r="29" spans="1:21" customFormat="1">
      <c r="A29" s="163" t="s">
        <v>2379</v>
      </c>
      <c r="B29" s="100">
        <v>26.59</v>
      </c>
      <c r="C29" s="100">
        <v>19.54</v>
      </c>
      <c r="D29" s="100">
        <v>31.54</v>
      </c>
      <c r="E29" s="100">
        <v>4.8899999999999997</v>
      </c>
      <c r="F29" s="100">
        <v>1.33</v>
      </c>
      <c r="G29" s="100">
        <v>77.930000000000007</v>
      </c>
      <c r="H29" s="100">
        <v>50.51</v>
      </c>
      <c r="I29" s="100">
        <v>14.71</v>
      </c>
      <c r="J29" s="100">
        <v>0.14000000000000001</v>
      </c>
      <c r="K29" s="100">
        <v>169.3</v>
      </c>
      <c r="L29" s="100">
        <v>15.23</v>
      </c>
      <c r="M29" s="100">
        <v>91.84</v>
      </c>
      <c r="N29" s="100">
        <v>19.600000000000001</v>
      </c>
      <c r="O29" s="100">
        <v>0</v>
      </c>
      <c r="P29" s="100">
        <v>1</v>
      </c>
      <c r="Q29" s="100">
        <v>9.32</v>
      </c>
      <c r="R29" s="6"/>
      <c r="S29" s="6"/>
      <c r="T29" s="156"/>
      <c r="U29" s="6"/>
    </row>
    <row r="30" spans="1:21" customFormat="1">
      <c r="A30" s="163" t="s">
        <v>2380</v>
      </c>
      <c r="B30" s="100">
        <v>27.18</v>
      </c>
      <c r="C30" s="100">
        <v>19.559999999999999</v>
      </c>
      <c r="D30" s="100">
        <v>32.01</v>
      </c>
      <c r="E30" s="100">
        <v>4.87</v>
      </c>
      <c r="F30" s="100">
        <v>1.32</v>
      </c>
      <c r="G30" s="100">
        <v>77.3</v>
      </c>
      <c r="H30" s="100">
        <v>50.51</v>
      </c>
      <c r="I30" s="100">
        <v>14.88</v>
      </c>
      <c r="J30" s="100">
        <v>0.11</v>
      </c>
      <c r="K30" s="100">
        <v>187.76</v>
      </c>
      <c r="L30" s="100">
        <v>15.09</v>
      </c>
      <c r="M30" s="100">
        <v>91.8</v>
      </c>
      <c r="N30" s="100">
        <v>19.7</v>
      </c>
      <c r="O30" s="100">
        <v>0</v>
      </c>
      <c r="P30" s="100">
        <v>0.98</v>
      </c>
      <c r="Q30" s="100">
        <v>9.32</v>
      </c>
      <c r="R30" s="6"/>
      <c r="S30" s="6"/>
      <c r="T30" s="156"/>
      <c r="U30" s="6"/>
    </row>
    <row r="31" spans="1:21" customFormat="1">
      <c r="A31" s="163" t="s">
        <v>2381</v>
      </c>
      <c r="B31" s="100">
        <v>27.05</v>
      </c>
      <c r="C31" s="100">
        <v>19.27</v>
      </c>
      <c r="D31" s="100">
        <v>31.76</v>
      </c>
      <c r="E31" s="100">
        <v>4.91</v>
      </c>
      <c r="F31" s="100">
        <v>1.1200000000000001</v>
      </c>
      <c r="G31" s="100">
        <v>77.3</v>
      </c>
      <c r="H31" s="100">
        <v>50.51</v>
      </c>
      <c r="I31" s="100">
        <v>17.07</v>
      </c>
      <c r="J31" s="100">
        <v>0.11</v>
      </c>
      <c r="K31" s="100">
        <v>210.87</v>
      </c>
      <c r="L31" s="100">
        <v>15.04</v>
      </c>
      <c r="M31" s="100">
        <v>92.94</v>
      </c>
      <c r="N31" s="100">
        <v>19.7</v>
      </c>
      <c r="O31" s="100">
        <v>0</v>
      </c>
      <c r="P31" s="100">
        <v>0.98</v>
      </c>
      <c r="Q31" s="100">
        <v>9.32</v>
      </c>
      <c r="R31" s="6"/>
      <c r="S31" s="6"/>
      <c r="T31" s="156"/>
      <c r="U31" s="6"/>
    </row>
    <row r="32" spans="1:21" customFormat="1">
      <c r="A32" s="163" t="s">
        <v>2382</v>
      </c>
      <c r="B32" s="100">
        <v>26.41</v>
      </c>
      <c r="C32" s="100">
        <v>19.05</v>
      </c>
      <c r="D32" s="100">
        <v>31.13</v>
      </c>
      <c r="E32" s="100">
        <v>4.8099999999999996</v>
      </c>
      <c r="F32" s="100">
        <v>1.1299999999999999</v>
      </c>
      <c r="G32" s="100">
        <v>77.3</v>
      </c>
      <c r="H32" s="100">
        <v>50.51</v>
      </c>
      <c r="I32" s="100">
        <v>17.22</v>
      </c>
      <c r="J32" s="100">
        <v>0.11</v>
      </c>
      <c r="K32" s="100">
        <v>208.43</v>
      </c>
      <c r="L32" s="100">
        <v>14.92</v>
      </c>
      <c r="M32" s="100">
        <v>93.31</v>
      </c>
      <c r="N32" s="100">
        <v>19.8</v>
      </c>
      <c r="O32" s="100">
        <v>0</v>
      </c>
      <c r="P32" s="100">
        <v>0.99</v>
      </c>
      <c r="Q32" s="100">
        <v>9.32</v>
      </c>
      <c r="R32" s="6"/>
      <c r="S32" s="6"/>
      <c r="T32" s="156"/>
      <c r="U32" s="6"/>
    </row>
    <row r="33" spans="1:21" customFormat="1">
      <c r="A33" s="163" t="s">
        <v>2383</v>
      </c>
      <c r="B33" s="100">
        <v>27.45</v>
      </c>
      <c r="C33" s="100">
        <v>19.27</v>
      </c>
      <c r="D33" s="100">
        <v>32.090000000000003</v>
      </c>
      <c r="E33" s="100">
        <v>5.07</v>
      </c>
      <c r="F33" s="100">
        <v>1.34</v>
      </c>
      <c r="G33" s="100">
        <v>74.849999999999994</v>
      </c>
      <c r="H33" s="100">
        <v>50.26</v>
      </c>
      <c r="I33" s="100">
        <v>14.91</v>
      </c>
      <c r="J33" s="100">
        <v>0.12</v>
      </c>
      <c r="K33" s="100">
        <v>172.99</v>
      </c>
      <c r="L33" s="100">
        <v>14.92</v>
      </c>
      <c r="M33" s="100">
        <v>92.87</v>
      </c>
      <c r="N33" s="100">
        <v>19.7</v>
      </c>
      <c r="O33" s="100">
        <v>0</v>
      </c>
      <c r="P33" s="100">
        <v>1</v>
      </c>
      <c r="Q33" s="100">
        <v>9.32</v>
      </c>
      <c r="R33" s="6"/>
      <c r="S33" s="6"/>
      <c r="T33" s="156"/>
      <c r="U33" s="6"/>
    </row>
    <row r="34" spans="1:21" customFormat="1">
      <c r="A34" s="163" t="s">
        <v>2384</v>
      </c>
      <c r="B34" s="100">
        <v>30.37</v>
      </c>
      <c r="C34" s="100">
        <v>19.739999999999998</v>
      </c>
      <c r="D34" s="100">
        <v>34.67</v>
      </c>
      <c r="E34" s="100">
        <v>5.0199999999999996</v>
      </c>
      <c r="F34" s="100">
        <v>1.26</v>
      </c>
      <c r="G34" s="100">
        <v>74.709999999999994</v>
      </c>
      <c r="H34" s="100">
        <v>50.26</v>
      </c>
      <c r="I34" s="100">
        <v>14.9</v>
      </c>
      <c r="J34" s="100">
        <v>0.12</v>
      </c>
      <c r="K34" s="100">
        <v>169.92</v>
      </c>
      <c r="L34" s="100">
        <v>15.01</v>
      </c>
      <c r="M34" s="100">
        <v>92.15</v>
      </c>
      <c r="N34" s="100">
        <v>20.2</v>
      </c>
      <c r="O34" s="100">
        <v>0</v>
      </c>
      <c r="P34" s="100">
        <v>0.99</v>
      </c>
      <c r="Q34" s="100">
        <v>9.32</v>
      </c>
      <c r="R34" s="6"/>
      <c r="S34" s="6"/>
      <c r="T34" s="156"/>
      <c r="U34" s="6"/>
    </row>
    <row r="35" spans="1:21" customFormat="1">
      <c r="A35" s="163" t="s">
        <v>2385</v>
      </c>
      <c r="B35" s="100">
        <v>32.44</v>
      </c>
      <c r="C35" s="100">
        <v>20.100000000000001</v>
      </c>
      <c r="D35" s="100">
        <v>36.51</v>
      </c>
      <c r="E35" s="100">
        <v>4.7300000000000004</v>
      </c>
      <c r="F35" s="100">
        <v>1.1399999999999999</v>
      </c>
      <c r="G35" s="100">
        <v>74.709999999999994</v>
      </c>
      <c r="H35" s="100">
        <v>50.26</v>
      </c>
      <c r="I35" s="100">
        <v>14.86</v>
      </c>
      <c r="J35" s="100">
        <v>0.14000000000000001</v>
      </c>
      <c r="K35" s="100">
        <v>199.28</v>
      </c>
      <c r="L35" s="100">
        <v>14.99</v>
      </c>
      <c r="M35" s="100">
        <v>91.42</v>
      </c>
      <c r="N35" s="100">
        <v>22.9</v>
      </c>
      <c r="O35" s="100">
        <v>0</v>
      </c>
      <c r="P35" s="100">
        <v>0.99</v>
      </c>
      <c r="Q35" s="100">
        <v>9.32</v>
      </c>
      <c r="R35" s="6"/>
      <c r="S35" s="6"/>
      <c r="T35" s="156"/>
      <c r="U35" s="6"/>
    </row>
    <row r="36" spans="1:21" customFormat="1">
      <c r="A36" s="163" t="s">
        <v>2386</v>
      </c>
      <c r="B36" s="100">
        <v>32.97</v>
      </c>
      <c r="C36" s="100">
        <v>20.440000000000001</v>
      </c>
      <c r="D36" s="100">
        <v>37.119999999999997</v>
      </c>
      <c r="E36" s="100">
        <v>4.82</v>
      </c>
      <c r="F36" s="100">
        <v>1.02</v>
      </c>
      <c r="G36" s="100">
        <v>74.709999999999994</v>
      </c>
      <c r="H36" s="100">
        <v>50.26</v>
      </c>
      <c r="I36" s="100">
        <v>14.86</v>
      </c>
      <c r="J36" s="100">
        <v>0.12</v>
      </c>
      <c r="K36" s="100">
        <v>188.86</v>
      </c>
      <c r="L36" s="100">
        <v>15.01</v>
      </c>
      <c r="M36" s="100">
        <v>91.96</v>
      </c>
      <c r="N36" s="100">
        <v>30.4</v>
      </c>
      <c r="O36" s="100">
        <v>0</v>
      </c>
      <c r="P36" s="100">
        <v>0.99</v>
      </c>
      <c r="Q36" s="100">
        <v>9.32</v>
      </c>
      <c r="R36" s="6"/>
      <c r="S36" s="6"/>
      <c r="T36" s="156"/>
      <c r="U36" s="6"/>
    </row>
    <row r="37" spans="1:21" customFormat="1">
      <c r="A37" s="163" t="s">
        <v>2387</v>
      </c>
      <c r="B37" s="100">
        <v>33.450000000000003</v>
      </c>
      <c r="C37" s="100">
        <v>20.67</v>
      </c>
      <c r="D37" s="100">
        <v>37.630000000000003</v>
      </c>
      <c r="E37" s="100">
        <v>4.6100000000000003</v>
      </c>
      <c r="F37" s="100">
        <v>1.1399999999999999</v>
      </c>
      <c r="G37" s="100">
        <v>75.010000000000005</v>
      </c>
      <c r="H37" s="100">
        <v>52.29</v>
      </c>
      <c r="I37" s="100">
        <v>14.86</v>
      </c>
      <c r="J37" s="100">
        <v>0.16</v>
      </c>
      <c r="K37" s="100">
        <v>211.95</v>
      </c>
      <c r="L37" s="100">
        <v>15.29</v>
      </c>
      <c r="M37" s="100">
        <v>91.9</v>
      </c>
      <c r="N37" s="100">
        <v>40.6</v>
      </c>
      <c r="O37" s="100">
        <v>0</v>
      </c>
      <c r="P37" s="100">
        <v>0.98</v>
      </c>
      <c r="Q37" s="100">
        <v>9.32</v>
      </c>
      <c r="R37" s="6"/>
      <c r="S37" s="6"/>
      <c r="T37" s="156"/>
      <c r="U37" s="6"/>
    </row>
    <row r="38" spans="1:21" customFormat="1">
      <c r="A38" s="163" t="s">
        <v>2388</v>
      </c>
      <c r="B38" s="100">
        <v>33.520000000000003</v>
      </c>
      <c r="C38" s="100">
        <v>20.51</v>
      </c>
      <c r="D38" s="100">
        <v>37.6</v>
      </c>
      <c r="E38" s="100">
        <v>4.54</v>
      </c>
      <c r="F38" s="100">
        <v>1.1299999999999999</v>
      </c>
      <c r="G38" s="100">
        <v>75.03</v>
      </c>
      <c r="H38" s="100">
        <v>52.29</v>
      </c>
      <c r="I38" s="100">
        <v>14.84</v>
      </c>
      <c r="J38" s="100">
        <v>0.2</v>
      </c>
      <c r="K38" s="100">
        <v>172.54</v>
      </c>
      <c r="L38" s="100">
        <v>15.69</v>
      </c>
      <c r="M38" s="100">
        <v>92.41</v>
      </c>
      <c r="N38" s="100">
        <v>52.3</v>
      </c>
      <c r="O38" s="100">
        <v>0</v>
      </c>
      <c r="P38" s="100">
        <v>0.98</v>
      </c>
      <c r="Q38" s="100">
        <v>9.32</v>
      </c>
      <c r="R38" s="6"/>
      <c r="S38" s="6"/>
      <c r="T38" s="156"/>
      <c r="U38" s="6"/>
    </row>
    <row r="39" spans="1:21" customFormat="1">
      <c r="A39" s="163" t="s">
        <v>2389</v>
      </c>
      <c r="B39" s="100">
        <v>32.81</v>
      </c>
      <c r="C39" s="100">
        <v>20.69</v>
      </c>
      <c r="D39" s="100">
        <v>37.130000000000003</v>
      </c>
      <c r="E39" s="100">
        <v>4.58</v>
      </c>
      <c r="F39" s="100">
        <v>1.23</v>
      </c>
      <c r="G39" s="100">
        <v>75.03</v>
      </c>
      <c r="H39" s="100">
        <v>52.29</v>
      </c>
      <c r="I39" s="100">
        <v>14.76</v>
      </c>
      <c r="J39" s="100">
        <v>0.2</v>
      </c>
      <c r="K39" s="100">
        <v>167.48</v>
      </c>
      <c r="L39" s="100">
        <v>16.2</v>
      </c>
      <c r="M39" s="100">
        <v>92.26</v>
      </c>
      <c r="N39" s="100">
        <v>64.7</v>
      </c>
      <c r="O39" s="100">
        <v>0</v>
      </c>
      <c r="P39" s="100">
        <v>0.97</v>
      </c>
      <c r="Q39" s="100">
        <v>9.32</v>
      </c>
      <c r="R39" s="6"/>
      <c r="S39" s="6"/>
      <c r="T39" s="156"/>
      <c r="U39" s="6"/>
    </row>
    <row r="40" spans="1:21" customFormat="1">
      <c r="A40" s="163" t="s">
        <v>2390</v>
      </c>
      <c r="B40" s="100">
        <v>31.68</v>
      </c>
      <c r="C40" s="100">
        <v>20.79</v>
      </c>
      <c r="D40" s="100">
        <v>36.270000000000003</v>
      </c>
      <c r="E40" s="100">
        <v>4.5599999999999996</v>
      </c>
      <c r="F40" s="100">
        <v>1.21</v>
      </c>
      <c r="G40" s="100">
        <v>75.03</v>
      </c>
      <c r="H40" s="100">
        <v>52.29</v>
      </c>
      <c r="I40" s="100">
        <v>14.69</v>
      </c>
      <c r="J40" s="100">
        <v>7.0000000000000007E-2</v>
      </c>
      <c r="K40" s="100">
        <v>183.15</v>
      </c>
      <c r="L40" s="100">
        <v>16.760000000000002</v>
      </c>
      <c r="M40" s="100">
        <v>89.92</v>
      </c>
      <c r="N40" s="100">
        <v>77.099999999999994</v>
      </c>
      <c r="O40" s="100">
        <v>0</v>
      </c>
      <c r="P40" s="100">
        <v>0.96</v>
      </c>
      <c r="Q40" s="100">
        <v>9.32</v>
      </c>
      <c r="R40" s="6"/>
      <c r="S40" s="6"/>
      <c r="T40" s="156"/>
      <c r="U40" s="6"/>
    </row>
    <row r="41" spans="1:21" customFormat="1">
      <c r="A41" s="163" t="s">
        <v>2391</v>
      </c>
      <c r="B41" s="100">
        <v>30.55</v>
      </c>
      <c r="C41" s="100">
        <v>20.81</v>
      </c>
      <c r="D41" s="100">
        <v>35.369999999999997</v>
      </c>
      <c r="E41" s="100">
        <v>4.6500000000000004</v>
      </c>
      <c r="F41" s="100">
        <v>1.0900000000000001</v>
      </c>
      <c r="G41" s="100">
        <v>72.209999999999994</v>
      </c>
      <c r="H41" s="100">
        <v>52.02</v>
      </c>
      <c r="I41" s="100">
        <v>14.67</v>
      </c>
      <c r="J41" s="100">
        <v>0.13</v>
      </c>
      <c r="K41" s="100">
        <v>124.76</v>
      </c>
      <c r="L41" s="100">
        <v>17.91</v>
      </c>
      <c r="M41" s="100">
        <v>79.959999999999994</v>
      </c>
      <c r="N41" s="100">
        <v>126.9</v>
      </c>
      <c r="O41" s="100">
        <v>0</v>
      </c>
      <c r="P41" s="100">
        <v>0.96</v>
      </c>
      <c r="Q41" s="100">
        <v>9.32</v>
      </c>
      <c r="R41" s="6"/>
      <c r="S41" s="6"/>
      <c r="T41" s="156"/>
      <c r="U41" s="6"/>
    </row>
    <row r="42" spans="1:21" customFormat="1">
      <c r="A42" s="163" t="s">
        <v>2392</v>
      </c>
      <c r="B42" s="100">
        <v>29.24</v>
      </c>
      <c r="C42" s="100">
        <v>21.82</v>
      </c>
      <c r="D42" s="100">
        <v>34.85</v>
      </c>
      <c r="E42" s="100">
        <v>4.6500000000000004</v>
      </c>
      <c r="F42" s="100">
        <v>1.06</v>
      </c>
      <c r="G42" s="100">
        <v>72.05</v>
      </c>
      <c r="H42" s="100">
        <v>52.02</v>
      </c>
      <c r="I42" s="100">
        <v>14.68</v>
      </c>
      <c r="J42" s="100">
        <v>0.28999999999999998</v>
      </c>
      <c r="K42" s="100">
        <v>63.37</v>
      </c>
      <c r="L42" s="100">
        <v>19.079999999999998</v>
      </c>
      <c r="M42" s="100">
        <v>71.22</v>
      </c>
      <c r="N42" s="100">
        <v>180.4</v>
      </c>
      <c r="O42" s="100">
        <v>0</v>
      </c>
      <c r="P42" s="100">
        <v>0.96</v>
      </c>
      <c r="Q42" s="100">
        <v>9.32</v>
      </c>
      <c r="R42" s="6"/>
      <c r="S42" s="6"/>
      <c r="T42" s="156"/>
      <c r="U42" s="6"/>
    </row>
    <row r="43" spans="1:21" customFormat="1">
      <c r="A43" s="163" t="s">
        <v>2393</v>
      </c>
      <c r="B43" s="100">
        <v>27.97</v>
      </c>
      <c r="C43" s="100">
        <v>21.95</v>
      </c>
      <c r="D43" s="100">
        <v>33.9</v>
      </c>
      <c r="E43" s="100">
        <v>4.67</v>
      </c>
      <c r="F43" s="100">
        <v>1.18</v>
      </c>
      <c r="G43" s="100">
        <v>72.05</v>
      </c>
      <c r="H43" s="100">
        <v>52.02</v>
      </c>
      <c r="I43" s="100">
        <v>14.68</v>
      </c>
      <c r="J43" s="100">
        <v>0.57999999999999996</v>
      </c>
      <c r="K43" s="100">
        <v>54.08</v>
      </c>
      <c r="L43" s="100">
        <v>19.52</v>
      </c>
      <c r="M43" s="100">
        <v>68.13</v>
      </c>
      <c r="N43" s="100">
        <v>209.4</v>
      </c>
      <c r="O43" s="100">
        <v>0</v>
      </c>
      <c r="P43" s="100">
        <v>0.97</v>
      </c>
      <c r="Q43" s="100">
        <v>9.32</v>
      </c>
      <c r="R43" s="6"/>
      <c r="S43" s="6"/>
      <c r="T43" s="156"/>
      <c r="U43" s="6"/>
    </row>
    <row r="44" spans="1:21" customFormat="1">
      <c r="A44" s="163" t="s">
        <v>2394</v>
      </c>
      <c r="B44" s="100">
        <v>26.7</v>
      </c>
      <c r="C44" s="100">
        <v>21.61</v>
      </c>
      <c r="D44" s="100">
        <v>32.71</v>
      </c>
      <c r="E44" s="100">
        <v>4.5599999999999996</v>
      </c>
      <c r="F44" s="100">
        <v>1.19</v>
      </c>
      <c r="G44" s="100">
        <v>72.05</v>
      </c>
      <c r="H44" s="100">
        <v>52.02</v>
      </c>
      <c r="I44" s="100">
        <v>14.64</v>
      </c>
      <c r="J44" s="100">
        <v>0.47</v>
      </c>
      <c r="K44" s="100">
        <v>62.78</v>
      </c>
      <c r="L44" s="100">
        <v>20.57</v>
      </c>
      <c r="M44" s="100">
        <v>64.260000000000005</v>
      </c>
      <c r="N44" s="100">
        <v>230.2</v>
      </c>
      <c r="O44" s="100">
        <v>0</v>
      </c>
      <c r="P44" s="100">
        <v>0.97</v>
      </c>
      <c r="Q44" s="100">
        <v>9.32</v>
      </c>
      <c r="R44" s="6"/>
      <c r="S44" s="6"/>
      <c r="T44" s="156"/>
      <c r="U44" s="6"/>
    </row>
    <row r="45" spans="1:21" customFormat="1">
      <c r="A45" s="163" t="s">
        <v>2395</v>
      </c>
      <c r="B45" s="100">
        <v>25.4</v>
      </c>
      <c r="C45" s="100">
        <v>21.5</v>
      </c>
      <c r="D45" s="100">
        <v>31.6</v>
      </c>
      <c r="E45" s="100">
        <v>4.4000000000000004</v>
      </c>
      <c r="F45" s="100">
        <v>1.43</v>
      </c>
      <c r="G45" s="100">
        <v>73.260000000000005</v>
      </c>
      <c r="H45" s="100">
        <v>52.22</v>
      </c>
      <c r="I45" s="100">
        <v>14.58</v>
      </c>
      <c r="J45" s="100">
        <v>0.5</v>
      </c>
      <c r="K45" s="100">
        <v>57.16</v>
      </c>
      <c r="L45" s="100">
        <v>21.25</v>
      </c>
      <c r="M45" s="100">
        <v>60.41</v>
      </c>
      <c r="N45" s="100">
        <v>179.1</v>
      </c>
      <c r="O45" s="100">
        <v>0</v>
      </c>
      <c r="P45" s="100">
        <v>0.95</v>
      </c>
      <c r="Q45" s="100">
        <v>9.32</v>
      </c>
      <c r="R45" s="6"/>
      <c r="S45" s="6"/>
      <c r="T45" s="156"/>
      <c r="U45" s="6"/>
    </row>
    <row r="46" spans="1:21" customFormat="1">
      <c r="A46" s="163" t="s">
        <v>2396</v>
      </c>
      <c r="B46" s="100">
        <v>24.06</v>
      </c>
      <c r="C46" s="100">
        <v>21.38</v>
      </c>
      <c r="D46" s="100">
        <v>30.46</v>
      </c>
      <c r="E46" s="100">
        <v>4.67</v>
      </c>
      <c r="F46" s="100">
        <v>1.55</v>
      </c>
      <c r="G46" s="100">
        <v>73.33</v>
      </c>
      <c r="H46" s="100">
        <v>52.22</v>
      </c>
      <c r="I46" s="100">
        <v>14.47</v>
      </c>
      <c r="J46" s="100">
        <v>0.37</v>
      </c>
      <c r="K46" s="100">
        <v>65.510000000000005</v>
      </c>
      <c r="L46" s="100">
        <v>22.27</v>
      </c>
      <c r="M46" s="100">
        <v>56.82</v>
      </c>
      <c r="N46" s="100">
        <v>146.1</v>
      </c>
      <c r="O46" s="100">
        <v>0</v>
      </c>
      <c r="P46" s="100">
        <v>0.94</v>
      </c>
      <c r="Q46" s="100">
        <v>9.32</v>
      </c>
      <c r="R46" s="6"/>
      <c r="S46" s="6"/>
      <c r="T46" s="156"/>
      <c r="U46" s="6"/>
    </row>
    <row r="47" spans="1:21" customFormat="1">
      <c r="A47" s="163" t="s">
        <v>2397</v>
      </c>
      <c r="B47" s="100">
        <v>23</v>
      </c>
      <c r="C47" s="100">
        <v>21.46</v>
      </c>
      <c r="D47" s="100">
        <v>29.66</v>
      </c>
      <c r="E47" s="100">
        <v>4.4400000000000004</v>
      </c>
      <c r="F47" s="100">
        <v>1.38</v>
      </c>
      <c r="G47" s="100">
        <v>73.33</v>
      </c>
      <c r="H47" s="100">
        <v>52.22</v>
      </c>
      <c r="I47" s="100">
        <v>14.35</v>
      </c>
      <c r="J47" s="100">
        <v>0.46</v>
      </c>
      <c r="K47" s="100">
        <v>14.72</v>
      </c>
      <c r="L47" s="100">
        <v>22.88</v>
      </c>
      <c r="M47" s="100">
        <v>53.92</v>
      </c>
      <c r="N47" s="100">
        <v>153.30000000000001</v>
      </c>
      <c r="O47" s="100">
        <v>0</v>
      </c>
      <c r="P47" s="100">
        <v>0.94</v>
      </c>
      <c r="Q47" s="100">
        <v>9.32</v>
      </c>
      <c r="R47" s="6"/>
      <c r="S47" s="6"/>
      <c r="T47" s="156"/>
      <c r="U47" s="6"/>
    </row>
    <row r="48" spans="1:21" customFormat="1">
      <c r="A48" s="163" t="s">
        <v>2398</v>
      </c>
      <c r="B48" s="100">
        <v>22.02</v>
      </c>
      <c r="C48" s="100">
        <v>21.49</v>
      </c>
      <c r="D48" s="100">
        <v>28.89</v>
      </c>
      <c r="E48" s="100">
        <v>4.78</v>
      </c>
      <c r="F48" s="100">
        <v>1.36</v>
      </c>
      <c r="G48" s="100">
        <v>73.33</v>
      </c>
      <c r="H48" s="100">
        <v>52.22</v>
      </c>
      <c r="I48" s="100">
        <v>14.2</v>
      </c>
      <c r="J48" s="100">
        <v>0.31</v>
      </c>
      <c r="K48" s="100">
        <v>46.36</v>
      </c>
      <c r="L48" s="100">
        <v>23.63</v>
      </c>
      <c r="M48" s="100">
        <v>51.9</v>
      </c>
      <c r="N48" s="100">
        <v>167.2</v>
      </c>
      <c r="O48" s="100">
        <v>0</v>
      </c>
      <c r="P48" s="100">
        <v>0.93</v>
      </c>
      <c r="Q48" s="100">
        <v>9.32</v>
      </c>
      <c r="R48" s="6"/>
      <c r="S48" s="6"/>
      <c r="T48" s="156"/>
      <c r="U48" s="6"/>
    </row>
    <row r="49" spans="1:21" customFormat="1">
      <c r="A49" s="163" t="s">
        <v>2399</v>
      </c>
      <c r="B49" s="100">
        <v>20.96</v>
      </c>
      <c r="C49" s="100">
        <v>21.49</v>
      </c>
      <c r="D49" s="100">
        <v>28.04</v>
      </c>
      <c r="E49" s="100">
        <v>3.6</v>
      </c>
      <c r="F49" s="100">
        <v>1.5</v>
      </c>
      <c r="G49" s="100">
        <v>74.209999999999994</v>
      </c>
      <c r="H49" s="100">
        <v>51.51</v>
      </c>
      <c r="I49" s="100">
        <v>14.03</v>
      </c>
      <c r="J49" s="100">
        <v>0.15</v>
      </c>
      <c r="K49" s="100">
        <v>27.59</v>
      </c>
      <c r="L49" s="100">
        <v>24.4</v>
      </c>
      <c r="M49" s="100">
        <v>49.56</v>
      </c>
      <c r="N49" s="100">
        <v>330.3</v>
      </c>
      <c r="O49" s="100">
        <v>0</v>
      </c>
      <c r="P49" s="100">
        <v>0.92</v>
      </c>
      <c r="Q49" s="100">
        <v>9.32</v>
      </c>
      <c r="R49" s="6"/>
      <c r="S49" s="6"/>
      <c r="T49" s="156"/>
      <c r="U49" s="6"/>
    </row>
    <row r="50" spans="1:21" customFormat="1">
      <c r="A50" s="163" t="s">
        <v>2400</v>
      </c>
      <c r="B50" s="100">
        <v>19.87</v>
      </c>
      <c r="C50" s="100">
        <v>21.38</v>
      </c>
      <c r="D50" s="100">
        <v>27.1</v>
      </c>
      <c r="E50" s="100">
        <v>4.91</v>
      </c>
      <c r="F50" s="100">
        <v>1.42</v>
      </c>
      <c r="G50" s="100">
        <v>74.27</v>
      </c>
      <c r="H50" s="100">
        <v>51.51</v>
      </c>
      <c r="I50" s="100">
        <v>13.94</v>
      </c>
      <c r="J50" s="100">
        <v>0.69</v>
      </c>
      <c r="K50" s="100">
        <v>28.7</v>
      </c>
      <c r="L50" s="100">
        <v>24.72</v>
      </c>
      <c r="M50" s="100">
        <v>45.89</v>
      </c>
      <c r="N50" s="100">
        <v>416.3</v>
      </c>
      <c r="O50" s="100">
        <v>0</v>
      </c>
      <c r="P50" s="100">
        <v>0.93</v>
      </c>
      <c r="Q50" s="100">
        <v>9.32</v>
      </c>
      <c r="R50" s="6"/>
      <c r="S50" s="6"/>
      <c r="T50" s="156"/>
      <c r="U50" s="6"/>
    </row>
    <row r="51" spans="1:21" customFormat="1">
      <c r="A51" s="163" t="s">
        <v>2401</v>
      </c>
      <c r="B51" s="100">
        <v>18.829999999999998</v>
      </c>
      <c r="C51" s="100">
        <v>21.51</v>
      </c>
      <c r="D51" s="100">
        <v>26.34</v>
      </c>
      <c r="E51" s="100">
        <v>4.8899999999999997</v>
      </c>
      <c r="F51" s="100">
        <v>1.53</v>
      </c>
      <c r="G51" s="100">
        <v>74.27</v>
      </c>
      <c r="H51" s="100">
        <v>51.51</v>
      </c>
      <c r="I51" s="100">
        <v>13.86</v>
      </c>
      <c r="J51" s="100">
        <v>0.48</v>
      </c>
      <c r="K51" s="100">
        <v>92.32</v>
      </c>
      <c r="L51" s="100">
        <v>25.32</v>
      </c>
      <c r="M51" s="100">
        <v>43.17</v>
      </c>
      <c r="N51" s="100">
        <v>461.7</v>
      </c>
      <c r="O51" s="100">
        <v>0</v>
      </c>
      <c r="P51" s="100">
        <v>0.91</v>
      </c>
      <c r="Q51" s="100">
        <v>9.32</v>
      </c>
      <c r="R51" s="6"/>
      <c r="S51" s="6"/>
      <c r="T51" s="156"/>
      <c r="U51" s="6"/>
    </row>
    <row r="52" spans="1:21" customFormat="1">
      <c r="A52" s="163" t="s">
        <v>2402</v>
      </c>
      <c r="B52" s="100">
        <v>17.22</v>
      </c>
      <c r="C52" s="100">
        <v>21.8</v>
      </c>
      <c r="D52" s="100">
        <v>25.2</v>
      </c>
      <c r="E52" s="100">
        <v>4.9800000000000004</v>
      </c>
      <c r="F52" s="100">
        <v>1.73</v>
      </c>
      <c r="G52" s="100">
        <v>74.27</v>
      </c>
      <c r="H52" s="100">
        <v>51.51</v>
      </c>
      <c r="I52" s="100">
        <v>13.74</v>
      </c>
      <c r="J52" s="100">
        <v>0.63</v>
      </c>
      <c r="K52" s="100">
        <v>58.76</v>
      </c>
      <c r="L52" s="100">
        <v>25.84</v>
      </c>
      <c r="M52" s="100">
        <v>41.15</v>
      </c>
      <c r="N52" s="100">
        <v>475.9</v>
      </c>
      <c r="O52" s="100">
        <v>0</v>
      </c>
      <c r="P52" s="100">
        <v>0.88</v>
      </c>
      <c r="Q52" s="100">
        <v>9.32</v>
      </c>
      <c r="R52" s="6"/>
      <c r="S52" s="6"/>
      <c r="T52" s="156"/>
      <c r="U52" s="6"/>
    </row>
    <row r="53" spans="1:21" customFormat="1">
      <c r="A53" s="163" t="s">
        <v>2403</v>
      </c>
      <c r="B53" s="100">
        <v>15.63</v>
      </c>
      <c r="C53" s="100">
        <v>22.44</v>
      </c>
      <c r="D53" s="100">
        <v>24.26</v>
      </c>
      <c r="E53" s="100">
        <v>5.17</v>
      </c>
      <c r="F53" s="100">
        <v>1.74</v>
      </c>
      <c r="G53" s="100">
        <v>71.73</v>
      </c>
      <c r="H53" s="100">
        <v>46.91</v>
      </c>
      <c r="I53" s="100">
        <v>13.53</v>
      </c>
      <c r="J53" s="100">
        <v>0.78</v>
      </c>
      <c r="K53" s="100">
        <v>33.82</v>
      </c>
      <c r="L53" s="100">
        <v>26.04</v>
      </c>
      <c r="M53" s="100">
        <v>39.17</v>
      </c>
      <c r="N53" s="100">
        <v>455.7</v>
      </c>
      <c r="O53" s="100">
        <v>0</v>
      </c>
      <c r="P53" s="100">
        <v>0.86</v>
      </c>
      <c r="Q53" s="100">
        <v>9.32</v>
      </c>
      <c r="R53" s="6"/>
      <c r="S53" s="6"/>
      <c r="T53" s="156"/>
      <c r="U53" s="6"/>
    </row>
    <row r="54" spans="1:21" customFormat="1">
      <c r="A54" s="163" t="s">
        <v>2404</v>
      </c>
      <c r="B54" s="100">
        <v>14.21</v>
      </c>
      <c r="C54" s="100">
        <v>22.87</v>
      </c>
      <c r="D54" s="100">
        <v>23.34</v>
      </c>
      <c r="E54" s="100">
        <v>5.12</v>
      </c>
      <c r="F54" s="100">
        <v>1.79</v>
      </c>
      <c r="G54" s="100">
        <v>71.58</v>
      </c>
      <c r="H54" s="100">
        <v>46.91</v>
      </c>
      <c r="I54" s="100">
        <v>13.28</v>
      </c>
      <c r="J54" s="100">
        <v>0.42</v>
      </c>
      <c r="K54" s="100">
        <v>54.46</v>
      </c>
      <c r="L54" s="100">
        <v>26.75</v>
      </c>
      <c r="M54" s="100">
        <v>38.18</v>
      </c>
      <c r="N54" s="100">
        <v>493.3</v>
      </c>
      <c r="O54" s="100">
        <v>0</v>
      </c>
      <c r="P54" s="100">
        <v>0.85</v>
      </c>
      <c r="Q54" s="100">
        <v>9.32</v>
      </c>
      <c r="R54" s="6"/>
      <c r="S54" s="6"/>
      <c r="T54" s="156"/>
      <c r="U54" s="6"/>
    </row>
    <row r="55" spans="1:21" customFormat="1">
      <c r="A55" s="163" t="s">
        <v>2405</v>
      </c>
      <c r="B55" s="100">
        <v>12.84</v>
      </c>
      <c r="C55" s="100">
        <v>23.18</v>
      </c>
      <c r="D55" s="100">
        <v>22.4</v>
      </c>
      <c r="E55" s="100">
        <v>5.2</v>
      </c>
      <c r="F55" s="100">
        <v>1.69</v>
      </c>
      <c r="G55" s="100">
        <v>71.58</v>
      </c>
      <c r="H55" s="100">
        <v>46.91</v>
      </c>
      <c r="I55" s="100">
        <v>13.04</v>
      </c>
      <c r="J55" s="100">
        <v>0.93</v>
      </c>
      <c r="K55" s="100">
        <v>49.63</v>
      </c>
      <c r="L55" s="100">
        <v>27.15</v>
      </c>
      <c r="M55" s="100">
        <v>37.47</v>
      </c>
      <c r="N55" s="100">
        <v>473.5</v>
      </c>
      <c r="O55" s="100">
        <v>0</v>
      </c>
      <c r="P55" s="100">
        <v>0.83</v>
      </c>
      <c r="Q55" s="100">
        <v>9.32</v>
      </c>
      <c r="R55" s="6"/>
      <c r="S55" s="6"/>
      <c r="T55" s="156"/>
      <c r="U55" s="6"/>
    </row>
    <row r="56" spans="1:21" customFormat="1">
      <c r="A56" s="163" t="s">
        <v>2406</v>
      </c>
      <c r="B56" s="100">
        <v>11.5</v>
      </c>
      <c r="C56" s="100">
        <v>23.45</v>
      </c>
      <c r="D56" s="100">
        <v>21.47</v>
      </c>
      <c r="E56" s="100">
        <v>5.05</v>
      </c>
      <c r="F56" s="100">
        <v>1.76</v>
      </c>
      <c r="G56" s="100">
        <v>71.58</v>
      </c>
      <c r="H56" s="100">
        <v>46.91</v>
      </c>
      <c r="I56" s="100">
        <v>12.77</v>
      </c>
      <c r="J56" s="100">
        <v>0.37</v>
      </c>
      <c r="K56" s="100">
        <v>90.78</v>
      </c>
      <c r="L56" s="100">
        <v>27.42</v>
      </c>
      <c r="M56" s="100">
        <v>35.299999999999997</v>
      </c>
      <c r="N56" s="100">
        <v>488.5</v>
      </c>
      <c r="O56" s="100">
        <v>0</v>
      </c>
      <c r="P56" s="100">
        <v>0.82</v>
      </c>
      <c r="Q56" s="100">
        <v>9.32</v>
      </c>
      <c r="R56" s="6"/>
      <c r="S56" s="6"/>
      <c r="T56" s="156"/>
      <c r="U56" s="6"/>
    </row>
    <row r="57" spans="1:21" customFormat="1">
      <c r="A57" s="163" t="s">
        <v>2407</v>
      </c>
      <c r="B57" s="100">
        <v>10.07</v>
      </c>
      <c r="C57" s="100">
        <v>23.67</v>
      </c>
      <c r="D57" s="100">
        <v>20.440000000000001</v>
      </c>
      <c r="E57" s="100">
        <v>5.05</v>
      </c>
      <c r="F57" s="100">
        <v>1.8</v>
      </c>
      <c r="G57" s="100">
        <v>71.400000000000006</v>
      </c>
      <c r="H57" s="100">
        <v>46.51</v>
      </c>
      <c r="I57" s="100">
        <v>12.5</v>
      </c>
      <c r="J57" s="100">
        <v>0.34</v>
      </c>
      <c r="K57" s="100">
        <v>56.25</v>
      </c>
      <c r="L57" s="100">
        <v>27.98</v>
      </c>
      <c r="M57" s="100">
        <v>34.450000000000003</v>
      </c>
      <c r="N57" s="100">
        <v>495.4</v>
      </c>
      <c r="O57" s="100">
        <v>0</v>
      </c>
      <c r="P57" s="100">
        <v>0.8</v>
      </c>
      <c r="Q57" s="100">
        <v>9.32</v>
      </c>
      <c r="R57" s="6"/>
      <c r="S57" s="6"/>
      <c r="T57" s="156"/>
      <c r="U57" s="6"/>
    </row>
    <row r="58" spans="1:21" customFormat="1">
      <c r="A58" s="163" t="s">
        <v>2408</v>
      </c>
      <c r="B58" s="100">
        <v>8.91</v>
      </c>
      <c r="C58" s="100">
        <v>23.8</v>
      </c>
      <c r="D58" s="100">
        <v>19.579999999999998</v>
      </c>
      <c r="E58" s="100">
        <v>5.44</v>
      </c>
      <c r="F58" s="100">
        <v>2.06</v>
      </c>
      <c r="G58" s="100">
        <v>71.39</v>
      </c>
      <c r="H58" s="100">
        <v>46.51</v>
      </c>
      <c r="I58" s="100">
        <v>12.24</v>
      </c>
      <c r="J58" s="100">
        <v>0.13</v>
      </c>
      <c r="K58" s="100">
        <v>152.33000000000001</v>
      </c>
      <c r="L58" s="100">
        <v>28.01</v>
      </c>
      <c r="M58" s="100">
        <v>34.36</v>
      </c>
      <c r="N58" s="100">
        <v>495.7</v>
      </c>
      <c r="O58" s="100">
        <v>0</v>
      </c>
      <c r="P58" s="100">
        <v>0.78</v>
      </c>
      <c r="Q58" s="100">
        <v>9.32</v>
      </c>
      <c r="R58" s="6"/>
      <c r="S58" s="6"/>
      <c r="T58" s="156"/>
      <c r="U58" s="6"/>
    </row>
    <row r="59" spans="1:21" customFormat="1">
      <c r="A59" s="163" t="s">
        <v>2409</v>
      </c>
      <c r="B59" s="100">
        <v>7.96</v>
      </c>
      <c r="C59" s="100">
        <v>24</v>
      </c>
      <c r="D59" s="100">
        <v>18.920000000000002</v>
      </c>
      <c r="E59" s="100">
        <v>5.56</v>
      </c>
      <c r="F59" s="100">
        <v>2.11</v>
      </c>
      <c r="G59" s="100">
        <v>71.39</v>
      </c>
      <c r="H59" s="100">
        <v>46.51</v>
      </c>
      <c r="I59" s="100">
        <v>11.99</v>
      </c>
      <c r="J59" s="100">
        <v>0.48</v>
      </c>
      <c r="K59" s="100">
        <v>34.79</v>
      </c>
      <c r="L59" s="100">
        <v>28.2</v>
      </c>
      <c r="M59" s="100">
        <v>33.68</v>
      </c>
      <c r="N59" s="100">
        <v>491.5</v>
      </c>
      <c r="O59" s="100">
        <v>0</v>
      </c>
      <c r="P59" s="100">
        <v>0.77</v>
      </c>
      <c r="Q59" s="100">
        <v>9.32</v>
      </c>
      <c r="R59" s="6"/>
      <c r="S59" s="6"/>
      <c r="T59" s="156"/>
      <c r="U59" s="6"/>
    </row>
    <row r="60" spans="1:21" customFormat="1">
      <c r="A60" s="163" t="s">
        <v>2410</v>
      </c>
      <c r="B60" s="100">
        <v>7.34</v>
      </c>
      <c r="C60" s="100">
        <v>24.29</v>
      </c>
      <c r="D60" s="100">
        <v>18.579999999999998</v>
      </c>
      <c r="E60" s="100">
        <v>5.75</v>
      </c>
      <c r="F60" s="100">
        <v>2.06</v>
      </c>
      <c r="G60" s="100">
        <v>71.39</v>
      </c>
      <c r="H60" s="100">
        <v>46.51</v>
      </c>
      <c r="I60" s="100">
        <v>11.75</v>
      </c>
      <c r="J60" s="100">
        <v>0.97</v>
      </c>
      <c r="K60" s="100">
        <v>27.08</v>
      </c>
      <c r="L60" s="100">
        <v>28.28</v>
      </c>
      <c r="M60" s="100">
        <v>33.520000000000003</v>
      </c>
      <c r="N60" s="100">
        <v>456.1</v>
      </c>
      <c r="O60" s="100">
        <v>0</v>
      </c>
      <c r="P60" s="100">
        <v>0.76</v>
      </c>
      <c r="Q60" s="100">
        <v>9.32</v>
      </c>
      <c r="R60" s="6"/>
      <c r="S60" s="6"/>
      <c r="T60" s="156"/>
      <c r="U60" s="6"/>
    </row>
    <row r="61" spans="1:21" customFormat="1">
      <c r="A61" s="163" t="s">
        <v>2411</v>
      </c>
      <c r="B61" s="100">
        <v>6.79</v>
      </c>
      <c r="C61" s="100">
        <v>24.53</v>
      </c>
      <c r="D61" s="100">
        <v>18.260000000000002</v>
      </c>
      <c r="E61" s="100">
        <v>5.69</v>
      </c>
      <c r="F61" s="100">
        <v>2.42</v>
      </c>
      <c r="G61" s="100">
        <v>70.81</v>
      </c>
      <c r="H61" s="100">
        <v>43.21</v>
      </c>
      <c r="I61" s="100">
        <v>12.69</v>
      </c>
      <c r="J61" s="100">
        <v>0.74</v>
      </c>
      <c r="K61" s="100">
        <v>35.630000000000003</v>
      </c>
      <c r="L61" s="100">
        <v>28.58</v>
      </c>
      <c r="M61" s="100">
        <v>31.82</v>
      </c>
      <c r="N61" s="100">
        <v>385.9</v>
      </c>
      <c r="O61" s="100">
        <v>0</v>
      </c>
      <c r="P61" s="100">
        <v>0.75</v>
      </c>
      <c r="Q61" s="100">
        <v>9.32</v>
      </c>
      <c r="R61" s="6"/>
      <c r="S61" s="6"/>
      <c r="T61" s="156"/>
      <c r="U61" s="6"/>
    </row>
    <row r="62" spans="1:21" customFormat="1">
      <c r="A62" s="163" t="s">
        <v>2412</v>
      </c>
      <c r="B62" s="100">
        <v>5.98</v>
      </c>
      <c r="C62" s="100">
        <v>24.45</v>
      </c>
      <c r="D62" s="100">
        <v>17.57</v>
      </c>
      <c r="E62" s="100">
        <v>5.6</v>
      </c>
      <c r="F62" s="100">
        <v>3.39</v>
      </c>
      <c r="G62" s="100">
        <v>70.77</v>
      </c>
      <c r="H62" s="100">
        <v>43.21</v>
      </c>
      <c r="I62" s="100">
        <v>13.78</v>
      </c>
      <c r="J62" s="100">
        <v>0.78</v>
      </c>
      <c r="K62" s="100">
        <v>22.05</v>
      </c>
      <c r="L62" s="100">
        <v>27.41</v>
      </c>
      <c r="M62" s="100">
        <v>30.29</v>
      </c>
      <c r="N62" s="100">
        <v>209.3</v>
      </c>
      <c r="O62" s="100">
        <v>0</v>
      </c>
      <c r="P62" s="100">
        <v>0.75</v>
      </c>
      <c r="Q62" s="100">
        <v>9.32</v>
      </c>
      <c r="R62" s="6"/>
      <c r="S62" s="6"/>
      <c r="T62" s="156"/>
      <c r="U62" s="6"/>
    </row>
    <row r="63" spans="1:21" customFormat="1">
      <c r="A63" s="163" t="s">
        <v>2413</v>
      </c>
      <c r="B63" s="100">
        <v>5.0999999999999996</v>
      </c>
      <c r="C63" s="100">
        <v>24.39</v>
      </c>
      <c r="D63" s="100">
        <v>16.829999999999998</v>
      </c>
      <c r="E63" s="100">
        <v>3.88</v>
      </c>
      <c r="F63" s="100">
        <v>3.31</v>
      </c>
      <c r="G63" s="100">
        <v>70.77</v>
      </c>
      <c r="H63" s="100">
        <v>43.21</v>
      </c>
      <c r="I63" s="100">
        <v>13.6</v>
      </c>
      <c r="J63" s="100">
        <v>0.75</v>
      </c>
      <c r="K63" s="100">
        <v>15.15</v>
      </c>
      <c r="L63" s="100">
        <v>23.48</v>
      </c>
      <c r="M63" s="100">
        <v>28.72</v>
      </c>
      <c r="N63" s="100">
        <v>150.69999999999999</v>
      </c>
      <c r="O63" s="100">
        <v>0</v>
      </c>
      <c r="P63" s="100">
        <v>0.74</v>
      </c>
      <c r="Q63" s="100">
        <v>9.32</v>
      </c>
      <c r="R63" s="6"/>
      <c r="S63" s="6"/>
      <c r="T63" s="156"/>
      <c r="U63" s="6"/>
    </row>
    <row r="64" spans="1:21" customFormat="1">
      <c r="A64" s="163" t="s">
        <v>2414</v>
      </c>
      <c r="B64" s="100">
        <v>4.45</v>
      </c>
      <c r="C64" s="100">
        <v>24.16</v>
      </c>
      <c r="D64" s="100">
        <v>16.190000000000001</v>
      </c>
      <c r="E64" s="100">
        <v>5.33</v>
      </c>
      <c r="F64" s="100">
        <v>3.48</v>
      </c>
      <c r="G64" s="100">
        <v>70.77</v>
      </c>
      <c r="H64" s="100">
        <v>43.21</v>
      </c>
      <c r="I64" s="100">
        <v>13.38</v>
      </c>
      <c r="J64" s="100">
        <v>0.55000000000000004</v>
      </c>
      <c r="K64" s="100">
        <v>6.99</v>
      </c>
      <c r="L64" s="100">
        <v>23.4</v>
      </c>
      <c r="M64" s="100">
        <v>27.42</v>
      </c>
      <c r="N64" s="100">
        <v>123.4</v>
      </c>
      <c r="O64" s="100">
        <v>0</v>
      </c>
      <c r="P64" s="100">
        <v>0.72</v>
      </c>
      <c r="Q64" s="100">
        <v>9.32</v>
      </c>
      <c r="R64" s="6"/>
      <c r="S64" s="6"/>
      <c r="T64" s="156"/>
      <c r="U64" s="6"/>
    </row>
    <row r="65" spans="1:21" customFormat="1">
      <c r="A65" s="163" t="s">
        <v>2415</v>
      </c>
      <c r="B65" s="100">
        <v>4.0199999999999996</v>
      </c>
      <c r="C65" s="100">
        <v>23.58</v>
      </c>
      <c r="D65" s="100">
        <v>15.55</v>
      </c>
      <c r="E65" s="100">
        <v>5.31</v>
      </c>
      <c r="F65" s="100">
        <v>3.62</v>
      </c>
      <c r="G65" s="100">
        <v>68.790000000000006</v>
      </c>
      <c r="H65" s="100">
        <v>38.270000000000003</v>
      </c>
      <c r="I65" s="100">
        <v>13.12</v>
      </c>
      <c r="J65" s="100">
        <v>0.47</v>
      </c>
      <c r="K65" s="100">
        <v>45.25</v>
      </c>
      <c r="L65" s="100">
        <v>23.57</v>
      </c>
      <c r="M65" s="100">
        <v>28.42</v>
      </c>
      <c r="N65" s="100">
        <v>119.4</v>
      </c>
      <c r="O65" s="100">
        <v>0</v>
      </c>
      <c r="P65" s="100">
        <v>0.63</v>
      </c>
      <c r="Q65" s="100">
        <v>9.32</v>
      </c>
      <c r="R65" s="6"/>
      <c r="S65" s="6"/>
      <c r="T65" s="156"/>
      <c r="U65" s="6"/>
    </row>
    <row r="66" spans="1:21" customFormat="1">
      <c r="A66" s="163" t="s">
        <v>2416</v>
      </c>
      <c r="B66" s="100">
        <v>3.65</v>
      </c>
      <c r="C66" s="100">
        <v>22.9</v>
      </c>
      <c r="D66" s="100">
        <v>14.89</v>
      </c>
      <c r="E66" s="100">
        <v>5.59</v>
      </c>
      <c r="F66" s="100">
        <v>3.92</v>
      </c>
      <c r="G66" s="100">
        <v>68.67</v>
      </c>
      <c r="H66" s="100">
        <v>38.270000000000003</v>
      </c>
      <c r="I66" s="100">
        <v>12.87</v>
      </c>
      <c r="J66" s="100">
        <v>0.74</v>
      </c>
      <c r="K66" s="100">
        <v>39.31</v>
      </c>
      <c r="L66" s="100">
        <v>23.63</v>
      </c>
      <c r="M66" s="100">
        <v>28.16</v>
      </c>
      <c r="N66" s="100">
        <v>119.1</v>
      </c>
      <c r="O66" s="100">
        <v>0</v>
      </c>
      <c r="P66" s="100">
        <v>0.66</v>
      </c>
      <c r="Q66" s="100">
        <v>9.32</v>
      </c>
      <c r="R66" s="6"/>
      <c r="S66" s="6"/>
      <c r="T66" s="156"/>
      <c r="U66" s="6"/>
    </row>
    <row r="67" spans="1:21" customFormat="1">
      <c r="A67" s="163" t="s">
        <v>2417</v>
      </c>
      <c r="B67" s="100">
        <v>3.44</v>
      </c>
      <c r="C67" s="100">
        <v>22.44</v>
      </c>
      <c r="D67" s="100">
        <v>14.48</v>
      </c>
      <c r="E67" s="100">
        <v>6.16</v>
      </c>
      <c r="F67" s="100">
        <v>5.85</v>
      </c>
      <c r="G67" s="100">
        <v>68.67</v>
      </c>
      <c r="H67" s="100">
        <v>38.270000000000003</v>
      </c>
      <c r="I67" s="100">
        <v>12.79</v>
      </c>
      <c r="J67" s="100">
        <v>0.67</v>
      </c>
      <c r="K67" s="100">
        <v>35.840000000000003</v>
      </c>
      <c r="L67" s="100">
        <v>23.79</v>
      </c>
      <c r="M67" s="100">
        <v>29.2</v>
      </c>
      <c r="N67" s="100">
        <v>113.8</v>
      </c>
      <c r="O67" s="100">
        <v>0</v>
      </c>
      <c r="P67" s="100">
        <v>0.66</v>
      </c>
      <c r="Q67" s="100">
        <v>9.32</v>
      </c>
      <c r="R67" s="6"/>
      <c r="S67" s="6"/>
      <c r="T67" s="156"/>
      <c r="U67" s="6"/>
    </row>
    <row r="68" spans="1:21" customFormat="1">
      <c r="A68" s="163" t="s">
        <v>2418</v>
      </c>
      <c r="B68" s="100">
        <v>3.19</v>
      </c>
      <c r="C68" s="100">
        <v>22.71</v>
      </c>
      <c r="D68" s="100">
        <v>14.43</v>
      </c>
      <c r="E68" s="100">
        <v>8.42</v>
      </c>
      <c r="F68" s="100">
        <v>14.88</v>
      </c>
      <c r="G68" s="100">
        <v>68.67</v>
      </c>
      <c r="H68" s="100">
        <v>38.270000000000003</v>
      </c>
      <c r="I68" s="100">
        <v>12.61</v>
      </c>
      <c r="J68" s="100">
        <v>0.53</v>
      </c>
      <c r="K68" s="100">
        <v>18.329999999999998</v>
      </c>
      <c r="L68" s="100">
        <v>23.7</v>
      </c>
      <c r="M68" s="100">
        <v>29.73</v>
      </c>
      <c r="N68" s="100">
        <v>98.2</v>
      </c>
      <c r="O68" s="100">
        <v>0</v>
      </c>
      <c r="P68" s="100">
        <v>0.64</v>
      </c>
      <c r="Q68" s="100">
        <v>9.32</v>
      </c>
      <c r="R68" s="6"/>
      <c r="S68" s="6"/>
      <c r="T68" s="156"/>
      <c r="U68" s="6"/>
    </row>
    <row r="69" spans="1:21" customFormat="1">
      <c r="A69" s="163" t="s">
        <v>2419</v>
      </c>
      <c r="B69" s="100">
        <v>3.08</v>
      </c>
      <c r="C69" s="100">
        <v>23.21</v>
      </c>
      <c r="D69" s="100">
        <v>14.6</v>
      </c>
      <c r="E69" s="100">
        <v>7.15</v>
      </c>
      <c r="F69" s="100">
        <v>11.22</v>
      </c>
      <c r="G69" s="100">
        <v>62.56</v>
      </c>
      <c r="H69" s="100">
        <v>37.200000000000003</v>
      </c>
      <c r="I69" s="100">
        <v>12.13</v>
      </c>
      <c r="J69" s="100">
        <v>1</v>
      </c>
      <c r="K69" s="100">
        <v>37.35</v>
      </c>
      <c r="L69" s="100">
        <v>23.8</v>
      </c>
      <c r="M69" s="100">
        <v>28.94</v>
      </c>
      <c r="N69" s="100">
        <v>92.6</v>
      </c>
      <c r="O69" s="100">
        <v>0</v>
      </c>
      <c r="P69" s="100">
        <v>0.64</v>
      </c>
      <c r="Q69" s="100">
        <v>9.32</v>
      </c>
      <c r="R69" s="6"/>
      <c r="S69" s="6"/>
      <c r="T69" s="156"/>
      <c r="U69" s="6"/>
    </row>
    <row r="70" spans="1:21" customFormat="1">
      <c r="A70" s="163" t="s">
        <v>2420</v>
      </c>
      <c r="B70" s="100">
        <v>3.11</v>
      </c>
      <c r="C70" s="100">
        <v>23.61</v>
      </c>
      <c r="D70" s="100">
        <v>14.83</v>
      </c>
      <c r="E70" s="100">
        <v>6.49</v>
      </c>
      <c r="F70" s="100">
        <v>8.2899999999999991</v>
      </c>
      <c r="G70" s="100">
        <v>62.2</v>
      </c>
      <c r="H70" s="100">
        <v>37.200000000000003</v>
      </c>
      <c r="I70" s="100">
        <v>10.69</v>
      </c>
      <c r="J70" s="100">
        <v>0.53</v>
      </c>
      <c r="K70" s="100">
        <v>11.81</v>
      </c>
      <c r="L70" s="100">
        <v>23.72</v>
      </c>
      <c r="M70" s="100">
        <v>27.64</v>
      </c>
      <c r="N70" s="100">
        <v>78.400000000000006</v>
      </c>
      <c r="O70" s="100">
        <v>0</v>
      </c>
      <c r="P70" s="100">
        <v>0.64</v>
      </c>
      <c r="Q70" s="100">
        <v>9.32</v>
      </c>
      <c r="R70" s="6"/>
      <c r="S70" s="6"/>
      <c r="T70" s="156"/>
      <c r="U70" s="6"/>
    </row>
    <row r="71" spans="1:21" customFormat="1">
      <c r="A71" s="163" t="s">
        <v>2421</v>
      </c>
      <c r="B71" s="100">
        <v>3.19</v>
      </c>
      <c r="C71" s="100">
        <v>24.17</v>
      </c>
      <c r="D71" s="100">
        <v>15.19</v>
      </c>
      <c r="E71" s="100">
        <v>6.22</v>
      </c>
      <c r="F71" s="100">
        <v>8.49</v>
      </c>
      <c r="G71" s="100">
        <v>62.2</v>
      </c>
      <c r="H71" s="100">
        <v>37.200000000000003</v>
      </c>
      <c r="I71" s="100">
        <v>9.34</v>
      </c>
      <c r="J71" s="100">
        <v>0.6</v>
      </c>
      <c r="K71" s="100">
        <v>20.22</v>
      </c>
      <c r="L71" s="100">
        <v>23.55</v>
      </c>
      <c r="M71" s="100">
        <v>27.53</v>
      </c>
      <c r="N71" s="100">
        <v>70.3</v>
      </c>
      <c r="O71" s="100">
        <v>0</v>
      </c>
      <c r="P71" s="100">
        <v>0.62</v>
      </c>
      <c r="Q71" s="100">
        <v>9.32</v>
      </c>
      <c r="R71" s="6"/>
      <c r="S71" s="6"/>
      <c r="T71" s="156"/>
      <c r="U71" s="6"/>
    </row>
    <row r="72" spans="1:21" customFormat="1">
      <c r="A72" s="163" t="s">
        <v>2422</v>
      </c>
      <c r="B72" s="100">
        <v>3.22</v>
      </c>
      <c r="C72" s="100">
        <v>24.71</v>
      </c>
      <c r="D72" s="100">
        <v>15.49</v>
      </c>
      <c r="E72" s="100">
        <v>8.1</v>
      </c>
      <c r="F72" s="100">
        <v>10.11</v>
      </c>
      <c r="G72" s="100">
        <v>62.2</v>
      </c>
      <c r="H72" s="100">
        <v>37.200000000000003</v>
      </c>
      <c r="I72" s="100">
        <v>9.19</v>
      </c>
      <c r="J72" s="100">
        <v>0.62</v>
      </c>
      <c r="K72" s="100">
        <v>23.01</v>
      </c>
      <c r="L72" s="100">
        <v>23.43</v>
      </c>
      <c r="M72" s="100">
        <v>27.1</v>
      </c>
      <c r="N72" s="100">
        <v>63.1</v>
      </c>
      <c r="O72" s="100">
        <v>0</v>
      </c>
      <c r="P72" s="100">
        <v>0.64</v>
      </c>
      <c r="Q72" s="100">
        <v>9.32</v>
      </c>
      <c r="R72" s="6"/>
      <c r="S72" s="6"/>
      <c r="T72" s="156"/>
      <c r="U72" s="6"/>
    </row>
    <row r="73" spans="1:21" customFormat="1">
      <c r="A73" s="163" t="s">
        <v>2423</v>
      </c>
      <c r="B73" s="100">
        <v>3.36</v>
      </c>
      <c r="C73" s="100">
        <v>26.09</v>
      </c>
      <c r="D73" s="100">
        <v>16.32</v>
      </c>
      <c r="E73" s="100">
        <v>8.6999999999999993</v>
      </c>
      <c r="F73" s="100">
        <v>11.51</v>
      </c>
      <c r="G73" s="100">
        <v>64.989999999999995</v>
      </c>
      <c r="H73" s="100">
        <v>37.94</v>
      </c>
      <c r="I73" s="100">
        <v>8.94</v>
      </c>
      <c r="J73" s="100">
        <v>0.59</v>
      </c>
      <c r="K73" s="100">
        <v>17.98</v>
      </c>
      <c r="L73" s="100">
        <v>23.34</v>
      </c>
      <c r="M73" s="100">
        <v>26.33</v>
      </c>
      <c r="N73" s="100">
        <v>53</v>
      </c>
      <c r="O73" s="100">
        <v>0</v>
      </c>
      <c r="P73" s="100">
        <v>0.64</v>
      </c>
      <c r="Q73" s="100">
        <v>9.32</v>
      </c>
      <c r="R73" s="6"/>
      <c r="S73" s="6"/>
      <c r="T73" s="156"/>
      <c r="U73" s="6"/>
    </row>
    <row r="74" spans="1:21" customFormat="1">
      <c r="A74" s="163" t="s">
        <v>2424</v>
      </c>
      <c r="B74" s="100">
        <v>3.5</v>
      </c>
      <c r="C74" s="100">
        <v>27.2</v>
      </c>
      <c r="D74" s="100">
        <v>17.010000000000002</v>
      </c>
      <c r="E74" s="100">
        <v>8.01</v>
      </c>
      <c r="F74" s="100">
        <v>9.0500000000000007</v>
      </c>
      <c r="G74" s="100">
        <v>65.150000000000006</v>
      </c>
      <c r="H74" s="100">
        <v>37.94</v>
      </c>
      <c r="I74" s="100">
        <v>8.64</v>
      </c>
      <c r="J74" s="100">
        <v>0.52</v>
      </c>
      <c r="K74" s="100">
        <v>30.68</v>
      </c>
      <c r="L74" s="100">
        <v>23.06</v>
      </c>
      <c r="M74" s="100">
        <v>27.2</v>
      </c>
      <c r="N74" s="100">
        <v>46.6</v>
      </c>
      <c r="O74" s="100">
        <v>0</v>
      </c>
      <c r="P74" s="100">
        <v>0.64</v>
      </c>
      <c r="Q74" s="100">
        <v>9.32</v>
      </c>
      <c r="R74" s="6"/>
      <c r="S74" s="6"/>
      <c r="T74" s="156"/>
      <c r="U74" s="6"/>
    </row>
    <row r="75" spans="1:21" customFormat="1">
      <c r="A75" s="163" t="s">
        <v>2425</v>
      </c>
      <c r="B75" s="100">
        <v>6.02</v>
      </c>
      <c r="C75" s="100">
        <v>33.57</v>
      </c>
      <c r="D75" s="100">
        <v>22.37</v>
      </c>
      <c r="E75" s="100">
        <v>10.28</v>
      </c>
      <c r="F75" s="100">
        <v>8.98</v>
      </c>
      <c r="G75" s="100">
        <v>65.150000000000006</v>
      </c>
      <c r="H75" s="100">
        <v>37.94</v>
      </c>
      <c r="I75" s="100">
        <v>8.3800000000000008</v>
      </c>
      <c r="J75" s="100">
        <v>0.42</v>
      </c>
      <c r="K75" s="100">
        <v>32.909999999999997</v>
      </c>
      <c r="L75" s="100">
        <v>22.73</v>
      </c>
      <c r="M75" s="100">
        <v>27.66</v>
      </c>
      <c r="N75" s="100">
        <v>39</v>
      </c>
      <c r="O75" s="100">
        <v>0</v>
      </c>
      <c r="P75" s="100">
        <v>0.64</v>
      </c>
      <c r="Q75" s="100">
        <v>9.32</v>
      </c>
      <c r="R75" s="6"/>
      <c r="S75" s="6"/>
      <c r="T75" s="156"/>
      <c r="U75" s="6"/>
    </row>
    <row r="76" spans="1:21" customFormat="1">
      <c r="A76" s="163" t="s">
        <v>2426</v>
      </c>
      <c r="B76" s="100">
        <v>4.79</v>
      </c>
      <c r="C76" s="100">
        <v>34.14</v>
      </c>
      <c r="D76" s="100">
        <v>21.68</v>
      </c>
      <c r="E76" s="100">
        <v>7.37</v>
      </c>
      <c r="F76" s="100">
        <v>5.46</v>
      </c>
      <c r="G76" s="100">
        <v>65.150000000000006</v>
      </c>
      <c r="H76" s="100">
        <v>37.94</v>
      </c>
      <c r="I76" s="100">
        <v>8.24</v>
      </c>
      <c r="J76" s="100">
        <v>0.23</v>
      </c>
      <c r="K76" s="100">
        <v>40.799999999999997</v>
      </c>
      <c r="L76" s="100">
        <v>22.02</v>
      </c>
      <c r="M76" s="100">
        <v>31.43</v>
      </c>
      <c r="N76" s="100">
        <v>30.5</v>
      </c>
      <c r="O76" s="100">
        <v>0</v>
      </c>
      <c r="P76" s="100">
        <v>0.65</v>
      </c>
      <c r="Q76" s="100">
        <v>9.32</v>
      </c>
      <c r="R76" s="6"/>
      <c r="S76" s="6"/>
      <c r="T76" s="156"/>
      <c r="U76" s="6"/>
    </row>
    <row r="77" spans="1:21" customFormat="1">
      <c r="A77" s="163" t="s">
        <v>2427</v>
      </c>
      <c r="B77" s="100">
        <v>4.43</v>
      </c>
      <c r="C77" s="100">
        <v>34.18</v>
      </c>
      <c r="D77" s="100">
        <v>21.41</v>
      </c>
      <c r="E77" s="100">
        <v>4.26</v>
      </c>
      <c r="F77" s="100">
        <v>2.81</v>
      </c>
      <c r="G77" s="100">
        <v>65.459999999999994</v>
      </c>
      <c r="H77" s="100">
        <v>36.03</v>
      </c>
      <c r="I77" s="100">
        <v>9.4</v>
      </c>
      <c r="J77" s="100">
        <v>0.13</v>
      </c>
      <c r="K77" s="100">
        <v>108.73</v>
      </c>
      <c r="L77" s="100">
        <v>20.97</v>
      </c>
      <c r="M77" s="100">
        <v>36.19</v>
      </c>
      <c r="N77" s="100">
        <v>23.4</v>
      </c>
      <c r="O77" s="100">
        <v>0</v>
      </c>
      <c r="P77" s="100">
        <v>0.65</v>
      </c>
      <c r="Q77" s="100">
        <v>9.32</v>
      </c>
      <c r="R77" s="6"/>
      <c r="S77" s="6"/>
      <c r="T77" s="156"/>
      <c r="U77" s="6"/>
    </row>
    <row r="78" spans="1:21" customFormat="1">
      <c r="A78" s="163" t="s">
        <v>2428</v>
      </c>
      <c r="B78" s="100">
        <v>4.5199999999999996</v>
      </c>
      <c r="C78" s="100">
        <v>32.61</v>
      </c>
      <c r="D78" s="100">
        <v>20.67</v>
      </c>
      <c r="E78" s="100">
        <v>3.85</v>
      </c>
      <c r="F78" s="100">
        <v>1.75</v>
      </c>
      <c r="G78" s="100">
        <v>65.48</v>
      </c>
      <c r="H78" s="100">
        <v>36.03</v>
      </c>
      <c r="I78" s="100">
        <v>10.72</v>
      </c>
      <c r="J78" s="100">
        <v>0.25</v>
      </c>
      <c r="K78" s="100">
        <v>170.69</v>
      </c>
      <c r="L78" s="100">
        <v>19.38</v>
      </c>
      <c r="M78" s="100">
        <v>41.66</v>
      </c>
      <c r="N78" s="100">
        <v>18.3</v>
      </c>
      <c r="O78" s="100">
        <v>0</v>
      </c>
      <c r="P78" s="100">
        <v>0.65</v>
      </c>
      <c r="Q78" s="100">
        <v>9.32</v>
      </c>
      <c r="R78" s="6"/>
      <c r="S78" s="6"/>
      <c r="T78" s="156"/>
      <c r="U78" s="6"/>
    </row>
    <row r="79" spans="1:21" customFormat="1">
      <c r="A79" s="163" t="s">
        <v>2429</v>
      </c>
      <c r="B79" s="100">
        <v>4.78</v>
      </c>
      <c r="C79" s="100">
        <v>30.93</v>
      </c>
      <c r="D79" s="100">
        <v>19.989999999999998</v>
      </c>
      <c r="E79" s="100">
        <v>3.65</v>
      </c>
      <c r="F79" s="100">
        <v>1.34</v>
      </c>
      <c r="G79" s="100">
        <v>65.48</v>
      </c>
      <c r="H79" s="100">
        <v>36.03</v>
      </c>
      <c r="I79" s="100">
        <v>9.5</v>
      </c>
      <c r="J79" s="100">
        <v>0.32</v>
      </c>
      <c r="K79" s="100">
        <v>166.14</v>
      </c>
      <c r="L79" s="100">
        <v>18.489999999999998</v>
      </c>
      <c r="M79" s="100">
        <v>45.12</v>
      </c>
      <c r="N79" s="100">
        <v>15.9</v>
      </c>
      <c r="O79" s="100">
        <v>0</v>
      </c>
      <c r="P79" s="100">
        <v>0.65</v>
      </c>
      <c r="Q79" s="100">
        <v>9.32</v>
      </c>
      <c r="R79" s="6"/>
      <c r="S79" s="6"/>
      <c r="T79" s="156"/>
      <c r="U79" s="6"/>
    </row>
    <row r="80" spans="1:21" customFormat="1">
      <c r="A80" s="163" t="s">
        <v>2430</v>
      </c>
      <c r="B80" s="100">
        <v>5.15</v>
      </c>
      <c r="C80" s="100">
        <v>29.69</v>
      </c>
      <c r="D80" s="100">
        <v>19.64</v>
      </c>
      <c r="E80" s="100">
        <v>3.78</v>
      </c>
      <c r="F80" s="100">
        <v>1.2</v>
      </c>
      <c r="G80" s="100">
        <v>65.48</v>
      </c>
      <c r="H80" s="100">
        <v>36.03</v>
      </c>
      <c r="I80" s="100">
        <v>8.16</v>
      </c>
      <c r="J80" s="100">
        <v>0.21</v>
      </c>
      <c r="K80" s="100">
        <v>176.23</v>
      </c>
      <c r="L80" s="100">
        <v>17.579999999999998</v>
      </c>
      <c r="M80" s="100">
        <v>49.05</v>
      </c>
      <c r="N80" s="100">
        <v>15.4</v>
      </c>
      <c r="O80" s="100">
        <v>0</v>
      </c>
      <c r="P80" s="100">
        <v>0.66</v>
      </c>
      <c r="Q80" s="100">
        <v>9.32</v>
      </c>
      <c r="R80" s="6"/>
      <c r="S80" s="6"/>
      <c r="T80" s="156"/>
      <c r="U80" s="6"/>
    </row>
    <row r="81" spans="1:21" customFormat="1">
      <c r="A81" s="163" t="s">
        <v>2431</v>
      </c>
      <c r="B81" s="100">
        <v>5.63</v>
      </c>
      <c r="C81" s="100">
        <v>28.64</v>
      </c>
      <c r="D81" s="100">
        <v>19.48</v>
      </c>
      <c r="E81" s="100">
        <v>3.25</v>
      </c>
      <c r="F81" s="100">
        <v>1.17</v>
      </c>
      <c r="G81" s="100">
        <v>78.180000000000007</v>
      </c>
      <c r="H81" s="100">
        <v>39.19</v>
      </c>
      <c r="I81" s="100">
        <v>8.14</v>
      </c>
      <c r="J81" s="100">
        <v>0.22</v>
      </c>
      <c r="K81" s="100">
        <v>174.3</v>
      </c>
      <c r="L81" s="100">
        <v>16.88</v>
      </c>
      <c r="M81" s="100">
        <v>56.94</v>
      </c>
      <c r="N81" s="100">
        <v>15.2</v>
      </c>
      <c r="O81" s="100">
        <v>0</v>
      </c>
      <c r="P81" s="100">
        <v>0.66</v>
      </c>
      <c r="Q81" s="100">
        <v>9.32</v>
      </c>
      <c r="R81" s="6"/>
      <c r="S81" s="6"/>
      <c r="T81" s="156"/>
      <c r="U81" s="6"/>
    </row>
    <row r="82" spans="1:21" customFormat="1">
      <c r="A82" s="163" t="s">
        <v>2432</v>
      </c>
      <c r="B82" s="100">
        <v>6.1</v>
      </c>
      <c r="C82" s="100">
        <v>27.68</v>
      </c>
      <c r="D82" s="100">
        <v>19.36</v>
      </c>
      <c r="E82" s="100">
        <v>4.09</v>
      </c>
      <c r="F82" s="100">
        <v>1.19</v>
      </c>
      <c r="G82" s="100">
        <v>78.930000000000007</v>
      </c>
      <c r="H82" s="100">
        <v>39.19</v>
      </c>
      <c r="I82" s="100">
        <v>8.17</v>
      </c>
      <c r="J82" s="100">
        <v>0.3</v>
      </c>
      <c r="K82" s="100">
        <v>164.25</v>
      </c>
      <c r="L82" s="100">
        <v>16.420000000000002</v>
      </c>
      <c r="M82" s="100">
        <v>60.92</v>
      </c>
      <c r="N82" s="100">
        <v>15.1</v>
      </c>
      <c r="O82" s="100">
        <v>0</v>
      </c>
      <c r="P82" s="100">
        <v>0.67</v>
      </c>
      <c r="Q82" s="100">
        <v>9.32</v>
      </c>
      <c r="R82" s="6"/>
      <c r="S82" s="6"/>
      <c r="T82" s="156"/>
      <c r="U82" s="6"/>
    </row>
    <row r="83" spans="1:21" customFormat="1">
      <c r="A83" s="163" t="s">
        <v>2433</v>
      </c>
      <c r="B83" s="100">
        <v>6.68</v>
      </c>
      <c r="C83" s="100">
        <v>26.91</v>
      </c>
      <c r="D83" s="100">
        <v>19.41</v>
      </c>
      <c r="E83" s="100">
        <v>4.37</v>
      </c>
      <c r="F83" s="100">
        <v>1.37</v>
      </c>
      <c r="G83" s="100">
        <v>78.930000000000007</v>
      </c>
      <c r="H83" s="100">
        <v>39.19</v>
      </c>
      <c r="I83" s="100">
        <v>8.27</v>
      </c>
      <c r="J83" s="100">
        <v>0.28000000000000003</v>
      </c>
      <c r="K83" s="100">
        <v>165.81</v>
      </c>
      <c r="L83" s="100">
        <v>15.98</v>
      </c>
      <c r="M83" s="100">
        <v>65.03</v>
      </c>
      <c r="N83" s="100">
        <v>15</v>
      </c>
      <c r="O83" s="100">
        <v>0</v>
      </c>
      <c r="P83" s="100">
        <v>0.68</v>
      </c>
      <c r="Q83" s="100">
        <v>9.32</v>
      </c>
      <c r="R83" s="6"/>
      <c r="S83" s="6"/>
      <c r="T83" s="156"/>
      <c r="U83" s="6"/>
    </row>
    <row r="84" spans="1:21" customFormat="1">
      <c r="A84" s="163" t="s">
        <v>2434</v>
      </c>
      <c r="B84" s="100">
        <v>7.24</v>
      </c>
      <c r="C84" s="100">
        <v>26.16</v>
      </c>
      <c r="D84" s="100">
        <v>19.48</v>
      </c>
      <c r="E84" s="100">
        <v>4.16</v>
      </c>
      <c r="F84" s="100">
        <v>1.26</v>
      </c>
      <c r="G84" s="100">
        <v>78.930000000000007</v>
      </c>
      <c r="H84" s="100">
        <v>39.19</v>
      </c>
      <c r="I84" s="100">
        <v>8.4600000000000009</v>
      </c>
      <c r="J84" s="100">
        <v>0.2</v>
      </c>
      <c r="K84" s="100">
        <v>170.84</v>
      </c>
      <c r="L84" s="100">
        <v>15.53</v>
      </c>
      <c r="M84" s="100">
        <v>69.83</v>
      </c>
      <c r="N84" s="100">
        <v>14.9</v>
      </c>
      <c r="O84" s="100">
        <v>0</v>
      </c>
      <c r="P84" s="100">
        <v>0.7</v>
      </c>
      <c r="Q84" s="100">
        <v>9.32</v>
      </c>
      <c r="R84" s="6"/>
      <c r="S84" s="6"/>
      <c r="T84" s="156"/>
      <c r="U84" s="6"/>
    </row>
    <row r="85" spans="1:21" customFormat="1">
      <c r="A85" s="163" t="s">
        <v>2435</v>
      </c>
      <c r="B85" s="100">
        <v>7.8</v>
      </c>
      <c r="C85" s="100">
        <v>25.24</v>
      </c>
      <c r="D85" s="100">
        <v>19.440000000000001</v>
      </c>
      <c r="E85" s="100">
        <v>3.98</v>
      </c>
      <c r="F85" s="100">
        <v>1.22</v>
      </c>
      <c r="G85" s="100">
        <v>83.35</v>
      </c>
      <c r="H85" s="100">
        <v>41.22</v>
      </c>
      <c r="I85" s="100">
        <v>8.77</v>
      </c>
      <c r="J85" s="100">
        <v>0.21</v>
      </c>
      <c r="K85" s="100">
        <v>175.15</v>
      </c>
      <c r="L85" s="100">
        <v>15.01</v>
      </c>
      <c r="M85" s="100">
        <v>72.989999999999995</v>
      </c>
      <c r="N85" s="100">
        <v>15</v>
      </c>
      <c r="O85" s="100">
        <v>0</v>
      </c>
      <c r="P85" s="100">
        <v>0.72</v>
      </c>
      <c r="Q85" s="100">
        <v>9.32</v>
      </c>
      <c r="R85" s="6"/>
      <c r="S85" s="6"/>
      <c r="T85" s="156"/>
      <c r="U85" s="6"/>
    </row>
    <row r="86" spans="1:21" customFormat="1">
      <c r="A86" s="163" t="s">
        <v>2436</v>
      </c>
      <c r="B86" s="100">
        <v>8.1199999999999992</v>
      </c>
      <c r="C86" s="100">
        <v>24.61</v>
      </c>
      <c r="D86" s="100">
        <v>19.37</v>
      </c>
      <c r="E86" s="100">
        <v>4.33</v>
      </c>
      <c r="F86" s="100">
        <v>1.25</v>
      </c>
      <c r="G86" s="100">
        <v>83.61</v>
      </c>
      <c r="H86" s="100">
        <v>41.22</v>
      </c>
      <c r="I86" s="100">
        <v>9.19</v>
      </c>
      <c r="J86" s="100">
        <v>0.18</v>
      </c>
      <c r="K86" s="100">
        <v>209.13</v>
      </c>
      <c r="L86" s="100">
        <v>14.64</v>
      </c>
      <c r="M86" s="100">
        <v>74.760000000000005</v>
      </c>
      <c r="N86" s="100">
        <v>15.1</v>
      </c>
      <c r="O86" s="100">
        <v>0</v>
      </c>
      <c r="P86" s="100">
        <v>0.73</v>
      </c>
      <c r="Q86" s="100">
        <v>9.32</v>
      </c>
      <c r="R86" s="6"/>
      <c r="S86" s="6"/>
      <c r="T86" s="156"/>
      <c r="U86" s="6"/>
    </row>
    <row r="87" spans="1:21" customFormat="1">
      <c r="A87" s="163" t="s">
        <v>2437</v>
      </c>
      <c r="B87" s="100">
        <v>8.43</v>
      </c>
      <c r="C87" s="100">
        <v>24.02</v>
      </c>
      <c r="D87" s="100">
        <v>19.309999999999999</v>
      </c>
      <c r="E87" s="100">
        <v>4.41</v>
      </c>
      <c r="F87" s="100">
        <v>1.22</v>
      </c>
      <c r="G87" s="100">
        <v>83.61</v>
      </c>
      <c r="H87" s="100">
        <v>41.22</v>
      </c>
      <c r="I87" s="100">
        <v>9.65</v>
      </c>
      <c r="J87" s="100">
        <v>0.14000000000000001</v>
      </c>
      <c r="K87" s="100">
        <v>166.15</v>
      </c>
      <c r="L87" s="100">
        <v>14.46</v>
      </c>
      <c r="M87" s="100">
        <v>73.12</v>
      </c>
      <c r="N87" s="100">
        <v>14.7</v>
      </c>
      <c r="O87" s="100">
        <v>0</v>
      </c>
      <c r="P87" s="100">
        <v>0.75</v>
      </c>
      <c r="Q87" s="100">
        <v>9.32</v>
      </c>
      <c r="R87" s="6"/>
      <c r="S87" s="6"/>
      <c r="T87" s="156"/>
      <c r="U87" s="6"/>
    </row>
    <row r="88" spans="1:21" customFormat="1">
      <c r="A88" s="163" t="s">
        <v>2438</v>
      </c>
      <c r="B88" s="100">
        <v>8.6</v>
      </c>
      <c r="C88" s="100">
        <v>23.4</v>
      </c>
      <c r="D88" s="100">
        <v>19.12</v>
      </c>
      <c r="E88" s="100">
        <v>4.3</v>
      </c>
      <c r="F88" s="100">
        <v>1.36</v>
      </c>
      <c r="G88" s="100">
        <v>83.61</v>
      </c>
      <c r="H88" s="100">
        <v>41.22</v>
      </c>
      <c r="I88" s="100">
        <v>10.1</v>
      </c>
      <c r="J88" s="100">
        <v>0.15</v>
      </c>
      <c r="K88" s="100">
        <v>211.04</v>
      </c>
      <c r="L88" s="100">
        <v>14.24</v>
      </c>
      <c r="M88" s="100">
        <v>76.37</v>
      </c>
      <c r="N88" s="100">
        <v>14.7</v>
      </c>
      <c r="O88" s="100">
        <v>0</v>
      </c>
      <c r="P88" s="100">
        <v>0.76</v>
      </c>
      <c r="Q88" s="100">
        <v>9.32</v>
      </c>
      <c r="R88" s="6"/>
      <c r="S88" s="6"/>
      <c r="T88" s="156"/>
      <c r="U88" s="6"/>
    </row>
    <row r="89" spans="1:21" customFormat="1">
      <c r="A89" s="163" t="s">
        <v>2439</v>
      </c>
      <c r="B89" s="100">
        <v>8.7200000000000006</v>
      </c>
      <c r="C89" s="100">
        <v>22.66</v>
      </c>
      <c r="D89" s="100">
        <v>18.829999999999998</v>
      </c>
      <c r="E89" s="100">
        <v>4.2300000000000004</v>
      </c>
      <c r="F89" s="100">
        <v>1.32</v>
      </c>
      <c r="G89" s="100">
        <v>82.01</v>
      </c>
      <c r="H89" s="100">
        <v>41.55</v>
      </c>
      <c r="I89" s="100">
        <v>10.4</v>
      </c>
      <c r="J89" s="100">
        <v>0.13</v>
      </c>
      <c r="K89" s="100">
        <v>198.99</v>
      </c>
      <c r="L89" s="100">
        <v>14.03</v>
      </c>
      <c r="M89" s="100">
        <v>78.98</v>
      </c>
      <c r="N89" s="100">
        <v>14.7</v>
      </c>
      <c r="O89" s="100">
        <v>0</v>
      </c>
      <c r="P89" s="100">
        <v>0.76</v>
      </c>
      <c r="Q89" s="100">
        <v>9.32</v>
      </c>
      <c r="R89" s="6"/>
      <c r="S89" s="6"/>
      <c r="T89" s="156"/>
      <c r="U89" s="6"/>
    </row>
    <row r="90" spans="1:21" customFormat="1">
      <c r="A90" s="163" t="s">
        <v>2440</v>
      </c>
      <c r="B90" s="100">
        <v>8.83</v>
      </c>
      <c r="C90" s="100">
        <v>21.94</v>
      </c>
      <c r="D90" s="100">
        <v>18.54</v>
      </c>
      <c r="E90" s="100">
        <v>4.25</v>
      </c>
      <c r="F90" s="100">
        <v>1.33</v>
      </c>
      <c r="G90" s="100">
        <v>81.92</v>
      </c>
      <c r="H90" s="100">
        <v>41.55</v>
      </c>
      <c r="I90" s="100">
        <v>10.57</v>
      </c>
      <c r="J90" s="100">
        <v>0.15</v>
      </c>
      <c r="K90" s="100">
        <v>201.44</v>
      </c>
      <c r="L90" s="100">
        <v>13.72</v>
      </c>
      <c r="M90" s="100">
        <v>79.33</v>
      </c>
      <c r="N90" s="100">
        <v>14.7</v>
      </c>
      <c r="O90" s="100">
        <v>0</v>
      </c>
      <c r="P90" s="100">
        <v>0.77</v>
      </c>
      <c r="Q90" s="100">
        <v>9.32</v>
      </c>
      <c r="R90" s="6"/>
      <c r="S90" s="6"/>
      <c r="T90" s="156"/>
      <c r="U90" s="6"/>
    </row>
    <row r="91" spans="1:21" customFormat="1">
      <c r="A91" s="163" t="s">
        <v>2441</v>
      </c>
      <c r="B91" s="100">
        <v>8.8000000000000007</v>
      </c>
      <c r="C91" s="100">
        <v>21.41</v>
      </c>
      <c r="D91" s="100">
        <v>18.239999999999998</v>
      </c>
      <c r="E91" s="100">
        <v>4.3499999999999996</v>
      </c>
      <c r="F91" s="100">
        <v>1.25</v>
      </c>
      <c r="G91" s="100">
        <v>81.92</v>
      </c>
      <c r="H91" s="100">
        <v>41.55</v>
      </c>
      <c r="I91" s="100">
        <v>10.75</v>
      </c>
      <c r="J91" s="100">
        <v>0.16</v>
      </c>
      <c r="K91" s="100">
        <v>177.91</v>
      </c>
      <c r="L91" s="100">
        <v>13.6</v>
      </c>
      <c r="M91" s="100">
        <v>79.260000000000005</v>
      </c>
      <c r="N91" s="100">
        <v>14.7</v>
      </c>
      <c r="O91" s="100">
        <v>0</v>
      </c>
      <c r="P91" s="100">
        <v>0.76</v>
      </c>
      <c r="Q91" s="100">
        <v>9.32</v>
      </c>
      <c r="R91" s="6"/>
      <c r="S91" s="6"/>
      <c r="T91" s="156"/>
      <c r="U91" s="6"/>
    </row>
    <row r="92" spans="1:21" customFormat="1">
      <c r="A92" s="163" t="s">
        <v>2442</v>
      </c>
      <c r="B92" s="100">
        <v>8.8800000000000008</v>
      </c>
      <c r="C92" s="100">
        <v>21.02</v>
      </c>
      <c r="D92" s="100">
        <v>18.11</v>
      </c>
      <c r="E92" s="100">
        <v>4.51</v>
      </c>
      <c r="F92" s="100">
        <v>1.17</v>
      </c>
      <c r="G92" s="100">
        <v>81.92</v>
      </c>
      <c r="H92" s="100">
        <v>41.55</v>
      </c>
      <c r="I92" s="100">
        <v>10.93</v>
      </c>
      <c r="J92" s="100">
        <v>0.16</v>
      </c>
      <c r="K92" s="100">
        <v>202.12</v>
      </c>
      <c r="L92" s="100">
        <v>13.64</v>
      </c>
      <c r="M92" s="100">
        <v>76.349999999999994</v>
      </c>
      <c r="N92" s="100">
        <v>14.5</v>
      </c>
      <c r="O92" s="100">
        <v>0</v>
      </c>
      <c r="P92" s="100">
        <v>0.76</v>
      </c>
      <c r="Q92" s="100">
        <v>9.32</v>
      </c>
      <c r="R92" s="6"/>
      <c r="S92" s="6"/>
      <c r="T92" s="156"/>
      <c r="U92" s="6"/>
    </row>
    <row r="93" spans="1:21" customFormat="1">
      <c r="A93" s="163" t="s">
        <v>2443</v>
      </c>
      <c r="B93" s="100">
        <v>8.93</v>
      </c>
      <c r="C93" s="100">
        <v>20.67</v>
      </c>
      <c r="D93" s="100">
        <v>17.96</v>
      </c>
      <c r="E93" s="100">
        <v>4.8</v>
      </c>
      <c r="F93" s="100">
        <v>1.27</v>
      </c>
      <c r="G93" s="100">
        <v>79.64</v>
      </c>
      <c r="H93" s="100">
        <v>40.630000000000003</v>
      </c>
      <c r="I93" s="100">
        <v>11.12</v>
      </c>
      <c r="J93" s="100">
        <v>0.2</v>
      </c>
      <c r="K93" s="100">
        <v>161.22999999999999</v>
      </c>
      <c r="L93" s="100">
        <v>13.55</v>
      </c>
      <c r="M93" s="100">
        <v>77.11</v>
      </c>
      <c r="N93" s="100">
        <v>14.7</v>
      </c>
      <c r="O93" s="100">
        <v>0</v>
      </c>
      <c r="P93" s="100">
        <v>0.77</v>
      </c>
      <c r="Q93" s="100">
        <v>9.32</v>
      </c>
      <c r="R93" s="6"/>
      <c r="S93" s="6"/>
      <c r="T93" s="156"/>
      <c r="U93" s="6"/>
    </row>
    <row r="94" spans="1:21" customFormat="1">
      <c r="A94" s="163" t="s">
        <v>2444</v>
      </c>
      <c r="B94" s="100">
        <v>8.82</v>
      </c>
      <c r="C94" s="100">
        <v>20.39</v>
      </c>
      <c r="D94" s="100">
        <v>17.73</v>
      </c>
      <c r="E94" s="100">
        <v>4.7699999999999996</v>
      </c>
      <c r="F94" s="100">
        <v>1.3</v>
      </c>
      <c r="G94" s="100">
        <v>79.510000000000005</v>
      </c>
      <c r="H94" s="100">
        <v>40.630000000000003</v>
      </c>
      <c r="I94" s="100">
        <v>11.34</v>
      </c>
      <c r="J94" s="100">
        <v>0.26</v>
      </c>
      <c r="K94" s="100">
        <v>160.04</v>
      </c>
      <c r="L94" s="100">
        <v>13.55</v>
      </c>
      <c r="M94" s="100">
        <v>80.02</v>
      </c>
      <c r="N94" s="100">
        <v>14.4</v>
      </c>
      <c r="O94" s="100">
        <v>0</v>
      </c>
      <c r="P94" s="100">
        <v>0.79</v>
      </c>
      <c r="Q94" s="100">
        <v>9.32</v>
      </c>
      <c r="R94" s="6"/>
      <c r="S94" s="6"/>
      <c r="T94" s="156"/>
      <c r="U94" s="6"/>
    </row>
    <row r="95" spans="1:21" customFormat="1">
      <c r="A95" s="163" t="s">
        <v>2445</v>
      </c>
      <c r="B95" s="100">
        <v>9.2100000000000009</v>
      </c>
      <c r="C95" s="100">
        <v>20.11</v>
      </c>
      <c r="D95" s="100">
        <v>17.89</v>
      </c>
      <c r="E95" s="100">
        <v>5.01</v>
      </c>
      <c r="F95" s="100">
        <v>1.25</v>
      </c>
      <c r="G95" s="100">
        <v>79.510000000000005</v>
      </c>
      <c r="H95" s="100">
        <v>40.630000000000003</v>
      </c>
      <c r="I95" s="100">
        <v>11.52</v>
      </c>
      <c r="J95" s="100">
        <v>0.18</v>
      </c>
      <c r="K95" s="100">
        <v>160.19999999999999</v>
      </c>
      <c r="L95" s="100">
        <v>13.55</v>
      </c>
      <c r="M95" s="100">
        <v>78.260000000000005</v>
      </c>
      <c r="N95" s="100">
        <v>14.5</v>
      </c>
      <c r="O95" s="100">
        <v>0</v>
      </c>
      <c r="P95" s="100">
        <v>0.8</v>
      </c>
      <c r="Q95" s="100">
        <v>9.32</v>
      </c>
      <c r="R95" s="6"/>
      <c r="S95" s="6"/>
      <c r="T95" s="156"/>
      <c r="U95" s="6"/>
    </row>
    <row r="96" spans="1:21" customFormat="1">
      <c r="A96" s="163" t="s">
        <v>2446</v>
      </c>
      <c r="B96" s="100">
        <v>11.69</v>
      </c>
      <c r="C96" s="100">
        <v>20.47</v>
      </c>
      <c r="D96" s="100">
        <v>20.07</v>
      </c>
      <c r="E96" s="100">
        <v>4.76</v>
      </c>
      <c r="F96" s="100">
        <v>1.33</v>
      </c>
      <c r="G96" s="100">
        <v>79.510000000000005</v>
      </c>
      <c r="H96" s="100">
        <v>40.630000000000003</v>
      </c>
      <c r="I96" s="100">
        <v>11.69</v>
      </c>
      <c r="J96" s="100">
        <v>0.23</v>
      </c>
      <c r="K96" s="100">
        <v>171.23</v>
      </c>
      <c r="L96" s="100">
        <v>13.58</v>
      </c>
      <c r="M96" s="100">
        <v>77.64</v>
      </c>
      <c r="N96" s="100">
        <v>14.5</v>
      </c>
      <c r="O96" s="100">
        <v>0</v>
      </c>
      <c r="P96" s="100">
        <v>0.84</v>
      </c>
      <c r="Q96" s="100">
        <v>9.32</v>
      </c>
      <c r="R96" s="6"/>
      <c r="S96" s="6"/>
      <c r="T96" s="156"/>
      <c r="U96" s="6"/>
    </row>
    <row r="97" spans="1:28" customFormat="1">
      <c r="A97" s="163" t="s">
        <v>2447</v>
      </c>
      <c r="B97" s="100">
        <v>14.13</v>
      </c>
      <c r="C97" s="100">
        <v>20.87</v>
      </c>
      <c r="D97" s="100">
        <v>22.23</v>
      </c>
      <c r="E97" s="100">
        <v>4.9400000000000004</v>
      </c>
      <c r="F97" s="100">
        <v>1.21</v>
      </c>
      <c r="G97" s="100">
        <v>85.86</v>
      </c>
      <c r="H97" s="100">
        <v>46.42</v>
      </c>
      <c r="I97" s="100">
        <v>11.91</v>
      </c>
      <c r="J97" s="100">
        <v>0.19</v>
      </c>
      <c r="K97" s="100">
        <v>202.27</v>
      </c>
      <c r="L97" s="100">
        <v>13.34</v>
      </c>
      <c r="M97" s="100">
        <v>84.14</v>
      </c>
      <c r="N97" s="100">
        <v>14.6</v>
      </c>
      <c r="O97" s="100">
        <v>0</v>
      </c>
      <c r="P97" s="100">
        <v>0.88</v>
      </c>
      <c r="Q97" s="100">
        <v>9.32</v>
      </c>
      <c r="R97" s="6"/>
      <c r="S97" s="6"/>
      <c r="T97" s="156"/>
      <c r="U97" s="6"/>
    </row>
    <row r="98" spans="1:28" customFormat="1">
      <c r="A98" s="163" t="s">
        <v>2448</v>
      </c>
      <c r="B98" s="100">
        <v>15.32</v>
      </c>
      <c r="C98" s="100">
        <v>20.7</v>
      </c>
      <c r="D98" s="100">
        <v>23.1</v>
      </c>
      <c r="E98" s="100">
        <v>4.9400000000000004</v>
      </c>
      <c r="F98" s="100">
        <v>1.08</v>
      </c>
      <c r="G98" s="100">
        <v>86.24</v>
      </c>
      <c r="H98" s="100">
        <v>46.42</v>
      </c>
      <c r="I98" s="100">
        <v>12.23</v>
      </c>
      <c r="J98" s="100">
        <v>0.2</v>
      </c>
      <c r="K98" s="100">
        <v>197.71</v>
      </c>
      <c r="L98" s="100">
        <v>12.95</v>
      </c>
      <c r="M98" s="100">
        <v>86.4</v>
      </c>
      <c r="N98" s="100">
        <v>14.8</v>
      </c>
      <c r="O98" s="100">
        <v>0</v>
      </c>
      <c r="P98" s="100">
        <v>0.9</v>
      </c>
      <c r="Q98" s="100">
        <v>9.32</v>
      </c>
      <c r="R98" s="6"/>
      <c r="S98" s="6"/>
      <c r="T98" s="156"/>
      <c r="U98" s="6"/>
    </row>
    <row r="99" spans="1:28" customFormat="1">
      <c r="A99" s="163" t="s">
        <v>2449</v>
      </c>
      <c r="B99" s="100">
        <v>15.77</v>
      </c>
      <c r="C99" s="100">
        <v>20.59</v>
      </c>
      <c r="D99" s="100">
        <v>23.4</v>
      </c>
      <c r="E99" s="100">
        <v>4.9400000000000004</v>
      </c>
      <c r="F99" s="100">
        <v>1.06</v>
      </c>
      <c r="G99" s="100">
        <v>86.24</v>
      </c>
      <c r="H99" s="100">
        <v>46.42</v>
      </c>
      <c r="I99" s="100">
        <v>12.53</v>
      </c>
      <c r="J99" s="100">
        <v>0.18</v>
      </c>
      <c r="K99" s="100">
        <v>191.94</v>
      </c>
      <c r="L99" s="100">
        <v>12.71</v>
      </c>
      <c r="M99" s="100">
        <v>85.67</v>
      </c>
      <c r="N99" s="100">
        <v>14.9</v>
      </c>
      <c r="O99" s="100">
        <v>0</v>
      </c>
      <c r="P99" s="100">
        <v>0.91</v>
      </c>
      <c r="Q99" s="100">
        <v>9.32</v>
      </c>
      <c r="R99" s="6"/>
      <c r="S99" s="6"/>
      <c r="T99" s="156"/>
      <c r="U99" s="6"/>
    </row>
    <row r="100" spans="1:28" customFormat="1">
      <c r="A100" s="163" t="s">
        <v>2450</v>
      </c>
      <c r="B100" s="100">
        <v>15.8</v>
      </c>
      <c r="C100" s="100">
        <v>20.29</v>
      </c>
      <c r="D100" s="100">
        <v>23.27</v>
      </c>
      <c r="E100" s="100">
        <v>5.15</v>
      </c>
      <c r="F100" s="100">
        <v>1.05</v>
      </c>
      <c r="G100" s="100">
        <v>86.24</v>
      </c>
      <c r="H100" s="100">
        <v>46.42</v>
      </c>
      <c r="I100" s="100">
        <v>12.79</v>
      </c>
      <c r="J100" s="100">
        <v>0.16</v>
      </c>
      <c r="K100" s="100">
        <v>187.9</v>
      </c>
      <c r="L100" s="100">
        <v>12.59</v>
      </c>
      <c r="M100" s="100">
        <v>85.78</v>
      </c>
      <c r="N100" s="100">
        <v>14.7</v>
      </c>
      <c r="O100" s="100">
        <v>0</v>
      </c>
      <c r="P100" s="100">
        <v>0.94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2451</v>
      </c>
      <c r="B101" s="100">
        <v>15.86</v>
      </c>
      <c r="C101" s="100">
        <v>19.91</v>
      </c>
      <c r="D101" s="100">
        <v>23.12</v>
      </c>
      <c r="E101" s="100">
        <v>5.25</v>
      </c>
      <c r="F101" s="100">
        <v>1.26</v>
      </c>
      <c r="G101" s="100">
        <v>85.2</v>
      </c>
      <c r="H101" s="100">
        <v>47.84</v>
      </c>
      <c r="I101" s="100">
        <v>13.07</v>
      </c>
      <c r="J101" s="100">
        <v>0.16</v>
      </c>
      <c r="K101" s="100">
        <v>182.42</v>
      </c>
      <c r="L101" s="100">
        <v>12.53</v>
      </c>
      <c r="M101" s="100">
        <v>86.3</v>
      </c>
      <c r="N101" s="100">
        <v>14.6</v>
      </c>
      <c r="O101" s="100">
        <v>0</v>
      </c>
      <c r="P101" s="100">
        <v>0.95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2452</v>
      </c>
      <c r="B102" s="100">
        <v>15.98</v>
      </c>
      <c r="C102" s="100">
        <v>19.649999999999999</v>
      </c>
      <c r="D102" s="100">
        <v>23.09</v>
      </c>
      <c r="E102" s="100">
        <v>5.0599999999999996</v>
      </c>
      <c r="F102" s="100">
        <v>1.45</v>
      </c>
      <c r="G102" s="100">
        <v>85.13</v>
      </c>
      <c r="H102" s="100">
        <v>47.84</v>
      </c>
      <c r="I102" s="100">
        <v>13.31</v>
      </c>
      <c r="J102" s="100">
        <v>0.17</v>
      </c>
      <c r="K102" s="100">
        <v>170.39</v>
      </c>
      <c r="L102" s="100">
        <v>12.57</v>
      </c>
      <c r="M102" s="100">
        <v>85.1</v>
      </c>
      <c r="N102" s="100">
        <v>14.6</v>
      </c>
      <c r="O102" s="100">
        <v>0</v>
      </c>
      <c r="P102" s="100">
        <v>0.97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2453</v>
      </c>
      <c r="B103" s="100">
        <v>16.32</v>
      </c>
      <c r="C103" s="100">
        <v>19.41</v>
      </c>
      <c r="D103" s="100">
        <v>23.23</v>
      </c>
      <c r="E103" s="100">
        <v>5.41</v>
      </c>
      <c r="F103" s="100">
        <v>1.19</v>
      </c>
      <c r="G103" s="100">
        <v>85.13</v>
      </c>
      <c r="H103" s="100">
        <v>47.84</v>
      </c>
      <c r="I103" s="100">
        <v>13.54</v>
      </c>
      <c r="J103" s="100">
        <v>0.21</v>
      </c>
      <c r="K103" s="100">
        <v>165.88</v>
      </c>
      <c r="L103" s="100">
        <v>12.5</v>
      </c>
      <c r="M103" s="100">
        <v>85.44</v>
      </c>
      <c r="N103" s="100">
        <v>14.6</v>
      </c>
      <c r="O103" s="100">
        <v>0</v>
      </c>
      <c r="P103" s="100">
        <v>0.99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2454</v>
      </c>
      <c r="B104" s="100">
        <v>16.95</v>
      </c>
      <c r="C104" s="100">
        <v>19.28</v>
      </c>
      <c r="D104" s="100">
        <v>23.66</v>
      </c>
      <c r="E104" s="100">
        <v>5.35</v>
      </c>
      <c r="F104" s="100">
        <v>1.0900000000000001</v>
      </c>
      <c r="G104" s="100">
        <v>85.13</v>
      </c>
      <c r="H104" s="100">
        <v>47.84</v>
      </c>
      <c r="I104" s="100">
        <v>13.75</v>
      </c>
      <c r="J104" s="100">
        <v>0.2</v>
      </c>
      <c r="K104" s="100">
        <v>157.37</v>
      </c>
      <c r="L104" s="100">
        <v>12.35</v>
      </c>
      <c r="M104" s="100">
        <v>86.69</v>
      </c>
      <c r="N104" s="100">
        <v>14.6</v>
      </c>
      <c r="O104" s="100">
        <v>0</v>
      </c>
      <c r="P104" s="100">
        <v>1.01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3.08</v>
      </c>
      <c r="C106" s="158">
        <f>MIN(C9:C104)</f>
        <v>19.05</v>
      </c>
      <c r="D106" s="158">
        <f t="shared" ref="D106:Q106" si="0">MIN(D9:D104)</f>
        <v>14.43</v>
      </c>
      <c r="E106" s="158">
        <f t="shared" si="0"/>
        <v>3.25</v>
      </c>
      <c r="F106" s="158">
        <f t="shared" si="0"/>
        <v>1.02</v>
      </c>
      <c r="G106" s="158">
        <f t="shared" si="0"/>
        <v>62.2</v>
      </c>
      <c r="H106" s="158">
        <f t="shared" si="0"/>
        <v>36.03</v>
      </c>
      <c r="I106" s="158">
        <f t="shared" si="0"/>
        <v>8.14</v>
      </c>
      <c r="J106" s="158">
        <f t="shared" si="0"/>
        <v>7.0000000000000007E-2</v>
      </c>
      <c r="K106" s="158">
        <f t="shared" si="0"/>
        <v>6.99</v>
      </c>
      <c r="L106" s="158">
        <f t="shared" si="0"/>
        <v>12.35</v>
      </c>
      <c r="M106" s="158">
        <f t="shared" si="0"/>
        <v>26.33</v>
      </c>
      <c r="N106" s="158">
        <f t="shared" si="0"/>
        <v>14.4</v>
      </c>
      <c r="O106" s="158">
        <f t="shared" si="0"/>
        <v>0</v>
      </c>
      <c r="P106" s="158">
        <f t="shared" si="0"/>
        <v>0.62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33.520000000000003</v>
      </c>
      <c r="C107" s="157">
        <f t="shared" ref="C107:Q107" si="1">MAX(C9:C104)</f>
        <v>34.18</v>
      </c>
      <c r="D107" s="157">
        <f t="shared" si="1"/>
        <v>37.630000000000003</v>
      </c>
      <c r="E107" s="157">
        <f t="shared" si="1"/>
        <v>10.28</v>
      </c>
      <c r="F107" s="157">
        <f t="shared" si="1"/>
        <v>14.88</v>
      </c>
      <c r="G107" s="157">
        <f t="shared" si="1"/>
        <v>98</v>
      </c>
      <c r="H107" s="157">
        <f t="shared" si="1"/>
        <v>57.6</v>
      </c>
      <c r="I107" s="157">
        <f t="shared" si="1"/>
        <v>17.22</v>
      </c>
      <c r="J107" s="157">
        <f t="shared" si="1"/>
        <v>1</v>
      </c>
      <c r="K107" s="157">
        <f t="shared" si="1"/>
        <v>240.97</v>
      </c>
      <c r="L107" s="157">
        <f t="shared" si="1"/>
        <v>28.58</v>
      </c>
      <c r="M107" s="157">
        <f t="shared" si="1"/>
        <v>93.31</v>
      </c>
      <c r="N107" s="157">
        <f t="shared" si="1"/>
        <v>495.7</v>
      </c>
      <c r="O107" s="157">
        <f t="shared" si="1"/>
        <v>0</v>
      </c>
      <c r="P107" s="157">
        <f t="shared" si="1"/>
        <v>1.1499999999999999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17.142395833333328</v>
      </c>
      <c r="C108" s="158">
        <f t="shared" ref="C108:Q108" si="2">AVERAGE(C9:C104)</f>
        <v>22.594583333333347</v>
      </c>
      <c r="D108" s="158">
        <f t="shared" si="2"/>
        <v>25.551979166666658</v>
      </c>
      <c r="E108" s="158">
        <f t="shared" si="2"/>
        <v>5.1488541666666663</v>
      </c>
      <c r="F108" s="158">
        <f t="shared" si="2"/>
        <v>2.2909375000000005</v>
      </c>
      <c r="G108" s="158">
        <f t="shared" si="2"/>
        <v>77.859687500000021</v>
      </c>
      <c r="H108" s="158">
        <f t="shared" si="2"/>
        <v>46.640833333333354</v>
      </c>
      <c r="I108" s="158">
        <f t="shared" si="2"/>
        <v>12.976666666666667</v>
      </c>
      <c r="J108" s="158">
        <f t="shared" si="2"/>
        <v>0.30406250000000007</v>
      </c>
      <c r="K108" s="158">
        <f t="shared" si="2"/>
        <v>131.62979166666665</v>
      </c>
      <c r="L108" s="158">
        <f t="shared" si="2"/>
        <v>18.642187500000002</v>
      </c>
      <c r="M108" s="158">
        <f t="shared" si="2"/>
        <v>66.378958333333316</v>
      </c>
      <c r="N108" s="158">
        <f t="shared" si="2"/>
        <v>103.61562500000004</v>
      </c>
      <c r="O108" s="158">
        <f t="shared" si="2"/>
        <v>0</v>
      </c>
      <c r="P108" s="158">
        <f t="shared" si="2"/>
        <v>0.87125000000000019</v>
      </c>
      <c r="Q108" s="158">
        <f t="shared" si="2"/>
        <v>9.2229166666666842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10.44967466074187</v>
      </c>
      <c r="C109" s="158">
        <f t="shared" ref="C109:Q109" si="3">STDEV(C9:C104)</f>
        <v>3.2964401586101029</v>
      </c>
      <c r="D109" s="158">
        <f t="shared" si="3"/>
        <v>7.3911613815409716</v>
      </c>
      <c r="E109" s="158">
        <f t="shared" si="3"/>
        <v>1.0843323143679042</v>
      </c>
      <c r="F109" s="158">
        <f t="shared" si="3"/>
        <v>2.6388646195406</v>
      </c>
      <c r="G109" s="158">
        <f t="shared" si="3"/>
        <v>8.9514887268897372</v>
      </c>
      <c r="H109" s="158">
        <f t="shared" si="3"/>
        <v>6.2035812520571296</v>
      </c>
      <c r="I109" s="158">
        <f t="shared" si="3"/>
        <v>2.4519194056758353</v>
      </c>
      <c r="J109" s="158">
        <f t="shared" si="3"/>
        <v>0.22697821887155875</v>
      </c>
      <c r="K109" s="158">
        <f t="shared" si="3"/>
        <v>72.207722141044201</v>
      </c>
      <c r="L109" s="158">
        <f t="shared" si="3"/>
        <v>4.8044396580279232</v>
      </c>
      <c r="M109" s="158">
        <f t="shared" si="3"/>
        <v>24.933690776650355</v>
      </c>
      <c r="N109" s="158">
        <f t="shared" si="3"/>
        <v>150.14919200099817</v>
      </c>
      <c r="O109" s="158">
        <f t="shared" si="3"/>
        <v>0</v>
      </c>
      <c r="P109" s="158">
        <f t="shared" si="3"/>
        <v>0.15630772617870684</v>
      </c>
      <c r="Q109" s="158">
        <f t="shared" si="3"/>
        <v>0.95121851678063229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F11" sqref="F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2455</v>
      </c>
      <c r="B9" s="100">
        <v>18.53</v>
      </c>
      <c r="C9" s="100">
        <v>18.510000000000002</v>
      </c>
      <c r="D9" s="100">
        <v>24.53</v>
      </c>
      <c r="E9" s="100">
        <v>5.41</v>
      </c>
      <c r="F9" s="100">
        <v>1.06</v>
      </c>
      <c r="G9" s="100">
        <v>81.55</v>
      </c>
      <c r="H9" s="100">
        <v>49.94</v>
      </c>
      <c r="I9" s="100">
        <v>13.94</v>
      </c>
      <c r="J9" s="100">
        <v>0.19</v>
      </c>
      <c r="K9" s="100">
        <v>158.32</v>
      </c>
      <c r="L9" s="100">
        <v>12.29</v>
      </c>
      <c r="M9" s="100">
        <v>86.48</v>
      </c>
      <c r="N9" s="100">
        <v>14.6</v>
      </c>
      <c r="O9" s="100">
        <v>0</v>
      </c>
      <c r="P9" s="100">
        <v>1.03</v>
      </c>
      <c r="Q9" s="100">
        <v>9.32</v>
      </c>
      <c r="R9" s="6"/>
      <c r="S9" s="6"/>
      <c r="T9" s="156"/>
      <c r="U9" s="6"/>
    </row>
    <row r="10" spans="1:21" customFormat="1">
      <c r="A10" s="163" t="s">
        <v>2456</v>
      </c>
      <c r="B10" s="100">
        <v>20.03</v>
      </c>
      <c r="C10" s="100">
        <v>18.98</v>
      </c>
      <c r="D10" s="100">
        <v>25.98</v>
      </c>
      <c r="E10" s="100">
        <v>5.35</v>
      </c>
      <c r="F10" s="100">
        <v>1.1100000000000001</v>
      </c>
      <c r="G10" s="100">
        <v>81.34</v>
      </c>
      <c r="H10" s="100">
        <v>49.94</v>
      </c>
      <c r="I10" s="100">
        <v>14.12</v>
      </c>
      <c r="J10" s="100">
        <v>0.18</v>
      </c>
      <c r="K10" s="100">
        <v>191.95</v>
      </c>
      <c r="L10" s="100">
        <v>12.2</v>
      </c>
      <c r="M10" s="100">
        <v>87.87</v>
      </c>
      <c r="N10" s="100">
        <v>14.5</v>
      </c>
      <c r="O10" s="100">
        <v>0</v>
      </c>
      <c r="P10" s="100">
        <v>1.05</v>
      </c>
      <c r="Q10" s="100">
        <v>9.32</v>
      </c>
      <c r="R10" s="6"/>
      <c r="S10" s="6"/>
      <c r="T10" s="156"/>
      <c r="U10" s="6"/>
    </row>
    <row r="11" spans="1:21" customFormat="1">
      <c r="A11" s="163" t="s">
        <v>2457</v>
      </c>
      <c r="B11" s="100">
        <v>21.14</v>
      </c>
      <c r="C11" s="100">
        <v>19.010000000000002</v>
      </c>
      <c r="D11" s="100">
        <v>26.89</v>
      </c>
      <c r="E11" s="100">
        <v>5.74</v>
      </c>
      <c r="F11" s="100">
        <v>1.26</v>
      </c>
      <c r="G11" s="100">
        <v>81.34</v>
      </c>
      <c r="H11" s="100">
        <v>49.94</v>
      </c>
      <c r="I11" s="100">
        <v>14.33</v>
      </c>
      <c r="J11" s="100">
        <v>0.18</v>
      </c>
      <c r="K11" s="100">
        <v>211.28</v>
      </c>
      <c r="L11" s="100">
        <v>11.93</v>
      </c>
      <c r="M11" s="100">
        <v>89.68</v>
      </c>
      <c r="N11" s="100">
        <v>14.8</v>
      </c>
      <c r="O11" s="100">
        <v>0</v>
      </c>
      <c r="P11" s="100">
        <v>1.07</v>
      </c>
      <c r="Q11" s="100">
        <v>9.32</v>
      </c>
      <c r="R11" s="6"/>
      <c r="S11" s="6"/>
      <c r="T11" s="156"/>
      <c r="U11" s="6"/>
    </row>
    <row r="12" spans="1:21" customFormat="1">
      <c r="A12" s="163" t="s">
        <v>2458</v>
      </c>
      <c r="B12" s="100">
        <v>21.52</v>
      </c>
      <c r="C12" s="100">
        <v>18.75</v>
      </c>
      <c r="D12" s="100">
        <v>27.05</v>
      </c>
      <c r="E12" s="100">
        <v>5.57</v>
      </c>
      <c r="F12" s="100">
        <v>1.33</v>
      </c>
      <c r="G12" s="100">
        <v>81.34</v>
      </c>
      <c r="H12" s="100">
        <v>49.94</v>
      </c>
      <c r="I12" s="100">
        <v>14.59</v>
      </c>
      <c r="J12" s="100">
        <v>0.11</v>
      </c>
      <c r="K12" s="100">
        <v>178.49</v>
      </c>
      <c r="L12" s="100">
        <v>11.57</v>
      </c>
      <c r="M12" s="100">
        <v>89.9</v>
      </c>
      <c r="N12" s="100">
        <v>14.8</v>
      </c>
      <c r="O12" s="100">
        <v>0</v>
      </c>
      <c r="P12" s="100">
        <v>1.08</v>
      </c>
      <c r="Q12" s="100">
        <v>9.32</v>
      </c>
      <c r="R12" s="6"/>
      <c r="S12" s="6"/>
      <c r="T12" s="156"/>
      <c r="U12" s="6"/>
    </row>
    <row r="13" spans="1:21" customFormat="1">
      <c r="A13" s="163" t="s">
        <v>2459</v>
      </c>
      <c r="B13" s="100">
        <v>21.9</v>
      </c>
      <c r="C13" s="100">
        <v>18.59</v>
      </c>
      <c r="D13" s="100">
        <v>27.27</v>
      </c>
      <c r="E13" s="100">
        <v>5.61</v>
      </c>
      <c r="F13" s="100">
        <v>1.07</v>
      </c>
      <c r="G13" s="100">
        <v>80.39</v>
      </c>
      <c r="H13" s="100">
        <v>50.12</v>
      </c>
      <c r="I13" s="100">
        <v>14.82</v>
      </c>
      <c r="J13" s="100">
        <v>0.19</v>
      </c>
      <c r="K13" s="100">
        <v>158.22</v>
      </c>
      <c r="L13" s="100">
        <v>11.59</v>
      </c>
      <c r="M13" s="100">
        <v>88.45</v>
      </c>
      <c r="N13" s="100">
        <v>14.5</v>
      </c>
      <c r="O13" s="100">
        <v>0</v>
      </c>
      <c r="P13" s="100">
        <v>1.1000000000000001</v>
      </c>
      <c r="Q13" s="100">
        <v>9.32</v>
      </c>
      <c r="R13" s="6"/>
      <c r="S13" s="6"/>
      <c r="T13" s="156"/>
      <c r="U13" s="6"/>
    </row>
    <row r="14" spans="1:21" customFormat="1">
      <c r="A14" s="163" t="s">
        <v>2460</v>
      </c>
      <c r="B14" s="100">
        <v>22.83</v>
      </c>
      <c r="C14" s="100">
        <v>18.59</v>
      </c>
      <c r="D14" s="100">
        <v>28.02</v>
      </c>
      <c r="E14" s="100">
        <v>5.66</v>
      </c>
      <c r="F14" s="100">
        <v>1.05</v>
      </c>
      <c r="G14" s="100">
        <v>80.33</v>
      </c>
      <c r="H14" s="100">
        <v>50.12</v>
      </c>
      <c r="I14" s="100">
        <v>15.05</v>
      </c>
      <c r="J14" s="100">
        <v>0.15</v>
      </c>
      <c r="K14" s="100">
        <v>173.17</v>
      </c>
      <c r="L14" s="100">
        <v>11.58</v>
      </c>
      <c r="M14" s="100">
        <v>89.06</v>
      </c>
      <c r="N14" s="100">
        <v>14.5</v>
      </c>
      <c r="O14" s="100">
        <v>0</v>
      </c>
      <c r="P14" s="100">
        <v>1.1299999999999999</v>
      </c>
      <c r="Q14" s="100">
        <v>9.32</v>
      </c>
      <c r="R14" s="6"/>
      <c r="S14" s="6"/>
      <c r="T14" s="156"/>
      <c r="U14" s="6"/>
    </row>
    <row r="15" spans="1:21" customFormat="1">
      <c r="A15" s="163" t="s">
        <v>2461</v>
      </c>
      <c r="B15" s="100">
        <v>23.65</v>
      </c>
      <c r="C15" s="100">
        <v>18.48</v>
      </c>
      <c r="D15" s="100">
        <v>28.62</v>
      </c>
      <c r="E15" s="100">
        <v>5.7</v>
      </c>
      <c r="F15" s="100">
        <v>1.1599999999999999</v>
      </c>
      <c r="G15" s="100">
        <v>80.33</v>
      </c>
      <c r="H15" s="100">
        <v>50.12</v>
      </c>
      <c r="I15" s="100">
        <v>15.31</v>
      </c>
      <c r="J15" s="100">
        <v>0.13</v>
      </c>
      <c r="K15" s="100">
        <v>176.59</v>
      </c>
      <c r="L15" s="100">
        <v>11.53</v>
      </c>
      <c r="M15" s="100">
        <v>89.33</v>
      </c>
      <c r="N15" s="100">
        <v>14.6</v>
      </c>
      <c r="O15" s="100">
        <v>0</v>
      </c>
      <c r="P15" s="100">
        <v>1.18</v>
      </c>
      <c r="Q15" s="100">
        <v>9.32</v>
      </c>
      <c r="R15" s="6"/>
      <c r="S15" s="6"/>
      <c r="T15" s="156"/>
      <c r="U15" s="6"/>
    </row>
    <row r="16" spans="1:21" customFormat="1">
      <c r="A16" s="163" t="s">
        <v>2462</v>
      </c>
      <c r="B16" s="100">
        <v>25.51</v>
      </c>
      <c r="C16" s="100">
        <v>18.68</v>
      </c>
      <c r="D16" s="100">
        <v>30.21</v>
      </c>
      <c r="E16" s="100">
        <v>5.29</v>
      </c>
      <c r="F16" s="100">
        <v>1.26</v>
      </c>
      <c r="G16" s="100">
        <v>80.33</v>
      </c>
      <c r="H16" s="100">
        <v>50.12</v>
      </c>
      <c r="I16" s="100">
        <v>15.59</v>
      </c>
      <c r="J16" s="100">
        <v>0.11</v>
      </c>
      <c r="K16" s="100">
        <v>208.25</v>
      </c>
      <c r="L16" s="100">
        <v>11.38</v>
      </c>
      <c r="M16" s="100">
        <v>88.85</v>
      </c>
      <c r="N16" s="100">
        <v>14.5</v>
      </c>
      <c r="O16" s="100">
        <v>0</v>
      </c>
      <c r="P16" s="100">
        <v>1.21</v>
      </c>
      <c r="Q16" s="100">
        <v>9.32</v>
      </c>
      <c r="R16" s="6"/>
      <c r="S16" s="6"/>
      <c r="T16" s="156"/>
      <c r="U16" s="6"/>
    </row>
    <row r="17" spans="1:21" customFormat="1">
      <c r="A17" s="163" t="s">
        <v>2463</v>
      </c>
      <c r="B17" s="100">
        <v>27.77</v>
      </c>
      <c r="C17" s="100">
        <v>18.89</v>
      </c>
      <c r="D17" s="100">
        <v>32.14</v>
      </c>
      <c r="E17" s="100">
        <v>3.66</v>
      </c>
      <c r="F17" s="100">
        <v>1.36</v>
      </c>
      <c r="G17" s="100">
        <v>86.24</v>
      </c>
      <c r="H17" s="100">
        <v>48.69</v>
      </c>
      <c r="I17" s="100">
        <v>15.85</v>
      </c>
      <c r="J17" s="100">
        <v>0.18</v>
      </c>
      <c r="K17" s="100">
        <v>173.01</v>
      </c>
      <c r="L17" s="100">
        <v>11.37</v>
      </c>
      <c r="M17" s="100">
        <v>88.85</v>
      </c>
      <c r="N17" s="100">
        <v>14.4</v>
      </c>
      <c r="O17" s="100">
        <v>0</v>
      </c>
      <c r="P17" s="100">
        <v>1.23</v>
      </c>
      <c r="Q17" s="100">
        <v>9.32</v>
      </c>
      <c r="R17" s="6"/>
      <c r="S17" s="6"/>
      <c r="T17" s="156"/>
      <c r="U17" s="6"/>
    </row>
    <row r="18" spans="1:21" customFormat="1">
      <c r="A18" s="163" t="s">
        <v>2464</v>
      </c>
      <c r="B18" s="100">
        <v>29.12</v>
      </c>
      <c r="C18" s="100">
        <v>18.850000000000001</v>
      </c>
      <c r="D18" s="100">
        <v>33.200000000000003</v>
      </c>
      <c r="E18" s="100">
        <v>4.01</v>
      </c>
      <c r="F18" s="100">
        <v>1.24</v>
      </c>
      <c r="G18" s="100">
        <v>86.67</v>
      </c>
      <c r="H18" s="100">
        <v>48.69</v>
      </c>
      <c r="I18" s="100">
        <v>16.2</v>
      </c>
      <c r="J18" s="100">
        <v>0.21</v>
      </c>
      <c r="K18" s="100">
        <v>214.95</v>
      </c>
      <c r="L18" s="100">
        <v>11.15</v>
      </c>
      <c r="M18" s="100">
        <v>91.66</v>
      </c>
      <c r="N18" s="100">
        <v>14.9</v>
      </c>
      <c r="O18" s="100">
        <v>0</v>
      </c>
      <c r="P18" s="100">
        <v>1.27</v>
      </c>
      <c r="Q18" s="100">
        <v>9.32</v>
      </c>
      <c r="R18" s="6"/>
      <c r="S18" s="6"/>
      <c r="T18" s="156"/>
      <c r="U18" s="6"/>
    </row>
    <row r="19" spans="1:21" customFormat="1">
      <c r="A19" s="163" t="s">
        <v>2465</v>
      </c>
      <c r="B19" s="100">
        <v>29.34</v>
      </c>
      <c r="C19" s="100">
        <v>18.71</v>
      </c>
      <c r="D19" s="100">
        <v>33.299999999999997</v>
      </c>
      <c r="E19" s="100">
        <v>4.03</v>
      </c>
      <c r="F19" s="100">
        <v>1.25</v>
      </c>
      <c r="G19" s="100">
        <v>86.67</v>
      </c>
      <c r="H19" s="100">
        <v>48.69</v>
      </c>
      <c r="I19" s="100">
        <v>16.61</v>
      </c>
      <c r="J19" s="100">
        <v>0.14000000000000001</v>
      </c>
      <c r="K19" s="100">
        <v>202.97</v>
      </c>
      <c r="L19" s="100">
        <v>10.77</v>
      </c>
      <c r="M19" s="100">
        <v>92.65</v>
      </c>
      <c r="N19" s="100">
        <v>15</v>
      </c>
      <c r="O19" s="100">
        <v>0</v>
      </c>
      <c r="P19" s="100">
        <v>1.3</v>
      </c>
      <c r="Q19" s="100">
        <v>9.32</v>
      </c>
      <c r="R19" s="6"/>
      <c r="S19" s="6"/>
      <c r="T19" s="156"/>
      <c r="U19" s="6"/>
    </row>
    <row r="20" spans="1:21" customFormat="1">
      <c r="A20" s="163" t="s">
        <v>2466</v>
      </c>
      <c r="B20" s="100">
        <v>29.45</v>
      </c>
      <c r="C20" s="100">
        <v>18.52</v>
      </c>
      <c r="D20" s="100">
        <v>33.29</v>
      </c>
      <c r="E20" s="100">
        <v>3.98</v>
      </c>
      <c r="F20" s="100">
        <v>1.32</v>
      </c>
      <c r="G20" s="100">
        <v>86.67</v>
      </c>
      <c r="H20" s="100">
        <v>48.69</v>
      </c>
      <c r="I20" s="100">
        <v>16.98</v>
      </c>
      <c r="J20" s="100">
        <v>0.11</v>
      </c>
      <c r="K20" s="100">
        <v>176.44</v>
      </c>
      <c r="L20" s="100">
        <v>10.58</v>
      </c>
      <c r="M20" s="100">
        <v>92.92</v>
      </c>
      <c r="N20" s="100">
        <v>14.8</v>
      </c>
      <c r="O20" s="100">
        <v>0</v>
      </c>
      <c r="P20" s="100">
        <v>1.33</v>
      </c>
      <c r="Q20" s="100">
        <v>9.32</v>
      </c>
      <c r="R20" s="6"/>
      <c r="S20" s="6"/>
      <c r="T20" s="156"/>
      <c r="U20" s="6"/>
    </row>
    <row r="21" spans="1:21" customFormat="1">
      <c r="A21" s="163" t="s">
        <v>2467</v>
      </c>
      <c r="B21" s="100">
        <v>29.73</v>
      </c>
      <c r="C21" s="100">
        <v>18.36</v>
      </c>
      <c r="D21" s="100">
        <v>33.43</v>
      </c>
      <c r="E21" s="100">
        <v>3.98</v>
      </c>
      <c r="F21" s="100">
        <v>1.2</v>
      </c>
      <c r="G21" s="100">
        <v>89.21</v>
      </c>
      <c r="H21" s="100">
        <v>52.21</v>
      </c>
      <c r="I21" s="100">
        <v>19.72</v>
      </c>
      <c r="J21" s="100">
        <v>0.12</v>
      </c>
      <c r="K21" s="100">
        <v>197.21</v>
      </c>
      <c r="L21" s="100">
        <v>10.47</v>
      </c>
      <c r="M21" s="100">
        <v>93.32</v>
      </c>
      <c r="N21" s="100">
        <v>14.7</v>
      </c>
      <c r="O21" s="100">
        <v>0</v>
      </c>
      <c r="P21" s="100">
        <v>1.35</v>
      </c>
      <c r="Q21" s="100">
        <v>9.32</v>
      </c>
      <c r="R21" s="6"/>
      <c r="S21" s="6"/>
      <c r="T21" s="156"/>
      <c r="U21" s="6"/>
    </row>
    <row r="22" spans="1:21" customFormat="1">
      <c r="A22" s="163" t="s">
        <v>2468</v>
      </c>
      <c r="B22" s="100">
        <v>29.69</v>
      </c>
      <c r="C22" s="100">
        <v>17.98</v>
      </c>
      <c r="D22" s="100">
        <v>33.200000000000003</v>
      </c>
      <c r="E22" s="100">
        <v>4.0599999999999996</v>
      </c>
      <c r="F22" s="100">
        <v>1.1100000000000001</v>
      </c>
      <c r="G22" s="100">
        <v>89.39</v>
      </c>
      <c r="H22" s="100">
        <v>52.21</v>
      </c>
      <c r="I22" s="100">
        <v>22.64</v>
      </c>
      <c r="J22" s="100">
        <v>0.14000000000000001</v>
      </c>
      <c r="K22" s="100">
        <v>221.44</v>
      </c>
      <c r="L22" s="100">
        <v>10.35</v>
      </c>
      <c r="M22" s="100">
        <v>93.59</v>
      </c>
      <c r="N22" s="100">
        <v>14.7</v>
      </c>
      <c r="O22" s="100">
        <v>0</v>
      </c>
      <c r="P22" s="100">
        <v>1.38</v>
      </c>
      <c r="Q22" s="100">
        <v>9.32</v>
      </c>
      <c r="R22" s="6"/>
      <c r="S22" s="6"/>
      <c r="T22" s="156"/>
      <c r="U22" s="6"/>
    </row>
    <row r="23" spans="1:21" customFormat="1">
      <c r="A23" s="163" t="s">
        <v>2469</v>
      </c>
      <c r="B23" s="100">
        <v>29.25</v>
      </c>
      <c r="C23" s="100">
        <v>17.75</v>
      </c>
      <c r="D23" s="100">
        <v>32.729999999999997</v>
      </c>
      <c r="E23" s="100">
        <v>3.82</v>
      </c>
      <c r="F23" s="100">
        <v>1.1399999999999999</v>
      </c>
      <c r="G23" s="100">
        <v>89.39</v>
      </c>
      <c r="H23" s="100">
        <v>52.21</v>
      </c>
      <c r="I23" s="100">
        <v>23</v>
      </c>
      <c r="J23" s="100">
        <v>0.08</v>
      </c>
      <c r="K23" s="100">
        <v>133.19</v>
      </c>
      <c r="L23" s="100">
        <v>10.130000000000001</v>
      </c>
      <c r="M23" s="100">
        <v>93.68</v>
      </c>
      <c r="N23" s="100">
        <v>14.9</v>
      </c>
      <c r="O23" s="100">
        <v>0</v>
      </c>
      <c r="P23" s="100">
        <v>1.38</v>
      </c>
      <c r="Q23" s="100">
        <v>9.32</v>
      </c>
      <c r="R23" s="6"/>
      <c r="S23" s="6"/>
      <c r="T23" s="156"/>
      <c r="U23" s="6"/>
    </row>
    <row r="24" spans="1:21" customFormat="1">
      <c r="A24" s="163" t="s">
        <v>2470</v>
      </c>
      <c r="B24" s="100">
        <v>28.73</v>
      </c>
      <c r="C24" s="100">
        <v>17.46</v>
      </c>
      <c r="D24" s="100">
        <v>32.159999999999997</v>
      </c>
      <c r="E24" s="100">
        <v>3.81</v>
      </c>
      <c r="F24" s="100">
        <v>1.18</v>
      </c>
      <c r="G24" s="100">
        <v>89.39</v>
      </c>
      <c r="H24" s="100">
        <v>52.21</v>
      </c>
      <c r="I24" s="100">
        <v>23.32</v>
      </c>
      <c r="J24" s="100">
        <v>0.13</v>
      </c>
      <c r="K24" s="100">
        <v>202.82</v>
      </c>
      <c r="L24" s="100">
        <v>10.19</v>
      </c>
      <c r="M24" s="100">
        <v>93.34</v>
      </c>
      <c r="N24" s="100">
        <v>14.5</v>
      </c>
      <c r="O24" s="100">
        <v>0</v>
      </c>
      <c r="P24" s="100">
        <v>1.39</v>
      </c>
      <c r="Q24" s="100">
        <v>9.32</v>
      </c>
      <c r="R24" s="6"/>
      <c r="S24" s="6"/>
      <c r="T24" s="156"/>
      <c r="U24" s="6"/>
    </row>
    <row r="25" spans="1:21" customFormat="1">
      <c r="A25" s="163" t="s">
        <v>2471</v>
      </c>
      <c r="B25" s="100">
        <v>28.26</v>
      </c>
      <c r="C25" s="100">
        <v>17.350000000000001</v>
      </c>
      <c r="D25" s="100">
        <v>31.72</v>
      </c>
      <c r="E25" s="100">
        <v>3.77</v>
      </c>
      <c r="F25" s="100">
        <v>1.22</v>
      </c>
      <c r="G25" s="100">
        <v>91.43</v>
      </c>
      <c r="H25" s="100">
        <v>53.07</v>
      </c>
      <c r="I25" s="100">
        <v>23.5</v>
      </c>
      <c r="J25" s="100">
        <v>0.15</v>
      </c>
      <c r="K25" s="100">
        <v>207.69</v>
      </c>
      <c r="L25" s="100">
        <v>10.210000000000001</v>
      </c>
      <c r="M25" s="100">
        <v>93.69</v>
      </c>
      <c r="N25" s="100">
        <v>14.7</v>
      </c>
      <c r="O25" s="100">
        <v>0</v>
      </c>
      <c r="P25" s="100">
        <v>1.38</v>
      </c>
      <c r="Q25" s="100">
        <v>9.32</v>
      </c>
      <c r="R25" s="6"/>
      <c r="S25" s="6"/>
      <c r="T25" s="156"/>
      <c r="U25" s="6"/>
    </row>
    <row r="26" spans="1:21" customFormat="1">
      <c r="A26" s="163" t="s">
        <v>2472</v>
      </c>
      <c r="B26" s="100">
        <v>27.67</v>
      </c>
      <c r="C26" s="100">
        <v>17.149999999999999</v>
      </c>
      <c r="D26" s="100">
        <v>31.15</v>
      </c>
      <c r="E26" s="100">
        <v>3.7</v>
      </c>
      <c r="F26" s="100">
        <v>1.29</v>
      </c>
      <c r="G26" s="100">
        <v>91.58</v>
      </c>
      <c r="H26" s="100">
        <v>53.07</v>
      </c>
      <c r="I26" s="100">
        <v>23.67</v>
      </c>
      <c r="J26" s="100">
        <v>0.18</v>
      </c>
      <c r="K26" s="100">
        <v>217.71</v>
      </c>
      <c r="L26" s="100">
        <v>9.9600000000000009</v>
      </c>
      <c r="M26" s="100">
        <v>93.85</v>
      </c>
      <c r="N26" s="100">
        <v>14.8</v>
      </c>
      <c r="O26" s="100">
        <v>0</v>
      </c>
      <c r="P26" s="100">
        <v>1.39</v>
      </c>
      <c r="Q26" s="100">
        <v>9.32</v>
      </c>
      <c r="R26" s="6"/>
      <c r="S26" s="6"/>
      <c r="T26" s="156"/>
      <c r="U26" s="6"/>
    </row>
    <row r="27" spans="1:21" customFormat="1">
      <c r="A27" s="163" t="s">
        <v>2473</v>
      </c>
      <c r="B27" s="100">
        <v>27.11</v>
      </c>
      <c r="C27" s="100">
        <v>17.13</v>
      </c>
      <c r="D27" s="100">
        <v>30.69</v>
      </c>
      <c r="E27" s="100">
        <v>3.69</v>
      </c>
      <c r="F27" s="100">
        <v>1.28</v>
      </c>
      <c r="G27" s="100">
        <v>91.58</v>
      </c>
      <c r="H27" s="100">
        <v>53.07</v>
      </c>
      <c r="I27" s="100">
        <v>23.85</v>
      </c>
      <c r="J27" s="100">
        <v>0.12</v>
      </c>
      <c r="K27" s="100">
        <v>194.12</v>
      </c>
      <c r="L27" s="100">
        <v>9.6999999999999993</v>
      </c>
      <c r="M27" s="100">
        <v>93.85</v>
      </c>
      <c r="N27" s="100">
        <v>15</v>
      </c>
      <c r="O27" s="100">
        <v>0</v>
      </c>
      <c r="P27" s="100">
        <v>1.41</v>
      </c>
      <c r="Q27" s="100">
        <v>9.32</v>
      </c>
      <c r="R27" s="6"/>
      <c r="S27" s="6"/>
      <c r="T27" s="156"/>
      <c r="U27" s="6"/>
    </row>
    <row r="28" spans="1:21" customFormat="1">
      <c r="A28" s="163" t="s">
        <v>2474</v>
      </c>
      <c r="B28" s="100">
        <v>26.61</v>
      </c>
      <c r="C28" s="100">
        <v>16.91</v>
      </c>
      <c r="D28" s="100">
        <v>30.17</v>
      </c>
      <c r="E28" s="100">
        <v>3.56</v>
      </c>
      <c r="F28" s="100">
        <v>1.01</v>
      </c>
      <c r="G28" s="100">
        <v>91.58</v>
      </c>
      <c r="H28" s="100">
        <v>53.07</v>
      </c>
      <c r="I28" s="100">
        <v>23.99</v>
      </c>
      <c r="J28" s="100">
        <v>0.1</v>
      </c>
      <c r="K28" s="100">
        <v>153</v>
      </c>
      <c r="L28" s="100">
        <v>9.4</v>
      </c>
      <c r="M28" s="100">
        <v>93.86</v>
      </c>
      <c r="N28" s="100">
        <v>14.8</v>
      </c>
      <c r="O28" s="100">
        <v>0</v>
      </c>
      <c r="P28" s="100">
        <v>1.43</v>
      </c>
      <c r="Q28" s="100">
        <v>9.32</v>
      </c>
      <c r="R28" s="6"/>
      <c r="S28" s="6"/>
      <c r="T28" s="156"/>
      <c r="U28" s="6"/>
    </row>
    <row r="29" spans="1:21" customFormat="1">
      <c r="A29" s="163" t="s">
        <v>2475</v>
      </c>
      <c r="B29" s="100">
        <v>26.25</v>
      </c>
      <c r="C29" s="100">
        <v>16.649999999999999</v>
      </c>
      <c r="D29" s="100">
        <v>29.75</v>
      </c>
      <c r="E29" s="100">
        <v>3.7</v>
      </c>
      <c r="F29" s="100">
        <v>1.1200000000000001</v>
      </c>
      <c r="G29" s="100">
        <v>88.8</v>
      </c>
      <c r="H29" s="100">
        <v>52.31</v>
      </c>
      <c r="I29" s="100">
        <v>24.16</v>
      </c>
      <c r="J29" s="100">
        <v>0.14000000000000001</v>
      </c>
      <c r="K29" s="100">
        <v>152.6</v>
      </c>
      <c r="L29" s="100">
        <v>9.5399999999999991</v>
      </c>
      <c r="M29" s="100">
        <v>93.87</v>
      </c>
      <c r="N29" s="100">
        <v>14.5</v>
      </c>
      <c r="O29" s="100">
        <v>0</v>
      </c>
      <c r="P29" s="100">
        <v>1.44</v>
      </c>
      <c r="Q29" s="100">
        <v>9.32</v>
      </c>
      <c r="R29" s="6"/>
      <c r="S29" s="6"/>
      <c r="T29" s="156"/>
      <c r="U29" s="6"/>
    </row>
    <row r="30" spans="1:21" customFormat="1">
      <c r="A30" s="163" t="s">
        <v>2476</v>
      </c>
      <c r="B30" s="100">
        <v>26.01</v>
      </c>
      <c r="C30" s="100">
        <v>16.46</v>
      </c>
      <c r="D30" s="100">
        <v>29.46</v>
      </c>
      <c r="E30" s="100">
        <v>3.51</v>
      </c>
      <c r="F30" s="100">
        <v>1.23</v>
      </c>
      <c r="G30" s="100">
        <v>88.64</v>
      </c>
      <c r="H30" s="100">
        <v>52.31</v>
      </c>
      <c r="I30" s="100">
        <v>24.46</v>
      </c>
      <c r="J30" s="100">
        <v>0.14000000000000001</v>
      </c>
      <c r="K30" s="100">
        <v>149.24</v>
      </c>
      <c r="L30" s="100">
        <v>9.7899999999999991</v>
      </c>
      <c r="M30" s="100">
        <v>93.43</v>
      </c>
      <c r="N30" s="100">
        <v>14.6</v>
      </c>
      <c r="O30" s="100">
        <v>0</v>
      </c>
      <c r="P30" s="100">
        <v>1.46</v>
      </c>
      <c r="Q30" s="100">
        <v>9.32</v>
      </c>
      <c r="R30" s="6"/>
      <c r="S30" s="6"/>
      <c r="T30" s="156"/>
      <c r="U30" s="6"/>
    </row>
    <row r="31" spans="1:21" customFormat="1">
      <c r="A31" s="163" t="s">
        <v>2477</v>
      </c>
      <c r="B31" s="100">
        <v>25.83</v>
      </c>
      <c r="C31" s="100">
        <v>16.37</v>
      </c>
      <c r="D31" s="100">
        <v>29.27</v>
      </c>
      <c r="E31" s="100">
        <v>3.84</v>
      </c>
      <c r="F31" s="100">
        <v>0.97</v>
      </c>
      <c r="G31" s="100">
        <v>88.64</v>
      </c>
      <c r="H31" s="100">
        <v>52.31</v>
      </c>
      <c r="I31" s="100">
        <v>24.81</v>
      </c>
      <c r="J31" s="100">
        <v>7.0000000000000007E-2</v>
      </c>
      <c r="K31" s="100">
        <v>167.93</v>
      </c>
      <c r="L31" s="100">
        <v>9.56</v>
      </c>
      <c r="M31" s="100">
        <v>93.75</v>
      </c>
      <c r="N31" s="100">
        <v>14.7</v>
      </c>
      <c r="O31" s="100">
        <v>0</v>
      </c>
      <c r="P31" s="100">
        <v>1.47</v>
      </c>
      <c r="Q31" s="100">
        <v>9.32</v>
      </c>
      <c r="R31" s="6"/>
      <c r="S31" s="6"/>
      <c r="T31" s="156"/>
      <c r="U31" s="6"/>
    </row>
    <row r="32" spans="1:21" customFormat="1">
      <c r="A32" s="163" t="s">
        <v>2478</v>
      </c>
      <c r="B32" s="100">
        <v>25.74</v>
      </c>
      <c r="C32" s="100">
        <v>16.170000000000002</v>
      </c>
      <c r="D32" s="100">
        <v>29.09</v>
      </c>
      <c r="E32" s="100">
        <v>3.81</v>
      </c>
      <c r="F32" s="100">
        <v>1.0900000000000001</v>
      </c>
      <c r="G32" s="100">
        <v>88.64</v>
      </c>
      <c r="H32" s="100">
        <v>52.31</v>
      </c>
      <c r="I32" s="100">
        <v>25.1</v>
      </c>
      <c r="J32" s="100">
        <v>0.11</v>
      </c>
      <c r="K32" s="100">
        <v>211.42</v>
      </c>
      <c r="L32" s="100">
        <v>9.6300000000000008</v>
      </c>
      <c r="M32" s="100">
        <v>93.88</v>
      </c>
      <c r="N32" s="100">
        <v>14.3</v>
      </c>
      <c r="O32" s="100">
        <v>0</v>
      </c>
      <c r="P32" s="100">
        <v>1.49</v>
      </c>
      <c r="Q32" s="100">
        <v>9.32</v>
      </c>
      <c r="R32" s="6"/>
      <c r="S32" s="6"/>
      <c r="T32" s="156"/>
      <c r="U32" s="6"/>
    </row>
    <row r="33" spans="1:21" customFormat="1">
      <c r="A33" s="163" t="s">
        <v>2479</v>
      </c>
      <c r="B33" s="100">
        <v>25.81</v>
      </c>
      <c r="C33" s="100">
        <v>16.04</v>
      </c>
      <c r="D33" s="100">
        <v>29.08</v>
      </c>
      <c r="E33" s="100">
        <v>3.71</v>
      </c>
      <c r="F33" s="100">
        <v>1.32</v>
      </c>
      <c r="G33" s="100">
        <v>88.52</v>
      </c>
      <c r="H33" s="100">
        <v>53.09</v>
      </c>
      <c r="I33" s="100">
        <v>25.43</v>
      </c>
      <c r="J33" s="100">
        <v>0.11</v>
      </c>
      <c r="K33" s="100">
        <v>224.34</v>
      </c>
      <c r="L33" s="100">
        <v>9.52</v>
      </c>
      <c r="M33" s="100">
        <v>93.9</v>
      </c>
      <c r="N33" s="100">
        <v>14.8</v>
      </c>
      <c r="O33" s="100">
        <v>0</v>
      </c>
      <c r="P33" s="100">
        <v>1.51</v>
      </c>
      <c r="Q33" s="100">
        <v>9.32</v>
      </c>
      <c r="R33" s="6"/>
      <c r="S33" s="6"/>
      <c r="T33" s="156"/>
      <c r="U33" s="6"/>
    </row>
    <row r="34" spans="1:21" customFormat="1">
      <c r="A34" s="163" t="s">
        <v>2480</v>
      </c>
      <c r="B34" s="100">
        <v>25.84</v>
      </c>
      <c r="C34" s="100">
        <v>16.02</v>
      </c>
      <c r="D34" s="100">
        <v>29.09</v>
      </c>
      <c r="E34" s="100">
        <v>3.92</v>
      </c>
      <c r="F34" s="100">
        <v>1.38</v>
      </c>
      <c r="G34" s="100">
        <v>88.51</v>
      </c>
      <c r="H34" s="100">
        <v>53.09</v>
      </c>
      <c r="I34" s="100">
        <v>25.71</v>
      </c>
      <c r="J34" s="100">
        <v>0.05</v>
      </c>
      <c r="K34" s="100">
        <v>205.67</v>
      </c>
      <c r="L34" s="100">
        <v>9.14</v>
      </c>
      <c r="M34" s="100">
        <v>93.9</v>
      </c>
      <c r="N34" s="100">
        <v>15.5</v>
      </c>
      <c r="O34" s="100">
        <v>0</v>
      </c>
      <c r="P34" s="100">
        <v>1.53</v>
      </c>
      <c r="Q34" s="100">
        <v>9.32</v>
      </c>
      <c r="R34" s="6"/>
      <c r="S34" s="6"/>
      <c r="T34" s="156"/>
      <c r="U34" s="6"/>
    </row>
    <row r="35" spans="1:21" customFormat="1">
      <c r="A35" s="163" t="s">
        <v>2481</v>
      </c>
      <c r="B35" s="100">
        <v>25.73</v>
      </c>
      <c r="C35" s="100">
        <v>16.05</v>
      </c>
      <c r="D35" s="100">
        <v>29.02</v>
      </c>
      <c r="E35" s="100">
        <v>3.61</v>
      </c>
      <c r="F35" s="100">
        <v>1.32</v>
      </c>
      <c r="G35" s="100">
        <v>88.51</v>
      </c>
      <c r="H35" s="100">
        <v>53.09</v>
      </c>
      <c r="I35" s="100">
        <v>26.02</v>
      </c>
      <c r="J35" s="100">
        <v>7.0000000000000007E-2</v>
      </c>
      <c r="K35" s="100">
        <v>169.62</v>
      </c>
      <c r="L35" s="100">
        <v>9.0399999999999991</v>
      </c>
      <c r="M35" s="100">
        <v>93.9</v>
      </c>
      <c r="N35" s="100">
        <v>18.100000000000001</v>
      </c>
      <c r="O35" s="100">
        <v>0</v>
      </c>
      <c r="P35" s="100">
        <v>1.55</v>
      </c>
      <c r="Q35" s="100">
        <v>9.32</v>
      </c>
      <c r="R35" s="6"/>
      <c r="S35" s="6"/>
      <c r="T35" s="156"/>
      <c r="U35" s="6"/>
    </row>
    <row r="36" spans="1:21" customFormat="1">
      <c r="A36" s="163" t="s">
        <v>2482</v>
      </c>
      <c r="B36" s="100">
        <v>25.59</v>
      </c>
      <c r="C36" s="100">
        <v>15.85</v>
      </c>
      <c r="D36" s="100">
        <v>28.81</v>
      </c>
      <c r="E36" s="100">
        <v>3.81</v>
      </c>
      <c r="F36" s="100">
        <v>1.25</v>
      </c>
      <c r="G36" s="100">
        <v>88.51</v>
      </c>
      <c r="H36" s="100">
        <v>53.09</v>
      </c>
      <c r="I36" s="100">
        <v>26.47</v>
      </c>
      <c r="J36" s="100">
        <v>0.19</v>
      </c>
      <c r="K36" s="100">
        <v>149.93</v>
      </c>
      <c r="L36" s="100">
        <v>9.27</v>
      </c>
      <c r="M36" s="100">
        <v>93.9</v>
      </c>
      <c r="N36" s="100">
        <v>23.9</v>
      </c>
      <c r="O36" s="100">
        <v>0</v>
      </c>
      <c r="P36" s="100">
        <v>1.58</v>
      </c>
      <c r="Q36" s="100">
        <v>9.32</v>
      </c>
      <c r="R36" s="6"/>
      <c r="S36" s="6"/>
      <c r="T36" s="156"/>
      <c r="U36" s="6"/>
    </row>
    <row r="37" spans="1:21" customFormat="1">
      <c r="A37" s="163" t="s">
        <v>2483</v>
      </c>
      <c r="B37" s="100">
        <v>25.54</v>
      </c>
      <c r="C37" s="100">
        <v>15.73</v>
      </c>
      <c r="D37" s="100">
        <v>28.7</v>
      </c>
      <c r="E37" s="100">
        <v>3.94</v>
      </c>
      <c r="F37" s="100">
        <v>1.44</v>
      </c>
      <c r="G37" s="100">
        <v>86.98</v>
      </c>
      <c r="H37" s="100">
        <v>55.72</v>
      </c>
      <c r="I37" s="100">
        <v>26.95</v>
      </c>
      <c r="J37" s="100">
        <v>0.16</v>
      </c>
      <c r="K37" s="100">
        <v>117.06</v>
      </c>
      <c r="L37" s="100">
        <v>9.3800000000000008</v>
      </c>
      <c r="M37" s="100">
        <v>93.9</v>
      </c>
      <c r="N37" s="100">
        <v>31.9</v>
      </c>
      <c r="O37" s="100">
        <v>0</v>
      </c>
      <c r="P37" s="100">
        <v>1.62</v>
      </c>
      <c r="Q37" s="100">
        <v>9.32</v>
      </c>
      <c r="R37" s="6"/>
      <c r="S37" s="6"/>
      <c r="T37" s="156"/>
      <c r="U37" s="6"/>
    </row>
    <row r="38" spans="1:21" customFormat="1">
      <c r="A38" s="163" t="s">
        <v>2484</v>
      </c>
      <c r="B38" s="100">
        <v>25.61</v>
      </c>
      <c r="C38" s="100">
        <v>15.62</v>
      </c>
      <c r="D38" s="100">
        <v>28.7</v>
      </c>
      <c r="E38" s="100">
        <v>3.92</v>
      </c>
      <c r="F38" s="100">
        <v>1.36</v>
      </c>
      <c r="G38" s="100">
        <v>86.89</v>
      </c>
      <c r="H38" s="100">
        <v>55.72</v>
      </c>
      <c r="I38" s="100">
        <v>27.44</v>
      </c>
      <c r="J38" s="100">
        <v>0.24</v>
      </c>
      <c r="K38" s="100">
        <v>161.66999999999999</v>
      </c>
      <c r="L38" s="100">
        <v>10.02</v>
      </c>
      <c r="M38" s="100">
        <v>93.87</v>
      </c>
      <c r="N38" s="100">
        <v>40.1</v>
      </c>
      <c r="O38" s="100">
        <v>0</v>
      </c>
      <c r="P38" s="100">
        <v>1.64</v>
      </c>
      <c r="Q38" s="100">
        <v>9.32</v>
      </c>
      <c r="R38" s="6"/>
      <c r="S38" s="6"/>
      <c r="T38" s="156"/>
      <c r="U38" s="6"/>
    </row>
    <row r="39" spans="1:21" customFormat="1">
      <c r="A39" s="163" t="s">
        <v>2485</v>
      </c>
      <c r="B39" s="100">
        <v>25.32</v>
      </c>
      <c r="C39" s="100">
        <v>15.91</v>
      </c>
      <c r="D39" s="100">
        <v>28.61</v>
      </c>
      <c r="E39" s="100">
        <v>4.0599999999999996</v>
      </c>
      <c r="F39" s="100">
        <v>1.1000000000000001</v>
      </c>
      <c r="G39" s="100">
        <v>86.89</v>
      </c>
      <c r="H39" s="100">
        <v>55.72</v>
      </c>
      <c r="I39" s="100">
        <v>27.89</v>
      </c>
      <c r="J39" s="100">
        <v>0.15</v>
      </c>
      <c r="K39" s="100">
        <v>142.25</v>
      </c>
      <c r="L39" s="100">
        <v>10.49</v>
      </c>
      <c r="M39" s="100">
        <v>92.97</v>
      </c>
      <c r="N39" s="100">
        <v>50.1</v>
      </c>
      <c r="O39" s="100">
        <v>0</v>
      </c>
      <c r="P39" s="100">
        <v>1.67</v>
      </c>
      <c r="Q39" s="100">
        <v>9.32</v>
      </c>
      <c r="R39" s="6"/>
      <c r="S39" s="6"/>
      <c r="T39" s="156"/>
      <c r="U39" s="6"/>
    </row>
    <row r="40" spans="1:21" customFormat="1">
      <c r="A40" s="163" t="s">
        <v>2486</v>
      </c>
      <c r="B40" s="100">
        <v>24.9</v>
      </c>
      <c r="C40" s="100">
        <v>16.350000000000001</v>
      </c>
      <c r="D40" s="100">
        <v>28.51</v>
      </c>
      <c r="E40" s="100">
        <v>4.37</v>
      </c>
      <c r="F40" s="100">
        <v>1.19</v>
      </c>
      <c r="G40" s="100">
        <v>86.89</v>
      </c>
      <c r="H40" s="100">
        <v>55.72</v>
      </c>
      <c r="I40" s="100">
        <v>28.32</v>
      </c>
      <c r="J40" s="100">
        <v>0.15</v>
      </c>
      <c r="K40" s="100">
        <v>158.61000000000001</v>
      </c>
      <c r="L40" s="100">
        <v>11.4</v>
      </c>
      <c r="M40" s="100">
        <v>90.54</v>
      </c>
      <c r="N40" s="100">
        <v>59</v>
      </c>
      <c r="O40" s="100">
        <v>0</v>
      </c>
      <c r="P40" s="100">
        <v>1.7</v>
      </c>
      <c r="Q40" s="100">
        <v>9.32</v>
      </c>
      <c r="R40" s="6"/>
      <c r="S40" s="6"/>
      <c r="T40" s="156"/>
      <c r="U40" s="6"/>
    </row>
    <row r="41" spans="1:21" customFormat="1">
      <c r="A41" s="163" t="s">
        <v>2487</v>
      </c>
      <c r="B41" s="100">
        <v>24.42</v>
      </c>
      <c r="C41" s="100">
        <v>16.829999999999998</v>
      </c>
      <c r="D41" s="100">
        <v>28.38</v>
      </c>
      <c r="E41" s="100">
        <v>4.37</v>
      </c>
      <c r="F41" s="100">
        <v>1.24</v>
      </c>
      <c r="G41" s="100">
        <v>90.83</v>
      </c>
      <c r="H41" s="100">
        <v>61.51</v>
      </c>
      <c r="I41" s="100">
        <v>28.77</v>
      </c>
      <c r="J41" s="100">
        <v>0.19</v>
      </c>
      <c r="K41" s="100">
        <v>160.63</v>
      </c>
      <c r="L41" s="100">
        <v>12.75</v>
      </c>
      <c r="M41" s="100">
        <v>84.21</v>
      </c>
      <c r="N41" s="100">
        <v>129.1</v>
      </c>
      <c r="O41" s="100">
        <v>0</v>
      </c>
      <c r="P41" s="100">
        <v>1.72</v>
      </c>
      <c r="Q41" s="100">
        <v>9.32</v>
      </c>
      <c r="R41" s="6"/>
      <c r="S41" s="6"/>
      <c r="T41" s="156"/>
      <c r="U41" s="6"/>
    </row>
    <row r="42" spans="1:21" customFormat="1">
      <c r="A42" s="163" t="s">
        <v>2488</v>
      </c>
      <c r="B42" s="100">
        <v>23.63</v>
      </c>
      <c r="C42" s="100">
        <v>17.64</v>
      </c>
      <c r="D42" s="100">
        <v>28.17</v>
      </c>
      <c r="E42" s="100">
        <v>4.3099999999999996</v>
      </c>
      <c r="F42" s="100">
        <v>1.23</v>
      </c>
      <c r="G42" s="100">
        <v>91.07</v>
      </c>
      <c r="H42" s="100">
        <v>61.51</v>
      </c>
      <c r="I42" s="100">
        <v>29.24</v>
      </c>
      <c r="J42" s="100">
        <v>0.19</v>
      </c>
      <c r="K42" s="100">
        <v>150.24</v>
      </c>
      <c r="L42" s="100">
        <v>14.91</v>
      </c>
      <c r="M42" s="100">
        <v>70.66</v>
      </c>
      <c r="N42" s="100">
        <v>210</v>
      </c>
      <c r="O42" s="100">
        <v>0</v>
      </c>
      <c r="P42" s="100">
        <v>1.71</v>
      </c>
      <c r="Q42" s="100">
        <v>9.32</v>
      </c>
      <c r="R42" s="6"/>
      <c r="S42" s="6"/>
      <c r="T42" s="156"/>
      <c r="U42" s="6"/>
    </row>
    <row r="43" spans="1:21" customFormat="1">
      <c r="A43" s="163" t="s">
        <v>2489</v>
      </c>
      <c r="B43" s="100">
        <v>22.6</v>
      </c>
      <c r="C43" s="100">
        <v>18.61</v>
      </c>
      <c r="D43" s="100">
        <v>27.85</v>
      </c>
      <c r="E43" s="100">
        <v>2.85</v>
      </c>
      <c r="F43" s="100">
        <v>1.31</v>
      </c>
      <c r="G43" s="100">
        <v>91.07</v>
      </c>
      <c r="H43" s="100">
        <v>61.51</v>
      </c>
      <c r="I43" s="100">
        <v>29.57</v>
      </c>
      <c r="J43" s="100">
        <v>0.26</v>
      </c>
      <c r="K43" s="100">
        <v>79.03</v>
      </c>
      <c r="L43" s="100">
        <v>16.53</v>
      </c>
      <c r="M43" s="100">
        <v>59.04</v>
      </c>
      <c r="N43" s="100">
        <v>246</v>
      </c>
      <c r="O43" s="100">
        <v>0</v>
      </c>
      <c r="P43" s="100">
        <v>1.7</v>
      </c>
      <c r="Q43" s="100">
        <v>9.32</v>
      </c>
      <c r="R43" s="6"/>
      <c r="S43" s="6"/>
      <c r="T43" s="156"/>
      <c r="U43" s="6"/>
    </row>
    <row r="44" spans="1:21" customFormat="1">
      <c r="A44" s="163" t="s">
        <v>2490</v>
      </c>
      <c r="B44" s="100">
        <v>21.54</v>
      </c>
      <c r="C44" s="100">
        <v>19.309999999999999</v>
      </c>
      <c r="D44" s="100">
        <v>27.36</v>
      </c>
      <c r="E44" s="100">
        <v>4.09</v>
      </c>
      <c r="F44" s="100">
        <v>1.47</v>
      </c>
      <c r="G44" s="100">
        <v>91.07</v>
      </c>
      <c r="H44" s="100">
        <v>61.51</v>
      </c>
      <c r="I44" s="100">
        <v>29.65</v>
      </c>
      <c r="J44" s="100">
        <v>0.69</v>
      </c>
      <c r="K44" s="100">
        <v>54.22</v>
      </c>
      <c r="L44" s="100">
        <v>16.54</v>
      </c>
      <c r="M44" s="100">
        <v>56.46</v>
      </c>
      <c r="N44" s="100">
        <v>269</v>
      </c>
      <c r="O44" s="100">
        <v>0</v>
      </c>
      <c r="P44" s="100">
        <v>1.67</v>
      </c>
      <c r="Q44" s="100">
        <v>9.32</v>
      </c>
      <c r="R44" s="6"/>
      <c r="S44" s="6"/>
      <c r="T44" s="156"/>
      <c r="U44" s="6"/>
    </row>
    <row r="45" spans="1:21" customFormat="1">
      <c r="A45" s="163" t="s">
        <v>2491</v>
      </c>
      <c r="B45" s="100">
        <v>20.6</v>
      </c>
      <c r="C45" s="100">
        <v>19.89</v>
      </c>
      <c r="D45" s="100">
        <v>26.91</v>
      </c>
      <c r="E45" s="100">
        <v>4.3499999999999996</v>
      </c>
      <c r="F45" s="100">
        <v>1.49</v>
      </c>
      <c r="G45" s="100">
        <v>94.65</v>
      </c>
      <c r="H45" s="100">
        <v>64.72</v>
      </c>
      <c r="I45" s="100">
        <v>29.53</v>
      </c>
      <c r="J45" s="100">
        <v>0.65</v>
      </c>
      <c r="K45" s="100">
        <v>34.14</v>
      </c>
      <c r="L45" s="100">
        <v>17.55</v>
      </c>
      <c r="M45" s="100">
        <v>54.21</v>
      </c>
      <c r="N45" s="100">
        <v>172.3</v>
      </c>
      <c r="O45" s="100">
        <v>0</v>
      </c>
      <c r="P45" s="100">
        <v>1.63</v>
      </c>
      <c r="Q45" s="100">
        <v>9.32</v>
      </c>
      <c r="R45" s="6"/>
      <c r="S45" s="6"/>
      <c r="T45" s="156"/>
      <c r="U45" s="6"/>
    </row>
    <row r="46" spans="1:21" customFormat="1">
      <c r="A46" s="163" t="s">
        <v>2492</v>
      </c>
      <c r="B46" s="100">
        <v>19.54</v>
      </c>
      <c r="C46" s="100">
        <v>20.23</v>
      </c>
      <c r="D46" s="100">
        <v>26.24</v>
      </c>
      <c r="E46" s="100">
        <v>4.4800000000000004</v>
      </c>
      <c r="F46" s="100">
        <v>1.34</v>
      </c>
      <c r="G46" s="100">
        <v>94.86</v>
      </c>
      <c r="H46" s="100">
        <v>64.72</v>
      </c>
      <c r="I46" s="100">
        <v>29.13</v>
      </c>
      <c r="J46" s="100">
        <v>0.59</v>
      </c>
      <c r="K46" s="100">
        <v>56.97</v>
      </c>
      <c r="L46" s="100">
        <v>18.739999999999998</v>
      </c>
      <c r="M46" s="100">
        <v>49.81</v>
      </c>
      <c r="N46" s="100">
        <v>98.6</v>
      </c>
      <c r="O46" s="100">
        <v>0</v>
      </c>
      <c r="P46" s="100">
        <v>1.58</v>
      </c>
      <c r="Q46" s="100">
        <v>9.32</v>
      </c>
      <c r="R46" s="6"/>
      <c r="S46" s="6"/>
      <c r="T46" s="156"/>
      <c r="U46" s="6"/>
    </row>
    <row r="47" spans="1:21" customFormat="1">
      <c r="A47" s="163" t="s">
        <v>2493</v>
      </c>
      <c r="B47" s="100">
        <v>18.48</v>
      </c>
      <c r="C47" s="100">
        <v>20.54</v>
      </c>
      <c r="D47" s="100">
        <v>25.55</v>
      </c>
      <c r="E47" s="100">
        <v>4.3499999999999996</v>
      </c>
      <c r="F47" s="100">
        <v>1.35</v>
      </c>
      <c r="G47" s="100">
        <v>94.86</v>
      </c>
      <c r="H47" s="100">
        <v>64.72</v>
      </c>
      <c r="I47" s="100">
        <v>28.56</v>
      </c>
      <c r="J47" s="100">
        <v>0.24</v>
      </c>
      <c r="K47" s="100">
        <v>90.3</v>
      </c>
      <c r="L47" s="100">
        <v>19.89</v>
      </c>
      <c r="M47" s="100">
        <v>46.52</v>
      </c>
      <c r="N47" s="100">
        <v>103.5</v>
      </c>
      <c r="O47" s="100">
        <v>0</v>
      </c>
      <c r="P47" s="100">
        <v>1.53</v>
      </c>
      <c r="Q47" s="100">
        <v>9.32</v>
      </c>
      <c r="R47" s="6"/>
      <c r="S47" s="6"/>
      <c r="T47" s="156"/>
      <c r="U47" s="6"/>
    </row>
    <row r="48" spans="1:21" customFormat="1">
      <c r="A48" s="163" t="s">
        <v>2494</v>
      </c>
      <c r="B48" s="100">
        <v>17.41</v>
      </c>
      <c r="C48" s="100">
        <v>20.61</v>
      </c>
      <c r="D48" s="100">
        <v>24.73</v>
      </c>
      <c r="E48" s="100">
        <v>4.22</v>
      </c>
      <c r="F48" s="100">
        <v>1.39</v>
      </c>
      <c r="G48" s="100">
        <v>94.86</v>
      </c>
      <c r="H48" s="100">
        <v>64.72</v>
      </c>
      <c r="I48" s="100">
        <v>27.93</v>
      </c>
      <c r="J48" s="100">
        <v>0.41</v>
      </c>
      <c r="K48" s="100">
        <v>65.989999999999995</v>
      </c>
      <c r="L48" s="100">
        <v>20.69</v>
      </c>
      <c r="M48" s="100">
        <v>43.85</v>
      </c>
      <c r="N48" s="100">
        <v>118.6</v>
      </c>
      <c r="O48" s="100">
        <v>0</v>
      </c>
      <c r="P48" s="100">
        <v>1.48</v>
      </c>
      <c r="Q48" s="100">
        <v>9.32</v>
      </c>
      <c r="R48" s="6"/>
      <c r="S48" s="6"/>
      <c r="T48" s="156"/>
      <c r="U48" s="6"/>
    </row>
    <row r="49" spans="1:21" customFormat="1">
      <c r="A49" s="163" t="s">
        <v>2495</v>
      </c>
      <c r="B49" s="100">
        <v>16.22</v>
      </c>
      <c r="C49" s="100">
        <v>20.8</v>
      </c>
      <c r="D49" s="100">
        <v>23.88</v>
      </c>
      <c r="E49" s="100">
        <v>4.82</v>
      </c>
      <c r="F49" s="100">
        <v>1.4</v>
      </c>
      <c r="G49" s="100">
        <v>81.3</v>
      </c>
      <c r="H49" s="100">
        <v>53.81</v>
      </c>
      <c r="I49" s="100">
        <v>27.18</v>
      </c>
      <c r="J49" s="100">
        <v>0.38</v>
      </c>
      <c r="K49" s="100">
        <v>76.260000000000005</v>
      </c>
      <c r="L49" s="100">
        <v>21.47</v>
      </c>
      <c r="M49" s="100">
        <v>40.450000000000003</v>
      </c>
      <c r="N49" s="100">
        <v>348.7</v>
      </c>
      <c r="O49" s="100">
        <v>0</v>
      </c>
      <c r="P49" s="100">
        <v>1.43</v>
      </c>
      <c r="Q49" s="100">
        <v>9.32</v>
      </c>
      <c r="R49" s="6"/>
      <c r="S49" s="6"/>
      <c r="T49" s="156"/>
      <c r="U49" s="6"/>
    </row>
    <row r="50" spans="1:21" customFormat="1">
      <c r="A50" s="163" t="s">
        <v>2496</v>
      </c>
      <c r="B50" s="100">
        <v>14.98</v>
      </c>
      <c r="C50" s="100">
        <v>20.91</v>
      </c>
      <c r="D50" s="100">
        <v>22.94</v>
      </c>
      <c r="E50" s="100">
        <v>6.06</v>
      </c>
      <c r="F50" s="100">
        <v>1.51</v>
      </c>
      <c r="G50" s="100">
        <v>80.510000000000005</v>
      </c>
      <c r="H50" s="100">
        <v>53.81</v>
      </c>
      <c r="I50" s="100">
        <v>26.49</v>
      </c>
      <c r="J50" s="100">
        <v>0.63</v>
      </c>
      <c r="K50" s="100">
        <v>64.81</v>
      </c>
      <c r="L50" s="100">
        <v>21.55</v>
      </c>
      <c r="M50" s="100">
        <v>38.89</v>
      </c>
      <c r="N50" s="100">
        <v>471.5</v>
      </c>
      <c r="O50" s="100">
        <v>0</v>
      </c>
      <c r="P50" s="100">
        <v>1.37</v>
      </c>
      <c r="Q50" s="100">
        <v>9.32</v>
      </c>
      <c r="R50" s="6"/>
      <c r="S50" s="6"/>
      <c r="T50" s="156"/>
      <c r="U50" s="6"/>
    </row>
    <row r="51" spans="1:21" customFormat="1">
      <c r="A51" s="163" t="s">
        <v>2497</v>
      </c>
      <c r="B51" s="100">
        <v>13.65</v>
      </c>
      <c r="C51" s="100">
        <v>21.11</v>
      </c>
      <c r="D51" s="100">
        <v>21.98</v>
      </c>
      <c r="E51" s="100">
        <v>6.08</v>
      </c>
      <c r="F51" s="100">
        <v>1.51</v>
      </c>
      <c r="G51" s="100">
        <v>80.510000000000005</v>
      </c>
      <c r="H51" s="100">
        <v>53.81</v>
      </c>
      <c r="I51" s="100">
        <v>25.81</v>
      </c>
      <c r="J51" s="100">
        <v>1.05</v>
      </c>
      <c r="K51" s="100">
        <v>42.48</v>
      </c>
      <c r="L51" s="100">
        <v>21.75</v>
      </c>
      <c r="M51" s="100">
        <v>37.75</v>
      </c>
      <c r="N51" s="100">
        <v>494.8</v>
      </c>
      <c r="O51" s="100">
        <v>0</v>
      </c>
      <c r="P51" s="100">
        <v>1.3</v>
      </c>
      <c r="Q51" s="100">
        <v>9.32</v>
      </c>
      <c r="R51" s="6"/>
      <c r="S51" s="6"/>
      <c r="T51" s="156"/>
      <c r="U51" s="6"/>
    </row>
    <row r="52" spans="1:21" customFormat="1">
      <c r="A52" s="163" t="s">
        <v>2498</v>
      </c>
      <c r="B52" s="100">
        <v>12.37</v>
      </c>
      <c r="C52" s="100">
        <v>21.2</v>
      </c>
      <c r="D52" s="100">
        <v>21</v>
      </c>
      <c r="E52" s="100">
        <v>6.03</v>
      </c>
      <c r="F52" s="100">
        <v>2.11</v>
      </c>
      <c r="G52" s="100">
        <v>80.510000000000005</v>
      </c>
      <c r="H52" s="100">
        <v>53.81</v>
      </c>
      <c r="I52" s="100">
        <v>25.02</v>
      </c>
      <c r="J52" s="100">
        <v>0.84</v>
      </c>
      <c r="K52" s="100">
        <v>51.35</v>
      </c>
      <c r="L52" s="100">
        <v>22.1</v>
      </c>
      <c r="M52" s="100">
        <v>37.01</v>
      </c>
      <c r="N52" s="100">
        <v>516.5</v>
      </c>
      <c r="O52" s="100">
        <v>0</v>
      </c>
      <c r="P52" s="100">
        <v>1.24</v>
      </c>
      <c r="Q52" s="100">
        <v>9.32</v>
      </c>
      <c r="R52" s="6"/>
      <c r="S52" s="6"/>
      <c r="T52" s="156"/>
      <c r="U52" s="6"/>
    </row>
    <row r="53" spans="1:21" customFormat="1">
      <c r="A53" s="163" t="s">
        <v>2499</v>
      </c>
      <c r="B53" s="100">
        <v>11.24</v>
      </c>
      <c r="C53" s="100">
        <v>21.27</v>
      </c>
      <c r="D53" s="100">
        <v>20.13</v>
      </c>
      <c r="E53" s="100">
        <v>6.26</v>
      </c>
      <c r="F53" s="100">
        <v>2.16</v>
      </c>
      <c r="G53" s="100">
        <v>75.89</v>
      </c>
      <c r="H53" s="100">
        <v>43.06</v>
      </c>
      <c r="I53" s="100">
        <v>24.21</v>
      </c>
      <c r="J53" s="100">
        <v>0.9</v>
      </c>
      <c r="K53" s="100">
        <v>48.59</v>
      </c>
      <c r="L53" s="100">
        <v>23.33</v>
      </c>
      <c r="M53" s="100">
        <v>30.81</v>
      </c>
      <c r="N53" s="100">
        <v>503</v>
      </c>
      <c r="O53" s="100">
        <v>0</v>
      </c>
      <c r="P53" s="100">
        <v>1.18</v>
      </c>
      <c r="Q53" s="100">
        <v>9.32</v>
      </c>
      <c r="R53" s="6"/>
      <c r="S53" s="6"/>
      <c r="T53" s="156"/>
      <c r="U53" s="6"/>
    </row>
    <row r="54" spans="1:21" customFormat="1">
      <c r="A54" s="163" t="s">
        <v>2500</v>
      </c>
      <c r="B54" s="100">
        <v>10.06</v>
      </c>
      <c r="C54" s="100">
        <v>21.15</v>
      </c>
      <c r="D54" s="100">
        <v>19.11</v>
      </c>
      <c r="E54" s="100">
        <v>5.92</v>
      </c>
      <c r="F54" s="100">
        <v>2.39</v>
      </c>
      <c r="G54" s="100">
        <v>75.62</v>
      </c>
      <c r="H54" s="100">
        <v>43.06</v>
      </c>
      <c r="I54" s="100">
        <v>23.37</v>
      </c>
      <c r="J54" s="100">
        <v>0.89</v>
      </c>
      <c r="K54" s="100">
        <v>53.3</v>
      </c>
      <c r="L54" s="100">
        <v>23.61</v>
      </c>
      <c r="M54" s="100">
        <v>28.25</v>
      </c>
      <c r="N54" s="100">
        <v>573.6</v>
      </c>
      <c r="O54" s="100">
        <v>0</v>
      </c>
      <c r="P54" s="100">
        <v>1.1299999999999999</v>
      </c>
      <c r="Q54" s="100">
        <v>9.32</v>
      </c>
      <c r="R54" s="6"/>
      <c r="S54" s="6"/>
      <c r="T54" s="156"/>
      <c r="U54" s="6"/>
    </row>
    <row r="55" spans="1:21" customFormat="1">
      <c r="A55" s="163" t="s">
        <v>2501</v>
      </c>
      <c r="B55" s="100">
        <v>9.02</v>
      </c>
      <c r="C55" s="100">
        <v>21.05</v>
      </c>
      <c r="D55" s="100">
        <v>18.23</v>
      </c>
      <c r="E55" s="100">
        <v>6.39</v>
      </c>
      <c r="F55" s="100">
        <v>3.53</v>
      </c>
      <c r="G55" s="100">
        <v>75.62</v>
      </c>
      <c r="H55" s="100">
        <v>43.06</v>
      </c>
      <c r="I55" s="100">
        <v>22.57</v>
      </c>
      <c r="J55" s="100">
        <v>1.06</v>
      </c>
      <c r="K55" s="100">
        <v>54.48</v>
      </c>
      <c r="L55" s="100">
        <v>23.59</v>
      </c>
      <c r="M55" s="100">
        <v>28.29</v>
      </c>
      <c r="N55" s="100">
        <v>586.29999999999995</v>
      </c>
      <c r="O55" s="100">
        <v>0</v>
      </c>
      <c r="P55" s="100">
        <v>1.0900000000000001</v>
      </c>
      <c r="Q55" s="100">
        <v>9.32</v>
      </c>
      <c r="R55" s="6"/>
      <c r="S55" s="6"/>
      <c r="T55" s="156"/>
      <c r="U55" s="6"/>
    </row>
    <row r="56" spans="1:21" customFormat="1">
      <c r="A56" s="163" t="s">
        <v>2502</v>
      </c>
      <c r="B56" s="100">
        <v>8.36</v>
      </c>
      <c r="C56" s="100">
        <v>20.68</v>
      </c>
      <c r="D56" s="100">
        <v>17.510000000000002</v>
      </c>
      <c r="E56" s="100">
        <v>6.48</v>
      </c>
      <c r="F56" s="100">
        <v>3.1</v>
      </c>
      <c r="G56" s="100">
        <v>75.62</v>
      </c>
      <c r="H56" s="100">
        <v>43.06</v>
      </c>
      <c r="I56" s="100">
        <v>21.65</v>
      </c>
      <c r="J56" s="100">
        <v>1.18</v>
      </c>
      <c r="K56" s="100">
        <v>44.92</v>
      </c>
      <c r="L56" s="100">
        <v>24.02</v>
      </c>
      <c r="M56" s="100">
        <v>27.29</v>
      </c>
      <c r="N56" s="100">
        <v>587.5</v>
      </c>
      <c r="O56" s="100">
        <v>0</v>
      </c>
      <c r="P56" s="100">
        <v>1.04</v>
      </c>
      <c r="Q56" s="100">
        <v>9.32</v>
      </c>
      <c r="R56" s="6"/>
      <c r="S56" s="6"/>
      <c r="T56" s="156"/>
      <c r="U56" s="6"/>
    </row>
    <row r="57" spans="1:21" customFormat="1">
      <c r="A57" s="163" t="s">
        <v>2503</v>
      </c>
      <c r="B57" s="100">
        <v>7.94</v>
      </c>
      <c r="C57" s="100">
        <v>20.13</v>
      </c>
      <c r="D57" s="100">
        <v>16.89</v>
      </c>
      <c r="E57" s="100">
        <v>6.69</v>
      </c>
      <c r="F57" s="100">
        <v>4.01</v>
      </c>
      <c r="G57" s="100">
        <v>64.08</v>
      </c>
      <c r="H57" s="100">
        <v>27.34</v>
      </c>
      <c r="I57" s="100">
        <v>18.57</v>
      </c>
      <c r="J57" s="100">
        <v>0.79</v>
      </c>
      <c r="K57" s="100">
        <v>60.24</v>
      </c>
      <c r="L57" s="100">
        <v>24.3</v>
      </c>
      <c r="M57" s="100">
        <v>26.12</v>
      </c>
      <c r="N57" s="100">
        <v>587.6</v>
      </c>
      <c r="O57" s="100">
        <v>0</v>
      </c>
      <c r="P57" s="100">
        <v>0.99</v>
      </c>
      <c r="Q57" s="100">
        <v>9.32</v>
      </c>
      <c r="R57" s="6"/>
      <c r="S57" s="6"/>
      <c r="T57" s="156"/>
      <c r="U57" s="6"/>
    </row>
    <row r="58" spans="1:21" customFormat="1">
      <c r="A58" s="163" t="s">
        <v>2504</v>
      </c>
      <c r="B58" s="100">
        <v>7.52</v>
      </c>
      <c r="C58" s="100">
        <v>19.59</v>
      </c>
      <c r="D58" s="100">
        <v>16.260000000000002</v>
      </c>
      <c r="E58" s="100">
        <v>6.2</v>
      </c>
      <c r="F58" s="100">
        <v>3.2</v>
      </c>
      <c r="G58" s="100">
        <v>63.4</v>
      </c>
      <c r="H58" s="100">
        <v>27.34</v>
      </c>
      <c r="I58" s="100">
        <v>15.44</v>
      </c>
      <c r="J58" s="100">
        <v>1.31</v>
      </c>
      <c r="K58" s="100">
        <v>47.46</v>
      </c>
      <c r="L58" s="100">
        <v>24.29</v>
      </c>
      <c r="M58" s="100">
        <v>25.06</v>
      </c>
      <c r="N58" s="100">
        <v>589.9</v>
      </c>
      <c r="O58" s="100">
        <v>0</v>
      </c>
      <c r="P58" s="100">
        <v>0.95</v>
      </c>
      <c r="Q58" s="100">
        <v>9.32</v>
      </c>
      <c r="R58" s="6"/>
      <c r="S58" s="6"/>
      <c r="T58" s="156"/>
      <c r="U58" s="6"/>
    </row>
    <row r="59" spans="1:21" customFormat="1">
      <c r="A59" s="163" t="s">
        <v>2505</v>
      </c>
      <c r="B59" s="100">
        <v>7.17</v>
      </c>
      <c r="C59" s="100">
        <v>19.2</v>
      </c>
      <c r="D59" s="100">
        <v>15.78</v>
      </c>
      <c r="E59" s="100">
        <v>6.3</v>
      </c>
      <c r="F59" s="100">
        <v>3.79</v>
      </c>
      <c r="G59" s="100">
        <v>63.4</v>
      </c>
      <c r="H59" s="100">
        <v>27.34</v>
      </c>
      <c r="I59" s="100">
        <v>14.89</v>
      </c>
      <c r="J59" s="100">
        <v>1.1200000000000001</v>
      </c>
      <c r="K59" s="100">
        <v>36.85</v>
      </c>
      <c r="L59" s="100">
        <v>24.45</v>
      </c>
      <c r="M59" s="100">
        <v>23.82</v>
      </c>
      <c r="N59" s="100">
        <v>583.6</v>
      </c>
      <c r="O59" s="100">
        <v>0</v>
      </c>
      <c r="P59" s="100">
        <v>0.9</v>
      </c>
      <c r="Q59" s="100">
        <v>9.32</v>
      </c>
      <c r="R59" s="6"/>
      <c r="S59" s="6"/>
      <c r="T59" s="156"/>
      <c r="U59" s="6"/>
    </row>
    <row r="60" spans="1:21" customFormat="1">
      <c r="A60" s="163" t="s">
        <v>2506</v>
      </c>
      <c r="B60" s="100">
        <v>6.92</v>
      </c>
      <c r="C60" s="100">
        <v>19.02</v>
      </c>
      <c r="D60" s="100">
        <v>15.49</v>
      </c>
      <c r="E60" s="100">
        <v>7.08</v>
      </c>
      <c r="F60" s="100">
        <v>4.21</v>
      </c>
      <c r="G60" s="100">
        <v>63.4</v>
      </c>
      <c r="H60" s="100">
        <v>27.34</v>
      </c>
      <c r="I60" s="100">
        <v>14.46</v>
      </c>
      <c r="J60" s="100">
        <v>0.98</v>
      </c>
      <c r="K60" s="100">
        <v>53.14</v>
      </c>
      <c r="L60" s="100">
        <v>24.62</v>
      </c>
      <c r="M60" s="100">
        <v>22.98</v>
      </c>
      <c r="N60" s="100">
        <v>549.29999999999995</v>
      </c>
      <c r="O60" s="100">
        <v>0</v>
      </c>
      <c r="P60" s="100">
        <v>0.87</v>
      </c>
      <c r="Q60" s="100">
        <v>9.32</v>
      </c>
      <c r="R60" s="6"/>
      <c r="S60" s="6"/>
      <c r="T60" s="156"/>
      <c r="U60" s="6"/>
    </row>
    <row r="61" spans="1:21" customFormat="1">
      <c r="A61" s="163" t="s">
        <v>2507</v>
      </c>
      <c r="B61" s="100">
        <v>6.66</v>
      </c>
      <c r="C61" s="100">
        <v>18.649999999999999</v>
      </c>
      <c r="D61" s="100">
        <v>15.09</v>
      </c>
      <c r="E61" s="100">
        <v>6.45</v>
      </c>
      <c r="F61" s="100">
        <v>2.83</v>
      </c>
      <c r="G61" s="100">
        <v>48.16</v>
      </c>
      <c r="H61" s="100">
        <v>16.37</v>
      </c>
      <c r="I61" s="100">
        <v>13.9</v>
      </c>
      <c r="J61" s="100">
        <v>0.64</v>
      </c>
      <c r="K61" s="100">
        <v>62.63</v>
      </c>
      <c r="L61" s="100">
        <v>24.92</v>
      </c>
      <c r="M61" s="100">
        <v>23.43</v>
      </c>
      <c r="N61" s="100">
        <v>394.3</v>
      </c>
      <c r="O61" s="100">
        <v>0</v>
      </c>
      <c r="P61" s="100">
        <v>0.86</v>
      </c>
      <c r="Q61" s="100">
        <v>9.32</v>
      </c>
      <c r="R61" s="6"/>
      <c r="S61" s="6"/>
      <c r="T61" s="156"/>
      <c r="U61" s="6"/>
    </row>
    <row r="62" spans="1:21" customFormat="1">
      <c r="A62" s="163" t="s">
        <v>2508</v>
      </c>
      <c r="B62" s="100">
        <v>6.46</v>
      </c>
      <c r="C62" s="100">
        <v>18.21</v>
      </c>
      <c r="D62" s="100">
        <v>14.7</v>
      </c>
      <c r="E62" s="100">
        <v>6.23</v>
      </c>
      <c r="F62" s="100">
        <v>2.35</v>
      </c>
      <c r="G62" s="100">
        <v>47.27</v>
      </c>
      <c r="H62" s="100">
        <v>16.37</v>
      </c>
      <c r="I62" s="100">
        <v>13.48</v>
      </c>
      <c r="J62" s="100">
        <v>0.61</v>
      </c>
      <c r="K62" s="100">
        <v>66.239999999999995</v>
      </c>
      <c r="L62" s="100">
        <v>24.5</v>
      </c>
      <c r="M62" s="100">
        <v>23.47</v>
      </c>
      <c r="N62" s="100">
        <v>177</v>
      </c>
      <c r="O62" s="100">
        <v>0</v>
      </c>
      <c r="P62" s="100">
        <v>0.83</v>
      </c>
      <c r="Q62" s="100">
        <v>9.32</v>
      </c>
      <c r="R62" s="6"/>
      <c r="S62" s="6"/>
      <c r="T62" s="156"/>
      <c r="U62" s="6"/>
    </row>
    <row r="63" spans="1:21" customFormat="1">
      <c r="A63" s="163" t="s">
        <v>2509</v>
      </c>
      <c r="B63" s="100">
        <v>6.39</v>
      </c>
      <c r="C63" s="100">
        <v>18.03</v>
      </c>
      <c r="D63" s="100">
        <v>14.55</v>
      </c>
      <c r="E63" s="100">
        <v>6.94</v>
      </c>
      <c r="F63" s="100">
        <v>2.68</v>
      </c>
      <c r="G63" s="100">
        <v>47.27</v>
      </c>
      <c r="H63" s="100">
        <v>16.37</v>
      </c>
      <c r="I63" s="100">
        <v>14.74</v>
      </c>
      <c r="J63" s="100">
        <v>1.07</v>
      </c>
      <c r="K63" s="100">
        <v>49.89</v>
      </c>
      <c r="L63" s="100">
        <v>24.28</v>
      </c>
      <c r="M63" s="100">
        <v>24.54</v>
      </c>
      <c r="N63" s="100">
        <v>114.2</v>
      </c>
      <c r="O63" s="100">
        <v>0</v>
      </c>
      <c r="P63" s="100">
        <v>0.8</v>
      </c>
      <c r="Q63" s="100">
        <v>9.32</v>
      </c>
      <c r="R63" s="6"/>
      <c r="S63" s="6"/>
      <c r="T63" s="156"/>
      <c r="U63" s="6"/>
    </row>
    <row r="64" spans="1:21" customFormat="1">
      <c r="A64" s="163" t="s">
        <v>2510</v>
      </c>
      <c r="B64" s="100">
        <v>6.29</v>
      </c>
      <c r="C64" s="100">
        <v>18</v>
      </c>
      <c r="D64" s="100">
        <v>14.45</v>
      </c>
      <c r="E64" s="100">
        <v>6.29</v>
      </c>
      <c r="F64" s="100">
        <v>2.86</v>
      </c>
      <c r="G64" s="100">
        <v>47.27</v>
      </c>
      <c r="H64" s="100">
        <v>16.37</v>
      </c>
      <c r="I64" s="100">
        <v>16.010000000000002</v>
      </c>
      <c r="J64" s="100">
        <v>0.59</v>
      </c>
      <c r="K64" s="100">
        <v>47.81</v>
      </c>
      <c r="L64" s="100">
        <v>24.44</v>
      </c>
      <c r="M64" s="100">
        <v>23.75</v>
      </c>
      <c r="N64" s="100">
        <v>92</v>
      </c>
      <c r="O64" s="100">
        <v>0</v>
      </c>
      <c r="P64" s="100">
        <v>0.77</v>
      </c>
      <c r="Q64" s="100">
        <v>9.32</v>
      </c>
      <c r="R64" s="6"/>
      <c r="S64" s="6"/>
      <c r="T64" s="156"/>
      <c r="U64" s="6"/>
    </row>
    <row r="65" spans="1:21" customFormat="1">
      <c r="A65" s="163" t="s">
        <v>2511</v>
      </c>
      <c r="B65" s="100">
        <v>6.1</v>
      </c>
      <c r="C65" s="100">
        <v>17.8</v>
      </c>
      <c r="D65" s="100">
        <v>14.19</v>
      </c>
      <c r="E65" s="100">
        <v>6.95</v>
      </c>
      <c r="F65" s="100">
        <v>3.78</v>
      </c>
      <c r="G65" s="100">
        <v>38.18</v>
      </c>
      <c r="H65" s="100">
        <v>10.52</v>
      </c>
      <c r="I65" s="100">
        <v>15.55</v>
      </c>
      <c r="J65" s="100">
        <v>0.63</v>
      </c>
      <c r="K65" s="100">
        <v>60.72</v>
      </c>
      <c r="L65" s="100">
        <v>24.21</v>
      </c>
      <c r="M65" s="100">
        <v>24.94</v>
      </c>
      <c r="N65" s="100">
        <v>93.8</v>
      </c>
      <c r="O65" s="100">
        <v>0</v>
      </c>
      <c r="P65" s="100">
        <v>0.72</v>
      </c>
      <c r="Q65" s="100">
        <v>9.32</v>
      </c>
      <c r="R65" s="6"/>
      <c r="S65" s="6"/>
      <c r="T65" s="156"/>
      <c r="U65" s="6"/>
    </row>
    <row r="66" spans="1:21" customFormat="1">
      <c r="A66" s="163" t="s">
        <v>2512</v>
      </c>
      <c r="B66" s="100">
        <v>5.92</v>
      </c>
      <c r="C66" s="100">
        <v>17.59</v>
      </c>
      <c r="D66" s="100">
        <v>13.94</v>
      </c>
      <c r="E66" s="100">
        <v>6.78</v>
      </c>
      <c r="F66" s="100">
        <v>3.57</v>
      </c>
      <c r="G66" s="100">
        <v>37.64</v>
      </c>
      <c r="H66" s="100">
        <v>10.52</v>
      </c>
      <c r="I66" s="100">
        <v>15.13</v>
      </c>
      <c r="J66" s="100">
        <v>0.39</v>
      </c>
      <c r="K66" s="100">
        <v>60.27</v>
      </c>
      <c r="L66" s="100">
        <v>24.22</v>
      </c>
      <c r="M66" s="100">
        <v>25.4</v>
      </c>
      <c r="N66" s="100">
        <v>100.7</v>
      </c>
      <c r="O66" s="100">
        <v>0</v>
      </c>
      <c r="P66" s="100">
        <v>0.73</v>
      </c>
      <c r="Q66" s="100">
        <v>9.32</v>
      </c>
      <c r="R66" s="6"/>
      <c r="S66" s="6"/>
      <c r="T66" s="156"/>
      <c r="U66" s="6"/>
    </row>
    <row r="67" spans="1:21" customFormat="1">
      <c r="A67" s="163" t="s">
        <v>2513</v>
      </c>
      <c r="B67" s="100">
        <v>5.8</v>
      </c>
      <c r="C67" s="100">
        <v>17.47</v>
      </c>
      <c r="D67" s="100">
        <v>13.78</v>
      </c>
      <c r="E67" s="100">
        <v>6.8</v>
      </c>
      <c r="F67" s="100">
        <v>3.8</v>
      </c>
      <c r="G67" s="100">
        <v>37.64</v>
      </c>
      <c r="H67" s="100">
        <v>10.52</v>
      </c>
      <c r="I67" s="100">
        <v>14.76</v>
      </c>
      <c r="J67" s="100">
        <v>0.7</v>
      </c>
      <c r="K67" s="100">
        <v>54.33</v>
      </c>
      <c r="L67" s="100">
        <v>24.29</v>
      </c>
      <c r="M67" s="100">
        <v>25.09</v>
      </c>
      <c r="N67" s="100">
        <v>96.6</v>
      </c>
      <c r="O67" s="100">
        <v>0</v>
      </c>
      <c r="P67" s="100">
        <v>0.7</v>
      </c>
      <c r="Q67" s="100">
        <v>9.32</v>
      </c>
      <c r="R67" s="6"/>
      <c r="S67" s="6"/>
      <c r="T67" s="156"/>
      <c r="U67" s="6"/>
    </row>
    <row r="68" spans="1:21" customFormat="1">
      <c r="A68" s="163" t="s">
        <v>2514</v>
      </c>
      <c r="B68" s="100">
        <v>5.58</v>
      </c>
      <c r="C68" s="100">
        <v>17.43</v>
      </c>
      <c r="D68" s="100">
        <v>13.58</v>
      </c>
      <c r="E68" s="100">
        <v>6.65</v>
      </c>
      <c r="F68" s="100">
        <v>4.08</v>
      </c>
      <c r="G68" s="100">
        <v>37.64</v>
      </c>
      <c r="H68" s="100">
        <v>10.52</v>
      </c>
      <c r="I68" s="100">
        <v>14.38</v>
      </c>
      <c r="J68" s="100">
        <v>0.65</v>
      </c>
      <c r="K68" s="100">
        <v>66.16</v>
      </c>
      <c r="L68" s="100">
        <v>24.2</v>
      </c>
      <c r="M68" s="100">
        <v>25</v>
      </c>
      <c r="N68" s="100">
        <v>82.4</v>
      </c>
      <c r="O68" s="100">
        <v>0</v>
      </c>
      <c r="P68" s="100">
        <v>0.68</v>
      </c>
      <c r="Q68" s="100">
        <v>9.32</v>
      </c>
      <c r="R68" s="6"/>
      <c r="S68" s="6"/>
      <c r="T68" s="156"/>
      <c r="U68" s="6"/>
    </row>
    <row r="69" spans="1:21" customFormat="1">
      <c r="A69" s="163" t="s">
        <v>2515</v>
      </c>
      <c r="B69" s="100">
        <v>5.42</v>
      </c>
      <c r="C69" s="100">
        <v>17.37</v>
      </c>
      <c r="D69" s="100">
        <v>13.42</v>
      </c>
      <c r="E69" s="100">
        <v>6.72</v>
      </c>
      <c r="F69" s="100">
        <v>3.94</v>
      </c>
      <c r="G69" s="100">
        <v>34.08</v>
      </c>
      <c r="H69" s="100">
        <v>12.75</v>
      </c>
      <c r="I69" s="100">
        <v>13.79</v>
      </c>
      <c r="J69" s="100">
        <v>0.78</v>
      </c>
      <c r="K69" s="100">
        <v>49.03</v>
      </c>
      <c r="L69" s="100">
        <v>24.26</v>
      </c>
      <c r="M69" s="100">
        <v>25.44</v>
      </c>
      <c r="N69" s="100">
        <v>80.900000000000006</v>
      </c>
      <c r="O69" s="100">
        <v>0</v>
      </c>
      <c r="P69" s="100">
        <v>0.67</v>
      </c>
      <c r="Q69" s="100">
        <v>9.32</v>
      </c>
      <c r="R69" s="6"/>
      <c r="S69" s="6"/>
      <c r="T69" s="156"/>
      <c r="U69" s="6"/>
    </row>
    <row r="70" spans="1:21" customFormat="1">
      <c r="A70" s="163" t="s">
        <v>2516</v>
      </c>
      <c r="B70" s="100">
        <v>5.31</v>
      </c>
      <c r="C70" s="100">
        <v>17.11</v>
      </c>
      <c r="D70" s="100">
        <v>13.2</v>
      </c>
      <c r="E70" s="100">
        <v>6.63</v>
      </c>
      <c r="F70" s="100">
        <v>3.35</v>
      </c>
      <c r="G70" s="100">
        <v>33.869999999999997</v>
      </c>
      <c r="H70" s="100">
        <v>12.75</v>
      </c>
      <c r="I70" s="100">
        <v>13.31</v>
      </c>
      <c r="J70" s="100">
        <v>0.28999999999999998</v>
      </c>
      <c r="K70" s="100">
        <v>90.05</v>
      </c>
      <c r="L70" s="100">
        <v>24.1</v>
      </c>
      <c r="M70" s="100">
        <v>25.16</v>
      </c>
      <c r="N70" s="100">
        <v>69.5</v>
      </c>
      <c r="O70" s="100">
        <v>0</v>
      </c>
      <c r="P70" s="100">
        <v>0.67</v>
      </c>
      <c r="Q70" s="100">
        <v>9.32</v>
      </c>
      <c r="R70" s="6"/>
      <c r="S70" s="6"/>
      <c r="T70" s="156"/>
      <c r="U70" s="6"/>
    </row>
    <row r="71" spans="1:21" customFormat="1">
      <c r="A71" s="163" t="s">
        <v>2517</v>
      </c>
      <c r="B71" s="100">
        <v>5.22</v>
      </c>
      <c r="C71" s="100">
        <v>17.100000000000001</v>
      </c>
      <c r="D71" s="100">
        <v>13.12</v>
      </c>
      <c r="E71" s="100">
        <v>6.68</v>
      </c>
      <c r="F71" s="100">
        <v>3.87</v>
      </c>
      <c r="G71" s="100">
        <v>33.869999999999997</v>
      </c>
      <c r="H71" s="100">
        <v>12.75</v>
      </c>
      <c r="I71" s="100">
        <v>13.11</v>
      </c>
      <c r="J71" s="100">
        <v>0.7</v>
      </c>
      <c r="K71" s="100">
        <v>47.6</v>
      </c>
      <c r="L71" s="100">
        <v>24.05</v>
      </c>
      <c r="M71" s="100">
        <v>25.76</v>
      </c>
      <c r="N71" s="100">
        <v>63.4</v>
      </c>
      <c r="O71" s="100">
        <v>0</v>
      </c>
      <c r="P71" s="100">
        <v>0.65</v>
      </c>
      <c r="Q71" s="100">
        <v>9.32</v>
      </c>
      <c r="R71" s="6"/>
      <c r="S71" s="6"/>
      <c r="T71" s="156"/>
      <c r="U71" s="6"/>
    </row>
    <row r="72" spans="1:21" customFormat="1">
      <c r="A72" s="163" t="s">
        <v>2518</v>
      </c>
      <c r="B72" s="100">
        <v>5.1100000000000003</v>
      </c>
      <c r="C72" s="100">
        <v>16.95</v>
      </c>
      <c r="D72" s="100">
        <v>12.95</v>
      </c>
      <c r="E72" s="100">
        <v>6.62</v>
      </c>
      <c r="F72" s="100">
        <v>4</v>
      </c>
      <c r="G72" s="100">
        <v>33.869999999999997</v>
      </c>
      <c r="H72" s="100">
        <v>12.75</v>
      </c>
      <c r="I72" s="100">
        <v>12.9</v>
      </c>
      <c r="J72" s="100">
        <v>0.33</v>
      </c>
      <c r="K72" s="100">
        <v>85</v>
      </c>
      <c r="L72" s="100">
        <v>23.75</v>
      </c>
      <c r="M72" s="100">
        <v>26.63</v>
      </c>
      <c r="N72" s="100">
        <v>60.2</v>
      </c>
      <c r="O72" s="100">
        <v>0</v>
      </c>
      <c r="P72" s="100">
        <v>0.63</v>
      </c>
      <c r="Q72" s="100">
        <v>9.32</v>
      </c>
      <c r="R72" s="6"/>
      <c r="S72" s="6"/>
      <c r="T72" s="156"/>
      <c r="U72" s="6"/>
    </row>
    <row r="73" spans="1:21" customFormat="1">
      <c r="A73" s="163" t="s">
        <v>2519</v>
      </c>
      <c r="B73" s="100">
        <v>5</v>
      </c>
      <c r="C73" s="100">
        <v>16.98</v>
      </c>
      <c r="D73" s="100">
        <v>12.88</v>
      </c>
      <c r="E73" s="100">
        <v>6.75</v>
      </c>
      <c r="F73" s="100">
        <v>4.5</v>
      </c>
      <c r="G73" s="100">
        <v>36.43</v>
      </c>
      <c r="H73" s="100">
        <v>14.23</v>
      </c>
      <c r="I73" s="100">
        <v>12.68</v>
      </c>
      <c r="J73" s="100">
        <v>0.38</v>
      </c>
      <c r="K73" s="100">
        <v>65.66</v>
      </c>
      <c r="L73" s="100">
        <v>23.66</v>
      </c>
      <c r="M73" s="100">
        <v>25.96</v>
      </c>
      <c r="N73" s="100">
        <v>59.4</v>
      </c>
      <c r="O73" s="100">
        <v>0</v>
      </c>
      <c r="P73" s="100">
        <v>0.62</v>
      </c>
      <c r="Q73" s="100">
        <v>9.32</v>
      </c>
      <c r="R73" s="6"/>
      <c r="S73" s="6"/>
      <c r="T73" s="156"/>
      <c r="U73" s="6"/>
    </row>
    <row r="74" spans="1:21" customFormat="1">
      <c r="A74" s="163" t="s">
        <v>2520</v>
      </c>
      <c r="B74" s="100">
        <v>4.1900000000000004</v>
      </c>
      <c r="C74" s="100">
        <v>18.03</v>
      </c>
      <c r="D74" s="100">
        <v>12.78</v>
      </c>
      <c r="E74" s="100">
        <v>7.25</v>
      </c>
      <c r="F74" s="100">
        <v>6.4</v>
      </c>
      <c r="G74" s="100">
        <v>36.58</v>
      </c>
      <c r="H74" s="100">
        <v>14.23</v>
      </c>
      <c r="I74" s="100">
        <v>12.42</v>
      </c>
      <c r="J74" s="100">
        <v>0.19</v>
      </c>
      <c r="K74" s="100">
        <v>125</v>
      </c>
      <c r="L74" s="100">
        <v>23.43</v>
      </c>
      <c r="M74" s="100">
        <v>27.35</v>
      </c>
      <c r="N74" s="100">
        <v>56.7</v>
      </c>
      <c r="O74" s="100">
        <v>0</v>
      </c>
      <c r="P74" s="100">
        <v>0.55000000000000004</v>
      </c>
      <c r="Q74" s="100">
        <v>9.32</v>
      </c>
      <c r="R74" s="6"/>
      <c r="S74" s="6"/>
      <c r="T74" s="156"/>
      <c r="U74" s="6"/>
    </row>
    <row r="75" spans="1:21" customFormat="1">
      <c r="A75" s="163" t="s">
        <v>2521</v>
      </c>
      <c r="B75" s="100">
        <v>3.64</v>
      </c>
      <c r="C75" s="100">
        <v>18.78</v>
      </c>
      <c r="D75" s="100">
        <v>12.73</v>
      </c>
      <c r="E75" s="100">
        <v>5.9</v>
      </c>
      <c r="F75" s="100">
        <v>4.9800000000000004</v>
      </c>
      <c r="G75" s="100">
        <v>36.58</v>
      </c>
      <c r="H75" s="100">
        <v>14.23</v>
      </c>
      <c r="I75" s="100">
        <v>11.91</v>
      </c>
      <c r="J75" s="100">
        <v>0.18</v>
      </c>
      <c r="K75" s="100">
        <v>141.9</v>
      </c>
      <c r="L75" s="100">
        <v>23.09</v>
      </c>
      <c r="M75" s="100">
        <v>29.63</v>
      </c>
      <c r="N75" s="100">
        <v>44</v>
      </c>
      <c r="O75" s="100">
        <v>0</v>
      </c>
      <c r="P75" s="100">
        <v>0.52</v>
      </c>
      <c r="Q75" s="100">
        <v>9.32</v>
      </c>
      <c r="R75" s="6"/>
      <c r="S75" s="6"/>
      <c r="T75" s="156"/>
      <c r="U75" s="6"/>
    </row>
    <row r="76" spans="1:21" customFormat="1">
      <c r="A76" s="163" t="s">
        <v>2522</v>
      </c>
      <c r="B76" s="100">
        <v>3.57</v>
      </c>
      <c r="C76" s="100">
        <v>19.260000000000002</v>
      </c>
      <c r="D76" s="100">
        <v>12.92</v>
      </c>
      <c r="E76" s="100">
        <v>5.64</v>
      </c>
      <c r="F76" s="100">
        <v>3.77</v>
      </c>
      <c r="G76" s="100">
        <v>36.58</v>
      </c>
      <c r="H76" s="100">
        <v>14.23</v>
      </c>
      <c r="I76" s="100">
        <v>11.17</v>
      </c>
      <c r="J76" s="100">
        <v>0.23</v>
      </c>
      <c r="K76" s="100">
        <v>158.88999999999999</v>
      </c>
      <c r="L76" s="100">
        <v>22.46</v>
      </c>
      <c r="M76" s="100">
        <v>31.72</v>
      </c>
      <c r="N76" s="100">
        <v>33.1</v>
      </c>
      <c r="O76" s="100">
        <v>0</v>
      </c>
      <c r="P76" s="100">
        <v>0.49</v>
      </c>
      <c r="Q76" s="100">
        <v>9.32</v>
      </c>
      <c r="R76" s="6"/>
      <c r="S76" s="6"/>
      <c r="T76" s="156"/>
      <c r="U76" s="6"/>
    </row>
    <row r="77" spans="1:21" customFormat="1">
      <c r="A77" s="163" t="s">
        <v>2523</v>
      </c>
      <c r="B77" s="100">
        <v>3.64</v>
      </c>
      <c r="C77" s="100">
        <v>19.920000000000002</v>
      </c>
      <c r="D77" s="100">
        <v>13.32</v>
      </c>
      <c r="E77" s="100">
        <v>5.36</v>
      </c>
      <c r="F77" s="100">
        <v>3.23</v>
      </c>
      <c r="G77" s="100">
        <v>37.93</v>
      </c>
      <c r="H77" s="100">
        <v>13.63</v>
      </c>
      <c r="I77" s="100">
        <v>10.49</v>
      </c>
      <c r="J77" s="100">
        <v>0.21</v>
      </c>
      <c r="K77" s="100">
        <v>157.94999999999999</v>
      </c>
      <c r="L77" s="100">
        <v>21.77</v>
      </c>
      <c r="M77" s="100">
        <v>33.56</v>
      </c>
      <c r="N77" s="100">
        <v>23.9</v>
      </c>
      <c r="O77" s="100">
        <v>0</v>
      </c>
      <c r="P77" s="100">
        <v>0.45</v>
      </c>
      <c r="Q77" s="100">
        <v>9.32</v>
      </c>
      <c r="R77" s="6"/>
      <c r="S77" s="6"/>
      <c r="T77" s="156"/>
      <c r="U77" s="6"/>
    </row>
    <row r="78" spans="1:21" customFormat="1">
      <c r="A78" s="163" t="s">
        <v>2524</v>
      </c>
      <c r="B78" s="100">
        <v>3.72</v>
      </c>
      <c r="C78" s="100">
        <v>20.05</v>
      </c>
      <c r="D78" s="100">
        <v>13.46</v>
      </c>
      <c r="E78" s="100">
        <v>5.33</v>
      </c>
      <c r="F78" s="100">
        <v>2.2799999999999998</v>
      </c>
      <c r="G78" s="100">
        <v>38</v>
      </c>
      <c r="H78" s="100">
        <v>13.63</v>
      </c>
      <c r="I78" s="100">
        <v>10.08</v>
      </c>
      <c r="J78" s="100">
        <v>0.23</v>
      </c>
      <c r="K78" s="100">
        <v>155.82</v>
      </c>
      <c r="L78" s="100">
        <v>21.15</v>
      </c>
      <c r="M78" s="100">
        <v>34.869999999999997</v>
      </c>
      <c r="N78" s="100">
        <v>17.2</v>
      </c>
      <c r="O78" s="100">
        <v>0</v>
      </c>
      <c r="P78" s="100">
        <v>0.45</v>
      </c>
      <c r="Q78" s="100">
        <v>9.32</v>
      </c>
      <c r="R78" s="6"/>
      <c r="S78" s="6"/>
      <c r="T78" s="156"/>
      <c r="U78" s="6"/>
    </row>
    <row r="79" spans="1:21" customFormat="1">
      <c r="A79" s="163" t="s">
        <v>2525</v>
      </c>
      <c r="B79" s="100">
        <v>3.88</v>
      </c>
      <c r="C79" s="100">
        <v>19.95</v>
      </c>
      <c r="D79" s="100">
        <v>13.53</v>
      </c>
      <c r="E79" s="100">
        <v>5.39</v>
      </c>
      <c r="F79" s="100">
        <v>1.77</v>
      </c>
      <c r="G79" s="100">
        <v>38</v>
      </c>
      <c r="H79" s="100">
        <v>13.63</v>
      </c>
      <c r="I79" s="100">
        <v>9.89</v>
      </c>
      <c r="J79" s="100">
        <v>0.22</v>
      </c>
      <c r="K79" s="100">
        <v>155.86000000000001</v>
      </c>
      <c r="L79" s="100">
        <v>20.04</v>
      </c>
      <c r="M79" s="100">
        <v>41.33</v>
      </c>
      <c r="N79" s="100">
        <v>15.9</v>
      </c>
      <c r="O79" s="100">
        <v>0</v>
      </c>
      <c r="P79" s="100">
        <v>0.45</v>
      </c>
      <c r="Q79" s="100">
        <v>9.32</v>
      </c>
      <c r="R79" s="6"/>
      <c r="S79" s="6"/>
      <c r="T79" s="156"/>
      <c r="U79" s="6"/>
    </row>
    <row r="80" spans="1:21" customFormat="1">
      <c r="A80" s="163" t="s">
        <v>2526</v>
      </c>
      <c r="B80" s="100">
        <v>4.16</v>
      </c>
      <c r="C80" s="100">
        <v>19.850000000000001</v>
      </c>
      <c r="D80" s="100">
        <v>13.71</v>
      </c>
      <c r="E80" s="100">
        <v>5.46</v>
      </c>
      <c r="F80" s="100">
        <v>1.39</v>
      </c>
      <c r="G80" s="100">
        <v>38</v>
      </c>
      <c r="H80" s="100">
        <v>13.63</v>
      </c>
      <c r="I80" s="100">
        <v>9.74</v>
      </c>
      <c r="J80" s="100">
        <v>0.22</v>
      </c>
      <c r="K80" s="100">
        <v>158.21</v>
      </c>
      <c r="L80" s="100">
        <v>19.149999999999999</v>
      </c>
      <c r="M80" s="100">
        <v>45.7</v>
      </c>
      <c r="N80" s="100">
        <v>15</v>
      </c>
      <c r="O80" s="100">
        <v>0</v>
      </c>
      <c r="P80" s="100">
        <v>0.45</v>
      </c>
      <c r="Q80" s="100">
        <v>9.32</v>
      </c>
      <c r="R80" s="6"/>
      <c r="S80" s="6"/>
      <c r="T80" s="156"/>
      <c r="U80" s="6"/>
    </row>
    <row r="81" spans="1:21" customFormat="1">
      <c r="A81" s="163" t="s">
        <v>2527</v>
      </c>
      <c r="B81" s="100">
        <v>4.79</v>
      </c>
      <c r="C81" s="100">
        <v>19.989999999999998</v>
      </c>
      <c r="D81" s="100">
        <v>14.29</v>
      </c>
      <c r="E81" s="100">
        <v>4.53</v>
      </c>
      <c r="F81" s="100">
        <v>1.24</v>
      </c>
      <c r="G81" s="100">
        <v>47.41</v>
      </c>
      <c r="H81" s="100">
        <v>17.489999999999998</v>
      </c>
      <c r="I81" s="100">
        <v>9.69</v>
      </c>
      <c r="J81" s="100">
        <v>0.06</v>
      </c>
      <c r="K81" s="100">
        <v>159.61000000000001</v>
      </c>
      <c r="L81" s="100">
        <v>18.68</v>
      </c>
      <c r="M81" s="100">
        <v>44.92</v>
      </c>
      <c r="N81" s="100">
        <v>14.6</v>
      </c>
      <c r="O81" s="100">
        <v>0</v>
      </c>
      <c r="P81" s="100">
        <v>0.46</v>
      </c>
      <c r="Q81" s="100">
        <v>9.32</v>
      </c>
      <c r="R81" s="6"/>
      <c r="S81" s="6"/>
      <c r="T81" s="156"/>
      <c r="U81" s="6"/>
    </row>
    <row r="82" spans="1:21" customFormat="1">
      <c r="A82" s="163" t="s">
        <v>2528</v>
      </c>
      <c r="B82" s="100">
        <v>6.13</v>
      </c>
      <c r="C82" s="100">
        <v>20.399999999999999</v>
      </c>
      <c r="D82" s="100">
        <v>15.57</v>
      </c>
      <c r="E82" s="100">
        <v>5.43</v>
      </c>
      <c r="F82" s="100">
        <v>1.1499999999999999</v>
      </c>
      <c r="G82" s="100">
        <v>47.96</v>
      </c>
      <c r="H82" s="100">
        <v>17.489999999999998</v>
      </c>
      <c r="I82" s="100">
        <v>9.7100000000000009</v>
      </c>
      <c r="J82" s="100">
        <v>0.19</v>
      </c>
      <c r="K82" s="100">
        <v>172.73</v>
      </c>
      <c r="L82" s="100">
        <v>18.41</v>
      </c>
      <c r="M82" s="100">
        <v>47.15</v>
      </c>
      <c r="N82" s="100">
        <v>14.5</v>
      </c>
      <c r="O82" s="100">
        <v>0</v>
      </c>
      <c r="P82" s="100">
        <v>0.48</v>
      </c>
      <c r="Q82" s="100">
        <v>9.32</v>
      </c>
      <c r="R82" s="6"/>
      <c r="S82" s="6"/>
      <c r="T82" s="156"/>
      <c r="U82" s="6"/>
    </row>
    <row r="83" spans="1:21" customFormat="1">
      <c r="A83" s="163" t="s">
        <v>2529</v>
      </c>
      <c r="B83" s="100">
        <v>7.6</v>
      </c>
      <c r="C83" s="100">
        <v>20.87</v>
      </c>
      <c r="D83" s="100">
        <v>17</v>
      </c>
      <c r="E83" s="100">
        <v>5.52</v>
      </c>
      <c r="F83" s="100">
        <v>1.33</v>
      </c>
      <c r="G83" s="100">
        <v>47.96</v>
      </c>
      <c r="H83" s="100">
        <v>17.489999999999998</v>
      </c>
      <c r="I83" s="100">
        <v>9.86</v>
      </c>
      <c r="J83" s="100">
        <v>0.19</v>
      </c>
      <c r="K83" s="100">
        <v>159.79</v>
      </c>
      <c r="L83" s="100">
        <v>18.11</v>
      </c>
      <c r="M83" s="100">
        <v>48.38</v>
      </c>
      <c r="N83" s="100">
        <v>14.5</v>
      </c>
      <c r="O83" s="100">
        <v>0</v>
      </c>
      <c r="P83" s="100">
        <v>0.5</v>
      </c>
      <c r="Q83" s="100">
        <v>9.32</v>
      </c>
      <c r="R83" s="6"/>
      <c r="S83" s="6"/>
      <c r="T83" s="156"/>
      <c r="U83" s="6"/>
    </row>
    <row r="84" spans="1:21" customFormat="1">
      <c r="A84" s="163" t="s">
        <v>2530</v>
      </c>
      <c r="B84" s="100">
        <v>8.89</v>
      </c>
      <c r="C84" s="100">
        <v>21.11</v>
      </c>
      <c r="D84" s="100">
        <v>18.149999999999999</v>
      </c>
      <c r="E84" s="100">
        <v>5.51</v>
      </c>
      <c r="F84" s="100">
        <v>1.28</v>
      </c>
      <c r="G84" s="100">
        <v>47.96</v>
      </c>
      <c r="H84" s="100">
        <v>17.489999999999998</v>
      </c>
      <c r="I84" s="100">
        <v>10.119999999999999</v>
      </c>
      <c r="J84" s="100">
        <v>0.26</v>
      </c>
      <c r="K84" s="100">
        <v>171.97</v>
      </c>
      <c r="L84" s="100">
        <v>17.41</v>
      </c>
      <c r="M84" s="100">
        <v>58.52</v>
      </c>
      <c r="N84" s="100">
        <v>14.7</v>
      </c>
      <c r="O84" s="100">
        <v>0</v>
      </c>
      <c r="P84" s="100">
        <v>0.52</v>
      </c>
      <c r="Q84" s="100">
        <v>9.32</v>
      </c>
      <c r="R84" s="6"/>
      <c r="S84" s="6"/>
      <c r="T84" s="156"/>
      <c r="U84" s="6"/>
    </row>
    <row r="85" spans="1:21" customFormat="1">
      <c r="A85" s="163" t="s">
        <v>2531</v>
      </c>
      <c r="B85" s="100">
        <v>9.67</v>
      </c>
      <c r="C85" s="100">
        <v>20.95</v>
      </c>
      <c r="D85" s="100">
        <v>18.690000000000001</v>
      </c>
      <c r="E85" s="100">
        <v>5.77</v>
      </c>
      <c r="F85" s="100">
        <v>1.25</v>
      </c>
      <c r="G85" s="100">
        <v>68.010000000000005</v>
      </c>
      <c r="H85" s="100">
        <v>23.76</v>
      </c>
      <c r="I85" s="100">
        <v>10.47</v>
      </c>
      <c r="J85" s="100">
        <v>0.2</v>
      </c>
      <c r="K85" s="100">
        <v>180.92</v>
      </c>
      <c r="L85" s="100">
        <v>16.47</v>
      </c>
      <c r="M85" s="100">
        <v>65.239999999999995</v>
      </c>
      <c r="N85" s="100">
        <v>14.7</v>
      </c>
      <c r="O85" s="100">
        <v>0</v>
      </c>
      <c r="P85" s="100">
        <v>0.53</v>
      </c>
      <c r="Q85" s="100">
        <v>9.32</v>
      </c>
      <c r="R85" s="6"/>
      <c r="S85" s="6"/>
      <c r="T85" s="156"/>
      <c r="U85" s="6"/>
    </row>
    <row r="86" spans="1:21" customFormat="1">
      <c r="A86" s="163" t="s">
        <v>2532</v>
      </c>
      <c r="B86" s="100">
        <v>10.06</v>
      </c>
      <c r="C86" s="100">
        <v>20.69</v>
      </c>
      <c r="D86" s="100">
        <v>18.88</v>
      </c>
      <c r="E86" s="100">
        <v>5.8</v>
      </c>
      <c r="F86" s="100">
        <v>1.19</v>
      </c>
      <c r="G86" s="100">
        <v>69.19</v>
      </c>
      <c r="H86" s="100">
        <v>23.76</v>
      </c>
      <c r="I86" s="100">
        <v>10.8</v>
      </c>
      <c r="J86" s="100">
        <v>0.19</v>
      </c>
      <c r="K86" s="100">
        <v>187.39</v>
      </c>
      <c r="L86" s="100">
        <v>15.94</v>
      </c>
      <c r="M86" s="100">
        <v>70.599999999999994</v>
      </c>
      <c r="N86" s="100">
        <v>14.5</v>
      </c>
      <c r="O86" s="100">
        <v>0</v>
      </c>
      <c r="P86" s="100">
        <v>0.55000000000000004</v>
      </c>
      <c r="Q86" s="100">
        <v>9.32</v>
      </c>
      <c r="R86" s="6"/>
      <c r="S86" s="6"/>
      <c r="T86" s="156"/>
      <c r="U86" s="6"/>
    </row>
    <row r="87" spans="1:21" customFormat="1">
      <c r="A87" s="163" t="s">
        <v>2533</v>
      </c>
      <c r="B87" s="100">
        <v>10.23</v>
      </c>
      <c r="C87" s="100">
        <v>20.36</v>
      </c>
      <c r="D87" s="100">
        <v>18.84</v>
      </c>
      <c r="E87" s="100">
        <v>6.05</v>
      </c>
      <c r="F87" s="100">
        <v>1.27</v>
      </c>
      <c r="G87" s="100">
        <v>69.19</v>
      </c>
      <c r="H87" s="100">
        <v>23.76</v>
      </c>
      <c r="I87" s="100">
        <v>11.09</v>
      </c>
      <c r="J87" s="100">
        <v>0.17</v>
      </c>
      <c r="K87" s="100">
        <v>195.09</v>
      </c>
      <c r="L87" s="100">
        <v>15.46</v>
      </c>
      <c r="M87" s="100">
        <v>68.819999999999993</v>
      </c>
      <c r="N87" s="100">
        <v>14.5</v>
      </c>
      <c r="O87" s="100">
        <v>0</v>
      </c>
      <c r="P87" s="100">
        <v>0.56000000000000005</v>
      </c>
      <c r="Q87" s="100">
        <v>9.32</v>
      </c>
      <c r="R87" s="6"/>
      <c r="S87" s="6"/>
      <c r="T87" s="156"/>
      <c r="U87" s="6"/>
    </row>
    <row r="88" spans="1:21" customFormat="1">
      <c r="A88" s="163" t="s">
        <v>2534</v>
      </c>
      <c r="B88" s="100">
        <v>10.3</v>
      </c>
      <c r="C88" s="100">
        <v>20.14</v>
      </c>
      <c r="D88" s="100">
        <v>18.79</v>
      </c>
      <c r="E88" s="100">
        <v>5.65</v>
      </c>
      <c r="F88" s="100">
        <v>1.1599999999999999</v>
      </c>
      <c r="G88" s="100">
        <v>69.19</v>
      </c>
      <c r="H88" s="100">
        <v>23.76</v>
      </c>
      <c r="I88" s="100">
        <v>11.39</v>
      </c>
      <c r="J88" s="100">
        <v>0.22</v>
      </c>
      <c r="K88" s="100">
        <v>177.44</v>
      </c>
      <c r="L88" s="100">
        <v>15.27</v>
      </c>
      <c r="M88" s="100">
        <v>67.900000000000006</v>
      </c>
      <c r="N88" s="100">
        <v>14.4</v>
      </c>
      <c r="O88" s="100">
        <v>0</v>
      </c>
      <c r="P88" s="100">
        <v>0.56999999999999995</v>
      </c>
      <c r="Q88" s="100">
        <v>9.32</v>
      </c>
      <c r="R88" s="6"/>
      <c r="S88" s="6"/>
      <c r="T88" s="156"/>
      <c r="U88" s="6"/>
    </row>
    <row r="89" spans="1:21" customFormat="1">
      <c r="A89" s="163" t="s">
        <v>2535</v>
      </c>
      <c r="B89" s="100">
        <v>10.45</v>
      </c>
      <c r="C89" s="100">
        <v>19.84</v>
      </c>
      <c r="D89" s="100">
        <v>18.75</v>
      </c>
      <c r="E89" s="100">
        <v>5.67</v>
      </c>
      <c r="F89" s="100">
        <v>1.36</v>
      </c>
      <c r="G89" s="100">
        <v>66.959999999999994</v>
      </c>
      <c r="H89" s="100">
        <v>22.57</v>
      </c>
      <c r="I89" s="100">
        <v>11.66</v>
      </c>
      <c r="J89" s="100">
        <v>0.18</v>
      </c>
      <c r="K89" s="100">
        <v>197.26</v>
      </c>
      <c r="L89" s="100">
        <v>14.88</v>
      </c>
      <c r="M89" s="100">
        <v>71.05</v>
      </c>
      <c r="N89" s="100">
        <v>14.2</v>
      </c>
      <c r="O89" s="100">
        <v>0</v>
      </c>
      <c r="P89" s="100">
        <v>0.56999999999999995</v>
      </c>
      <c r="Q89" s="100">
        <v>9.32</v>
      </c>
      <c r="R89" s="6"/>
      <c r="S89" s="6"/>
      <c r="T89" s="156"/>
      <c r="U89" s="6"/>
    </row>
    <row r="90" spans="1:21" customFormat="1">
      <c r="A90" s="163" t="s">
        <v>2536</v>
      </c>
      <c r="B90" s="100">
        <v>10.49</v>
      </c>
      <c r="C90" s="100">
        <v>19.579999999999998</v>
      </c>
      <c r="D90" s="100">
        <v>18.64</v>
      </c>
      <c r="E90" s="100">
        <v>5.67</v>
      </c>
      <c r="F90" s="100">
        <v>1.33</v>
      </c>
      <c r="G90" s="100">
        <v>66.819999999999993</v>
      </c>
      <c r="H90" s="100">
        <v>22.57</v>
      </c>
      <c r="I90" s="100">
        <v>11.87</v>
      </c>
      <c r="J90" s="100">
        <v>0.16</v>
      </c>
      <c r="K90" s="100">
        <v>187.42</v>
      </c>
      <c r="L90" s="100">
        <v>14.64</v>
      </c>
      <c r="M90" s="100">
        <v>71.52</v>
      </c>
      <c r="N90" s="100">
        <v>14.3</v>
      </c>
      <c r="O90" s="100">
        <v>0</v>
      </c>
      <c r="P90" s="100">
        <v>0.59</v>
      </c>
      <c r="Q90" s="100">
        <v>9.32</v>
      </c>
      <c r="R90" s="6"/>
      <c r="S90" s="6"/>
      <c r="T90" s="156"/>
      <c r="U90" s="6"/>
    </row>
    <row r="91" spans="1:21" customFormat="1">
      <c r="A91" s="163" t="s">
        <v>2537</v>
      </c>
      <c r="B91" s="100">
        <v>10.54</v>
      </c>
      <c r="C91" s="100">
        <v>19.170000000000002</v>
      </c>
      <c r="D91" s="100">
        <v>18.47</v>
      </c>
      <c r="E91" s="100">
        <v>5.65</v>
      </c>
      <c r="F91" s="100">
        <v>1.27</v>
      </c>
      <c r="G91" s="100">
        <v>66.819999999999993</v>
      </c>
      <c r="H91" s="100">
        <v>22.57</v>
      </c>
      <c r="I91" s="100">
        <v>12.03</v>
      </c>
      <c r="J91" s="100">
        <v>0.19</v>
      </c>
      <c r="K91" s="100">
        <v>203.67</v>
      </c>
      <c r="L91" s="100">
        <v>14.51</v>
      </c>
      <c r="M91" s="100">
        <v>68.069999999999993</v>
      </c>
      <c r="N91" s="100">
        <v>14.1</v>
      </c>
      <c r="O91" s="100">
        <v>0</v>
      </c>
      <c r="P91" s="100">
        <v>0.59</v>
      </c>
      <c r="Q91" s="100">
        <v>9.32</v>
      </c>
      <c r="R91" s="6"/>
      <c r="S91" s="6"/>
      <c r="T91" s="156"/>
      <c r="U91" s="6"/>
    </row>
    <row r="92" spans="1:21" customFormat="1">
      <c r="A92" s="163" t="s">
        <v>2538</v>
      </c>
      <c r="B92" s="100">
        <v>10.6</v>
      </c>
      <c r="C92" s="100">
        <v>18.91</v>
      </c>
      <c r="D92" s="100">
        <v>18.38</v>
      </c>
      <c r="E92" s="100">
        <v>5.98</v>
      </c>
      <c r="F92" s="100">
        <v>1.31</v>
      </c>
      <c r="G92" s="100">
        <v>66.819999999999993</v>
      </c>
      <c r="H92" s="100">
        <v>22.57</v>
      </c>
      <c r="I92" s="100">
        <v>12.18</v>
      </c>
      <c r="J92" s="100">
        <v>0.16</v>
      </c>
      <c r="K92" s="100">
        <v>176.73</v>
      </c>
      <c r="L92" s="100">
        <v>14.43</v>
      </c>
      <c r="M92" s="100">
        <v>71.66</v>
      </c>
      <c r="N92" s="100">
        <v>14.2</v>
      </c>
      <c r="O92" s="100">
        <v>0</v>
      </c>
      <c r="P92" s="100">
        <v>0.6</v>
      </c>
      <c r="Q92" s="100">
        <v>9.32</v>
      </c>
      <c r="R92" s="6"/>
      <c r="S92" s="6"/>
      <c r="T92" s="156"/>
      <c r="U92" s="6"/>
    </row>
    <row r="93" spans="1:21" customFormat="1">
      <c r="A93" s="163" t="s">
        <v>2539</v>
      </c>
      <c r="B93" s="100">
        <v>10.56</v>
      </c>
      <c r="C93" s="100">
        <v>18.64</v>
      </c>
      <c r="D93" s="100">
        <v>18.21</v>
      </c>
      <c r="E93" s="100">
        <v>5.9</v>
      </c>
      <c r="F93" s="100">
        <v>1.48</v>
      </c>
      <c r="G93" s="100">
        <v>70.040000000000006</v>
      </c>
      <c r="H93" s="100">
        <v>25.29</v>
      </c>
      <c r="I93" s="100">
        <v>12.32</v>
      </c>
      <c r="J93" s="100">
        <v>0.26</v>
      </c>
      <c r="K93" s="100">
        <v>160.35</v>
      </c>
      <c r="L93" s="100">
        <v>14.44</v>
      </c>
      <c r="M93" s="100">
        <v>72.09</v>
      </c>
      <c r="N93" s="100">
        <v>14</v>
      </c>
      <c r="O93" s="100">
        <v>0</v>
      </c>
      <c r="P93" s="100">
        <v>0.61</v>
      </c>
      <c r="Q93" s="100">
        <v>9.32</v>
      </c>
      <c r="R93" s="6"/>
      <c r="S93" s="6"/>
      <c r="T93" s="156"/>
      <c r="U93" s="6"/>
    </row>
    <row r="94" spans="1:21" customFormat="1">
      <c r="A94" s="163" t="s">
        <v>2540</v>
      </c>
      <c r="B94" s="100">
        <v>10.64</v>
      </c>
      <c r="C94" s="100">
        <v>18.34</v>
      </c>
      <c r="D94" s="100">
        <v>18.12</v>
      </c>
      <c r="E94" s="100">
        <v>5.87</v>
      </c>
      <c r="F94" s="100">
        <v>1.38</v>
      </c>
      <c r="G94" s="100">
        <v>70.23</v>
      </c>
      <c r="H94" s="100">
        <v>25.29</v>
      </c>
      <c r="I94" s="100">
        <v>12.47</v>
      </c>
      <c r="J94" s="100">
        <v>0.21</v>
      </c>
      <c r="K94" s="100">
        <v>162.46</v>
      </c>
      <c r="L94" s="100">
        <v>14.28</v>
      </c>
      <c r="M94" s="100">
        <v>68.84</v>
      </c>
      <c r="N94" s="100">
        <v>14.2</v>
      </c>
      <c r="O94" s="100">
        <v>0</v>
      </c>
      <c r="P94" s="100">
        <v>0.63</v>
      </c>
      <c r="Q94" s="100">
        <v>9.32</v>
      </c>
      <c r="R94" s="6"/>
      <c r="S94" s="6"/>
      <c r="T94" s="156"/>
      <c r="U94" s="6"/>
    </row>
    <row r="95" spans="1:21" customFormat="1">
      <c r="A95" s="163" t="s">
        <v>2541</v>
      </c>
      <c r="B95" s="100">
        <v>10.69</v>
      </c>
      <c r="C95" s="100">
        <v>18.18</v>
      </c>
      <c r="D95" s="100">
        <v>18.07</v>
      </c>
      <c r="E95" s="100">
        <v>5.66</v>
      </c>
      <c r="F95" s="100">
        <v>1.3</v>
      </c>
      <c r="G95" s="100">
        <v>70.23</v>
      </c>
      <c r="H95" s="100">
        <v>25.29</v>
      </c>
      <c r="I95" s="100">
        <v>12.61</v>
      </c>
      <c r="J95" s="100">
        <v>0.17</v>
      </c>
      <c r="K95" s="100">
        <v>180.2</v>
      </c>
      <c r="L95" s="100">
        <v>14.15</v>
      </c>
      <c r="M95" s="100">
        <v>74.2</v>
      </c>
      <c r="N95" s="100">
        <v>14.1</v>
      </c>
      <c r="O95" s="100">
        <v>0</v>
      </c>
      <c r="P95" s="100">
        <v>0.64</v>
      </c>
      <c r="Q95" s="100">
        <v>9.32</v>
      </c>
      <c r="R95" s="6"/>
      <c r="S95" s="6"/>
      <c r="T95" s="156"/>
      <c r="U95" s="6"/>
    </row>
    <row r="96" spans="1:21" customFormat="1">
      <c r="A96" s="163" t="s">
        <v>2542</v>
      </c>
      <c r="B96" s="100">
        <v>10.77</v>
      </c>
      <c r="C96" s="100">
        <v>17.91</v>
      </c>
      <c r="D96" s="100">
        <v>18</v>
      </c>
      <c r="E96" s="100">
        <v>5.64</v>
      </c>
      <c r="F96" s="100">
        <v>1.25</v>
      </c>
      <c r="G96" s="100">
        <v>70.23</v>
      </c>
      <c r="H96" s="100">
        <v>25.29</v>
      </c>
      <c r="I96" s="100">
        <v>12.71</v>
      </c>
      <c r="J96" s="100">
        <v>0.14000000000000001</v>
      </c>
      <c r="K96" s="100">
        <v>143.03</v>
      </c>
      <c r="L96" s="100">
        <v>13.88</v>
      </c>
      <c r="M96" s="100">
        <v>77.489999999999995</v>
      </c>
      <c r="N96" s="100">
        <v>14.2</v>
      </c>
      <c r="O96" s="100">
        <v>0</v>
      </c>
      <c r="P96" s="100">
        <v>0.64</v>
      </c>
      <c r="Q96" s="100">
        <v>9.32</v>
      </c>
      <c r="R96" s="6"/>
      <c r="S96" s="6"/>
      <c r="T96" s="156"/>
      <c r="U96" s="6"/>
    </row>
    <row r="97" spans="1:28" customFormat="1">
      <c r="A97" s="163" t="s">
        <v>2543</v>
      </c>
      <c r="B97" s="100">
        <v>11.42</v>
      </c>
      <c r="C97" s="100">
        <v>17.8</v>
      </c>
      <c r="D97" s="100">
        <v>18.46</v>
      </c>
      <c r="E97" s="100">
        <v>5.47</v>
      </c>
      <c r="F97" s="100">
        <v>1.29</v>
      </c>
      <c r="G97" s="100">
        <v>66.88</v>
      </c>
      <c r="H97" s="100">
        <v>25.56</v>
      </c>
      <c r="I97" s="100">
        <v>12.82</v>
      </c>
      <c r="J97" s="100">
        <v>0.19</v>
      </c>
      <c r="K97" s="100">
        <v>163.22</v>
      </c>
      <c r="L97" s="100">
        <v>14.17</v>
      </c>
      <c r="M97" s="100">
        <v>67.319999999999993</v>
      </c>
      <c r="N97" s="100">
        <v>14.1</v>
      </c>
      <c r="O97" s="100">
        <v>0</v>
      </c>
      <c r="P97" s="100">
        <v>0.67</v>
      </c>
      <c r="Q97" s="100">
        <v>9.32</v>
      </c>
      <c r="R97" s="6"/>
      <c r="S97" s="6"/>
      <c r="T97" s="156"/>
      <c r="U97" s="6"/>
    </row>
    <row r="98" spans="1:28" customFormat="1">
      <c r="A98" s="163" t="s">
        <v>2544</v>
      </c>
      <c r="B98" s="100">
        <v>12.76</v>
      </c>
      <c r="C98" s="100">
        <v>18.14</v>
      </c>
      <c r="D98" s="100">
        <v>19.71</v>
      </c>
      <c r="E98" s="100">
        <v>5.88</v>
      </c>
      <c r="F98" s="100">
        <v>1.17</v>
      </c>
      <c r="G98" s="100">
        <v>66.69</v>
      </c>
      <c r="H98" s="100">
        <v>25.56</v>
      </c>
      <c r="I98" s="100">
        <v>12.98</v>
      </c>
      <c r="J98" s="100">
        <v>0.2</v>
      </c>
      <c r="K98" s="100">
        <v>204.76</v>
      </c>
      <c r="L98" s="100">
        <v>13.8</v>
      </c>
      <c r="M98" s="100">
        <v>72.59</v>
      </c>
      <c r="N98" s="100">
        <v>14.4</v>
      </c>
      <c r="O98" s="100">
        <v>0</v>
      </c>
      <c r="P98" s="100">
        <v>0.68</v>
      </c>
      <c r="Q98" s="100">
        <v>9.32</v>
      </c>
      <c r="R98" s="6"/>
      <c r="S98" s="6"/>
      <c r="T98" s="156"/>
      <c r="U98" s="6"/>
    </row>
    <row r="99" spans="1:28" customFormat="1">
      <c r="A99" s="163" t="s">
        <v>2545</v>
      </c>
      <c r="B99" s="100">
        <v>14.24</v>
      </c>
      <c r="C99" s="100">
        <v>18.48</v>
      </c>
      <c r="D99" s="100">
        <v>21.07</v>
      </c>
      <c r="E99" s="100">
        <v>5.88</v>
      </c>
      <c r="F99" s="100">
        <v>1.25</v>
      </c>
      <c r="G99" s="100">
        <v>66.69</v>
      </c>
      <c r="H99" s="100">
        <v>25.56</v>
      </c>
      <c r="I99" s="100">
        <v>13.23</v>
      </c>
      <c r="J99" s="100">
        <v>0.14000000000000001</v>
      </c>
      <c r="K99" s="100">
        <v>185.33</v>
      </c>
      <c r="L99" s="100">
        <v>13.58</v>
      </c>
      <c r="M99" s="100">
        <v>72.2</v>
      </c>
      <c r="N99" s="100">
        <v>14.2</v>
      </c>
      <c r="O99" s="100">
        <v>0</v>
      </c>
      <c r="P99" s="100">
        <v>0.71</v>
      </c>
      <c r="Q99" s="100">
        <v>9.32</v>
      </c>
      <c r="R99" s="6"/>
      <c r="S99" s="6"/>
      <c r="T99" s="156"/>
      <c r="U99" s="6"/>
    </row>
    <row r="100" spans="1:28" customFormat="1">
      <c r="A100" s="163" t="s">
        <v>2546</v>
      </c>
      <c r="B100" s="100">
        <v>16.02</v>
      </c>
      <c r="C100" s="100">
        <v>18.96</v>
      </c>
      <c r="D100" s="100">
        <v>22.75</v>
      </c>
      <c r="E100" s="100">
        <v>5.8</v>
      </c>
      <c r="F100" s="100">
        <v>1.21</v>
      </c>
      <c r="G100" s="100">
        <v>66.69</v>
      </c>
      <c r="H100" s="100">
        <v>25.56</v>
      </c>
      <c r="I100" s="100">
        <v>13.53</v>
      </c>
      <c r="J100" s="100">
        <v>0.17</v>
      </c>
      <c r="K100" s="100">
        <v>225.55</v>
      </c>
      <c r="L100" s="100">
        <v>13.34</v>
      </c>
      <c r="M100" s="100">
        <v>73.040000000000006</v>
      </c>
      <c r="N100" s="100">
        <v>14.2</v>
      </c>
      <c r="O100" s="100">
        <v>0</v>
      </c>
      <c r="P100" s="100">
        <v>0.73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2547</v>
      </c>
      <c r="B101" s="100">
        <v>18.02</v>
      </c>
      <c r="C101" s="100">
        <v>19.350000000000001</v>
      </c>
      <c r="D101" s="100">
        <v>24.56</v>
      </c>
      <c r="E101" s="100">
        <v>5.73</v>
      </c>
      <c r="F101" s="100">
        <v>1.35</v>
      </c>
      <c r="G101" s="100">
        <v>71.12</v>
      </c>
      <c r="H101" s="100">
        <v>33.49</v>
      </c>
      <c r="I101" s="100">
        <v>13.8</v>
      </c>
      <c r="J101" s="100">
        <v>0.16</v>
      </c>
      <c r="K101" s="100">
        <v>175.08</v>
      </c>
      <c r="L101" s="100">
        <v>13.26</v>
      </c>
      <c r="M101" s="100">
        <v>74.319999999999993</v>
      </c>
      <c r="N101" s="100">
        <v>14.2</v>
      </c>
      <c r="O101" s="100">
        <v>0</v>
      </c>
      <c r="P101" s="100">
        <v>0.74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2548</v>
      </c>
      <c r="B102" s="100">
        <v>19.82</v>
      </c>
      <c r="C102" s="100">
        <v>19.62</v>
      </c>
      <c r="D102" s="100">
        <v>26.15</v>
      </c>
      <c r="E102" s="100">
        <v>5.63</v>
      </c>
      <c r="F102" s="100">
        <v>1.2</v>
      </c>
      <c r="G102" s="100">
        <v>71.38</v>
      </c>
      <c r="H102" s="100">
        <v>33.49</v>
      </c>
      <c r="I102" s="100">
        <v>14.01</v>
      </c>
      <c r="J102" s="100">
        <v>0.2</v>
      </c>
      <c r="K102" s="100">
        <v>164.84</v>
      </c>
      <c r="L102" s="100">
        <v>13.01</v>
      </c>
      <c r="M102" s="100">
        <v>80.52</v>
      </c>
      <c r="N102" s="100">
        <v>14.2</v>
      </c>
      <c r="O102" s="100">
        <v>0</v>
      </c>
      <c r="P102" s="100">
        <v>0.76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2549</v>
      </c>
      <c r="B103" s="100">
        <v>21.29</v>
      </c>
      <c r="C103" s="100">
        <v>19.75</v>
      </c>
      <c r="D103" s="100">
        <v>27.39</v>
      </c>
      <c r="E103" s="100">
        <v>5.47</v>
      </c>
      <c r="F103" s="100">
        <v>1.19</v>
      </c>
      <c r="G103" s="100">
        <v>71.38</v>
      </c>
      <c r="H103" s="100">
        <v>33.49</v>
      </c>
      <c r="I103" s="100">
        <v>14.21</v>
      </c>
      <c r="J103" s="100">
        <v>0.18</v>
      </c>
      <c r="K103" s="100">
        <v>162.01</v>
      </c>
      <c r="L103" s="100">
        <v>12.95</v>
      </c>
      <c r="M103" s="100">
        <v>82.17</v>
      </c>
      <c r="N103" s="100">
        <v>14.2</v>
      </c>
      <c r="O103" s="100">
        <v>0</v>
      </c>
      <c r="P103" s="100">
        <v>0.77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2550</v>
      </c>
      <c r="B104" s="100">
        <v>22.49</v>
      </c>
      <c r="C104" s="100">
        <v>19.57</v>
      </c>
      <c r="D104" s="100">
        <v>28.26</v>
      </c>
      <c r="E104" s="100">
        <v>5.78</v>
      </c>
      <c r="F104" s="100">
        <v>1.25</v>
      </c>
      <c r="G104" s="100">
        <v>71.38</v>
      </c>
      <c r="H104" s="100">
        <v>33.49</v>
      </c>
      <c r="I104" s="100">
        <v>14.42</v>
      </c>
      <c r="J104" s="100">
        <v>0.19</v>
      </c>
      <c r="K104" s="100">
        <v>207.38</v>
      </c>
      <c r="L104" s="100">
        <v>12.69</v>
      </c>
      <c r="M104" s="100">
        <v>85.38</v>
      </c>
      <c r="N104" s="100">
        <v>14.2</v>
      </c>
      <c r="O104" s="100">
        <v>0</v>
      </c>
      <c r="P104" s="100">
        <v>0.78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3.57</v>
      </c>
      <c r="C106" s="158">
        <f>MIN(C9:C104)</f>
        <v>15.62</v>
      </c>
      <c r="D106" s="158">
        <f t="shared" ref="D106:Q106" si="0">MIN(D9:D104)</f>
        <v>12.73</v>
      </c>
      <c r="E106" s="158">
        <f t="shared" si="0"/>
        <v>2.85</v>
      </c>
      <c r="F106" s="158">
        <f t="shared" si="0"/>
        <v>0.97</v>
      </c>
      <c r="G106" s="158">
        <f t="shared" si="0"/>
        <v>33.869999999999997</v>
      </c>
      <c r="H106" s="158">
        <f t="shared" si="0"/>
        <v>10.52</v>
      </c>
      <c r="I106" s="158">
        <f t="shared" si="0"/>
        <v>9.69</v>
      </c>
      <c r="J106" s="158">
        <f t="shared" si="0"/>
        <v>0.05</v>
      </c>
      <c r="K106" s="158">
        <f t="shared" si="0"/>
        <v>34.14</v>
      </c>
      <c r="L106" s="158">
        <f t="shared" si="0"/>
        <v>9.0399999999999991</v>
      </c>
      <c r="M106" s="158">
        <f t="shared" si="0"/>
        <v>22.98</v>
      </c>
      <c r="N106" s="158">
        <f t="shared" si="0"/>
        <v>14</v>
      </c>
      <c r="O106" s="158">
        <f t="shared" si="0"/>
        <v>0</v>
      </c>
      <c r="P106" s="158">
        <f t="shared" si="0"/>
        <v>0.45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29.73</v>
      </c>
      <c r="C107" s="157">
        <f t="shared" ref="C107:Q107" si="1">MAX(C9:C104)</f>
        <v>21.27</v>
      </c>
      <c r="D107" s="157">
        <f t="shared" si="1"/>
        <v>33.43</v>
      </c>
      <c r="E107" s="157">
        <f t="shared" si="1"/>
        <v>7.25</v>
      </c>
      <c r="F107" s="157">
        <f t="shared" si="1"/>
        <v>6.4</v>
      </c>
      <c r="G107" s="157">
        <f t="shared" si="1"/>
        <v>94.86</v>
      </c>
      <c r="H107" s="157">
        <f t="shared" si="1"/>
        <v>64.72</v>
      </c>
      <c r="I107" s="157">
        <f t="shared" si="1"/>
        <v>29.65</v>
      </c>
      <c r="J107" s="157">
        <f t="shared" si="1"/>
        <v>1.31</v>
      </c>
      <c r="K107" s="157">
        <f t="shared" si="1"/>
        <v>225.55</v>
      </c>
      <c r="L107" s="157">
        <f t="shared" si="1"/>
        <v>24.92</v>
      </c>
      <c r="M107" s="157">
        <f t="shared" si="1"/>
        <v>93.9</v>
      </c>
      <c r="N107" s="157">
        <f t="shared" si="1"/>
        <v>589.9</v>
      </c>
      <c r="O107" s="157">
        <f t="shared" si="1"/>
        <v>0</v>
      </c>
      <c r="P107" s="157">
        <f t="shared" si="1"/>
        <v>1.72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15.731354166666671</v>
      </c>
      <c r="C108" s="158">
        <f t="shared" ref="C108:Q108" si="2">AVERAGE(C9:C104)</f>
        <v>18.634583333333328</v>
      </c>
      <c r="D108" s="158">
        <f t="shared" si="2"/>
        <v>22.351354166666678</v>
      </c>
      <c r="E108" s="158">
        <f t="shared" si="2"/>
        <v>5.2780208333333318</v>
      </c>
      <c r="F108" s="158">
        <f t="shared" si="2"/>
        <v>1.8989583333333335</v>
      </c>
      <c r="G108" s="158">
        <f t="shared" si="2"/>
        <v>70.191562499999989</v>
      </c>
      <c r="H108" s="158">
        <f t="shared" si="2"/>
        <v>36.718749999999993</v>
      </c>
      <c r="I108" s="158">
        <f t="shared" si="2"/>
        <v>17.930208333333336</v>
      </c>
      <c r="J108" s="158">
        <f t="shared" si="2"/>
        <v>0.33802083333333344</v>
      </c>
      <c r="K108" s="158">
        <f t="shared" si="2"/>
        <v>138.0188541666667</v>
      </c>
      <c r="L108" s="158">
        <f t="shared" si="2"/>
        <v>16.411875000000009</v>
      </c>
      <c r="M108" s="158">
        <f t="shared" si="2"/>
        <v>62.509270833333325</v>
      </c>
      <c r="N108" s="158">
        <f t="shared" si="2"/>
        <v>108.10937500000011</v>
      </c>
      <c r="O108" s="158">
        <f t="shared" si="2"/>
        <v>0</v>
      </c>
      <c r="P108" s="158">
        <f t="shared" si="2"/>
        <v>1.0190625000000002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8.7665685082640703</v>
      </c>
      <c r="C109" s="158">
        <f t="shared" ref="C109:Q109" si="3">STDEV(C9:C104)</f>
        <v>1.5225815450751756</v>
      </c>
      <c r="D109" s="158">
        <f t="shared" si="3"/>
        <v>6.7402298289397722</v>
      </c>
      <c r="E109" s="158">
        <f t="shared" si="3"/>
        <v>1.0851559381433311</v>
      </c>
      <c r="F109" s="158">
        <f t="shared" si="3"/>
        <v>1.1330438549292703</v>
      </c>
      <c r="G109" s="158">
        <f t="shared" si="3"/>
        <v>19.5515888345154</v>
      </c>
      <c r="H109" s="158">
        <f t="shared" si="3"/>
        <v>17.667527229950835</v>
      </c>
      <c r="I109" s="158">
        <f t="shared" si="3"/>
        <v>6.4485273682677509</v>
      </c>
      <c r="J109" s="158">
        <f t="shared" si="3"/>
        <v>0.30216628322713007</v>
      </c>
      <c r="K109" s="158">
        <f t="shared" si="3"/>
        <v>59.380608670185033</v>
      </c>
      <c r="L109" s="158">
        <f t="shared" si="3"/>
        <v>5.5347271719950903</v>
      </c>
      <c r="M109" s="158">
        <f t="shared" si="3"/>
        <v>27.058991549450727</v>
      </c>
      <c r="N109" s="158">
        <f t="shared" si="3"/>
        <v>174.45819169080681</v>
      </c>
      <c r="O109" s="158">
        <f t="shared" si="3"/>
        <v>0</v>
      </c>
      <c r="P109" s="158">
        <f t="shared" si="3"/>
        <v>0.408357629961003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G15" sqref="G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2551</v>
      </c>
      <c r="B9" s="100">
        <v>23.24</v>
      </c>
      <c r="C9" s="100">
        <v>18.64</v>
      </c>
      <c r="D9" s="100">
        <v>28.37</v>
      </c>
      <c r="E9" s="100">
        <v>5.52</v>
      </c>
      <c r="F9" s="100">
        <v>1.27</v>
      </c>
      <c r="G9" s="100">
        <v>73.97</v>
      </c>
      <c r="H9" s="100">
        <v>32.92</v>
      </c>
      <c r="I9" s="100">
        <v>14.64</v>
      </c>
      <c r="J9" s="100">
        <v>0.16</v>
      </c>
      <c r="K9" s="100">
        <v>216.63</v>
      </c>
      <c r="L9" s="100">
        <v>12.32</v>
      </c>
      <c r="M9" s="100">
        <v>86.86</v>
      </c>
      <c r="N9" s="100">
        <v>14.4</v>
      </c>
      <c r="O9" s="100">
        <v>0</v>
      </c>
      <c r="P9" s="100">
        <v>0.79</v>
      </c>
      <c r="Q9" s="100">
        <v>9.32</v>
      </c>
      <c r="R9" s="6"/>
      <c r="S9" s="6"/>
      <c r="T9" s="156"/>
      <c r="U9" s="6"/>
    </row>
    <row r="10" spans="1:21" customFormat="1">
      <c r="A10" s="163" t="s">
        <v>2552</v>
      </c>
      <c r="B10" s="100">
        <v>23.69</v>
      </c>
      <c r="C10" s="100">
        <v>19.239999999999998</v>
      </c>
      <c r="D10" s="100">
        <v>29.05</v>
      </c>
      <c r="E10" s="100">
        <v>5.79</v>
      </c>
      <c r="F10" s="100">
        <v>1.31</v>
      </c>
      <c r="G10" s="100">
        <v>74.12</v>
      </c>
      <c r="H10" s="100">
        <v>32.92</v>
      </c>
      <c r="I10" s="100">
        <v>14.83</v>
      </c>
      <c r="J10" s="100">
        <v>0.13</v>
      </c>
      <c r="K10" s="100">
        <v>176.59</v>
      </c>
      <c r="L10" s="100">
        <v>12.14</v>
      </c>
      <c r="M10" s="100">
        <v>84.97</v>
      </c>
      <c r="N10" s="100">
        <v>14.3</v>
      </c>
      <c r="O10" s="100">
        <v>0</v>
      </c>
      <c r="P10" s="100">
        <v>0.8</v>
      </c>
      <c r="Q10" s="100">
        <v>9.32</v>
      </c>
      <c r="R10" s="6"/>
      <c r="S10" s="6"/>
      <c r="T10" s="156"/>
      <c r="U10" s="6"/>
    </row>
    <row r="11" spans="1:21" customFormat="1">
      <c r="A11" s="163" t="s">
        <v>2553</v>
      </c>
      <c r="B11" s="100">
        <v>24.59</v>
      </c>
      <c r="C11" s="100">
        <v>19.420000000000002</v>
      </c>
      <c r="D11" s="100">
        <v>29.87</v>
      </c>
      <c r="E11" s="100">
        <v>5.81</v>
      </c>
      <c r="F11" s="100">
        <v>1.25</v>
      </c>
      <c r="G11" s="100">
        <v>74.12</v>
      </c>
      <c r="H11" s="100">
        <v>32.92</v>
      </c>
      <c r="I11" s="100">
        <v>14.97</v>
      </c>
      <c r="J11" s="100">
        <v>0.2</v>
      </c>
      <c r="K11" s="100">
        <v>150.93</v>
      </c>
      <c r="L11" s="100">
        <v>12.33</v>
      </c>
      <c r="M11" s="100">
        <v>83.22</v>
      </c>
      <c r="N11" s="100">
        <v>14.1</v>
      </c>
      <c r="O11" s="100">
        <v>0</v>
      </c>
      <c r="P11" s="100">
        <v>0.82</v>
      </c>
      <c r="Q11" s="100">
        <v>9.32</v>
      </c>
      <c r="R11" s="6"/>
      <c r="S11" s="6"/>
      <c r="T11" s="156"/>
      <c r="U11" s="6"/>
    </row>
    <row r="12" spans="1:21" customFormat="1">
      <c r="A12" s="163" t="s">
        <v>2554</v>
      </c>
      <c r="B12" s="100">
        <v>25.82</v>
      </c>
      <c r="C12" s="100">
        <v>19.54</v>
      </c>
      <c r="D12" s="100">
        <v>30.91</v>
      </c>
      <c r="E12" s="100">
        <v>5.79</v>
      </c>
      <c r="F12" s="100">
        <v>1.27</v>
      </c>
      <c r="G12" s="100">
        <v>74.12</v>
      </c>
      <c r="H12" s="100">
        <v>32.92</v>
      </c>
      <c r="I12" s="100">
        <v>15.08</v>
      </c>
      <c r="J12" s="100">
        <v>0.17</v>
      </c>
      <c r="K12" s="100">
        <v>100.04</v>
      </c>
      <c r="L12" s="100">
        <v>12.32</v>
      </c>
      <c r="M12" s="100">
        <v>83.41</v>
      </c>
      <c r="N12" s="100">
        <v>14</v>
      </c>
      <c r="O12" s="100">
        <v>0</v>
      </c>
      <c r="P12" s="100">
        <v>0.84</v>
      </c>
      <c r="Q12" s="100">
        <v>9.32</v>
      </c>
      <c r="R12" s="6"/>
      <c r="S12" s="6"/>
      <c r="T12" s="156"/>
      <c r="U12" s="6"/>
    </row>
    <row r="13" spans="1:21" customFormat="1">
      <c r="A13" s="163" t="s">
        <v>2555</v>
      </c>
      <c r="B13" s="100">
        <v>28.19</v>
      </c>
      <c r="C13" s="100">
        <v>19.7</v>
      </c>
      <c r="D13" s="100">
        <v>32.9</v>
      </c>
      <c r="E13" s="100">
        <v>5.75</v>
      </c>
      <c r="F13" s="100">
        <v>1.22</v>
      </c>
      <c r="G13" s="100">
        <v>72.05</v>
      </c>
      <c r="H13" s="100">
        <v>34.380000000000003</v>
      </c>
      <c r="I13" s="100">
        <v>15.24</v>
      </c>
      <c r="J13" s="100">
        <v>0.11</v>
      </c>
      <c r="K13" s="100">
        <v>116.48</v>
      </c>
      <c r="L13" s="100">
        <v>12.75</v>
      </c>
      <c r="M13" s="100">
        <v>78.260000000000005</v>
      </c>
      <c r="N13" s="100">
        <v>14.1</v>
      </c>
      <c r="O13" s="100">
        <v>0</v>
      </c>
      <c r="P13" s="100">
        <v>0.85</v>
      </c>
      <c r="Q13" s="100">
        <v>9.32</v>
      </c>
      <c r="R13" s="6"/>
      <c r="S13" s="6"/>
      <c r="T13" s="156"/>
      <c r="U13" s="6"/>
    </row>
    <row r="14" spans="1:21" customFormat="1">
      <c r="A14" s="163" t="s">
        <v>2556</v>
      </c>
      <c r="B14" s="100">
        <v>30.7</v>
      </c>
      <c r="C14" s="100">
        <v>20.25</v>
      </c>
      <c r="D14" s="100">
        <v>35.200000000000003</v>
      </c>
      <c r="E14" s="100">
        <v>5.74</v>
      </c>
      <c r="F14" s="100">
        <v>1.33</v>
      </c>
      <c r="G14" s="100">
        <v>71.930000000000007</v>
      </c>
      <c r="H14" s="100">
        <v>34.380000000000003</v>
      </c>
      <c r="I14" s="100">
        <v>15.47</v>
      </c>
      <c r="J14" s="100">
        <v>0.11</v>
      </c>
      <c r="K14" s="100">
        <v>169.86</v>
      </c>
      <c r="L14" s="100">
        <v>12.75</v>
      </c>
      <c r="M14" s="100">
        <v>76.790000000000006</v>
      </c>
      <c r="N14" s="100">
        <v>14.1</v>
      </c>
      <c r="O14" s="100">
        <v>0</v>
      </c>
      <c r="P14" s="100">
        <v>0.87</v>
      </c>
      <c r="Q14" s="100">
        <v>9.32</v>
      </c>
      <c r="R14" s="6"/>
      <c r="S14" s="6"/>
      <c r="T14" s="156"/>
      <c r="U14" s="6"/>
    </row>
    <row r="15" spans="1:21" customFormat="1">
      <c r="A15" s="163" t="s">
        <v>2557</v>
      </c>
      <c r="B15" s="100">
        <v>32.49</v>
      </c>
      <c r="C15" s="100">
        <v>20.5</v>
      </c>
      <c r="D15" s="100">
        <v>36.76</v>
      </c>
      <c r="E15" s="100">
        <v>5.67</v>
      </c>
      <c r="F15" s="100">
        <v>1.26</v>
      </c>
      <c r="G15" s="100">
        <v>71.930000000000007</v>
      </c>
      <c r="H15" s="100">
        <v>34.380000000000003</v>
      </c>
      <c r="I15" s="100">
        <v>15.69</v>
      </c>
      <c r="J15" s="100">
        <v>0.14000000000000001</v>
      </c>
      <c r="K15" s="100">
        <v>156.77000000000001</v>
      </c>
      <c r="L15" s="100">
        <v>12.61</v>
      </c>
      <c r="M15" s="100">
        <v>79.44</v>
      </c>
      <c r="N15" s="100">
        <v>14.2</v>
      </c>
      <c r="O15" s="100">
        <v>0</v>
      </c>
      <c r="P15" s="100">
        <v>0.88</v>
      </c>
      <c r="Q15" s="100">
        <v>9.32</v>
      </c>
      <c r="R15" s="6"/>
      <c r="S15" s="6"/>
      <c r="T15" s="156"/>
      <c r="U15" s="6"/>
    </row>
    <row r="16" spans="1:21" customFormat="1">
      <c r="A16" s="163" t="s">
        <v>2558</v>
      </c>
      <c r="B16" s="100">
        <v>33.630000000000003</v>
      </c>
      <c r="C16" s="100">
        <v>20.71</v>
      </c>
      <c r="D16" s="100">
        <v>37.79</v>
      </c>
      <c r="E16" s="100">
        <v>5.78</v>
      </c>
      <c r="F16" s="100">
        <v>1.24</v>
      </c>
      <c r="G16" s="100">
        <v>71.930000000000007</v>
      </c>
      <c r="H16" s="100">
        <v>34.380000000000003</v>
      </c>
      <c r="I16" s="100">
        <v>15.93</v>
      </c>
      <c r="J16" s="100">
        <v>0.2</v>
      </c>
      <c r="K16" s="100">
        <v>171.83</v>
      </c>
      <c r="L16" s="100">
        <v>12.36</v>
      </c>
      <c r="M16" s="100">
        <v>80.62</v>
      </c>
      <c r="N16" s="100">
        <v>14.1</v>
      </c>
      <c r="O16" s="100">
        <v>0</v>
      </c>
      <c r="P16" s="100">
        <v>0.91</v>
      </c>
      <c r="Q16" s="100">
        <v>9.32</v>
      </c>
      <c r="R16" s="6"/>
      <c r="S16" s="6"/>
      <c r="T16" s="156"/>
      <c r="U16" s="6"/>
    </row>
    <row r="17" spans="1:21" customFormat="1">
      <c r="A17" s="163" t="s">
        <v>2559</v>
      </c>
      <c r="B17" s="100">
        <v>34.33</v>
      </c>
      <c r="C17" s="100">
        <v>20.7</v>
      </c>
      <c r="D17" s="100">
        <v>38.35</v>
      </c>
      <c r="E17" s="100">
        <v>4.67</v>
      </c>
      <c r="F17" s="100">
        <v>1.17</v>
      </c>
      <c r="G17" s="100">
        <v>77.34</v>
      </c>
      <c r="H17" s="100">
        <v>35.74</v>
      </c>
      <c r="I17" s="100">
        <v>16.18</v>
      </c>
      <c r="J17" s="100">
        <v>0.18</v>
      </c>
      <c r="K17" s="100">
        <v>190.91</v>
      </c>
      <c r="L17" s="100">
        <v>11.86</v>
      </c>
      <c r="M17" s="100">
        <v>85.12</v>
      </c>
      <c r="N17" s="100">
        <v>14.5</v>
      </c>
      <c r="O17" s="100">
        <v>0</v>
      </c>
      <c r="P17" s="100">
        <v>0.91</v>
      </c>
      <c r="Q17" s="100">
        <v>9.32</v>
      </c>
      <c r="R17" s="6"/>
      <c r="S17" s="6"/>
      <c r="T17" s="156"/>
      <c r="U17" s="6"/>
    </row>
    <row r="18" spans="1:21" customFormat="1">
      <c r="A18" s="163" t="s">
        <v>2560</v>
      </c>
      <c r="B18" s="100">
        <v>33.979999999999997</v>
      </c>
      <c r="C18" s="100">
        <v>20.52</v>
      </c>
      <c r="D18" s="100">
        <v>37.97</v>
      </c>
      <c r="E18" s="100">
        <v>5.92</v>
      </c>
      <c r="F18" s="100">
        <v>1.1000000000000001</v>
      </c>
      <c r="G18" s="100">
        <v>77.66</v>
      </c>
      <c r="H18" s="100">
        <v>35.74</v>
      </c>
      <c r="I18" s="100">
        <v>16.37</v>
      </c>
      <c r="J18" s="100">
        <v>0.16</v>
      </c>
      <c r="K18" s="100">
        <v>204.07</v>
      </c>
      <c r="L18" s="100">
        <v>11.64</v>
      </c>
      <c r="M18" s="100">
        <v>86.25</v>
      </c>
      <c r="N18" s="100">
        <v>14.2</v>
      </c>
      <c r="O18" s="100">
        <v>0</v>
      </c>
      <c r="P18" s="100">
        <v>0.91</v>
      </c>
      <c r="Q18" s="100">
        <v>9.32</v>
      </c>
      <c r="R18" s="6"/>
      <c r="S18" s="6"/>
      <c r="T18" s="156"/>
      <c r="U18" s="6"/>
    </row>
    <row r="19" spans="1:21" customFormat="1">
      <c r="A19" s="163" t="s">
        <v>2561</v>
      </c>
      <c r="B19" s="100">
        <v>33.5</v>
      </c>
      <c r="C19" s="100">
        <v>20.27</v>
      </c>
      <c r="D19" s="100">
        <v>37.450000000000003</v>
      </c>
      <c r="E19" s="100">
        <v>6.1</v>
      </c>
      <c r="F19" s="100">
        <v>1.18</v>
      </c>
      <c r="G19" s="100">
        <v>77.66</v>
      </c>
      <c r="H19" s="100">
        <v>35.74</v>
      </c>
      <c r="I19" s="100">
        <v>16.55</v>
      </c>
      <c r="J19" s="100">
        <v>0.08</v>
      </c>
      <c r="K19" s="100">
        <v>180.04</v>
      </c>
      <c r="L19" s="100">
        <v>11.44</v>
      </c>
      <c r="M19" s="100">
        <v>85.96</v>
      </c>
      <c r="N19" s="100">
        <v>14.2</v>
      </c>
      <c r="O19" s="100">
        <v>0</v>
      </c>
      <c r="P19" s="100">
        <v>0.91</v>
      </c>
      <c r="Q19" s="100">
        <v>9.32</v>
      </c>
      <c r="R19" s="6"/>
      <c r="S19" s="6"/>
      <c r="T19" s="156"/>
      <c r="U19" s="6"/>
    </row>
    <row r="20" spans="1:21" customFormat="1">
      <c r="A20" s="163" t="s">
        <v>2562</v>
      </c>
      <c r="B20" s="100">
        <v>33.93</v>
      </c>
      <c r="C20" s="100">
        <v>20.399999999999999</v>
      </c>
      <c r="D20" s="100">
        <v>37.869999999999997</v>
      </c>
      <c r="E20" s="100">
        <v>6.04</v>
      </c>
      <c r="F20" s="100">
        <v>1.25</v>
      </c>
      <c r="G20" s="100">
        <v>77.66</v>
      </c>
      <c r="H20" s="100">
        <v>35.74</v>
      </c>
      <c r="I20" s="100">
        <v>16.690000000000001</v>
      </c>
      <c r="J20" s="100">
        <v>0.16</v>
      </c>
      <c r="K20" s="100">
        <v>157.18</v>
      </c>
      <c r="L20" s="100">
        <v>11.66</v>
      </c>
      <c r="M20" s="100">
        <v>83.05</v>
      </c>
      <c r="N20" s="100">
        <v>14.1</v>
      </c>
      <c r="O20" s="100">
        <v>0</v>
      </c>
      <c r="P20" s="100">
        <v>0.92</v>
      </c>
      <c r="Q20" s="100">
        <v>9.32</v>
      </c>
      <c r="R20" s="6"/>
      <c r="S20" s="6"/>
      <c r="T20" s="156"/>
      <c r="U20" s="6"/>
    </row>
    <row r="21" spans="1:21" customFormat="1">
      <c r="A21" s="163" t="s">
        <v>2563</v>
      </c>
      <c r="B21" s="100">
        <v>35.47</v>
      </c>
      <c r="C21" s="100">
        <v>20.61</v>
      </c>
      <c r="D21" s="100">
        <v>39.21</v>
      </c>
      <c r="E21" s="100">
        <v>5.86</v>
      </c>
      <c r="F21" s="100">
        <v>1.25</v>
      </c>
      <c r="G21" s="100">
        <v>75.260000000000005</v>
      </c>
      <c r="H21" s="100">
        <v>35.950000000000003</v>
      </c>
      <c r="I21" s="100">
        <v>15.25</v>
      </c>
      <c r="J21" s="100">
        <v>0.14000000000000001</v>
      </c>
      <c r="K21" s="100">
        <v>192.22</v>
      </c>
      <c r="L21" s="100">
        <v>11.63</v>
      </c>
      <c r="M21" s="100">
        <v>83.68</v>
      </c>
      <c r="N21" s="100">
        <v>14.1</v>
      </c>
      <c r="O21" s="100">
        <v>0</v>
      </c>
      <c r="P21" s="100">
        <v>0.92</v>
      </c>
      <c r="Q21" s="100">
        <v>9.32</v>
      </c>
      <c r="R21" s="6"/>
      <c r="S21" s="6"/>
      <c r="T21" s="156"/>
      <c r="U21" s="6"/>
    </row>
    <row r="22" spans="1:21" customFormat="1">
      <c r="A22" s="163" t="s">
        <v>2564</v>
      </c>
      <c r="B22" s="100">
        <v>36.340000000000003</v>
      </c>
      <c r="C22" s="100">
        <v>20.61</v>
      </c>
      <c r="D22" s="100">
        <v>39.909999999999997</v>
      </c>
      <c r="E22" s="100">
        <v>6.32</v>
      </c>
      <c r="F22" s="100">
        <v>1.08</v>
      </c>
      <c r="G22" s="100">
        <v>75.12</v>
      </c>
      <c r="H22" s="100">
        <v>35.950000000000003</v>
      </c>
      <c r="I22" s="100">
        <v>13.67</v>
      </c>
      <c r="J22" s="100">
        <v>0.16</v>
      </c>
      <c r="K22" s="100">
        <v>203.31</v>
      </c>
      <c r="L22" s="100">
        <v>11.54</v>
      </c>
      <c r="M22" s="100">
        <v>86.68</v>
      </c>
      <c r="N22" s="100">
        <v>14.1</v>
      </c>
      <c r="O22" s="100">
        <v>0</v>
      </c>
      <c r="P22" s="100">
        <v>0.92</v>
      </c>
      <c r="Q22" s="100">
        <v>9.32</v>
      </c>
      <c r="R22" s="6"/>
      <c r="S22" s="6"/>
      <c r="T22" s="156"/>
      <c r="U22" s="6"/>
    </row>
    <row r="23" spans="1:21" customFormat="1">
      <c r="A23" s="163" t="s">
        <v>2565</v>
      </c>
      <c r="B23" s="100">
        <v>36.18</v>
      </c>
      <c r="C23" s="100">
        <v>20.34</v>
      </c>
      <c r="D23" s="100">
        <v>39.64</v>
      </c>
      <c r="E23" s="100">
        <v>3.45</v>
      </c>
      <c r="F23" s="100">
        <v>1.04</v>
      </c>
      <c r="G23" s="100">
        <v>75.12</v>
      </c>
      <c r="H23" s="100">
        <v>35.950000000000003</v>
      </c>
      <c r="I23" s="100">
        <v>13.77</v>
      </c>
      <c r="J23" s="100">
        <v>0.12</v>
      </c>
      <c r="K23" s="100">
        <v>199.63</v>
      </c>
      <c r="L23" s="100">
        <v>11.23</v>
      </c>
      <c r="M23" s="100">
        <v>89.04</v>
      </c>
      <c r="N23" s="100">
        <v>14.2</v>
      </c>
      <c r="O23" s="100">
        <v>0</v>
      </c>
      <c r="P23" s="100">
        <v>0.92</v>
      </c>
      <c r="Q23" s="100">
        <v>9.32</v>
      </c>
      <c r="R23" s="6"/>
      <c r="S23" s="6"/>
      <c r="T23" s="156"/>
      <c r="U23" s="6"/>
    </row>
    <row r="24" spans="1:21" customFormat="1">
      <c r="A24" s="163" t="s">
        <v>2566</v>
      </c>
      <c r="B24" s="100">
        <v>35.93</v>
      </c>
      <c r="C24" s="100">
        <v>20.13</v>
      </c>
      <c r="D24" s="100">
        <v>39.33</v>
      </c>
      <c r="E24" s="100">
        <v>5.75</v>
      </c>
      <c r="F24" s="100">
        <v>1.21</v>
      </c>
      <c r="G24" s="100">
        <v>75.12</v>
      </c>
      <c r="H24" s="100">
        <v>35.950000000000003</v>
      </c>
      <c r="I24" s="100">
        <v>13.84</v>
      </c>
      <c r="J24" s="100">
        <v>0.09</v>
      </c>
      <c r="K24" s="100">
        <v>164.02</v>
      </c>
      <c r="L24" s="100">
        <v>11.16</v>
      </c>
      <c r="M24" s="100">
        <v>87.6</v>
      </c>
      <c r="N24" s="100">
        <v>14.1</v>
      </c>
      <c r="O24" s="100">
        <v>0</v>
      </c>
      <c r="P24" s="100">
        <v>0.92</v>
      </c>
      <c r="Q24" s="100">
        <v>9.32</v>
      </c>
      <c r="R24" s="6"/>
      <c r="S24" s="6"/>
      <c r="T24" s="156"/>
      <c r="U24" s="6"/>
    </row>
    <row r="25" spans="1:21" customFormat="1">
      <c r="A25" s="163" t="s">
        <v>2567</v>
      </c>
      <c r="B25" s="100">
        <v>37.08</v>
      </c>
      <c r="C25" s="100">
        <v>20.25</v>
      </c>
      <c r="D25" s="100">
        <v>40.32</v>
      </c>
      <c r="E25" s="100">
        <v>5.85</v>
      </c>
      <c r="F25" s="100">
        <v>1.1100000000000001</v>
      </c>
      <c r="G25" s="100">
        <v>69.319999999999993</v>
      </c>
      <c r="H25" s="100">
        <v>36.57</v>
      </c>
      <c r="I25" s="100">
        <v>13.9</v>
      </c>
      <c r="J25" s="100">
        <v>0.08</v>
      </c>
      <c r="K25" s="100">
        <v>141.79</v>
      </c>
      <c r="L25" s="100">
        <v>11.37</v>
      </c>
      <c r="M25" s="100">
        <v>83.46</v>
      </c>
      <c r="N25" s="100">
        <v>14.1</v>
      </c>
      <c r="O25" s="100">
        <v>0</v>
      </c>
      <c r="P25" s="100">
        <v>0.91</v>
      </c>
      <c r="Q25" s="100">
        <v>9.32</v>
      </c>
      <c r="R25" s="6"/>
      <c r="S25" s="6"/>
      <c r="T25" s="156"/>
      <c r="U25" s="6"/>
    </row>
    <row r="26" spans="1:21" customFormat="1">
      <c r="A26" s="163" t="s">
        <v>2568</v>
      </c>
      <c r="B26" s="100">
        <v>38.24</v>
      </c>
      <c r="C26" s="100">
        <v>20.47</v>
      </c>
      <c r="D26" s="100">
        <v>41.36</v>
      </c>
      <c r="E26" s="100">
        <v>6.14</v>
      </c>
      <c r="F26" s="100">
        <v>1.1499999999999999</v>
      </c>
      <c r="G26" s="100">
        <v>68.98</v>
      </c>
      <c r="H26" s="100">
        <v>36.57</v>
      </c>
      <c r="I26" s="100">
        <v>13.9</v>
      </c>
      <c r="J26" s="100">
        <v>0.15</v>
      </c>
      <c r="K26" s="100">
        <v>144.51</v>
      </c>
      <c r="L26" s="100">
        <v>11.56</v>
      </c>
      <c r="M26" s="100">
        <v>80.45</v>
      </c>
      <c r="N26" s="100">
        <v>14.1</v>
      </c>
      <c r="O26" s="100">
        <v>0</v>
      </c>
      <c r="P26" s="100">
        <v>0.9</v>
      </c>
      <c r="Q26" s="100">
        <v>9.32</v>
      </c>
      <c r="R26" s="6"/>
      <c r="S26" s="6"/>
      <c r="T26" s="156"/>
      <c r="U26" s="6"/>
    </row>
    <row r="27" spans="1:21" customFormat="1">
      <c r="A27" s="163" t="s">
        <v>2569</v>
      </c>
      <c r="B27" s="100">
        <v>38.44</v>
      </c>
      <c r="C27" s="100">
        <v>20.62</v>
      </c>
      <c r="D27" s="100">
        <v>41.6</v>
      </c>
      <c r="E27" s="100">
        <v>5.64</v>
      </c>
      <c r="F27" s="100">
        <v>1.21</v>
      </c>
      <c r="G27" s="100">
        <v>68.98</v>
      </c>
      <c r="H27" s="100">
        <v>36.57</v>
      </c>
      <c r="I27" s="100">
        <v>13.83</v>
      </c>
      <c r="J27" s="100">
        <v>0.17</v>
      </c>
      <c r="K27" s="100">
        <v>159.52000000000001</v>
      </c>
      <c r="L27" s="100">
        <v>11.58</v>
      </c>
      <c r="M27" s="100">
        <v>80.42</v>
      </c>
      <c r="N27" s="100">
        <v>14.1</v>
      </c>
      <c r="O27" s="100">
        <v>0</v>
      </c>
      <c r="P27" s="100">
        <v>0.89</v>
      </c>
      <c r="Q27" s="100">
        <v>9.32</v>
      </c>
      <c r="R27" s="6"/>
      <c r="S27" s="6"/>
      <c r="T27" s="156"/>
      <c r="U27" s="6"/>
    </row>
    <row r="28" spans="1:21" customFormat="1">
      <c r="A28" s="163" t="s">
        <v>2570</v>
      </c>
      <c r="B28" s="100">
        <v>37.74</v>
      </c>
      <c r="C28" s="100">
        <v>20.55</v>
      </c>
      <c r="D28" s="100">
        <v>41</v>
      </c>
      <c r="E28" s="100">
        <v>5.86</v>
      </c>
      <c r="F28" s="100">
        <v>1.21</v>
      </c>
      <c r="G28" s="100">
        <v>68.98</v>
      </c>
      <c r="H28" s="100">
        <v>36.57</v>
      </c>
      <c r="I28" s="100">
        <v>13.72</v>
      </c>
      <c r="J28" s="100">
        <v>0.31</v>
      </c>
      <c r="K28" s="100">
        <v>53.84</v>
      </c>
      <c r="L28" s="100">
        <v>11.78</v>
      </c>
      <c r="M28" s="100">
        <v>77.569999999999993</v>
      </c>
      <c r="N28" s="100">
        <v>13.6</v>
      </c>
      <c r="O28" s="100">
        <v>0</v>
      </c>
      <c r="P28" s="100">
        <v>0.87</v>
      </c>
      <c r="Q28" s="100">
        <v>9.32</v>
      </c>
      <c r="R28" s="6"/>
      <c r="S28" s="6"/>
      <c r="T28" s="156"/>
      <c r="U28" s="6"/>
    </row>
    <row r="29" spans="1:21" customFormat="1">
      <c r="A29" s="163" t="s">
        <v>2571</v>
      </c>
      <c r="B29" s="100">
        <v>36.880000000000003</v>
      </c>
      <c r="C29" s="100">
        <v>20.18</v>
      </c>
      <c r="D29" s="100">
        <v>40.119999999999997</v>
      </c>
      <c r="E29" s="100">
        <v>5.76</v>
      </c>
      <c r="F29" s="100">
        <v>1.1499999999999999</v>
      </c>
      <c r="G29" s="100">
        <v>67.34</v>
      </c>
      <c r="H29" s="100">
        <v>34.21</v>
      </c>
      <c r="I29" s="100">
        <v>13.54</v>
      </c>
      <c r="J29" s="100">
        <v>0.48</v>
      </c>
      <c r="K29" s="100">
        <v>45.93</v>
      </c>
      <c r="L29" s="100">
        <v>12.32</v>
      </c>
      <c r="M29" s="100">
        <v>73.680000000000007</v>
      </c>
      <c r="N29" s="100">
        <v>13.6</v>
      </c>
      <c r="O29" s="100">
        <v>0</v>
      </c>
      <c r="P29" s="100">
        <v>0.85</v>
      </c>
      <c r="Q29" s="100">
        <v>9.32</v>
      </c>
      <c r="R29" s="6"/>
      <c r="S29" s="6"/>
      <c r="T29" s="156"/>
      <c r="U29" s="6"/>
    </row>
    <row r="30" spans="1:21" customFormat="1">
      <c r="A30" s="163" t="s">
        <v>2572</v>
      </c>
      <c r="B30" s="100">
        <v>35.880000000000003</v>
      </c>
      <c r="C30" s="100">
        <v>20.149999999999999</v>
      </c>
      <c r="D30" s="100">
        <v>39.299999999999997</v>
      </c>
      <c r="E30" s="100">
        <v>6.02</v>
      </c>
      <c r="F30" s="100">
        <v>1.0900000000000001</v>
      </c>
      <c r="G30" s="100">
        <v>67.23</v>
      </c>
      <c r="H30" s="100">
        <v>34.21</v>
      </c>
      <c r="I30" s="100">
        <v>13.31</v>
      </c>
      <c r="J30" s="100">
        <v>0.47</v>
      </c>
      <c r="K30" s="100">
        <v>29.23</v>
      </c>
      <c r="L30" s="100">
        <v>12.38</v>
      </c>
      <c r="M30" s="100">
        <v>72.28</v>
      </c>
      <c r="N30" s="100">
        <v>13.9</v>
      </c>
      <c r="O30" s="100">
        <v>0</v>
      </c>
      <c r="P30" s="100">
        <v>0.84</v>
      </c>
      <c r="Q30" s="100">
        <v>9.32</v>
      </c>
      <c r="R30" s="6"/>
      <c r="S30" s="6"/>
      <c r="T30" s="156"/>
      <c r="U30" s="6"/>
    </row>
    <row r="31" spans="1:21" customFormat="1">
      <c r="A31" s="163" t="s">
        <v>2573</v>
      </c>
      <c r="B31" s="100">
        <v>34.799999999999997</v>
      </c>
      <c r="C31" s="100">
        <v>20.260000000000002</v>
      </c>
      <c r="D31" s="100">
        <v>38.49</v>
      </c>
      <c r="E31" s="100">
        <v>5.89</v>
      </c>
      <c r="F31" s="100">
        <v>1.1599999999999999</v>
      </c>
      <c r="G31" s="100">
        <v>67.23</v>
      </c>
      <c r="H31" s="100">
        <v>34.21</v>
      </c>
      <c r="I31" s="100">
        <v>14.6</v>
      </c>
      <c r="J31" s="100">
        <v>0.2</v>
      </c>
      <c r="K31" s="100">
        <v>151.31</v>
      </c>
      <c r="L31" s="100">
        <v>12.32</v>
      </c>
      <c r="M31" s="100">
        <v>74.349999999999994</v>
      </c>
      <c r="N31" s="100">
        <v>14.4</v>
      </c>
      <c r="O31" s="100">
        <v>0</v>
      </c>
      <c r="P31" s="100">
        <v>0.82</v>
      </c>
      <c r="Q31" s="100">
        <v>9.32</v>
      </c>
      <c r="R31" s="6"/>
      <c r="S31" s="6"/>
      <c r="T31" s="156"/>
      <c r="U31" s="6"/>
    </row>
    <row r="32" spans="1:21" customFormat="1">
      <c r="A32" s="163" t="s">
        <v>2574</v>
      </c>
      <c r="B32" s="100">
        <v>33.32</v>
      </c>
      <c r="C32" s="100">
        <v>19.850000000000001</v>
      </c>
      <c r="D32" s="100">
        <v>37.090000000000003</v>
      </c>
      <c r="E32" s="100">
        <v>5.77</v>
      </c>
      <c r="F32" s="100">
        <v>1.19</v>
      </c>
      <c r="G32" s="100">
        <v>67.23</v>
      </c>
      <c r="H32" s="100">
        <v>34.21</v>
      </c>
      <c r="I32" s="100">
        <v>14.53</v>
      </c>
      <c r="J32" s="100">
        <v>0.1</v>
      </c>
      <c r="K32" s="100">
        <v>189.08</v>
      </c>
      <c r="L32" s="100">
        <v>11.38</v>
      </c>
      <c r="M32" s="100">
        <v>82.35</v>
      </c>
      <c r="N32" s="100">
        <v>14.8</v>
      </c>
      <c r="O32" s="100">
        <v>0</v>
      </c>
      <c r="P32" s="100">
        <v>0.81</v>
      </c>
      <c r="Q32" s="100">
        <v>9.32</v>
      </c>
      <c r="R32" s="6"/>
      <c r="S32" s="6"/>
      <c r="T32" s="156"/>
      <c r="U32" s="6"/>
    </row>
    <row r="33" spans="1:21" customFormat="1">
      <c r="A33" s="163" t="s">
        <v>2575</v>
      </c>
      <c r="B33" s="100">
        <v>32.6</v>
      </c>
      <c r="C33" s="100">
        <v>19.7</v>
      </c>
      <c r="D33" s="100">
        <v>36.43</v>
      </c>
      <c r="E33" s="100">
        <v>5.94</v>
      </c>
      <c r="F33" s="100">
        <v>1.26</v>
      </c>
      <c r="G33" s="100">
        <v>62</v>
      </c>
      <c r="H33" s="100">
        <v>34.159999999999997</v>
      </c>
      <c r="I33" s="100">
        <v>12.66</v>
      </c>
      <c r="J33" s="100">
        <v>0.23</v>
      </c>
      <c r="K33" s="100">
        <v>189.11</v>
      </c>
      <c r="L33" s="100">
        <v>11.26</v>
      </c>
      <c r="M33" s="100">
        <v>83.49</v>
      </c>
      <c r="N33" s="100">
        <v>14.3</v>
      </c>
      <c r="O33" s="100">
        <v>0</v>
      </c>
      <c r="P33" s="100">
        <v>0.79</v>
      </c>
      <c r="Q33" s="100">
        <v>9.32</v>
      </c>
      <c r="R33" s="6"/>
      <c r="S33" s="6"/>
      <c r="T33" s="156"/>
      <c r="U33" s="6"/>
    </row>
    <row r="34" spans="1:21" customFormat="1">
      <c r="A34" s="163" t="s">
        <v>2576</v>
      </c>
      <c r="B34" s="100">
        <v>31.71</v>
      </c>
      <c r="C34" s="100">
        <v>19.48</v>
      </c>
      <c r="D34" s="100">
        <v>35.61</v>
      </c>
      <c r="E34" s="100">
        <v>5.78</v>
      </c>
      <c r="F34" s="100">
        <v>1.1399999999999999</v>
      </c>
      <c r="G34" s="100">
        <v>61.69</v>
      </c>
      <c r="H34" s="100">
        <v>34.159999999999997</v>
      </c>
      <c r="I34" s="100">
        <v>13.95</v>
      </c>
      <c r="J34" s="100">
        <v>0.12</v>
      </c>
      <c r="K34" s="100">
        <v>188.75</v>
      </c>
      <c r="L34" s="100">
        <v>10.79</v>
      </c>
      <c r="M34" s="100">
        <v>87.33</v>
      </c>
      <c r="N34" s="100">
        <v>15</v>
      </c>
      <c r="O34" s="100">
        <v>0</v>
      </c>
      <c r="P34" s="100">
        <v>0.79</v>
      </c>
      <c r="Q34" s="100">
        <v>9.32</v>
      </c>
      <c r="R34" s="6"/>
      <c r="S34" s="6"/>
      <c r="T34" s="156"/>
      <c r="U34" s="6"/>
    </row>
    <row r="35" spans="1:21" customFormat="1">
      <c r="A35" s="163" t="s">
        <v>2577</v>
      </c>
      <c r="B35" s="100">
        <v>30.55</v>
      </c>
      <c r="C35" s="100">
        <v>19.010000000000002</v>
      </c>
      <c r="D35" s="100">
        <v>34.43</v>
      </c>
      <c r="E35" s="100">
        <v>5.83</v>
      </c>
      <c r="F35" s="100">
        <v>1.1299999999999999</v>
      </c>
      <c r="G35" s="100">
        <v>61.69</v>
      </c>
      <c r="H35" s="100">
        <v>34.159999999999997</v>
      </c>
      <c r="I35" s="100">
        <v>15.39</v>
      </c>
      <c r="J35" s="100">
        <v>0.19</v>
      </c>
      <c r="K35" s="100">
        <v>168.28</v>
      </c>
      <c r="L35" s="100">
        <v>10.73</v>
      </c>
      <c r="M35" s="100">
        <v>86.79</v>
      </c>
      <c r="N35" s="100">
        <v>17.2</v>
      </c>
      <c r="O35" s="100">
        <v>0</v>
      </c>
      <c r="P35" s="100">
        <v>0.78</v>
      </c>
      <c r="Q35" s="100">
        <v>9.32</v>
      </c>
      <c r="R35" s="6"/>
      <c r="S35" s="6"/>
      <c r="T35" s="156"/>
      <c r="U35" s="6"/>
    </row>
    <row r="36" spans="1:21" customFormat="1">
      <c r="A36" s="163" t="s">
        <v>2578</v>
      </c>
      <c r="B36" s="100">
        <v>30.12</v>
      </c>
      <c r="C36" s="100">
        <v>18.73</v>
      </c>
      <c r="D36" s="100">
        <v>33.94</v>
      </c>
      <c r="E36" s="100">
        <v>5.54</v>
      </c>
      <c r="F36" s="100">
        <v>1.19</v>
      </c>
      <c r="G36" s="100">
        <v>61.69</v>
      </c>
      <c r="H36" s="100">
        <v>34.159999999999997</v>
      </c>
      <c r="I36" s="100">
        <v>15.25</v>
      </c>
      <c r="J36" s="100">
        <v>0.18</v>
      </c>
      <c r="K36" s="100">
        <v>175.55</v>
      </c>
      <c r="L36" s="100">
        <v>10.78</v>
      </c>
      <c r="M36" s="100">
        <v>86.84</v>
      </c>
      <c r="N36" s="100">
        <v>23.7</v>
      </c>
      <c r="O36" s="100">
        <v>0</v>
      </c>
      <c r="P36" s="100">
        <v>0.77</v>
      </c>
      <c r="Q36" s="100">
        <v>9.32</v>
      </c>
      <c r="R36" s="6"/>
      <c r="S36" s="6"/>
      <c r="T36" s="156"/>
      <c r="U36" s="6"/>
    </row>
    <row r="37" spans="1:21" customFormat="1">
      <c r="A37" s="163" t="s">
        <v>2579</v>
      </c>
      <c r="B37" s="100">
        <v>29.23</v>
      </c>
      <c r="C37" s="100">
        <v>18.22</v>
      </c>
      <c r="D37" s="100">
        <v>32.96</v>
      </c>
      <c r="E37" s="100">
        <v>5.53</v>
      </c>
      <c r="F37" s="100">
        <v>1.1399999999999999</v>
      </c>
      <c r="G37" s="100">
        <v>54.36</v>
      </c>
      <c r="H37" s="100">
        <v>32.43</v>
      </c>
      <c r="I37" s="100">
        <v>15.16</v>
      </c>
      <c r="J37" s="100">
        <v>0.18</v>
      </c>
      <c r="K37" s="100">
        <v>186.35</v>
      </c>
      <c r="L37" s="100">
        <v>10.71</v>
      </c>
      <c r="M37" s="100">
        <v>88.44</v>
      </c>
      <c r="N37" s="100">
        <v>32.200000000000003</v>
      </c>
      <c r="O37" s="100">
        <v>0</v>
      </c>
      <c r="P37" s="100">
        <v>0.76</v>
      </c>
      <c r="Q37" s="100">
        <v>9.32</v>
      </c>
      <c r="R37" s="6"/>
      <c r="S37" s="6"/>
      <c r="T37" s="156"/>
      <c r="U37" s="6"/>
    </row>
    <row r="38" spans="1:21" customFormat="1">
      <c r="A38" s="163" t="s">
        <v>2580</v>
      </c>
      <c r="B38" s="100">
        <v>28.12</v>
      </c>
      <c r="C38" s="100">
        <v>17.940000000000001</v>
      </c>
      <c r="D38" s="100">
        <v>31.92</v>
      </c>
      <c r="E38" s="100">
        <v>5.49</v>
      </c>
      <c r="F38" s="100">
        <v>1.26</v>
      </c>
      <c r="G38" s="100">
        <v>53.93</v>
      </c>
      <c r="H38" s="100">
        <v>32.43</v>
      </c>
      <c r="I38" s="100">
        <v>13.69</v>
      </c>
      <c r="J38" s="100">
        <v>0.09</v>
      </c>
      <c r="K38" s="100">
        <v>177.55</v>
      </c>
      <c r="L38" s="100">
        <v>11.02</v>
      </c>
      <c r="M38" s="100">
        <v>87.31</v>
      </c>
      <c r="N38" s="100">
        <v>42.1</v>
      </c>
      <c r="O38" s="100">
        <v>0</v>
      </c>
      <c r="P38" s="100">
        <v>0.78</v>
      </c>
      <c r="Q38" s="100">
        <v>9.32</v>
      </c>
      <c r="R38" s="6"/>
      <c r="S38" s="6"/>
      <c r="T38" s="156"/>
      <c r="U38" s="6"/>
    </row>
    <row r="39" spans="1:21" customFormat="1">
      <c r="A39" s="163" t="s">
        <v>2581</v>
      </c>
      <c r="B39" s="100">
        <v>27.05</v>
      </c>
      <c r="C39" s="100">
        <v>17.71</v>
      </c>
      <c r="D39" s="100">
        <v>30.94</v>
      </c>
      <c r="E39" s="100">
        <v>5.78</v>
      </c>
      <c r="F39" s="100">
        <v>1.17</v>
      </c>
      <c r="G39" s="100">
        <v>53.93</v>
      </c>
      <c r="H39" s="100">
        <v>32.43</v>
      </c>
      <c r="I39" s="100">
        <v>13.49</v>
      </c>
      <c r="J39" s="100">
        <v>7.0000000000000007E-2</v>
      </c>
      <c r="K39" s="100">
        <v>147.09</v>
      </c>
      <c r="L39" s="100">
        <v>11.55</v>
      </c>
      <c r="M39" s="100">
        <v>86.65</v>
      </c>
      <c r="N39" s="100">
        <v>52.3</v>
      </c>
      <c r="O39" s="100">
        <v>0</v>
      </c>
      <c r="P39" s="100">
        <v>0.78</v>
      </c>
      <c r="Q39" s="100">
        <v>9.32</v>
      </c>
      <c r="R39" s="6"/>
      <c r="S39" s="6"/>
      <c r="T39" s="156"/>
      <c r="U39" s="6"/>
    </row>
    <row r="40" spans="1:21" customFormat="1">
      <c r="A40" s="163" t="s">
        <v>2582</v>
      </c>
      <c r="B40" s="100">
        <v>26.18</v>
      </c>
      <c r="C40" s="100">
        <v>17.489999999999998</v>
      </c>
      <c r="D40" s="100">
        <v>30.14</v>
      </c>
      <c r="E40" s="100">
        <v>5.75</v>
      </c>
      <c r="F40" s="100">
        <v>1.18</v>
      </c>
      <c r="G40" s="100">
        <v>53.93</v>
      </c>
      <c r="H40" s="100">
        <v>32.43</v>
      </c>
      <c r="I40" s="100">
        <v>15.04</v>
      </c>
      <c r="J40" s="100">
        <v>0.1</v>
      </c>
      <c r="K40" s="100">
        <v>51.99</v>
      </c>
      <c r="L40" s="100">
        <v>12.54</v>
      </c>
      <c r="M40" s="100">
        <v>82.65</v>
      </c>
      <c r="N40" s="100">
        <v>61.9</v>
      </c>
      <c r="O40" s="100">
        <v>0</v>
      </c>
      <c r="P40" s="100">
        <v>0.79</v>
      </c>
      <c r="Q40" s="100">
        <v>9.32</v>
      </c>
      <c r="R40" s="6"/>
      <c r="S40" s="6"/>
      <c r="T40" s="156"/>
      <c r="U40" s="6"/>
    </row>
    <row r="41" spans="1:21" customFormat="1">
      <c r="A41" s="163" t="s">
        <v>2583</v>
      </c>
      <c r="B41" s="100">
        <v>25.9</v>
      </c>
      <c r="C41" s="100">
        <v>17.97</v>
      </c>
      <c r="D41" s="100">
        <v>30.15</v>
      </c>
      <c r="E41" s="100">
        <v>5.74</v>
      </c>
      <c r="F41" s="100">
        <v>1.33</v>
      </c>
      <c r="G41" s="100">
        <v>53.91</v>
      </c>
      <c r="H41" s="100">
        <v>32.25</v>
      </c>
      <c r="I41" s="100">
        <v>15.02</v>
      </c>
      <c r="J41" s="100">
        <v>0.46</v>
      </c>
      <c r="K41" s="100">
        <v>54.26</v>
      </c>
      <c r="L41" s="100">
        <v>13.79</v>
      </c>
      <c r="M41" s="100">
        <v>69.040000000000006</v>
      </c>
      <c r="N41" s="100">
        <v>121.3</v>
      </c>
      <c r="O41" s="100">
        <v>0</v>
      </c>
      <c r="P41" s="100">
        <v>0.78</v>
      </c>
      <c r="Q41" s="100">
        <v>9.32</v>
      </c>
      <c r="R41" s="6"/>
      <c r="S41" s="6"/>
      <c r="T41" s="156"/>
      <c r="U41" s="6"/>
    </row>
    <row r="42" spans="1:21" customFormat="1">
      <c r="A42" s="163" t="s">
        <v>2584</v>
      </c>
      <c r="B42" s="100">
        <v>25.68</v>
      </c>
      <c r="C42" s="100">
        <v>18.510000000000002</v>
      </c>
      <c r="D42" s="100">
        <v>30.26</v>
      </c>
      <c r="E42" s="100">
        <v>5.6</v>
      </c>
      <c r="F42" s="100">
        <v>1.24</v>
      </c>
      <c r="G42" s="100">
        <v>53.91</v>
      </c>
      <c r="H42" s="100">
        <v>32.25</v>
      </c>
      <c r="I42" s="100">
        <v>13.55</v>
      </c>
      <c r="J42" s="100">
        <v>0.47</v>
      </c>
      <c r="K42" s="100">
        <v>51.22</v>
      </c>
      <c r="L42" s="100">
        <v>14.79</v>
      </c>
      <c r="M42" s="100">
        <v>63.62</v>
      </c>
      <c r="N42" s="100">
        <v>189.7</v>
      </c>
      <c r="O42" s="100">
        <v>0</v>
      </c>
      <c r="P42" s="100">
        <v>0.77</v>
      </c>
      <c r="Q42" s="100">
        <v>9.32</v>
      </c>
      <c r="R42" s="6"/>
      <c r="S42" s="6"/>
      <c r="T42" s="156"/>
      <c r="U42" s="6"/>
    </row>
    <row r="43" spans="1:21" customFormat="1">
      <c r="A43" s="163" t="s">
        <v>2585</v>
      </c>
      <c r="B43" s="100">
        <v>25.07</v>
      </c>
      <c r="C43" s="100">
        <v>18.829999999999998</v>
      </c>
      <c r="D43" s="100">
        <v>29.94</v>
      </c>
      <c r="E43" s="100">
        <v>5.42</v>
      </c>
      <c r="F43" s="100">
        <v>1.33</v>
      </c>
      <c r="G43" s="100">
        <v>53.91</v>
      </c>
      <c r="H43" s="100">
        <v>32.25</v>
      </c>
      <c r="I43" s="100">
        <v>13.39</v>
      </c>
      <c r="J43" s="100">
        <v>0.42</v>
      </c>
      <c r="K43" s="100">
        <v>70.67</v>
      </c>
      <c r="L43" s="100">
        <v>15.83</v>
      </c>
      <c r="M43" s="100">
        <v>60.33</v>
      </c>
      <c r="N43" s="100">
        <v>222.4</v>
      </c>
      <c r="O43" s="100">
        <v>0</v>
      </c>
      <c r="P43" s="100">
        <v>0.77</v>
      </c>
      <c r="Q43" s="100">
        <v>9.32</v>
      </c>
      <c r="R43" s="6"/>
      <c r="S43" s="6"/>
      <c r="T43" s="156"/>
      <c r="U43" s="6"/>
    </row>
    <row r="44" spans="1:21" customFormat="1">
      <c r="A44" s="163" t="s">
        <v>2586</v>
      </c>
      <c r="B44" s="100">
        <v>24.14</v>
      </c>
      <c r="C44" s="100">
        <v>19.190000000000001</v>
      </c>
      <c r="D44" s="100">
        <v>29.39</v>
      </c>
      <c r="E44" s="100">
        <v>5.42</v>
      </c>
      <c r="F44" s="100">
        <v>1.4</v>
      </c>
      <c r="G44" s="100">
        <v>53.91</v>
      </c>
      <c r="H44" s="100">
        <v>32.25</v>
      </c>
      <c r="I44" s="100">
        <v>14.87</v>
      </c>
      <c r="J44" s="100">
        <v>0.44</v>
      </c>
      <c r="K44" s="100">
        <v>76.099999999999994</v>
      </c>
      <c r="L44" s="100">
        <v>17.03</v>
      </c>
      <c r="M44" s="100">
        <v>55.01</v>
      </c>
      <c r="N44" s="100">
        <v>251.6</v>
      </c>
      <c r="O44" s="100">
        <v>0</v>
      </c>
      <c r="P44" s="100">
        <v>0.76</v>
      </c>
      <c r="Q44" s="100">
        <v>9.32</v>
      </c>
      <c r="R44" s="6"/>
      <c r="S44" s="6"/>
      <c r="T44" s="156"/>
      <c r="U44" s="6"/>
    </row>
    <row r="45" spans="1:21" customFormat="1">
      <c r="A45" s="163" t="s">
        <v>2587</v>
      </c>
      <c r="B45" s="100">
        <v>23.01</v>
      </c>
      <c r="C45" s="100">
        <v>19.149999999999999</v>
      </c>
      <c r="D45" s="100">
        <v>28.46</v>
      </c>
      <c r="E45" s="100">
        <v>5.43</v>
      </c>
      <c r="F45" s="100">
        <v>1.46</v>
      </c>
      <c r="G45" s="100">
        <v>53.85</v>
      </c>
      <c r="H45" s="100">
        <v>31.55</v>
      </c>
      <c r="I45" s="100">
        <v>13.39</v>
      </c>
      <c r="J45" s="100">
        <v>0.42</v>
      </c>
      <c r="K45" s="100">
        <v>57.36</v>
      </c>
      <c r="L45" s="100">
        <v>17.829999999999998</v>
      </c>
      <c r="M45" s="100">
        <v>51.33</v>
      </c>
      <c r="N45" s="100">
        <v>179.2</v>
      </c>
      <c r="O45" s="100">
        <v>0</v>
      </c>
      <c r="P45" s="100">
        <v>0.75</v>
      </c>
      <c r="Q45" s="100">
        <v>9.32</v>
      </c>
      <c r="R45" s="6"/>
      <c r="S45" s="6"/>
      <c r="T45" s="156"/>
      <c r="U45" s="6"/>
    </row>
    <row r="46" spans="1:21" customFormat="1">
      <c r="A46" s="163" t="s">
        <v>2588</v>
      </c>
      <c r="B46" s="100">
        <v>21.76</v>
      </c>
      <c r="C46" s="100">
        <v>18.989999999999998</v>
      </c>
      <c r="D46" s="100">
        <v>27.37</v>
      </c>
      <c r="E46" s="100">
        <v>5.43</v>
      </c>
      <c r="F46" s="100">
        <v>1.34</v>
      </c>
      <c r="G46" s="100">
        <v>53.84</v>
      </c>
      <c r="H46" s="100">
        <v>31.55</v>
      </c>
      <c r="I46" s="100">
        <v>13.16</v>
      </c>
      <c r="J46" s="100">
        <v>0.56999999999999995</v>
      </c>
      <c r="K46" s="100">
        <v>60.83</v>
      </c>
      <c r="L46" s="100">
        <v>18.79</v>
      </c>
      <c r="M46" s="100">
        <v>47.58</v>
      </c>
      <c r="N46" s="100">
        <v>117.4</v>
      </c>
      <c r="O46" s="100">
        <v>0</v>
      </c>
      <c r="P46" s="100">
        <v>0.74</v>
      </c>
      <c r="Q46" s="100">
        <v>9.32</v>
      </c>
      <c r="R46" s="6"/>
      <c r="S46" s="6"/>
      <c r="T46" s="156"/>
      <c r="U46" s="6"/>
    </row>
    <row r="47" spans="1:21" customFormat="1">
      <c r="A47" s="163" t="s">
        <v>2589</v>
      </c>
      <c r="B47" s="100">
        <v>20.55</v>
      </c>
      <c r="C47" s="100">
        <v>18.91</v>
      </c>
      <c r="D47" s="100">
        <v>26.36</v>
      </c>
      <c r="E47" s="100">
        <v>5.43</v>
      </c>
      <c r="F47" s="100">
        <v>1.32</v>
      </c>
      <c r="G47" s="100">
        <v>53.84</v>
      </c>
      <c r="H47" s="100">
        <v>31.55</v>
      </c>
      <c r="I47" s="100">
        <v>14.51</v>
      </c>
      <c r="J47" s="100">
        <v>1</v>
      </c>
      <c r="K47" s="100">
        <v>51.05</v>
      </c>
      <c r="L47" s="100">
        <v>19.010000000000002</v>
      </c>
      <c r="M47" s="100">
        <v>45.72</v>
      </c>
      <c r="N47" s="100">
        <v>123.6</v>
      </c>
      <c r="O47" s="100">
        <v>0</v>
      </c>
      <c r="P47" s="100">
        <v>0.72</v>
      </c>
      <c r="Q47" s="100">
        <v>9.32</v>
      </c>
      <c r="R47" s="6"/>
      <c r="S47" s="6"/>
      <c r="T47" s="156"/>
      <c r="U47" s="6"/>
    </row>
    <row r="48" spans="1:21" customFormat="1">
      <c r="A48" s="163" t="s">
        <v>2590</v>
      </c>
      <c r="B48" s="100">
        <v>19.309999999999999</v>
      </c>
      <c r="C48" s="100">
        <v>19.059999999999999</v>
      </c>
      <c r="D48" s="100">
        <v>25.44</v>
      </c>
      <c r="E48" s="100">
        <v>5.35</v>
      </c>
      <c r="F48" s="100">
        <v>1.5</v>
      </c>
      <c r="G48" s="100">
        <v>53.84</v>
      </c>
      <c r="H48" s="100">
        <v>31.55</v>
      </c>
      <c r="I48" s="100">
        <v>14.31</v>
      </c>
      <c r="J48" s="100">
        <v>0.56999999999999995</v>
      </c>
      <c r="K48" s="100">
        <v>71.78</v>
      </c>
      <c r="L48" s="100">
        <v>19.690000000000001</v>
      </c>
      <c r="M48" s="100">
        <v>43.04</v>
      </c>
      <c r="N48" s="100">
        <v>132.19999999999999</v>
      </c>
      <c r="O48" s="100">
        <v>0</v>
      </c>
      <c r="P48" s="100">
        <v>0.71</v>
      </c>
      <c r="Q48" s="100">
        <v>9.32</v>
      </c>
      <c r="R48" s="6"/>
      <c r="S48" s="6"/>
      <c r="T48" s="156"/>
      <c r="U48" s="6"/>
    </row>
    <row r="49" spans="1:21" customFormat="1">
      <c r="A49" s="163" t="s">
        <v>2591</v>
      </c>
      <c r="B49" s="100">
        <v>18.12</v>
      </c>
      <c r="C49" s="100">
        <v>19.11</v>
      </c>
      <c r="D49" s="100">
        <v>24.51</v>
      </c>
      <c r="E49" s="100">
        <v>4.46</v>
      </c>
      <c r="F49" s="100">
        <v>1.51</v>
      </c>
      <c r="G49" s="100">
        <v>49.55</v>
      </c>
      <c r="H49" s="100">
        <v>29.34</v>
      </c>
      <c r="I49" s="100">
        <v>14.12</v>
      </c>
      <c r="J49" s="100">
        <v>0.64</v>
      </c>
      <c r="K49" s="100">
        <v>64.06</v>
      </c>
      <c r="L49" s="100">
        <v>20.21</v>
      </c>
      <c r="M49" s="100">
        <v>41.37</v>
      </c>
      <c r="N49" s="100">
        <v>336.5</v>
      </c>
      <c r="O49" s="100">
        <v>0</v>
      </c>
      <c r="P49" s="100">
        <v>0.7</v>
      </c>
      <c r="Q49" s="100">
        <v>9.32</v>
      </c>
      <c r="R49" s="6"/>
      <c r="S49" s="6"/>
      <c r="T49" s="156"/>
      <c r="U49" s="6"/>
    </row>
    <row r="50" spans="1:21" customFormat="1">
      <c r="A50" s="163" t="s">
        <v>2592</v>
      </c>
      <c r="B50" s="100">
        <v>16.96</v>
      </c>
      <c r="C50" s="100">
        <v>19.12</v>
      </c>
      <c r="D50" s="100">
        <v>23.59</v>
      </c>
      <c r="E50" s="100">
        <v>5.39</v>
      </c>
      <c r="F50" s="100">
        <v>1.36</v>
      </c>
      <c r="G50" s="100">
        <v>49.3</v>
      </c>
      <c r="H50" s="100">
        <v>29.34</v>
      </c>
      <c r="I50" s="100">
        <v>13.69</v>
      </c>
      <c r="J50" s="100">
        <v>0.41</v>
      </c>
      <c r="K50" s="100">
        <v>82.52</v>
      </c>
      <c r="L50" s="100">
        <v>21.14</v>
      </c>
      <c r="M50" s="100">
        <v>39.32</v>
      </c>
      <c r="N50" s="100">
        <v>453.1</v>
      </c>
      <c r="O50" s="100">
        <v>0</v>
      </c>
      <c r="P50" s="100">
        <v>0.68</v>
      </c>
      <c r="Q50" s="100">
        <v>9.32</v>
      </c>
      <c r="R50" s="6"/>
      <c r="S50" s="6"/>
      <c r="T50" s="156"/>
      <c r="U50" s="6"/>
    </row>
    <row r="51" spans="1:21" customFormat="1">
      <c r="A51" s="163" t="s">
        <v>2593</v>
      </c>
      <c r="B51" s="100">
        <v>15.87</v>
      </c>
      <c r="C51" s="100">
        <v>19.09</v>
      </c>
      <c r="D51" s="100">
        <v>22.7</v>
      </c>
      <c r="E51" s="100">
        <v>5.41</v>
      </c>
      <c r="F51" s="100">
        <v>1.45</v>
      </c>
      <c r="G51" s="100">
        <v>49.3</v>
      </c>
      <c r="H51" s="100">
        <v>29.34</v>
      </c>
      <c r="I51" s="100">
        <v>13.25</v>
      </c>
      <c r="J51" s="100">
        <v>0.7</v>
      </c>
      <c r="K51" s="100">
        <v>54.22</v>
      </c>
      <c r="L51" s="100">
        <v>21.75</v>
      </c>
      <c r="M51" s="100">
        <v>37.909999999999997</v>
      </c>
      <c r="N51" s="100">
        <v>480.4</v>
      </c>
      <c r="O51" s="100">
        <v>0</v>
      </c>
      <c r="P51" s="100">
        <v>0.68</v>
      </c>
      <c r="Q51" s="100">
        <v>9.32</v>
      </c>
      <c r="R51" s="6"/>
      <c r="S51" s="6"/>
      <c r="T51" s="156"/>
      <c r="U51" s="6"/>
    </row>
    <row r="52" spans="1:21" customFormat="1">
      <c r="A52" s="163" t="s">
        <v>2594</v>
      </c>
      <c r="B52" s="100">
        <v>14.77</v>
      </c>
      <c r="C52" s="100">
        <v>19.100000000000001</v>
      </c>
      <c r="D52" s="100">
        <v>21.83</v>
      </c>
      <c r="E52" s="100">
        <v>5.54</v>
      </c>
      <c r="F52" s="100">
        <v>1.54</v>
      </c>
      <c r="G52" s="100">
        <v>49.3</v>
      </c>
      <c r="H52" s="100">
        <v>29.34</v>
      </c>
      <c r="I52" s="100">
        <v>13.04</v>
      </c>
      <c r="J52" s="100">
        <v>0.91</v>
      </c>
      <c r="K52" s="100">
        <v>42.62</v>
      </c>
      <c r="L52" s="100">
        <v>21.75</v>
      </c>
      <c r="M52" s="100">
        <v>36.96</v>
      </c>
      <c r="N52" s="100">
        <v>504.8</v>
      </c>
      <c r="O52" s="100">
        <v>0</v>
      </c>
      <c r="P52" s="100">
        <v>0.66</v>
      </c>
      <c r="Q52" s="100">
        <v>9.32</v>
      </c>
      <c r="R52" s="6"/>
      <c r="S52" s="6"/>
      <c r="T52" s="156"/>
      <c r="U52" s="6"/>
    </row>
    <row r="53" spans="1:21" customFormat="1">
      <c r="A53" s="163" t="s">
        <v>2595</v>
      </c>
      <c r="B53" s="100">
        <v>13.83</v>
      </c>
      <c r="C53" s="100">
        <v>19.09</v>
      </c>
      <c r="D53" s="100">
        <v>21.07</v>
      </c>
      <c r="E53" s="100">
        <v>5.47</v>
      </c>
      <c r="F53" s="100">
        <v>1.96</v>
      </c>
      <c r="G53" s="100">
        <v>45.81</v>
      </c>
      <c r="H53" s="100">
        <v>24.8</v>
      </c>
      <c r="I53" s="100">
        <v>12.84</v>
      </c>
      <c r="J53" s="100">
        <v>0.67</v>
      </c>
      <c r="K53" s="100">
        <v>61.32</v>
      </c>
      <c r="L53" s="100">
        <v>22.42</v>
      </c>
      <c r="M53" s="100">
        <v>34.97</v>
      </c>
      <c r="N53" s="100">
        <v>482.3</v>
      </c>
      <c r="O53" s="100">
        <v>0</v>
      </c>
      <c r="P53" s="100">
        <v>0.65</v>
      </c>
      <c r="Q53" s="100">
        <v>9.32</v>
      </c>
      <c r="R53" s="6"/>
      <c r="S53" s="6"/>
      <c r="T53" s="156"/>
      <c r="U53" s="6"/>
    </row>
    <row r="54" spans="1:21" customFormat="1">
      <c r="A54" s="163" t="s">
        <v>2596</v>
      </c>
      <c r="B54" s="100">
        <v>12.95</v>
      </c>
      <c r="C54" s="100">
        <v>19.12</v>
      </c>
      <c r="D54" s="100">
        <v>20.37</v>
      </c>
      <c r="E54" s="100">
        <v>5.86</v>
      </c>
      <c r="F54" s="100">
        <v>2.14</v>
      </c>
      <c r="G54" s="100">
        <v>45.6</v>
      </c>
      <c r="H54" s="100">
        <v>24.8</v>
      </c>
      <c r="I54" s="100">
        <v>12.61</v>
      </c>
      <c r="J54" s="100">
        <v>0.53</v>
      </c>
      <c r="K54" s="100">
        <v>44.88</v>
      </c>
      <c r="L54" s="100">
        <v>23.15</v>
      </c>
      <c r="M54" s="100">
        <v>33.26</v>
      </c>
      <c r="N54" s="100">
        <v>540.29999999999995</v>
      </c>
      <c r="O54" s="100">
        <v>0</v>
      </c>
      <c r="P54" s="100">
        <v>0.63</v>
      </c>
      <c r="Q54" s="100">
        <v>9.32</v>
      </c>
      <c r="R54" s="6"/>
      <c r="S54" s="6"/>
      <c r="T54" s="156"/>
      <c r="U54" s="6"/>
    </row>
    <row r="55" spans="1:21" customFormat="1">
      <c r="A55" s="163" t="s">
        <v>2597</v>
      </c>
      <c r="B55" s="100">
        <v>12.04</v>
      </c>
      <c r="C55" s="100">
        <v>19.02</v>
      </c>
      <c r="D55" s="100">
        <v>19.600000000000001</v>
      </c>
      <c r="E55" s="100">
        <v>5.63</v>
      </c>
      <c r="F55" s="100">
        <v>1.81</v>
      </c>
      <c r="G55" s="100">
        <v>45.6</v>
      </c>
      <c r="H55" s="100">
        <v>24.8</v>
      </c>
      <c r="I55" s="100">
        <v>12.41</v>
      </c>
      <c r="J55" s="100">
        <v>0.33</v>
      </c>
      <c r="K55" s="100">
        <v>94.36</v>
      </c>
      <c r="L55" s="100">
        <v>23.48</v>
      </c>
      <c r="M55" s="100">
        <v>31.54</v>
      </c>
      <c r="N55" s="100">
        <v>552.79999999999995</v>
      </c>
      <c r="O55" s="100">
        <v>0</v>
      </c>
      <c r="P55" s="100">
        <v>0.62</v>
      </c>
      <c r="Q55" s="100">
        <v>9.32</v>
      </c>
      <c r="R55" s="6"/>
      <c r="S55" s="6"/>
      <c r="T55" s="156"/>
      <c r="U55" s="6"/>
    </row>
    <row r="56" spans="1:21" customFormat="1">
      <c r="A56" s="163" t="s">
        <v>2598</v>
      </c>
      <c r="B56" s="100">
        <v>10.96</v>
      </c>
      <c r="C56" s="100">
        <v>18.96</v>
      </c>
      <c r="D56" s="100">
        <v>18.7</v>
      </c>
      <c r="E56" s="100">
        <v>5.96</v>
      </c>
      <c r="F56" s="100">
        <v>2.0699999999999998</v>
      </c>
      <c r="G56" s="100">
        <v>45.6</v>
      </c>
      <c r="H56" s="100">
        <v>24.8</v>
      </c>
      <c r="I56" s="100">
        <v>12.23</v>
      </c>
      <c r="J56" s="100">
        <v>0.51</v>
      </c>
      <c r="K56" s="100">
        <v>175.86</v>
      </c>
      <c r="L56" s="100">
        <v>23.44</v>
      </c>
      <c r="M56" s="100">
        <v>31.7</v>
      </c>
      <c r="N56" s="100">
        <v>557.29999999999995</v>
      </c>
      <c r="O56" s="100">
        <v>0</v>
      </c>
      <c r="P56" s="100">
        <v>0.61</v>
      </c>
      <c r="Q56" s="100">
        <v>9.32</v>
      </c>
      <c r="R56" s="6"/>
      <c r="S56" s="6"/>
      <c r="T56" s="156"/>
      <c r="U56" s="6"/>
    </row>
    <row r="57" spans="1:21" customFormat="1">
      <c r="A57" s="163" t="s">
        <v>2599</v>
      </c>
      <c r="B57" s="100">
        <v>9.7200000000000006</v>
      </c>
      <c r="C57" s="100">
        <v>18.86</v>
      </c>
      <c r="D57" s="100">
        <v>17.649999999999999</v>
      </c>
      <c r="E57" s="100">
        <v>5.77</v>
      </c>
      <c r="F57" s="100">
        <v>2.64</v>
      </c>
      <c r="G57" s="100">
        <v>39.46</v>
      </c>
      <c r="H57" s="100">
        <v>21.91</v>
      </c>
      <c r="I57" s="100">
        <v>11.99</v>
      </c>
      <c r="J57" s="100">
        <v>0.39</v>
      </c>
      <c r="K57" s="100">
        <v>59.6</v>
      </c>
      <c r="L57" s="100">
        <v>23.24</v>
      </c>
      <c r="M57" s="100">
        <v>31.62</v>
      </c>
      <c r="N57" s="100">
        <v>554.79999999999995</v>
      </c>
      <c r="O57" s="100">
        <v>0</v>
      </c>
      <c r="P57" s="100">
        <v>0.56999999999999995</v>
      </c>
      <c r="Q57" s="100">
        <v>9.32</v>
      </c>
      <c r="R57" s="6"/>
      <c r="S57" s="6"/>
      <c r="T57" s="156"/>
      <c r="U57" s="6"/>
    </row>
    <row r="58" spans="1:21" customFormat="1">
      <c r="A58" s="163" t="s">
        <v>2600</v>
      </c>
      <c r="B58" s="100">
        <v>8.41</v>
      </c>
      <c r="C58" s="100">
        <v>19.170000000000002</v>
      </c>
      <c r="D58" s="100">
        <v>16.760000000000002</v>
      </c>
      <c r="E58" s="100">
        <v>5.8</v>
      </c>
      <c r="F58" s="100">
        <v>2.4700000000000002</v>
      </c>
      <c r="G58" s="100">
        <v>39.1</v>
      </c>
      <c r="H58" s="100">
        <v>21.91</v>
      </c>
      <c r="I58" s="100">
        <v>11.75</v>
      </c>
      <c r="J58" s="100">
        <v>0.39</v>
      </c>
      <c r="K58" s="100">
        <v>58.05</v>
      </c>
      <c r="L58" s="100">
        <v>23.98</v>
      </c>
      <c r="M58" s="100">
        <v>30.69</v>
      </c>
      <c r="N58" s="100">
        <v>542</v>
      </c>
      <c r="O58" s="100">
        <v>0</v>
      </c>
      <c r="P58" s="100">
        <v>0.56000000000000005</v>
      </c>
      <c r="Q58" s="100">
        <v>9.32</v>
      </c>
      <c r="R58" s="6"/>
      <c r="S58" s="6"/>
      <c r="T58" s="156"/>
      <c r="U58" s="6"/>
    </row>
    <row r="59" spans="1:21" customFormat="1">
      <c r="A59" s="163" t="s">
        <v>2601</v>
      </c>
      <c r="B59" s="100">
        <v>7.14</v>
      </c>
      <c r="C59" s="100">
        <v>19.41</v>
      </c>
      <c r="D59" s="100">
        <v>15.87</v>
      </c>
      <c r="E59" s="100">
        <v>5.94</v>
      </c>
      <c r="F59" s="100">
        <v>2.39</v>
      </c>
      <c r="G59" s="100">
        <v>39.1</v>
      </c>
      <c r="H59" s="100">
        <v>21.91</v>
      </c>
      <c r="I59" s="100">
        <v>11.49</v>
      </c>
      <c r="J59" s="100">
        <v>0.36</v>
      </c>
      <c r="K59" s="100">
        <v>142.85</v>
      </c>
      <c r="L59" s="100">
        <v>24.14</v>
      </c>
      <c r="M59" s="100">
        <v>30.2</v>
      </c>
      <c r="N59" s="100">
        <v>533.9</v>
      </c>
      <c r="O59" s="100">
        <v>0</v>
      </c>
      <c r="P59" s="100">
        <v>0.54</v>
      </c>
      <c r="Q59" s="100">
        <v>9.32</v>
      </c>
      <c r="R59" s="6"/>
      <c r="S59" s="6"/>
      <c r="T59" s="156"/>
      <c r="U59" s="6"/>
    </row>
    <row r="60" spans="1:21" customFormat="1">
      <c r="A60" s="163" t="s">
        <v>2602</v>
      </c>
      <c r="B60" s="100">
        <v>6.06</v>
      </c>
      <c r="C60" s="100">
        <v>19.43</v>
      </c>
      <c r="D60" s="100">
        <v>15.01</v>
      </c>
      <c r="E60" s="100">
        <v>5.89</v>
      </c>
      <c r="F60" s="100">
        <v>2.82</v>
      </c>
      <c r="G60" s="100">
        <v>39.1</v>
      </c>
      <c r="H60" s="100">
        <v>21.91</v>
      </c>
      <c r="I60" s="100">
        <v>11.22</v>
      </c>
      <c r="J60" s="100">
        <v>1.04</v>
      </c>
      <c r="K60" s="100">
        <v>32.549999999999997</v>
      </c>
      <c r="L60" s="100">
        <v>24.25</v>
      </c>
      <c r="M60" s="100">
        <v>29.05</v>
      </c>
      <c r="N60" s="100">
        <v>513.6</v>
      </c>
      <c r="O60" s="100">
        <v>0</v>
      </c>
      <c r="P60" s="100">
        <v>0.52</v>
      </c>
      <c r="Q60" s="100">
        <v>9.32</v>
      </c>
      <c r="R60" s="6"/>
      <c r="S60" s="6"/>
      <c r="T60" s="156"/>
      <c r="U60" s="6"/>
    </row>
    <row r="61" spans="1:21" customFormat="1">
      <c r="A61" s="163" t="s">
        <v>2603</v>
      </c>
      <c r="B61" s="100">
        <v>5.3</v>
      </c>
      <c r="C61" s="100">
        <v>19.579999999999998</v>
      </c>
      <c r="D61" s="100">
        <v>14.48</v>
      </c>
      <c r="E61" s="100">
        <v>6</v>
      </c>
      <c r="F61" s="100">
        <v>3.38</v>
      </c>
      <c r="G61" s="100">
        <v>37.36</v>
      </c>
      <c r="H61" s="100">
        <v>20.309999999999999</v>
      </c>
      <c r="I61" s="100">
        <v>11.05</v>
      </c>
      <c r="J61" s="100">
        <v>0.88</v>
      </c>
      <c r="K61" s="100">
        <v>34.75</v>
      </c>
      <c r="L61" s="100">
        <v>23.77</v>
      </c>
      <c r="M61" s="100">
        <v>29.75</v>
      </c>
      <c r="N61" s="100">
        <v>446.7</v>
      </c>
      <c r="O61" s="100">
        <v>0</v>
      </c>
      <c r="P61" s="100">
        <v>0.51</v>
      </c>
      <c r="Q61" s="100">
        <v>9.32</v>
      </c>
      <c r="R61" s="6"/>
      <c r="S61" s="6"/>
      <c r="T61" s="156"/>
      <c r="U61" s="6"/>
    </row>
    <row r="62" spans="1:21" customFormat="1">
      <c r="A62" s="163" t="s">
        <v>2604</v>
      </c>
      <c r="B62" s="100">
        <v>4.6900000000000004</v>
      </c>
      <c r="C62" s="100">
        <v>19.48</v>
      </c>
      <c r="D62" s="100">
        <v>13.94</v>
      </c>
      <c r="E62" s="100">
        <v>5.81</v>
      </c>
      <c r="F62" s="100">
        <v>3.09</v>
      </c>
      <c r="G62" s="100">
        <v>37.26</v>
      </c>
      <c r="H62" s="100">
        <v>20.309999999999999</v>
      </c>
      <c r="I62" s="100">
        <v>10.77</v>
      </c>
      <c r="J62" s="100">
        <v>0.13</v>
      </c>
      <c r="K62" s="100">
        <v>333.93</v>
      </c>
      <c r="L62" s="100">
        <v>23.49</v>
      </c>
      <c r="M62" s="100">
        <v>31.01</v>
      </c>
      <c r="N62" s="100">
        <v>224.3</v>
      </c>
      <c r="O62" s="100">
        <v>0</v>
      </c>
      <c r="P62" s="100">
        <v>0.5</v>
      </c>
      <c r="Q62" s="100">
        <v>9.32</v>
      </c>
      <c r="R62" s="6"/>
      <c r="S62" s="6"/>
      <c r="T62" s="156"/>
      <c r="U62" s="6"/>
    </row>
    <row r="63" spans="1:21" customFormat="1">
      <c r="A63" s="163" t="s">
        <v>2605</v>
      </c>
      <c r="B63" s="100">
        <v>4.1399999999999997</v>
      </c>
      <c r="C63" s="100">
        <v>19.059999999999999</v>
      </c>
      <c r="D63" s="100">
        <v>13.28</v>
      </c>
      <c r="E63" s="100">
        <v>5.69</v>
      </c>
      <c r="F63" s="100">
        <v>3.18</v>
      </c>
      <c r="G63" s="100">
        <v>37.26</v>
      </c>
      <c r="H63" s="100">
        <v>20.309999999999999</v>
      </c>
      <c r="I63" s="100">
        <v>10.42</v>
      </c>
      <c r="J63" s="100">
        <v>0.22</v>
      </c>
      <c r="K63" s="100">
        <v>182.02</v>
      </c>
      <c r="L63" s="100">
        <v>23.31</v>
      </c>
      <c r="M63" s="100">
        <v>31.48</v>
      </c>
      <c r="N63" s="100">
        <v>132.80000000000001</v>
      </c>
      <c r="O63" s="100">
        <v>0</v>
      </c>
      <c r="P63" s="100">
        <v>0.49</v>
      </c>
      <c r="Q63" s="100">
        <v>9.32</v>
      </c>
      <c r="R63" s="6"/>
      <c r="S63" s="6"/>
      <c r="T63" s="156"/>
      <c r="U63" s="6"/>
    </row>
    <row r="64" spans="1:21" customFormat="1">
      <c r="A64" s="163" t="s">
        <v>2606</v>
      </c>
      <c r="B64" s="100">
        <v>3.7</v>
      </c>
      <c r="C64" s="100">
        <v>18.54</v>
      </c>
      <c r="D64" s="100">
        <v>12.66</v>
      </c>
      <c r="E64" s="100">
        <v>5.77</v>
      </c>
      <c r="F64" s="100">
        <v>3.63</v>
      </c>
      <c r="G64" s="100">
        <v>37.26</v>
      </c>
      <c r="H64" s="100">
        <v>20.309999999999999</v>
      </c>
      <c r="I64" s="100">
        <v>10.31</v>
      </c>
      <c r="J64" s="100">
        <v>0.39</v>
      </c>
      <c r="K64" s="100">
        <v>142.53</v>
      </c>
      <c r="L64" s="100">
        <v>23.82</v>
      </c>
      <c r="M64" s="100">
        <v>29.93</v>
      </c>
      <c r="N64" s="100">
        <v>113.4</v>
      </c>
      <c r="O64" s="100">
        <v>0</v>
      </c>
      <c r="P64" s="100">
        <v>0.48</v>
      </c>
      <c r="Q64" s="100">
        <v>9.32</v>
      </c>
      <c r="R64" s="6"/>
      <c r="S64" s="6"/>
      <c r="T64" s="156"/>
      <c r="U64" s="6"/>
    </row>
    <row r="65" spans="1:21" customFormat="1">
      <c r="A65" s="163" t="s">
        <v>2607</v>
      </c>
      <c r="B65" s="100">
        <v>3.45</v>
      </c>
      <c r="C65" s="100">
        <v>17.8</v>
      </c>
      <c r="D65" s="100">
        <v>12.07</v>
      </c>
      <c r="E65" s="100">
        <v>5.91</v>
      </c>
      <c r="F65" s="100">
        <v>3.82</v>
      </c>
      <c r="G65" s="100">
        <v>35.979999999999997</v>
      </c>
      <c r="H65" s="100">
        <v>16.59</v>
      </c>
      <c r="I65" s="100">
        <v>10.199999999999999</v>
      </c>
      <c r="J65" s="100">
        <v>0.34</v>
      </c>
      <c r="K65" s="100">
        <v>89.73</v>
      </c>
      <c r="L65" s="100">
        <v>23.8</v>
      </c>
      <c r="M65" s="100">
        <v>29.84</v>
      </c>
      <c r="N65" s="100">
        <v>106.5</v>
      </c>
      <c r="O65" s="100">
        <v>0</v>
      </c>
      <c r="P65" s="100">
        <v>0.45</v>
      </c>
      <c r="Q65" s="100">
        <v>9.32</v>
      </c>
      <c r="R65" s="6"/>
      <c r="S65" s="6"/>
      <c r="T65" s="156"/>
      <c r="U65" s="6"/>
    </row>
    <row r="66" spans="1:21" customFormat="1">
      <c r="A66" s="163" t="s">
        <v>2608</v>
      </c>
      <c r="B66" s="100">
        <v>3.32</v>
      </c>
      <c r="C66" s="100">
        <v>17.260000000000002</v>
      </c>
      <c r="D66" s="100">
        <v>11.68</v>
      </c>
      <c r="E66" s="100">
        <v>6.02</v>
      </c>
      <c r="F66" s="100">
        <v>4.1100000000000003</v>
      </c>
      <c r="G66" s="100">
        <v>35.9</v>
      </c>
      <c r="H66" s="100">
        <v>16.59</v>
      </c>
      <c r="I66" s="100">
        <v>9.98</v>
      </c>
      <c r="J66" s="100">
        <v>0.34</v>
      </c>
      <c r="K66" s="100">
        <v>87.39</v>
      </c>
      <c r="L66" s="100">
        <v>23.61</v>
      </c>
      <c r="M66" s="100">
        <v>30</v>
      </c>
      <c r="N66" s="100">
        <v>109.4</v>
      </c>
      <c r="O66" s="100">
        <v>0</v>
      </c>
      <c r="P66" s="100">
        <v>0.46</v>
      </c>
      <c r="Q66" s="100">
        <v>9.32</v>
      </c>
      <c r="R66" s="6"/>
      <c r="S66" s="6"/>
      <c r="T66" s="156"/>
      <c r="U66" s="6"/>
    </row>
    <row r="67" spans="1:21" customFormat="1">
      <c r="A67" s="163" t="s">
        <v>2609</v>
      </c>
      <c r="B67" s="100">
        <v>3.27</v>
      </c>
      <c r="C67" s="100">
        <v>16.89</v>
      </c>
      <c r="D67" s="100">
        <v>11.45</v>
      </c>
      <c r="E67" s="100">
        <v>5.69</v>
      </c>
      <c r="F67" s="100">
        <v>4.42</v>
      </c>
      <c r="G67" s="100">
        <v>35.9</v>
      </c>
      <c r="H67" s="100">
        <v>16.59</v>
      </c>
      <c r="I67" s="100">
        <v>9.76</v>
      </c>
      <c r="J67" s="100">
        <v>0.32</v>
      </c>
      <c r="K67" s="100">
        <v>9.94</v>
      </c>
      <c r="L67" s="100">
        <v>23.68</v>
      </c>
      <c r="M67" s="100">
        <v>29.99</v>
      </c>
      <c r="N67" s="100">
        <v>108.6</v>
      </c>
      <c r="O67" s="100">
        <v>0</v>
      </c>
      <c r="P67" s="100">
        <v>0.45</v>
      </c>
      <c r="Q67" s="100">
        <v>9.32</v>
      </c>
      <c r="R67" s="6"/>
      <c r="S67" s="6"/>
      <c r="T67" s="156"/>
      <c r="U67" s="6"/>
    </row>
    <row r="68" spans="1:21" customFormat="1">
      <c r="A68" s="163" t="s">
        <v>2610</v>
      </c>
      <c r="B68" s="100">
        <v>3.26</v>
      </c>
      <c r="C68" s="100">
        <v>16.79</v>
      </c>
      <c r="D68" s="100">
        <v>11.38</v>
      </c>
      <c r="E68" s="100">
        <v>5.9</v>
      </c>
      <c r="F68" s="100">
        <v>4.28</v>
      </c>
      <c r="G68" s="100">
        <v>35.9</v>
      </c>
      <c r="H68" s="100">
        <v>16.59</v>
      </c>
      <c r="I68" s="100">
        <v>9.5500000000000007</v>
      </c>
      <c r="J68" s="100">
        <v>0.28999999999999998</v>
      </c>
      <c r="K68" s="100">
        <v>111.18</v>
      </c>
      <c r="L68" s="100">
        <v>23.73</v>
      </c>
      <c r="M68" s="100">
        <v>29.63</v>
      </c>
      <c r="N68" s="100">
        <v>94.6</v>
      </c>
      <c r="O68" s="100">
        <v>0</v>
      </c>
      <c r="P68" s="100">
        <v>0.44</v>
      </c>
      <c r="Q68" s="100">
        <v>9.32</v>
      </c>
      <c r="R68" s="6"/>
      <c r="S68" s="6"/>
      <c r="T68" s="156"/>
      <c r="U68" s="6"/>
    </row>
    <row r="69" spans="1:21" customFormat="1">
      <c r="A69" s="163" t="s">
        <v>2611</v>
      </c>
      <c r="B69" s="100">
        <v>3.26</v>
      </c>
      <c r="C69" s="100">
        <v>16.53</v>
      </c>
      <c r="D69" s="100">
        <v>11.25</v>
      </c>
      <c r="E69" s="100">
        <v>6.23</v>
      </c>
      <c r="F69" s="100">
        <v>4.51</v>
      </c>
      <c r="G69" s="100">
        <v>35.19</v>
      </c>
      <c r="H69" s="100">
        <v>16.53</v>
      </c>
      <c r="I69" s="100">
        <v>9.36</v>
      </c>
      <c r="J69" s="100">
        <v>0.67</v>
      </c>
      <c r="K69" s="100">
        <v>42.23</v>
      </c>
      <c r="L69" s="100">
        <v>23.72</v>
      </c>
      <c r="M69" s="100">
        <v>29.42</v>
      </c>
      <c r="N69" s="100">
        <v>91.6</v>
      </c>
      <c r="O69" s="100">
        <v>0</v>
      </c>
      <c r="P69" s="100">
        <v>0.44</v>
      </c>
      <c r="Q69" s="100">
        <v>9.32</v>
      </c>
      <c r="R69" s="6"/>
      <c r="S69" s="6"/>
      <c r="T69" s="156"/>
      <c r="U69" s="6"/>
    </row>
    <row r="70" spans="1:21" customFormat="1">
      <c r="A70" s="163" t="s">
        <v>2612</v>
      </c>
      <c r="B70" s="100">
        <v>3.33</v>
      </c>
      <c r="C70" s="100">
        <v>16.68</v>
      </c>
      <c r="D70" s="100">
        <v>11.38</v>
      </c>
      <c r="E70" s="100">
        <v>6.31</v>
      </c>
      <c r="F70" s="100">
        <v>3.89</v>
      </c>
      <c r="G70" s="100">
        <v>35.15</v>
      </c>
      <c r="H70" s="100">
        <v>16.53</v>
      </c>
      <c r="I70" s="100">
        <v>9.2100000000000009</v>
      </c>
      <c r="J70" s="100">
        <v>0.42</v>
      </c>
      <c r="K70" s="100">
        <v>22.91</v>
      </c>
      <c r="L70" s="100">
        <v>23.67</v>
      </c>
      <c r="M70" s="100">
        <v>29.21</v>
      </c>
      <c r="N70" s="100">
        <v>77.099999999999994</v>
      </c>
      <c r="O70" s="100">
        <v>0</v>
      </c>
      <c r="P70" s="100">
        <v>0.44</v>
      </c>
      <c r="Q70" s="100">
        <v>9.32</v>
      </c>
      <c r="R70" s="6"/>
      <c r="S70" s="6"/>
      <c r="T70" s="156"/>
      <c r="U70" s="6"/>
    </row>
    <row r="71" spans="1:21" customFormat="1">
      <c r="A71" s="163" t="s">
        <v>2613</v>
      </c>
      <c r="B71" s="100">
        <v>3.36</v>
      </c>
      <c r="C71" s="100">
        <v>17.05</v>
      </c>
      <c r="D71" s="100">
        <v>11.61</v>
      </c>
      <c r="E71" s="100">
        <v>6.19</v>
      </c>
      <c r="F71" s="100">
        <v>3.69</v>
      </c>
      <c r="G71" s="100">
        <v>35.15</v>
      </c>
      <c r="H71" s="100">
        <v>16.53</v>
      </c>
      <c r="I71" s="100">
        <v>9.06</v>
      </c>
      <c r="J71" s="100">
        <v>0.23</v>
      </c>
      <c r="K71" s="100">
        <v>40.29</v>
      </c>
      <c r="L71" s="100">
        <v>23.35</v>
      </c>
      <c r="M71" s="100">
        <v>30.39</v>
      </c>
      <c r="N71" s="100">
        <v>71.900000000000006</v>
      </c>
      <c r="O71" s="100">
        <v>0</v>
      </c>
      <c r="P71" s="100">
        <v>0.44</v>
      </c>
      <c r="Q71" s="100">
        <v>9.32</v>
      </c>
      <c r="R71" s="6"/>
      <c r="S71" s="6"/>
      <c r="T71" s="156"/>
      <c r="U71" s="6"/>
    </row>
    <row r="72" spans="1:21" customFormat="1">
      <c r="A72" s="163" t="s">
        <v>2614</v>
      </c>
      <c r="B72" s="100">
        <v>3.34</v>
      </c>
      <c r="C72" s="100">
        <v>17.010000000000002</v>
      </c>
      <c r="D72" s="100">
        <v>11.57</v>
      </c>
      <c r="E72" s="100">
        <v>5.86</v>
      </c>
      <c r="F72" s="100">
        <v>3.54</v>
      </c>
      <c r="G72" s="100">
        <v>35.15</v>
      </c>
      <c r="H72" s="100">
        <v>16.53</v>
      </c>
      <c r="I72" s="100">
        <v>8.9</v>
      </c>
      <c r="J72" s="100">
        <v>0.28000000000000003</v>
      </c>
      <c r="K72" s="100">
        <v>177.64</v>
      </c>
      <c r="L72" s="100">
        <v>22.72</v>
      </c>
      <c r="M72" s="100">
        <v>34.06</v>
      </c>
      <c r="N72" s="100">
        <v>63.8</v>
      </c>
      <c r="O72" s="100">
        <v>0</v>
      </c>
      <c r="P72" s="100">
        <v>0.43</v>
      </c>
      <c r="Q72" s="100">
        <v>9.32</v>
      </c>
      <c r="R72" s="6"/>
      <c r="S72" s="6"/>
      <c r="T72" s="156"/>
      <c r="U72" s="6"/>
    </row>
    <row r="73" spans="1:21" customFormat="1">
      <c r="A73" s="163" t="s">
        <v>2615</v>
      </c>
      <c r="B73" s="100">
        <v>3.32</v>
      </c>
      <c r="C73" s="100">
        <v>16.670000000000002</v>
      </c>
      <c r="D73" s="100">
        <v>11.37</v>
      </c>
      <c r="E73" s="100">
        <v>5.9</v>
      </c>
      <c r="F73" s="100">
        <v>3.39</v>
      </c>
      <c r="G73" s="100">
        <v>37.630000000000003</v>
      </c>
      <c r="H73" s="100">
        <v>20.059999999999999</v>
      </c>
      <c r="I73" s="100">
        <v>8.7899999999999991</v>
      </c>
      <c r="J73" s="100">
        <v>0.11</v>
      </c>
      <c r="K73" s="100">
        <v>162.52000000000001</v>
      </c>
      <c r="L73" s="100">
        <v>22.57</v>
      </c>
      <c r="M73" s="100">
        <v>34.11</v>
      </c>
      <c r="N73" s="100">
        <v>56</v>
      </c>
      <c r="O73" s="100">
        <v>0</v>
      </c>
      <c r="P73" s="100">
        <v>0.43</v>
      </c>
      <c r="Q73" s="100">
        <v>9.32</v>
      </c>
      <c r="R73" s="6"/>
      <c r="S73" s="6"/>
      <c r="T73" s="156"/>
      <c r="U73" s="6"/>
    </row>
    <row r="74" spans="1:21" customFormat="1">
      <c r="A74" s="163" t="s">
        <v>2616</v>
      </c>
      <c r="B74" s="100">
        <v>3.37</v>
      </c>
      <c r="C74" s="100">
        <v>16.55</v>
      </c>
      <c r="D74" s="100">
        <v>11.35</v>
      </c>
      <c r="E74" s="100">
        <v>5.91</v>
      </c>
      <c r="F74" s="100">
        <v>2.96</v>
      </c>
      <c r="G74" s="100">
        <v>37.78</v>
      </c>
      <c r="H74" s="100">
        <v>20.059999999999999</v>
      </c>
      <c r="I74" s="100">
        <v>8.6999999999999993</v>
      </c>
      <c r="J74" s="100">
        <v>0.17</v>
      </c>
      <c r="K74" s="100">
        <v>112.01</v>
      </c>
      <c r="L74" s="100">
        <v>22.58</v>
      </c>
      <c r="M74" s="100">
        <v>35.06</v>
      </c>
      <c r="N74" s="100">
        <v>50.3</v>
      </c>
      <c r="O74" s="100">
        <v>0</v>
      </c>
      <c r="P74" s="100">
        <v>0.43</v>
      </c>
      <c r="Q74" s="100">
        <v>9.32</v>
      </c>
      <c r="R74" s="6"/>
      <c r="S74" s="6"/>
      <c r="T74" s="156"/>
      <c r="U74" s="6"/>
    </row>
    <row r="75" spans="1:21" customFormat="1">
      <c r="A75" s="163" t="s">
        <v>2617</v>
      </c>
      <c r="B75" s="100">
        <v>3.43</v>
      </c>
      <c r="C75" s="100">
        <v>16.63</v>
      </c>
      <c r="D75" s="100">
        <v>11.44</v>
      </c>
      <c r="E75" s="100">
        <v>5.94</v>
      </c>
      <c r="F75" s="100">
        <v>2.74</v>
      </c>
      <c r="G75" s="100">
        <v>37.78</v>
      </c>
      <c r="H75" s="100">
        <v>20.059999999999999</v>
      </c>
      <c r="I75" s="100">
        <v>8.58</v>
      </c>
      <c r="J75" s="100">
        <v>0.37</v>
      </c>
      <c r="K75" s="100">
        <v>167.53</v>
      </c>
      <c r="L75" s="100">
        <v>21.96</v>
      </c>
      <c r="M75" s="100">
        <v>37.96</v>
      </c>
      <c r="N75" s="100">
        <v>43.5</v>
      </c>
      <c r="O75" s="100">
        <v>0</v>
      </c>
      <c r="P75" s="100">
        <v>0.43</v>
      </c>
      <c r="Q75" s="100">
        <v>9.32</v>
      </c>
      <c r="R75" s="6"/>
      <c r="S75" s="6"/>
      <c r="T75" s="156"/>
      <c r="U75" s="6"/>
    </row>
    <row r="76" spans="1:21" customFormat="1">
      <c r="A76" s="163" t="s">
        <v>2618</v>
      </c>
      <c r="B76" s="100">
        <v>3.47</v>
      </c>
      <c r="C76" s="100">
        <v>16.420000000000002</v>
      </c>
      <c r="D76" s="100">
        <v>11.36</v>
      </c>
      <c r="E76" s="100">
        <v>6.24</v>
      </c>
      <c r="F76" s="100">
        <v>2.69</v>
      </c>
      <c r="G76" s="100">
        <v>37.78</v>
      </c>
      <c r="H76" s="100">
        <v>20.059999999999999</v>
      </c>
      <c r="I76" s="100">
        <v>8.5</v>
      </c>
      <c r="J76" s="100">
        <v>0.3</v>
      </c>
      <c r="K76" s="100">
        <v>160.62</v>
      </c>
      <c r="L76" s="100">
        <v>21.05</v>
      </c>
      <c r="M76" s="100">
        <v>45.01</v>
      </c>
      <c r="N76" s="100">
        <v>34.9</v>
      </c>
      <c r="O76" s="100">
        <v>0</v>
      </c>
      <c r="P76" s="100">
        <v>0.43</v>
      </c>
      <c r="Q76" s="100">
        <v>9.32</v>
      </c>
      <c r="R76" s="6"/>
      <c r="S76" s="6"/>
      <c r="T76" s="156"/>
      <c r="U76" s="6"/>
    </row>
    <row r="77" spans="1:21" customFormat="1">
      <c r="A77" s="163" t="s">
        <v>2619</v>
      </c>
      <c r="B77" s="100">
        <v>3.57</v>
      </c>
      <c r="C77" s="100">
        <v>16.260000000000002</v>
      </c>
      <c r="D77" s="100">
        <v>11.36</v>
      </c>
      <c r="E77" s="100">
        <v>6</v>
      </c>
      <c r="F77" s="100">
        <v>2.4500000000000002</v>
      </c>
      <c r="G77" s="100">
        <v>41.36</v>
      </c>
      <c r="H77" s="100">
        <v>20.62</v>
      </c>
      <c r="I77" s="100">
        <v>8.44</v>
      </c>
      <c r="J77" s="100">
        <v>0.25</v>
      </c>
      <c r="K77" s="100">
        <v>163.83000000000001</v>
      </c>
      <c r="L77" s="100">
        <v>20.05</v>
      </c>
      <c r="M77" s="100">
        <v>45.86</v>
      </c>
      <c r="N77" s="100">
        <v>28.1</v>
      </c>
      <c r="O77" s="100">
        <v>0</v>
      </c>
      <c r="P77" s="100">
        <v>0.44</v>
      </c>
      <c r="Q77" s="100">
        <v>9.32</v>
      </c>
      <c r="R77" s="6"/>
      <c r="S77" s="6"/>
      <c r="T77" s="156"/>
      <c r="U77" s="6"/>
    </row>
    <row r="78" spans="1:21" customFormat="1">
      <c r="A78" s="163" t="s">
        <v>2620</v>
      </c>
      <c r="B78" s="100">
        <v>3.78</v>
      </c>
      <c r="C78" s="100">
        <v>15.98</v>
      </c>
      <c r="D78" s="100">
        <v>11.38</v>
      </c>
      <c r="E78" s="100">
        <v>5.88</v>
      </c>
      <c r="F78" s="100">
        <v>2.2200000000000002</v>
      </c>
      <c r="G78" s="100">
        <v>41.58</v>
      </c>
      <c r="H78" s="100">
        <v>20.62</v>
      </c>
      <c r="I78" s="100">
        <v>8.2899999999999991</v>
      </c>
      <c r="J78" s="100">
        <v>0.26</v>
      </c>
      <c r="K78" s="100">
        <v>153.22</v>
      </c>
      <c r="L78" s="100">
        <v>19.329999999999998</v>
      </c>
      <c r="M78" s="100">
        <v>47.69</v>
      </c>
      <c r="N78" s="100">
        <v>22.9</v>
      </c>
      <c r="O78" s="100">
        <v>0</v>
      </c>
      <c r="P78" s="100">
        <v>0.45</v>
      </c>
      <c r="Q78" s="100">
        <v>9.32</v>
      </c>
      <c r="R78" s="6"/>
      <c r="S78" s="6"/>
      <c r="T78" s="156"/>
      <c r="U78" s="6"/>
    </row>
    <row r="79" spans="1:21" customFormat="1">
      <c r="A79" s="163" t="s">
        <v>2621</v>
      </c>
      <c r="B79" s="100">
        <v>4.32</v>
      </c>
      <c r="C79" s="100">
        <v>16.25</v>
      </c>
      <c r="D79" s="100">
        <v>11.95</v>
      </c>
      <c r="E79" s="100">
        <v>5.77</v>
      </c>
      <c r="F79" s="100">
        <v>1.85</v>
      </c>
      <c r="G79" s="100">
        <v>41.58</v>
      </c>
      <c r="H79" s="100">
        <v>20.62</v>
      </c>
      <c r="I79" s="100">
        <v>8.16</v>
      </c>
      <c r="J79" s="100">
        <v>0.13</v>
      </c>
      <c r="K79" s="100">
        <v>77.64</v>
      </c>
      <c r="L79" s="100">
        <v>19.260000000000002</v>
      </c>
      <c r="M79" s="100">
        <v>47.76</v>
      </c>
      <c r="N79" s="100">
        <v>20.399999999999999</v>
      </c>
      <c r="O79" s="100">
        <v>0</v>
      </c>
      <c r="P79" s="100">
        <v>0.46</v>
      </c>
      <c r="Q79" s="100">
        <v>9.32</v>
      </c>
      <c r="R79" s="6"/>
      <c r="S79" s="6"/>
      <c r="T79" s="156"/>
      <c r="U79" s="6"/>
    </row>
    <row r="80" spans="1:21" customFormat="1">
      <c r="A80" s="163" t="s">
        <v>2622</v>
      </c>
      <c r="B80" s="100">
        <v>5.29</v>
      </c>
      <c r="C80" s="100">
        <v>16.940000000000001</v>
      </c>
      <c r="D80" s="100">
        <v>13.09</v>
      </c>
      <c r="E80" s="100">
        <v>5.77</v>
      </c>
      <c r="F80" s="100">
        <v>1.41</v>
      </c>
      <c r="G80" s="100">
        <v>41.58</v>
      </c>
      <c r="H80" s="100">
        <v>20.62</v>
      </c>
      <c r="I80" s="100">
        <v>8.1999999999999993</v>
      </c>
      <c r="J80" s="100">
        <v>0.25</v>
      </c>
      <c r="K80" s="100">
        <v>170.44</v>
      </c>
      <c r="L80" s="100">
        <v>18.64</v>
      </c>
      <c r="M80" s="100">
        <v>50.93</v>
      </c>
      <c r="N80" s="100">
        <v>20.5</v>
      </c>
      <c r="O80" s="100">
        <v>0</v>
      </c>
      <c r="P80" s="100">
        <v>0.48</v>
      </c>
      <c r="Q80" s="100">
        <v>9.32</v>
      </c>
      <c r="R80" s="6"/>
      <c r="S80" s="6"/>
      <c r="T80" s="156"/>
      <c r="U80" s="6"/>
    </row>
    <row r="81" spans="1:21" customFormat="1">
      <c r="A81" s="163" t="s">
        <v>2623</v>
      </c>
      <c r="B81" s="100">
        <v>6.12</v>
      </c>
      <c r="C81" s="100">
        <v>17.62</v>
      </c>
      <c r="D81" s="100">
        <v>14.12</v>
      </c>
      <c r="E81" s="100">
        <v>4.88</v>
      </c>
      <c r="F81" s="100">
        <v>1.24</v>
      </c>
      <c r="G81" s="100">
        <v>48.86</v>
      </c>
      <c r="H81" s="100">
        <v>22.08</v>
      </c>
      <c r="I81" s="100">
        <v>8.32</v>
      </c>
      <c r="J81" s="100">
        <v>0.25</v>
      </c>
      <c r="K81" s="100">
        <v>132.71</v>
      </c>
      <c r="L81" s="100">
        <v>18.170000000000002</v>
      </c>
      <c r="M81" s="100">
        <v>53.03</v>
      </c>
      <c r="N81" s="100">
        <v>20.3</v>
      </c>
      <c r="O81" s="100">
        <v>0</v>
      </c>
      <c r="P81" s="100">
        <v>0.49</v>
      </c>
      <c r="Q81" s="100">
        <v>9.32</v>
      </c>
      <c r="R81" s="6"/>
      <c r="S81" s="6"/>
      <c r="T81" s="156"/>
      <c r="U81" s="6"/>
    </row>
    <row r="82" spans="1:21" customFormat="1">
      <c r="A82" s="163" t="s">
        <v>2624</v>
      </c>
      <c r="B82" s="100">
        <v>7.06</v>
      </c>
      <c r="C82" s="100">
        <v>18.100000000000001</v>
      </c>
      <c r="D82" s="100">
        <v>15.12</v>
      </c>
      <c r="E82" s="100">
        <v>5.74</v>
      </c>
      <c r="F82" s="100">
        <v>1.24</v>
      </c>
      <c r="G82" s="100">
        <v>49.28</v>
      </c>
      <c r="H82" s="100">
        <v>22.08</v>
      </c>
      <c r="I82" s="100">
        <v>8.49</v>
      </c>
      <c r="J82" s="100">
        <v>0.16</v>
      </c>
      <c r="K82" s="100">
        <v>135.44999999999999</v>
      </c>
      <c r="L82" s="100">
        <v>18.02</v>
      </c>
      <c r="M82" s="100">
        <v>52.66</v>
      </c>
      <c r="N82" s="100">
        <v>20.100000000000001</v>
      </c>
      <c r="O82" s="100">
        <v>0</v>
      </c>
      <c r="P82" s="100">
        <v>0.52</v>
      </c>
      <c r="Q82" s="100">
        <v>9.32</v>
      </c>
      <c r="R82" s="6"/>
      <c r="S82" s="6"/>
      <c r="T82" s="156"/>
      <c r="U82" s="6"/>
    </row>
    <row r="83" spans="1:21" customFormat="1">
      <c r="A83" s="163" t="s">
        <v>2625</v>
      </c>
      <c r="B83" s="100">
        <v>7.88</v>
      </c>
      <c r="C83" s="100">
        <v>18.73</v>
      </c>
      <c r="D83" s="100">
        <v>16.11</v>
      </c>
      <c r="E83" s="100">
        <v>5.82</v>
      </c>
      <c r="F83" s="100">
        <v>1.18</v>
      </c>
      <c r="G83" s="100">
        <v>49.28</v>
      </c>
      <c r="H83" s="100">
        <v>22.08</v>
      </c>
      <c r="I83" s="100">
        <v>8.67</v>
      </c>
      <c r="J83" s="100">
        <v>0.11</v>
      </c>
      <c r="K83" s="100">
        <v>112.34</v>
      </c>
      <c r="L83" s="100">
        <v>17.82</v>
      </c>
      <c r="M83" s="100">
        <v>53.04</v>
      </c>
      <c r="N83" s="100">
        <v>20</v>
      </c>
      <c r="O83" s="100">
        <v>0</v>
      </c>
      <c r="P83" s="100">
        <v>0.53</v>
      </c>
      <c r="Q83" s="100">
        <v>9.32</v>
      </c>
      <c r="R83" s="6"/>
      <c r="S83" s="6"/>
      <c r="T83" s="156"/>
      <c r="U83" s="6"/>
    </row>
    <row r="84" spans="1:21" customFormat="1">
      <c r="A84" s="163" t="s">
        <v>2626</v>
      </c>
      <c r="B84" s="100">
        <v>8.51</v>
      </c>
      <c r="C84" s="100">
        <v>19.05</v>
      </c>
      <c r="D84" s="100">
        <v>16.78</v>
      </c>
      <c r="E84" s="100">
        <v>5.92</v>
      </c>
      <c r="F84" s="100">
        <v>1.19</v>
      </c>
      <c r="G84" s="100">
        <v>49.28</v>
      </c>
      <c r="H84" s="100">
        <v>22.08</v>
      </c>
      <c r="I84" s="100">
        <v>8.8800000000000008</v>
      </c>
      <c r="J84" s="100">
        <v>0.3</v>
      </c>
      <c r="K84" s="100">
        <v>158.38</v>
      </c>
      <c r="L84" s="100">
        <v>17.239999999999998</v>
      </c>
      <c r="M84" s="100">
        <v>56.65</v>
      </c>
      <c r="N84" s="100">
        <v>20.5</v>
      </c>
      <c r="O84" s="100">
        <v>0</v>
      </c>
      <c r="P84" s="100">
        <v>0.55000000000000004</v>
      </c>
      <c r="Q84" s="100">
        <v>9.32</v>
      </c>
      <c r="R84" s="6"/>
      <c r="S84" s="6"/>
      <c r="T84" s="156"/>
      <c r="U84" s="6"/>
    </row>
    <row r="85" spans="1:21" customFormat="1">
      <c r="A85" s="163" t="s">
        <v>2627</v>
      </c>
      <c r="B85" s="100">
        <v>8.81</v>
      </c>
      <c r="C85" s="100">
        <v>19.25</v>
      </c>
      <c r="D85" s="100">
        <v>17.12</v>
      </c>
      <c r="E85" s="100">
        <v>5.97</v>
      </c>
      <c r="F85" s="100">
        <v>1.07</v>
      </c>
      <c r="G85" s="100">
        <v>60.68</v>
      </c>
      <c r="H85" s="100">
        <v>24.9</v>
      </c>
      <c r="I85" s="100">
        <v>9.08</v>
      </c>
      <c r="J85" s="100">
        <v>0.28999999999999998</v>
      </c>
      <c r="K85" s="100">
        <v>165.16</v>
      </c>
      <c r="L85" s="100">
        <v>16.77</v>
      </c>
      <c r="M85" s="100">
        <v>60.74</v>
      </c>
      <c r="N85" s="100">
        <v>20.2</v>
      </c>
      <c r="O85" s="100">
        <v>0</v>
      </c>
      <c r="P85" s="100">
        <v>0.56999999999999995</v>
      </c>
      <c r="Q85" s="100">
        <v>9.32</v>
      </c>
      <c r="R85" s="6"/>
      <c r="S85" s="6"/>
      <c r="T85" s="156"/>
      <c r="U85" s="6"/>
    </row>
    <row r="86" spans="1:21" customFormat="1">
      <c r="A86" s="163" t="s">
        <v>2628</v>
      </c>
      <c r="B86" s="100">
        <v>8.9600000000000009</v>
      </c>
      <c r="C86" s="100">
        <v>19.37</v>
      </c>
      <c r="D86" s="100">
        <v>17.3</v>
      </c>
      <c r="E86" s="100">
        <v>5.7</v>
      </c>
      <c r="F86" s="100">
        <v>1.0900000000000001</v>
      </c>
      <c r="G86" s="100">
        <v>61.35</v>
      </c>
      <c r="H86" s="100">
        <v>24.9</v>
      </c>
      <c r="I86" s="100">
        <v>9.17</v>
      </c>
      <c r="J86" s="100">
        <v>0.28000000000000003</v>
      </c>
      <c r="K86" s="100">
        <v>174.1</v>
      </c>
      <c r="L86" s="100">
        <v>16.39</v>
      </c>
      <c r="M86" s="100">
        <v>67.44</v>
      </c>
      <c r="N86" s="100">
        <v>20.2</v>
      </c>
      <c r="O86" s="100">
        <v>0</v>
      </c>
      <c r="P86" s="100">
        <v>0.57999999999999996</v>
      </c>
      <c r="Q86" s="100">
        <v>9.32</v>
      </c>
      <c r="R86" s="6"/>
      <c r="S86" s="6"/>
      <c r="T86" s="156"/>
      <c r="U86" s="6"/>
    </row>
    <row r="87" spans="1:21" customFormat="1">
      <c r="A87" s="163" t="s">
        <v>2629</v>
      </c>
      <c r="B87" s="100">
        <v>9.08</v>
      </c>
      <c r="C87" s="100">
        <v>19.440000000000001</v>
      </c>
      <c r="D87" s="100">
        <v>17.440000000000001</v>
      </c>
      <c r="E87" s="100">
        <v>5.69</v>
      </c>
      <c r="F87" s="100">
        <v>1.06</v>
      </c>
      <c r="G87" s="100">
        <v>61.35</v>
      </c>
      <c r="H87" s="100">
        <v>24.9</v>
      </c>
      <c r="I87" s="100">
        <v>9.2799999999999994</v>
      </c>
      <c r="J87" s="100">
        <v>0.21</v>
      </c>
      <c r="K87" s="100">
        <v>198.15</v>
      </c>
      <c r="L87" s="100">
        <v>15.88</v>
      </c>
      <c r="M87" s="100">
        <v>73</v>
      </c>
      <c r="N87" s="100">
        <v>20.3</v>
      </c>
      <c r="O87" s="100">
        <v>0</v>
      </c>
      <c r="P87" s="100">
        <v>0.6</v>
      </c>
      <c r="Q87" s="100">
        <v>9.32</v>
      </c>
      <c r="R87" s="6"/>
      <c r="S87" s="6"/>
      <c r="T87" s="156"/>
      <c r="U87" s="6"/>
    </row>
    <row r="88" spans="1:21" customFormat="1">
      <c r="A88" s="163" t="s">
        <v>2630</v>
      </c>
      <c r="B88" s="100">
        <v>9.1999999999999993</v>
      </c>
      <c r="C88" s="100">
        <v>19.34</v>
      </c>
      <c r="D88" s="100">
        <v>17.489999999999998</v>
      </c>
      <c r="E88" s="100">
        <v>5.51</v>
      </c>
      <c r="F88" s="100">
        <v>1.1399999999999999</v>
      </c>
      <c r="G88" s="100">
        <v>61.35</v>
      </c>
      <c r="H88" s="100">
        <v>24.9</v>
      </c>
      <c r="I88" s="100">
        <v>9.52</v>
      </c>
      <c r="J88" s="100">
        <v>0.18</v>
      </c>
      <c r="K88" s="100">
        <v>202.98</v>
      </c>
      <c r="L88" s="100">
        <v>15.15</v>
      </c>
      <c r="M88" s="100">
        <v>75.98</v>
      </c>
      <c r="N88" s="100">
        <v>20.3</v>
      </c>
      <c r="O88" s="100">
        <v>0</v>
      </c>
      <c r="P88" s="100">
        <v>0.62</v>
      </c>
      <c r="Q88" s="100">
        <v>9.32</v>
      </c>
      <c r="R88" s="6"/>
      <c r="S88" s="6"/>
      <c r="T88" s="156"/>
      <c r="U88" s="6"/>
    </row>
    <row r="89" spans="1:21" customFormat="1">
      <c r="A89" s="163" t="s">
        <v>2631</v>
      </c>
      <c r="B89" s="100">
        <v>9.39</v>
      </c>
      <c r="C89" s="100">
        <v>19.18</v>
      </c>
      <c r="D89" s="100">
        <v>17.55</v>
      </c>
      <c r="E89" s="100">
        <v>5.7</v>
      </c>
      <c r="F89" s="100">
        <v>1.1200000000000001</v>
      </c>
      <c r="G89" s="100">
        <v>61.36</v>
      </c>
      <c r="H89" s="100">
        <v>26.48</v>
      </c>
      <c r="I89" s="100">
        <v>9.75</v>
      </c>
      <c r="J89" s="100">
        <v>0.2</v>
      </c>
      <c r="K89" s="100">
        <v>191.01</v>
      </c>
      <c r="L89" s="100">
        <v>14.75</v>
      </c>
      <c r="M89" s="100">
        <v>79.47</v>
      </c>
      <c r="N89" s="100">
        <v>20.100000000000001</v>
      </c>
      <c r="O89" s="100">
        <v>0</v>
      </c>
      <c r="P89" s="100">
        <v>0.64</v>
      </c>
      <c r="Q89" s="100">
        <v>9.32</v>
      </c>
      <c r="R89" s="6"/>
      <c r="S89" s="6"/>
      <c r="T89" s="156"/>
      <c r="U89" s="6"/>
    </row>
    <row r="90" spans="1:21" customFormat="1">
      <c r="A90" s="163" t="s">
        <v>2632</v>
      </c>
      <c r="B90" s="100">
        <v>9.57</v>
      </c>
      <c r="C90" s="100">
        <v>18.98</v>
      </c>
      <c r="D90" s="100">
        <v>17.59</v>
      </c>
      <c r="E90" s="100">
        <v>5.6</v>
      </c>
      <c r="F90" s="100">
        <v>1.1499999999999999</v>
      </c>
      <c r="G90" s="100">
        <v>61.36</v>
      </c>
      <c r="H90" s="100">
        <v>26.48</v>
      </c>
      <c r="I90" s="100">
        <v>9.99</v>
      </c>
      <c r="J90" s="100">
        <v>0.16</v>
      </c>
      <c r="K90" s="100">
        <v>204.44</v>
      </c>
      <c r="L90" s="100">
        <v>14.65</v>
      </c>
      <c r="M90" s="100">
        <v>80.400000000000006</v>
      </c>
      <c r="N90" s="100">
        <v>19.899999999999999</v>
      </c>
      <c r="O90" s="100">
        <v>0</v>
      </c>
      <c r="P90" s="100">
        <v>0.65</v>
      </c>
      <c r="Q90" s="100">
        <v>9.32</v>
      </c>
      <c r="R90" s="6"/>
      <c r="S90" s="6"/>
      <c r="T90" s="156"/>
      <c r="U90" s="6"/>
    </row>
    <row r="91" spans="1:21" customFormat="1">
      <c r="A91" s="163" t="s">
        <v>2633</v>
      </c>
      <c r="B91" s="100">
        <v>9.7200000000000006</v>
      </c>
      <c r="C91" s="100">
        <v>18.850000000000001</v>
      </c>
      <c r="D91" s="100">
        <v>17.649999999999999</v>
      </c>
      <c r="E91" s="100">
        <v>5.58</v>
      </c>
      <c r="F91" s="100">
        <v>1.1100000000000001</v>
      </c>
      <c r="G91" s="100">
        <v>61.36</v>
      </c>
      <c r="H91" s="100">
        <v>26.48</v>
      </c>
      <c r="I91" s="100">
        <v>10.210000000000001</v>
      </c>
      <c r="J91" s="100">
        <v>0.2</v>
      </c>
      <c r="K91" s="100">
        <v>224.14</v>
      </c>
      <c r="L91" s="100">
        <v>14.34</v>
      </c>
      <c r="M91" s="100">
        <v>77.790000000000006</v>
      </c>
      <c r="N91" s="100">
        <v>19.899999999999999</v>
      </c>
      <c r="O91" s="100">
        <v>0</v>
      </c>
      <c r="P91" s="100">
        <v>0.66</v>
      </c>
      <c r="Q91" s="100">
        <v>9.32</v>
      </c>
      <c r="R91" s="6"/>
      <c r="S91" s="6"/>
      <c r="T91" s="156"/>
      <c r="U91" s="6"/>
    </row>
    <row r="92" spans="1:21" customFormat="1">
      <c r="A92" s="163" t="s">
        <v>2634</v>
      </c>
      <c r="B92" s="100">
        <v>9.84</v>
      </c>
      <c r="C92" s="100">
        <v>18.7</v>
      </c>
      <c r="D92" s="100">
        <v>17.66</v>
      </c>
      <c r="E92" s="100">
        <v>5.68</v>
      </c>
      <c r="F92" s="100">
        <v>1.24</v>
      </c>
      <c r="G92" s="100">
        <v>61.36</v>
      </c>
      <c r="H92" s="100">
        <v>26.48</v>
      </c>
      <c r="I92" s="100">
        <v>10.4</v>
      </c>
      <c r="J92" s="100">
        <v>0.16</v>
      </c>
      <c r="K92" s="100">
        <v>225.73</v>
      </c>
      <c r="L92" s="100">
        <v>14.19</v>
      </c>
      <c r="M92" s="100">
        <v>76.680000000000007</v>
      </c>
      <c r="N92" s="100">
        <v>19.899999999999999</v>
      </c>
      <c r="O92" s="100">
        <v>0</v>
      </c>
      <c r="P92" s="100">
        <v>0.67</v>
      </c>
      <c r="Q92" s="100">
        <v>9.32</v>
      </c>
      <c r="R92" s="6"/>
      <c r="S92" s="6"/>
      <c r="T92" s="156"/>
      <c r="U92" s="6"/>
    </row>
    <row r="93" spans="1:21" customFormat="1">
      <c r="A93" s="163" t="s">
        <v>2635</v>
      </c>
      <c r="B93" s="100">
        <v>9.9600000000000009</v>
      </c>
      <c r="C93" s="100">
        <v>18.5</v>
      </c>
      <c r="D93" s="100">
        <v>17.649999999999999</v>
      </c>
      <c r="E93" s="100">
        <v>5.75</v>
      </c>
      <c r="F93" s="100">
        <v>1.0900000000000001</v>
      </c>
      <c r="G93" s="100">
        <v>73.58</v>
      </c>
      <c r="H93" s="100">
        <v>28.71</v>
      </c>
      <c r="I93" s="100">
        <v>10.61</v>
      </c>
      <c r="J93" s="100">
        <v>0.17</v>
      </c>
      <c r="K93" s="100">
        <v>221.87</v>
      </c>
      <c r="L93" s="100">
        <v>13.94</v>
      </c>
      <c r="M93" s="100">
        <v>78.900000000000006</v>
      </c>
      <c r="N93" s="100">
        <v>19.899999999999999</v>
      </c>
      <c r="O93" s="100">
        <v>0</v>
      </c>
      <c r="P93" s="100">
        <v>0.67</v>
      </c>
      <c r="Q93" s="100">
        <v>9.32</v>
      </c>
      <c r="R93" s="6"/>
      <c r="S93" s="6"/>
      <c r="T93" s="156"/>
      <c r="U93" s="6"/>
    </row>
    <row r="94" spans="1:21" customFormat="1">
      <c r="A94" s="163" t="s">
        <v>2636</v>
      </c>
      <c r="B94" s="100">
        <v>10.039999999999999</v>
      </c>
      <c r="C94" s="100">
        <v>18.29</v>
      </c>
      <c r="D94" s="100">
        <v>17.600000000000001</v>
      </c>
      <c r="E94" s="100">
        <v>5.58</v>
      </c>
      <c r="F94" s="100">
        <v>1.1000000000000001</v>
      </c>
      <c r="G94" s="100">
        <v>74.3</v>
      </c>
      <c r="H94" s="100">
        <v>28.71</v>
      </c>
      <c r="I94" s="100">
        <v>11.01</v>
      </c>
      <c r="J94" s="100">
        <v>0.15</v>
      </c>
      <c r="K94" s="100">
        <v>225.83</v>
      </c>
      <c r="L94" s="100">
        <v>13.75</v>
      </c>
      <c r="M94" s="100">
        <v>81.040000000000006</v>
      </c>
      <c r="N94" s="100">
        <v>19.899999999999999</v>
      </c>
      <c r="O94" s="100">
        <v>0</v>
      </c>
      <c r="P94" s="100">
        <v>0.68</v>
      </c>
      <c r="Q94" s="100">
        <v>9.32</v>
      </c>
      <c r="R94" s="6"/>
      <c r="S94" s="6"/>
      <c r="T94" s="156"/>
      <c r="U94" s="6"/>
    </row>
    <row r="95" spans="1:21" customFormat="1">
      <c r="A95" s="163" t="s">
        <v>2637</v>
      </c>
      <c r="B95" s="100">
        <v>10.130000000000001</v>
      </c>
      <c r="C95" s="100">
        <v>18.09</v>
      </c>
      <c r="D95" s="100">
        <v>17.579999999999998</v>
      </c>
      <c r="E95" s="100">
        <v>5.72</v>
      </c>
      <c r="F95" s="100">
        <v>1.21</v>
      </c>
      <c r="G95" s="100">
        <v>74.3</v>
      </c>
      <c r="H95" s="100">
        <v>28.71</v>
      </c>
      <c r="I95" s="100">
        <v>11.16</v>
      </c>
      <c r="J95" s="100">
        <v>0.11</v>
      </c>
      <c r="K95" s="100">
        <v>204.06</v>
      </c>
      <c r="L95" s="100">
        <v>13.67</v>
      </c>
      <c r="M95" s="100">
        <v>82.04</v>
      </c>
      <c r="N95" s="100">
        <v>19.7</v>
      </c>
      <c r="O95" s="100">
        <v>0</v>
      </c>
      <c r="P95" s="100">
        <v>0.69</v>
      </c>
      <c r="Q95" s="100">
        <v>9.32</v>
      </c>
      <c r="R95" s="6"/>
      <c r="S95" s="6"/>
      <c r="T95" s="156"/>
      <c r="U95" s="6"/>
    </row>
    <row r="96" spans="1:21" customFormat="1">
      <c r="A96" s="163" t="s">
        <v>2638</v>
      </c>
      <c r="B96" s="100">
        <v>10.25</v>
      </c>
      <c r="C96" s="100">
        <v>17.7</v>
      </c>
      <c r="D96" s="100">
        <v>17.47</v>
      </c>
      <c r="E96" s="100">
        <v>5.97</v>
      </c>
      <c r="F96" s="100">
        <v>1.28</v>
      </c>
      <c r="G96" s="100">
        <v>74.3</v>
      </c>
      <c r="H96" s="100">
        <v>28.71</v>
      </c>
      <c r="I96" s="100">
        <v>11.06</v>
      </c>
      <c r="J96" s="100">
        <v>0.14000000000000001</v>
      </c>
      <c r="K96" s="100">
        <v>191.42</v>
      </c>
      <c r="L96" s="100">
        <v>13.59</v>
      </c>
      <c r="M96" s="100">
        <v>81.44</v>
      </c>
      <c r="N96" s="100">
        <v>19.600000000000001</v>
      </c>
      <c r="O96" s="100">
        <v>0</v>
      </c>
      <c r="P96" s="100">
        <v>0.69</v>
      </c>
      <c r="Q96" s="100">
        <v>9.32</v>
      </c>
      <c r="R96" s="6"/>
      <c r="S96" s="6"/>
      <c r="T96" s="156"/>
      <c r="U96" s="6"/>
    </row>
    <row r="97" spans="1:28" customFormat="1">
      <c r="A97" s="163" t="s">
        <v>2639</v>
      </c>
      <c r="B97" s="100">
        <v>10.29</v>
      </c>
      <c r="C97" s="100">
        <v>17.489999999999998</v>
      </c>
      <c r="D97" s="100">
        <v>17.39</v>
      </c>
      <c r="E97" s="100">
        <v>5.62</v>
      </c>
      <c r="F97" s="100">
        <v>1.37</v>
      </c>
      <c r="G97" s="100">
        <v>80.23</v>
      </c>
      <c r="H97" s="100">
        <v>31.44</v>
      </c>
      <c r="I97" s="100">
        <v>11.48</v>
      </c>
      <c r="J97" s="100">
        <v>0.2</v>
      </c>
      <c r="K97" s="100">
        <v>165.94</v>
      </c>
      <c r="L97" s="100">
        <v>13.74</v>
      </c>
      <c r="M97" s="100">
        <v>84.17</v>
      </c>
      <c r="N97" s="100">
        <v>19.600000000000001</v>
      </c>
      <c r="O97" s="100">
        <v>0</v>
      </c>
      <c r="P97" s="100">
        <v>0.68</v>
      </c>
      <c r="Q97" s="100">
        <v>9.32</v>
      </c>
      <c r="R97" s="6"/>
      <c r="S97" s="6"/>
      <c r="T97" s="156"/>
      <c r="U97" s="6"/>
    </row>
    <row r="98" spans="1:28" customFormat="1">
      <c r="A98" s="163" t="s">
        <v>2640</v>
      </c>
      <c r="B98" s="100">
        <v>10.33</v>
      </c>
      <c r="C98" s="100">
        <v>17.38</v>
      </c>
      <c r="D98" s="100">
        <v>17.37</v>
      </c>
      <c r="E98" s="100">
        <v>5.72</v>
      </c>
      <c r="F98" s="100">
        <v>1.1599999999999999</v>
      </c>
      <c r="G98" s="100">
        <v>80.58</v>
      </c>
      <c r="H98" s="100">
        <v>31.44</v>
      </c>
      <c r="I98" s="100">
        <v>11.94</v>
      </c>
      <c r="J98" s="100">
        <v>0.2</v>
      </c>
      <c r="K98" s="100">
        <v>181.63</v>
      </c>
      <c r="L98" s="100">
        <v>13.63</v>
      </c>
      <c r="M98" s="100">
        <v>83.58</v>
      </c>
      <c r="N98" s="100">
        <v>19.600000000000001</v>
      </c>
      <c r="O98" s="100">
        <v>0</v>
      </c>
      <c r="P98" s="100">
        <v>0.69</v>
      </c>
      <c r="Q98" s="100">
        <v>9.32</v>
      </c>
      <c r="R98" s="6"/>
      <c r="S98" s="6"/>
      <c r="T98" s="156"/>
      <c r="U98" s="6"/>
    </row>
    <row r="99" spans="1:28" customFormat="1">
      <c r="A99" s="163" t="s">
        <v>2641</v>
      </c>
      <c r="B99" s="100">
        <v>10.45</v>
      </c>
      <c r="C99" s="100">
        <v>17.260000000000002</v>
      </c>
      <c r="D99" s="100">
        <v>17.399999999999999</v>
      </c>
      <c r="E99" s="100">
        <v>3.45</v>
      </c>
      <c r="F99" s="100">
        <v>1.22</v>
      </c>
      <c r="G99" s="100">
        <v>80.58</v>
      </c>
      <c r="H99" s="100">
        <v>31.44</v>
      </c>
      <c r="I99" s="100">
        <v>12.13</v>
      </c>
      <c r="J99" s="100">
        <v>0.2</v>
      </c>
      <c r="K99" s="100">
        <v>169.79</v>
      </c>
      <c r="L99" s="100">
        <v>13.69</v>
      </c>
      <c r="M99" s="100">
        <v>85.34</v>
      </c>
      <c r="N99" s="100">
        <v>19.7</v>
      </c>
      <c r="O99" s="100">
        <v>0</v>
      </c>
      <c r="P99" s="100">
        <v>0.7</v>
      </c>
      <c r="Q99" s="100">
        <v>9.32</v>
      </c>
      <c r="R99" s="6"/>
      <c r="S99" s="6"/>
      <c r="T99" s="156"/>
      <c r="U99" s="6"/>
    </row>
    <row r="100" spans="1:28" customFormat="1">
      <c r="A100" s="163" t="s">
        <v>2642</v>
      </c>
      <c r="B100" s="100">
        <v>10.62</v>
      </c>
      <c r="C100" s="100">
        <v>17.13</v>
      </c>
      <c r="D100" s="100">
        <v>17.46</v>
      </c>
      <c r="E100" s="100">
        <v>5.59</v>
      </c>
      <c r="F100" s="100">
        <v>1.25</v>
      </c>
      <c r="G100" s="100">
        <v>80.58</v>
      </c>
      <c r="H100" s="100">
        <v>31.44</v>
      </c>
      <c r="I100" s="100">
        <v>12.3</v>
      </c>
      <c r="J100" s="100">
        <v>0.13</v>
      </c>
      <c r="K100" s="100">
        <v>191.59</v>
      </c>
      <c r="L100" s="100">
        <v>13.37</v>
      </c>
      <c r="M100" s="100">
        <v>83.67</v>
      </c>
      <c r="N100" s="100">
        <v>19.7</v>
      </c>
      <c r="O100" s="100">
        <v>0</v>
      </c>
      <c r="P100" s="100">
        <v>0.71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2643</v>
      </c>
      <c r="B101" s="100">
        <v>10.7</v>
      </c>
      <c r="C101" s="100">
        <v>17.010000000000002</v>
      </c>
      <c r="D101" s="100">
        <v>17.47</v>
      </c>
      <c r="E101" s="100">
        <v>5.92</v>
      </c>
      <c r="F101" s="100">
        <v>1.1299999999999999</v>
      </c>
      <c r="G101" s="100">
        <v>79.86</v>
      </c>
      <c r="H101" s="100">
        <v>34.82</v>
      </c>
      <c r="I101" s="100">
        <v>12.48</v>
      </c>
      <c r="J101" s="100">
        <v>0.18</v>
      </c>
      <c r="K101" s="100">
        <v>198.25</v>
      </c>
      <c r="L101" s="100">
        <v>13.32</v>
      </c>
      <c r="M101" s="100">
        <v>85.27</v>
      </c>
      <c r="N101" s="100">
        <v>19.600000000000001</v>
      </c>
      <c r="O101" s="100">
        <v>0</v>
      </c>
      <c r="P101" s="100">
        <v>0.71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2644</v>
      </c>
      <c r="B102" s="100">
        <v>10.68</v>
      </c>
      <c r="C102" s="100">
        <v>16.84</v>
      </c>
      <c r="D102" s="100">
        <v>17.36</v>
      </c>
      <c r="E102" s="100">
        <v>5.85</v>
      </c>
      <c r="F102" s="100">
        <v>1.1399999999999999</v>
      </c>
      <c r="G102" s="100">
        <v>79.819999999999993</v>
      </c>
      <c r="H102" s="100">
        <v>34.82</v>
      </c>
      <c r="I102" s="100">
        <v>12.61</v>
      </c>
      <c r="J102" s="100">
        <v>0.13</v>
      </c>
      <c r="K102" s="100">
        <v>197.89</v>
      </c>
      <c r="L102" s="100">
        <v>12.97</v>
      </c>
      <c r="M102" s="100">
        <v>84.24</v>
      </c>
      <c r="N102" s="100">
        <v>19.899999999999999</v>
      </c>
      <c r="O102" s="100">
        <v>0</v>
      </c>
      <c r="P102" s="100">
        <v>0.72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2645</v>
      </c>
      <c r="B103" s="100">
        <v>10.57</v>
      </c>
      <c r="C103" s="100">
        <v>16.739999999999998</v>
      </c>
      <c r="D103" s="100">
        <v>17.22</v>
      </c>
      <c r="E103" s="100">
        <v>5.85</v>
      </c>
      <c r="F103" s="100">
        <v>1.25</v>
      </c>
      <c r="G103" s="100">
        <v>79.819999999999993</v>
      </c>
      <c r="H103" s="100">
        <v>34.82</v>
      </c>
      <c r="I103" s="100">
        <v>12.66</v>
      </c>
      <c r="J103" s="100">
        <v>0.23</v>
      </c>
      <c r="K103" s="100">
        <v>179.77</v>
      </c>
      <c r="L103" s="100">
        <v>13.03</v>
      </c>
      <c r="M103" s="100">
        <v>81.66</v>
      </c>
      <c r="N103" s="100">
        <v>19.600000000000001</v>
      </c>
      <c r="O103" s="100">
        <v>0</v>
      </c>
      <c r="P103" s="100">
        <v>0.73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2646</v>
      </c>
      <c r="B104" s="100">
        <v>10.34</v>
      </c>
      <c r="C104" s="100">
        <v>16.66</v>
      </c>
      <c r="D104" s="100">
        <v>16.989999999999998</v>
      </c>
      <c r="E104" s="100">
        <v>5.47</v>
      </c>
      <c r="F104" s="100">
        <v>1.24</v>
      </c>
      <c r="G104" s="100">
        <v>79.819999999999993</v>
      </c>
      <c r="H104" s="100">
        <v>34.82</v>
      </c>
      <c r="I104" s="100">
        <v>12.7</v>
      </c>
      <c r="J104" s="100">
        <v>0.25</v>
      </c>
      <c r="K104" s="100">
        <v>238.5</v>
      </c>
      <c r="L104" s="100">
        <v>12.85</v>
      </c>
      <c r="M104" s="100">
        <v>84.41</v>
      </c>
      <c r="N104" s="100">
        <v>19.8</v>
      </c>
      <c r="O104" s="100">
        <v>0</v>
      </c>
      <c r="P104" s="100">
        <v>0.73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3.26</v>
      </c>
      <c r="C106" s="158">
        <f>MIN(C9:C104)</f>
        <v>15.98</v>
      </c>
      <c r="D106" s="158">
        <f t="shared" ref="D106:Q106" si="0">MIN(D9:D104)</f>
        <v>11.25</v>
      </c>
      <c r="E106" s="158">
        <f t="shared" si="0"/>
        <v>3.45</v>
      </c>
      <c r="F106" s="158">
        <f t="shared" si="0"/>
        <v>1.04</v>
      </c>
      <c r="G106" s="158">
        <f t="shared" si="0"/>
        <v>35.15</v>
      </c>
      <c r="H106" s="158">
        <f t="shared" si="0"/>
        <v>16.53</v>
      </c>
      <c r="I106" s="158">
        <f t="shared" si="0"/>
        <v>8.16</v>
      </c>
      <c r="J106" s="158">
        <f t="shared" si="0"/>
        <v>7.0000000000000007E-2</v>
      </c>
      <c r="K106" s="158">
        <f t="shared" si="0"/>
        <v>9.94</v>
      </c>
      <c r="L106" s="158">
        <f t="shared" si="0"/>
        <v>10.71</v>
      </c>
      <c r="M106" s="158">
        <f t="shared" si="0"/>
        <v>29.05</v>
      </c>
      <c r="N106" s="158">
        <f t="shared" si="0"/>
        <v>13.6</v>
      </c>
      <c r="O106" s="158">
        <f t="shared" si="0"/>
        <v>0</v>
      </c>
      <c r="P106" s="158">
        <f t="shared" si="0"/>
        <v>0.43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38.44</v>
      </c>
      <c r="C107" s="157">
        <f t="shared" ref="C107:Q107" si="1">MAX(C9:C104)</f>
        <v>20.71</v>
      </c>
      <c r="D107" s="157">
        <f t="shared" si="1"/>
        <v>41.6</v>
      </c>
      <c r="E107" s="157">
        <f t="shared" si="1"/>
        <v>6.32</v>
      </c>
      <c r="F107" s="157">
        <f t="shared" si="1"/>
        <v>4.51</v>
      </c>
      <c r="G107" s="157">
        <f t="shared" si="1"/>
        <v>80.58</v>
      </c>
      <c r="H107" s="157">
        <f t="shared" si="1"/>
        <v>36.57</v>
      </c>
      <c r="I107" s="157">
        <f t="shared" si="1"/>
        <v>16.690000000000001</v>
      </c>
      <c r="J107" s="157">
        <f t="shared" si="1"/>
        <v>1.04</v>
      </c>
      <c r="K107" s="157">
        <f t="shared" si="1"/>
        <v>333.93</v>
      </c>
      <c r="L107" s="157">
        <f t="shared" si="1"/>
        <v>24.25</v>
      </c>
      <c r="M107" s="157">
        <f t="shared" si="1"/>
        <v>89.04</v>
      </c>
      <c r="N107" s="157">
        <f t="shared" si="1"/>
        <v>557.29999999999995</v>
      </c>
      <c r="O107" s="157">
        <f t="shared" si="1"/>
        <v>0</v>
      </c>
      <c r="P107" s="157">
        <f t="shared" si="1"/>
        <v>0.92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17.350729166666664</v>
      </c>
      <c r="C108" s="158">
        <f t="shared" ref="C108:Q108" si="2">AVERAGE(C9:C104)</f>
        <v>18.670312500000001</v>
      </c>
      <c r="D108" s="158">
        <f t="shared" si="2"/>
        <v>23.668749999999985</v>
      </c>
      <c r="E108" s="158">
        <f t="shared" si="2"/>
        <v>5.6931250000000011</v>
      </c>
      <c r="F108" s="158">
        <f t="shared" si="2"/>
        <v>1.7371875000000001</v>
      </c>
      <c r="G108" s="158">
        <f t="shared" si="2"/>
        <v>57.777291666666677</v>
      </c>
      <c r="H108" s="158">
        <f t="shared" si="2"/>
        <v>28.28125</v>
      </c>
      <c r="I108" s="158">
        <f t="shared" si="2"/>
        <v>12.219791666666667</v>
      </c>
      <c r="J108" s="158">
        <f t="shared" si="2"/>
        <v>0.28750000000000003</v>
      </c>
      <c r="K108" s="158">
        <f t="shared" si="2"/>
        <v>138.43781250000004</v>
      </c>
      <c r="L108" s="158">
        <f t="shared" si="2"/>
        <v>16.547395833333336</v>
      </c>
      <c r="M108" s="158">
        <f t="shared" si="2"/>
        <v>62.614583333333314</v>
      </c>
      <c r="N108" s="158">
        <f t="shared" si="2"/>
        <v>108.15520833333333</v>
      </c>
      <c r="O108" s="158">
        <f t="shared" si="2"/>
        <v>0</v>
      </c>
      <c r="P108" s="158">
        <f t="shared" si="2"/>
        <v>0.6791666666666667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11.990886824215316</v>
      </c>
      <c r="C109" s="158">
        <f t="shared" ref="C109:Q109" si="3">STDEV(C9:C104)</f>
        <v>1.2974358948771956</v>
      </c>
      <c r="D109" s="158">
        <f t="shared" si="3"/>
        <v>10.1176341368087</v>
      </c>
      <c r="E109" s="158">
        <f t="shared" si="3"/>
        <v>0.43513171024777986</v>
      </c>
      <c r="F109" s="158">
        <f t="shared" si="3"/>
        <v>0.93042910657847577</v>
      </c>
      <c r="G109" s="158">
        <f t="shared" si="3"/>
        <v>15.141508336126224</v>
      </c>
      <c r="H109" s="158">
        <f t="shared" si="3"/>
        <v>6.4226594344186037</v>
      </c>
      <c r="I109" s="158">
        <f t="shared" si="3"/>
        <v>2.4441427209454973</v>
      </c>
      <c r="J109" s="158">
        <f t="shared" si="3"/>
        <v>0.20498010173005363</v>
      </c>
      <c r="K109" s="158">
        <f t="shared" si="3"/>
        <v>64.243637624004961</v>
      </c>
      <c r="L109" s="158">
        <f t="shared" si="3"/>
        <v>4.7574821392018443</v>
      </c>
      <c r="M109" s="158">
        <f t="shared" si="3"/>
        <v>22.356674120255452</v>
      </c>
      <c r="N109" s="158">
        <f t="shared" si="3"/>
        <v>165.37987331868254</v>
      </c>
      <c r="O109" s="158">
        <f t="shared" si="3"/>
        <v>0</v>
      </c>
      <c r="P109" s="158">
        <f t="shared" si="3"/>
        <v>0.15682149870518561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11" sqref="I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2647</v>
      </c>
      <c r="B9" s="100">
        <v>10.199999999999999</v>
      </c>
      <c r="C9" s="100">
        <v>16.09</v>
      </c>
      <c r="D9" s="100">
        <v>16.579999999999998</v>
      </c>
      <c r="E9" s="100">
        <v>5.59</v>
      </c>
      <c r="F9" s="100">
        <v>1.3</v>
      </c>
      <c r="G9" s="100">
        <v>70.48</v>
      </c>
      <c r="H9" s="100">
        <v>31.6</v>
      </c>
      <c r="I9" s="100">
        <v>12.71</v>
      </c>
      <c r="J9" s="100">
        <v>0.17</v>
      </c>
      <c r="K9" s="100">
        <v>201.81</v>
      </c>
      <c r="L9" s="100">
        <v>12.78</v>
      </c>
      <c r="M9" s="100">
        <v>81.540000000000006</v>
      </c>
      <c r="N9" s="100">
        <v>19.8</v>
      </c>
      <c r="O9" s="100">
        <v>0</v>
      </c>
      <c r="P9" s="100">
        <v>0.72</v>
      </c>
      <c r="Q9" s="100">
        <v>9.32</v>
      </c>
      <c r="R9" s="6"/>
      <c r="S9" s="6"/>
      <c r="T9" s="156"/>
      <c r="U9" s="6"/>
    </row>
    <row r="10" spans="1:21" customFormat="1">
      <c r="A10" s="163" t="s">
        <v>2648</v>
      </c>
      <c r="B10" s="100">
        <v>10.199999999999999</v>
      </c>
      <c r="C10" s="100">
        <v>16.149999999999999</v>
      </c>
      <c r="D10" s="100">
        <v>16.62</v>
      </c>
      <c r="E10" s="100">
        <v>5.74</v>
      </c>
      <c r="F10" s="100">
        <v>1.1000000000000001</v>
      </c>
      <c r="G10" s="100">
        <v>69.930000000000007</v>
      </c>
      <c r="H10" s="100">
        <v>31.6</v>
      </c>
      <c r="I10" s="100">
        <v>12.71</v>
      </c>
      <c r="J10" s="100">
        <v>0.19</v>
      </c>
      <c r="K10" s="100">
        <v>172.75</v>
      </c>
      <c r="L10" s="100">
        <v>12.7</v>
      </c>
      <c r="M10" s="100">
        <v>82.39</v>
      </c>
      <c r="N10" s="100">
        <v>19.7</v>
      </c>
      <c r="O10" s="100">
        <v>0</v>
      </c>
      <c r="P10" s="100">
        <v>0.72</v>
      </c>
      <c r="Q10" s="100">
        <v>9.32</v>
      </c>
      <c r="R10" s="6"/>
      <c r="S10" s="6"/>
      <c r="T10" s="156"/>
      <c r="U10" s="6"/>
    </row>
    <row r="11" spans="1:21" customFormat="1">
      <c r="A11" s="163" t="s">
        <v>2649</v>
      </c>
      <c r="B11" s="100">
        <v>10.14</v>
      </c>
      <c r="C11" s="100">
        <v>15.88</v>
      </c>
      <c r="D11" s="100">
        <v>16.43</v>
      </c>
      <c r="E11" s="100">
        <v>5.71</v>
      </c>
      <c r="F11" s="100">
        <v>1.38</v>
      </c>
      <c r="G11" s="100">
        <v>69.930000000000007</v>
      </c>
      <c r="H11" s="100">
        <v>31.6</v>
      </c>
      <c r="I11" s="100">
        <v>12.68</v>
      </c>
      <c r="J11" s="100">
        <v>0.16</v>
      </c>
      <c r="K11" s="100">
        <v>0.82</v>
      </c>
      <c r="L11" s="100">
        <v>12.7</v>
      </c>
      <c r="M11" s="100">
        <v>84.31</v>
      </c>
      <c r="N11" s="100">
        <v>19.5</v>
      </c>
      <c r="O11" s="100">
        <v>0</v>
      </c>
      <c r="P11" s="100">
        <v>0.72</v>
      </c>
      <c r="Q11" s="100">
        <v>9.32</v>
      </c>
      <c r="R11" s="6"/>
      <c r="S11" s="6"/>
      <c r="T11" s="156"/>
      <c r="U11" s="6"/>
    </row>
    <row r="12" spans="1:21" customFormat="1">
      <c r="A12" s="163" t="s">
        <v>2650</v>
      </c>
      <c r="B12" s="100">
        <v>10.87</v>
      </c>
      <c r="C12" s="100">
        <v>16.23</v>
      </c>
      <c r="D12" s="100">
        <v>17.2</v>
      </c>
      <c r="E12" s="100">
        <v>5.77</v>
      </c>
      <c r="F12" s="100">
        <v>1.4</v>
      </c>
      <c r="G12" s="100">
        <v>69.930000000000007</v>
      </c>
      <c r="H12" s="100">
        <v>31.6</v>
      </c>
      <c r="I12" s="100">
        <v>12.68</v>
      </c>
      <c r="J12" s="100">
        <v>0.68</v>
      </c>
      <c r="K12" s="100">
        <v>33.76</v>
      </c>
      <c r="L12" s="100">
        <v>13.16</v>
      </c>
      <c r="M12" s="100">
        <v>76.59</v>
      </c>
      <c r="N12" s="100">
        <v>18.8</v>
      </c>
      <c r="O12" s="100">
        <v>0</v>
      </c>
      <c r="P12" s="100">
        <v>0.73</v>
      </c>
      <c r="Q12" s="100">
        <v>9.32</v>
      </c>
      <c r="R12" s="6"/>
      <c r="S12" s="6"/>
      <c r="T12" s="156"/>
      <c r="U12" s="6"/>
    </row>
    <row r="13" spans="1:21" customFormat="1">
      <c r="A13" s="163" t="s">
        <v>2651</v>
      </c>
      <c r="B13" s="100">
        <v>12.12</v>
      </c>
      <c r="C13" s="100">
        <v>16.89</v>
      </c>
      <c r="D13" s="100">
        <v>18.55</v>
      </c>
      <c r="E13" s="100">
        <v>6.2</v>
      </c>
      <c r="F13" s="100">
        <v>1.22</v>
      </c>
      <c r="G13" s="100">
        <v>65.36</v>
      </c>
      <c r="H13" s="100">
        <v>32.299999999999997</v>
      </c>
      <c r="I13" s="100">
        <v>12.71</v>
      </c>
      <c r="J13" s="100">
        <v>0.64</v>
      </c>
      <c r="K13" s="100">
        <v>37.840000000000003</v>
      </c>
      <c r="L13" s="100">
        <v>13.54</v>
      </c>
      <c r="M13" s="100">
        <v>74</v>
      </c>
      <c r="N13" s="100">
        <v>19.399999999999999</v>
      </c>
      <c r="O13" s="100">
        <v>0</v>
      </c>
      <c r="P13" s="100">
        <v>0.75</v>
      </c>
      <c r="Q13" s="100">
        <v>9.32</v>
      </c>
      <c r="R13" s="6"/>
      <c r="S13" s="6"/>
      <c r="T13" s="156"/>
      <c r="U13" s="6"/>
    </row>
    <row r="14" spans="1:21" customFormat="1">
      <c r="A14" s="163" t="s">
        <v>2652</v>
      </c>
      <c r="B14" s="100">
        <v>13.08</v>
      </c>
      <c r="C14" s="100">
        <v>17.38</v>
      </c>
      <c r="D14" s="100">
        <v>19.57</v>
      </c>
      <c r="E14" s="100">
        <v>5.91</v>
      </c>
      <c r="F14" s="100">
        <v>1.1200000000000001</v>
      </c>
      <c r="G14" s="100">
        <v>65.09</v>
      </c>
      <c r="H14" s="100">
        <v>32.299999999999997</v>
      </c>
      <c r="I14" s="100">
        <v>12.88</v>
      </c>
      <c r="J14" s="100">
        <v>0.1</v>
      </c>
      <c r="K14" s="100">
        <v>31.05</v>
      </c>
      <c r="L14" s="100">
        <v>13.24</v>
      </c>
      <c r="M14" s="100">
        <v>74.849999999999994</v>
      </c>
      <c r="N14" s="100">
        <v>20</v>
      </c>
      <c r="O14" s="100">
        <v>0</v>
      </c>
      <c r="P14" s="100">
        <v>0.78</v>
      </c>
      <c r="Q14" s="100">
        <v>9.32</v>
      </c>
      <c r="R14" s="6"/>
      <c r="S14" s="6"/>
      <c r="T14" s="156"/>
      <c r="U14" s="6"/>
    </row>
    <row r="15" spans="1:21" customFormat="1">
      <c r="A15" s="163" t="s">
        <v>2653</v>
      </c>
      <c r="B15" s="100">
        <v>14.22</v>
      </c>
      <c r="C15" s="100">
        <v>17.87</v>
      </c>
      <c r="D15" s="100">
        <v>20.74</v>
      </c>
      <c r="E15" s="100">
        <v>5.93</v>
      </c>
      <c r="F15" s="100">
        <v>1.2</v>
      </c>
      <c r="G15" s="100">
        <v>65.09</v>
      </c>
      <c r="H15" s="100">
        <v>32.299999999999997</v>
      </c>
      <c r="I15" s="100">
        <v>13.21</v>
      </c>
      <c r="J15" s="100">
        <v>0.2</v>
      </c>
      <c r="K15" s="100">
        <v>211.75</v>
      </c>
      <c r="L15" s="100">
        <v>12.87</v>
      </c>
      <c r="M15" s="100">
        <v>78.430000000000007</v>
      </c>
      <c r="N15" s="100">
        <v>19.899999999999999</v>
      </c>
      <c r="O15" s="100">
        <v>0</v>
      </c>
      <c r="P15" s="100">
        <v>0.8</v>
      </c>
      <c r="Q15" s="100">
        <v>9.32</v>
      </c>
      <c r="R15" s="6"/>
      <c r="S15" s="6"/>
      <c r="T15" s="156"/>
      <c r="U15" s="6"/>
    </row>
    <row r="16" spans="1:21" customFormat="1">
      <c r="A16" s="163" t="s">
        <v>2654</v>
      </c>
      <c r="B16" s="100">
        <v>14.96</v>
      </c>
      <c r="C16" s="100">
        <v>18.149999999999999</v>
      </c>
      <c r="D16" s="100">
        <v>21.48</v>
      </c>
      <c r="E16" s="100">
        <v>5.86</v>
      </c>
      <c r="F16" s="100">
        <v>1.29</v>
      </c>
      <c r="G16" s="100">
        <v>65.09</v>
      </c>
      <c r="H16" s="100">
        <v>32.299999999999997</v>
      </c>
      <c r="I16" s="100">
        <v>13.55</v>
      </c>
      <c r="J16" s="100">
        <v>0.19</v>
      </c>
      <c r="K16" s="100">
        <v>205.86</v>
      </c>
      <c r="L16" s="100">
        <v>12.54</v>
      </c>
      <c r="M16" s="100">
        <v>81.849999999999994</v>
      </c>
      <c r="N16" s="100">
        <v>19.899999999999999</v>
      </c>
      <c r="O16" s="100">
        <v>0</v>
      </c>
      <c r="P16" s="100">
        <v>0.83</v>
      </c>
      <c r="Q16" s="100">
        <v>9.32</v>
      </c>
      <c r="R16" s="6"/>
      <c r="S16" s="6"/>
      <c r="T16" s="156"/>
      <c r="U16" s="6"/>
    </row>
    <row r="17" spans="1:21" customFormat="1">
      <c r="A17" s="163" t="s">
        <v>2655</v>
      </c>
      <c r="B17" s="100">
        <v>15.32</v>
      </c>
      <c r="C17" s="100">
        <v>18.190000000000001</v>
      </c>
      <c r="D17" s="100">
        <v>21.79</v>
      </c>
      <c r="E17" s="100">
        <v>5</v>
      </c>
      <c r="F17" s="100">
        <v>1.27</v>
      </c>
      <c r="G17" s="100">
        <v>80.819999999999993</v>
      </c>
      <c r="H17" s="100">
        <v>35.43</v>
      </c>
      <c r="I17" s="100">
        <v>13.89</v>
      </c>
      <c r="J17" s="100">
        <v>0.14000000000000001</v>
      </c>
      <c r="K17" s="100">
        <v>183.45</v>
      </c>
      <c r="L17" s="100">
        <v>12.26</v>
      </c>
      <c r="M17" s="100">
        <v>84.93</v>
      </c>
      <c r="N17" s="100">
        <v>19.899999999999999</v>
      </c>
      <c r="O17" s="100">
        <v>0</v>
      </c>
      <c r="P17" s="100">
        <v>0.85</v>
      </c>
      <c r="Q17" s="100">
        <v>9.32</v>
      </c>
      <c r="R17" s="6"/>
      <c r="S17" s="6"/>
      <c r="T17" s="156"/>
      <c r="U17" s="6"/>
    </row>
    <row r="18" spans="1:21" customFormat="1">
      <c r="A18" s="163" t="s">
        <v>2656</v>
      </c>
      <c r="B18" s="100">
        <v>15.42</v>
      </c>
      <c r="C18" s="100">
        <v>18.059999999999999</v>
      </c>
      <c r="D18" s="100">
        <v>21.8</v>
      </c>
      <c r="E18" s="100">
        <v>5.97</v>
      </c>
      <c r="F18" s="100">
        <v>1.28</v>
      </c>
      <c r="G18" s="100">
        <v>81.95</v>
      </c>
      <c r="H18" s="100">
        <v>35.43</v>
      </c>
      <c r="I18" s="100">
        <v>14.22</v>
      </c>
      <c r="J18" s="100">
        <v>0.13</v>
      </c>
      <c r="K18" s="100">
        <v>218.75</v>
      </c>
      <c r="L18" s="100">
        <v>11.9</v>
      </c>
      <c r="M18" s="100">
        <v>87.02</v>
      </c>
      <c r="N18" s="100">
        <v>19.8</v>
      </c>
      <c r="O18" s="100">
        <v>0</v>
      </c>
      <c r="P18" s="100">
        <v>0.87</v>
      </c>
      <c r="Q18" s="100">
        <v>9.32</v>
      </c>
      <c r="R18" s="6"/>
      <c r="S18" s="6"/>
      <c r="T18" s="156"/>
      <c r="U18" s="6"/>
    </row>
    <row r="19" spans="1:21" customFormat="1">
      <c r="A19" s="163" t="s">
        <v>2657</v>
      </c>
      <c r="B19" s="100">
        <v>15.4</v>
      </c>
      <c r="C19" s="100">
        <v>17.95</v>
      </c>
      <c r="D19" s="100">
        <v>21.73</v>
      </c>
      <c r="E19" s="100">
        <v>5.68</v>
      </c>
      <c r="F19" s="100">
        <v>1.28</v>
      </c>
      <c r="G19" s="100">
        <v>81.95</v>
      </c>
      <c r="H19" s="100">
        <v>35.43</v>
      </c>
      <c r="I19" s="100">
        <v>14.49</v>
      </c>
      <c r="J19" s="100">
        <v>0.15</v>
      </c>
      <c r="K19" s="100">
        <v>167.22</v>
      </c>
      <c r="L19" s="100">
        <v>11.77</v>
      </c>
      <c r="M19" s="100">
        <v>87.41</v>
      </c>
      <c r="N19" s="100">
        <v>19.600000000000001</v>
      </c>
      <c r="O19" s="100">
        <v>0</v>
      </c>
      <c r="P19" s="100">
        <v>0.89</v>
      </c>
      <c r="Q19" s="100">
        <v>9.32</v>
      </c>
      <c r="R19" s="6"/>
      <c r="S19" s="6"/>
      <c r="T19" s="156"/>
      <c r="U19" s="6"/>
    </row>
    <row r="20" spans="1:21" customFormat="1">
      <c r="A20" s="163" t="s">
        <v>2658</v>
      </c>
      <c r="B20" s="100">
        <v>16.149999999999999</v>
      </c>
      <c r="C20" s="100">
        <v>17.84</v>
      </c>
      <c r="D20" s="100">
        <v>22.27</v>
      </c>
      <c r="E20" s="100">
        <v>5.72</v>
      </c>
      <c r="F20" s="100">
        <v>1.28</v>
      </c>
      <c r="G20" s="100">
        <v>81.95</v>
      </c>
      <c r="H20" s="100">
        <v>35.43</v>
      </c>
      <c r="I20" s="100">
        <v>14.76</v>
      </c>
      <c r="J20" s="100">
        <v>0.11</v>
      </c>
      <c r="K20" s="100">
        <v>177.83</v>
      </c>
      <c r="L20" s="100">
        <v>11.87</v>
      </c>
      <c r="M20" s="100">
        <v>85.61</v>
      </c>
      <c r="N20" s="100">
        <v>19.600000000000001</v>
      </c>
      <c r="O20" s="100">
        <v>0</v>
      </c>
      <c r="P20" s="100">
        <v>0.91</v>
      </c>
      <c r="Q20" s="100">
        <v>9.32</v>
      </c>
      <c r="R20" s="6"/>
      <c r="S20" s="6"/>
      <c r="T20" s="156"/>
      <c r="U20" s="6"/>
    </row>
    <row r="21" spans="1:21" customFormat="1">
      <c r="A21" s="163" t="s">
        <v>2659</v>
      </c>
      <c r="B21" s="100">
        <v>17.82</v>
      </c>
      <c r="C21" s="100">
        <v>18.149999999999999</v>
      </c>
      <c r="D21" s="100">
        <v>23.77</v>
      </c>
      <c r="E21" s="100">
        <v>5.98</v>
      </c>
      <c r="F21" s="100">
        <v>1.25</v>
      </c>
      <c r="G21" s="100">
        <v>84.26</v>
      </c>
      <c r="H21" s="100">
        <v>39.06</v>
      </c>
      <c r="I21" s="100">
        <v>15.06</v>
      </c>
      <c r="J21" s="100">
        <v>0.17</v>
      </c>
      <c r="K21" s="100">
        <v>178.84</v>
      </c>
      <c r="L21" s="100">
        <v>11.75</v>
      </c>
      <c r="M21" s="100">
        <v>87.35</v>
      </c>
      <c r="N21" s="100">
        <v>19.600000000000001</v>
      </c>
      <c r="O21" s="100">
        <v>0</v>
      </c>
      <c r="P21" s="100">
        <v>0.96</v>
      </c>
      <c r="Q21" s="100">
        <v>9.32</v>
      </c>
      <c r="R21" s="6"/>
      <c r="S21" s="6"/>
      <c r="T21" s="156"/>
      <c r="U21" s="6"/>
    </row>
    <row r="22" spans="1:21" customFormat="1">
      <c r="A22" s="163" t="s">
        <v>2660</v>
      </c>
      <c r="B22" s="100">
        <v>18.62</v>
      </c>
      <c r="C22" s="100">
        <v>18.100000000000001</v>
      </c>
      <c r="D22" s="100">
        <v>24.39</v>
      </c>
      <c r="E22" s="100">
        <v>6.19</v>
      </c>
      <c r="F22" s="100">
        <v>1.19</v>
      </c>
      <c r="G22" s="100">
        <v>84.4</v>
      </c>
      <c r="H22" s="100">
        <v>39.06</v>
      </c>
      <c r="I22" s="100">
        <v>15.37</v>
      </c>
      <c r="J22" s="100">
        <v>0.16</v>
      </c>
      <c r="K22" s="100">
        <v>204.49</v>
      </c>
      <c r="L22" s="100">
        <v>11.45</v>
      </c>
      <c r="M22" s="100">
        <v>89.46</v>
      </c>
      <c r="N22" s="100">
        <v>19.899999999999999</v>
      </c>
      <c r="O22" s="100">
        <v>0</v>
      </c>
      <c r="P22" s="100">
        <v>0.98</v>
      </c>
      <c r="Q22" s="100">
        <v>9.32</v>
      </c>
      <c r="R22" s="6"/>
      <c r="S22" s="6"/>
      <c r="T22" s="156"/>
      <c r="U22" s="6"/>
    </row>
    <row r="23" spans="1:21" customFormat="1">
      <c r="A23" s="163" t="s">
        <v>2661</v>
      </c>
      <c r="B23" s="100">
        <v>18.77</v>
      </c>
      <c r="C23" s="100">
        <v>17.78</v>
      </c>
      <c r="D23" s="100">
        <v>24.34</v>
      </c>
      <c r="E23" s="100">
        <v>5.72</v>
      </c>
      <c r="F23" s="100">
        <v>1.18</v>
      </c>
      <c r="G23" s="100">
        <v>84.4</v>
      </c>
      <c r="H23" s="100">
        <v>39.06</v>
      </c>
      <c r="I23" s="100">
        <v>15.68</v>
      </c>
      <c r="J23" s="100">
        <v>0.11</v>
      </c>
      <c r="K23" s="100">
        <v>148.41</v>
      </c>
      <c r="L23" s="100">
        <v>11.13</v>
      </c>
      <c r="M23" s="100">
        <v>90.83</v>
      </c>
      <c r="N23" s="100">
        <v>19.899999999999999</v>
      </c>
      <c r="O23" s="100">
        <v>0</v>
      </c>
      <c r="P23" s="100">
        <v>1</v>
      </c>
      <c r="Q23" s="100">
        <v>9.32</v>
      </c>
      <c r="R23" s="6"/>
      <c r="S23" s="6"/>
      <c r="T23" s="156"/>
      <c r="U23" s="6"/>
    </row>
    <row r="24" spans="1:21" customFormat="1">
      <c r="A24" s="163" t="s">
        <v>2662</v>
      </c>
      <c r="B24" s="100">
        <v>18.73</v>
      </c>
      <c r="C24" s="100">
        <v>17.48</v>
      </c>
      <c r="D24" s="100">
        <v>24.15</v>
      </c>
      <c r="E24" s="100">
        <v>5.69</v>
      </c>
      <c r="F24" s="100">
        <v>1.2</v>
      </c>
      <c r="G24" s="100">
        <v>84.4</v>
      </c>
      <c r="H24" s="100">
        <v>39.06</v>
      </c>
      <c r="I24" s="100">
        <v>15.98</v>
      </c>
      <c r="J24" s="100">
        <v>0.17</v>
      </c>
      <c r="K24" s="100">
        <v>210.16</v>
      </c>
      <c r="L24" s="100">
        <v>11.15</v>
      </c>
      <c r="M24" s="100">
        <v>91.29</v>
      </c>
      <c r="N24" s="100">
        <v>19.7</v>
      </c>
      <c r="O24" s="100">
        <v>0</v>
      </c>
      <c r="P24" s="100">
        <v>1.01</v>
      </c>
      <c r="Q24" s="100">
        <v>9.32</v>
      </c>
      <c r="R24" s="6"/>
      <c r="S24" s="6"/>
      <c r="T24" s="156"/>
      <c r="U24" s="6"/>
    </row>
    <row r="25" spans="1:21" customFormat="1">
      <c r="A25" s="163" t="s">
        <v>2663</v>
      </c>
      <c r="B25" s="100">
        <v>18.79</v>
      </c>
      <c r="C25" s="100">
        <v>17.12</v>
      </c>
      <c r="D25" s="100">
        <v>24.01</v>
      </c>
      <c r="E25" s="100">
        <v>5.45</v>
      </c>
      <c r="F25" s="100">
        <v>1.1299999999999999</v>
      </c>
      <c r="G25" s="100">
        <v>89.82</v>
      </c>
      <c r="H25" s="100">
        <v>41.23</v>
      </c>
      <c r="I25" s="100">
        <v>16.23</v>
      </c>
      <c r="J25" s="100">
        <v>0.21</v>
      </c>
      <c r="K25" s="100">
        <v>81.52</v>
      </c>
      <c r="L25" s="100">
        <v>10.96</v>
      </c>
      <c r="M25" s="100">
        <v>90.77</v>
      </c>
      <c r="N25" s="100">
        <v>19.7</v>
      </c>
      <c r="O25" s="100">
        <v>0</v>
      </c>
      <c r="P25" s="100">
        <v>1.02</v>
      </c>
      <c r="Q25" s="100">
        <v>9.32</v>
      </c>
      <c r="R25" s="6"/>
      <c r="S25" s="6"/>
      <c r="T25" s="156"/>
      <c r="U25" s="6"/>
    </row>
    <row r="26" spans="1:21" customFormat="1">
      <c r="A26" s="163" t="s">
        <v>2664</v>
      </c>
      <c r="B26" s="100">
        <v>19.899999999999999</v>
      </c>
      <c r="C26" s="100">
        <v>17.23</v>
      </c>
      <c r="D26" s="100">
        <v>24.96</v>
      </c>
      <c r="E26" s="100">
        <v>5.71</v>
      </c>
      <c r="F26" s="100">
        <v>1.06</v>
      </c>
      <c r="G26" s="100">
        <v>90.14</v>
      </c>
      <c r="H26" s="100">
        <v>41.23</v>
      </c>
      <c r="I26" s="100">
        <v>16.43</v>
      </c>
      <c r="J26" s="100">
        <v>0.13</v>
      </c>
      <c r="K26" s="100">
        <v>90.95</v>
      </c>
      <c r="L26" s="100">
        <v>11.14</v>
      </c>
      <c r="M26" s="100">
        <v>88.41</v>
      </c>
      <c r="N26" s="100">
        <v>19.5</v>
      </c>
      <c r="O26" s="100">
        <v>0</v>
      </c>
      <c r="P26" s="100">
        <v>1.04</v>
      </c>
      <c r="Q26" s="100">
        <v>9.32</v>
      </c>
      <c r="R26" s="6"/>
      <c r="S26" s="6"/>
      <c r="T26" s="156"/>
      <c r="U26" s="6"/>
    </row>
    <row r="27" spans="1:21" customFormat="1">
      <c r="A27" s="163" t="s">
        <v>2665</v>
      </c>
      <c r="B27" s="100">
        <v>21.63</v>
      </c>
      <c r="C27" s="100">
        <v>17.41</v>
      </c>
      <c r="D27" s="100">
        <v>26.44</v>
      </c>
      <c r="E27" s="100">
        <v>5.93</v>
      </c>
      <c r="F27" s="100">
        <v>1.2</v>
      </c>
      <c r="G27" s="100">
        <v>90.14</v>
      </c>
      <c r="H27" s="100">
        <v>41.23</v>
      </c>
      <c r="I27" s="100">
        <v>16.579999999999998</v>
      </c>
      <c r="J27" s="100">
        <v>0.03</v>
      </c>
      <c r="K27" s="100">
        <v>54.75</v>
      </c>
      <c r="L27" s="100">
        <v>11.25</v>
      </c>
      <c r="M27" s="100">
        <v>86.65</v>
      </c>
      <c r="N27" s="100">
        <v>19.399999999999999</v>
      </c>
      <c r="O27" s="100">
        <v>0</v>
      </c>
      <c r="P27" s="100">
        <v>1.06</v>
      </c>
      <c r="Q27" s="100">
        <v>9.32</v>
      </c>
      <c r="R27" s="6"/>
      <c r="S27" s="6"/>
      <c r="T27" s="156"/>
      <c r="U27" s="6"/>
    </row>
    <row r="28" spans="1:21" customFormat="1">
      <c r="A28" s="163" t="s">
        <v>2666</v>
      </c>
      <c r="B28" s="100">
        <v>23.1</v>
      </c>
      <c r="C28" s="100">
        <v>17.68</v>
      </c>
      <c r="D28" s="100">
        <v>27.76</v>
      </c>
      <c r="E28" s="100">
        <v>5.8</v>
      </c>
      <c r="F28" s="100">
        <v>1.28</v>
      </c>
      <c r="G28" s="100">
        <v>90.14</v>
      </c>
      <c r="H28" s="100">
        <v>41.23</v>
      </c>
      <c r="I28" s="100">
        <v>16.78</v>
      </c>
      <c r="J28" s="100">
        <v>0.13</v>
      </c>
      <c r="K28" s="100">
        <v>179.63</v>
      </c>
      <c r="L28" s="100">
        <v>11.16</v>
      </c>
      <c r="M28" s="100">
        <v>86.42</v>
      </c>
      <c r="N28" s="100">
        <v>19.600000000000001</v>
      </c>
      <c r="O28" s="100">
        <v>0</v>
      </c>
      <c r="P28" s="100">
        <v>1.07</v>
      </c>
      <c r="Q28" s="100">
        <v>9.32</v>
      </c>
      <c r="R28" s="6"/>
      <c r="S28" s="6"/>
      <c r="T28" s="156"/>
      <c r="U28" s="6"/>
    </row>
    <row r="29" spans="1:21" customFormat="1">
      <c r="A29" s="163" t="s">
        <v>2667</v>
      </c>
      <c r="B29" s="100">
        <v>23.81</v>
      </c>
      <c r="C29" s="100">
        <v>17.8</v>
      </c>
      <c r="D29" s="100">
        <v>28.39</v>
      </c>
      <c r="E29" s="100">
        <v>5.63</v>
      </c>
      <c r="F29" s="100">
        <v>1.17</v>
      </c>
      <c r="G29" s="100">
        <v>98.92</v>
      </c>
      <c r="H29" s="100">
        <v>44.06</v>
      </c>
      <c r="I29" s="100">
        <v>16.95</v>
      </c>
      <c r="J29" s="100">
        <v>0.08</v>
      </c>
      <c r="K29" s="100">
        <v>156.19999999999999</v>
      </c>
      <c r="L29" s="100">
        <v>11</v>
      </c>
      <c r="M29" s="100">
        <v>87.03</v>
      </c>
      <c r="N29" s="100">
        <v>19.600000000000001</v>
      </c>
      <c r="O29" s="100">
        <v>0</v>
      </c>
      <c r="P29" s="100">
        <v>1.06</v>
      </c>
      <c r="Q29" s="100">
        <v>9.32</v>
      </c>
      <c r="R29" s="6"/>
      <c r="S29" s="6"/>
      <c r="T29" s="156"/>
      <c r="U29" s="6"/>
    </row>
    <row r="30" spans="1:21" customFormat="1">
      <c r="A30" s="163" t="s">
        <v>2668</v>
      </c>
      <c r="B30" s="100">
        <v>24.5</v>
      </c>
      <c r="C30" s="100">
        <v>17.91</v>
      </c>
      <c r="D30" s="100">
        <v>29</v>
      </c>
      <c r="E30" s="100">
        <v>5.79</v>
      </c>
      <c r="F30" s="100">
        <v>1.1299999999999999</v>
      </c>
      <c r="G30" s="100">
        <v>99.55</v>
      </c>
      <c r="H30" s="100">
        <v>44.06</v>
      </c>
      <c r="I30" s="100">
        <v>16.93</v>
      </c>
      <c r="J30" s="100">
        <v>0.02</v>
      </c>
      <c r="K30" s="100">
        <v>228.38</v>
      </c>
      <c r="L30" s="100">
        <v>11.02</v>
      </c>
      <c r="M30" s="100">
        <v>86.75</v>
      </c>
      <c r="N30" s="100">
        <v>19.5</v>
      </c>
      <c r="O30" s="100">
        <v>0</v>
      </c>
      <c r="P30" s="100">
        <v>1.06</v>
      </c>
      <c r="Q30" s="100">
        <v>9.32</v>
      </c>
      <c r="R30" s="6"/>
      <c r="S30" s="6"/>
      <c r="T30" s="156"/>
      <c r="U30" s="6"/>
    </row>
    <row r="31" spans="1:21" customFormat="1">
      <c r="A31" s="163" t="s">
        <v>2669</v>
      </c>
      <c r="B31" s="100">
        <v>25.41</v>
      </c>
      <c r="C31" s="100">
        <v>18.23</v>
      </c>
      <c r="D31" s="100">
        <v>29.9</v>
      </c>
      <c r="E31" s="100">
        <v>5.58</v>
      </c>
      <c r="F31" s="100">
        <v>1.2</v>
      </c>
      <c r="G31" s="100">
        <v>99.55</v>
      </c>
      <c r="H31" s="100">
        <v>44.06</v>
      </c>
      <c r="I31" s="100">
        <v>16.79</v>
      </c>
      <c r="J31" s="100">
        <v>0.13</v>
      </c>
      <c r="K31" s="100">
        <v>157.49</v>
      </c>
      <c r="L31" s="100">
        <v>11.23</v>
      </c>
      <c r="M31" s="100">
        <v>84.89</v>
      </c>
      <c r="N31" s="100">
        <v>19.600000000000001</v>
      </c>
      <c r="O31" s="100">
        <v>0</v>
      </c>
      <c r="P31" s="100">
        <v>1.04</v>
      </c>
      <c r="Q31" s="100">
        <v>9.32</v>
      </c>
      <c r="R31" s="6"/>
      <c r="S31" s="6"/>
      <c r="T31" s="156"/>
      <c r="U31" s="6"/>
    </row>
    <row r="32" spans="1:21" customFormat="1">
      <c r="A32" s="163" t="s">
        <v>2670</v>
      </c>
      <c r="B32" s="100">
        <v>26.34</v>
      </c>
      <c r="C32" s="100">
        <v>18.43</v>
      </c>
      <c r="D32" s="100">
        <v>30.76</v>
      </c>
      <c r="E32" s="100">
        <v>5.73</v>
      </c>
      <c r="F32" s="100">
        <v>1.1599999999999999</v>
      </c>
      <c r="G32" s="100">
        <v>99.55</v>
      </c>
      <c r="H32" s="100">
        <v>44.06</v>
      </c>
      <c r="I32" s="100">
        <v>16.66</v>
      </c>
      <c r="J32" s="100">
        <v>0.11</v>
      </c>
      <c r="K32" s="100">
        <v>146.03</v>
      </c>
      <c r="L32" s="100">
        <v>10.98</v>
      </c>
      <c r="M32" s="100">
        <v>85.69</v>
      </c>
      <c r="N32" s="100">
        <v>19.7</v>
      </c>
      <c r="O32" s="100">
        <v>0</v>
      </c>
      <c r="P32" s="100">
        <v>1.04</v>
      </c>
      <c r="Q32" s="100">
        <v>9.32</v>
      </c>
      <c r="R32" s="6"/>
      <c r="S32" s="6"/>
      <c r="T32" s="156"/>
      <c r="U32" s="6"/>
    </row>
    <row r="33" spans="1:21" customFormat="1">
      <c r="A33" s="163" t="s">
        <v>2671</v>
      </c>
      <c r="B33" s="100">
        <v>26.91</v>
      </c>
      <c r="C33" s="100">
        <v>18.600000000000001</v>
      </c>
      <c r="D33" s="100">
        <v>31.3</v>
      </c>
      <c r="E33" s="100">
        <v>5.45</v>
      </c>
      <c r="F33" s="100">
        <v>1.07</v>
      </c>
      <c r="G33" s="100">
        <v>89.79</v>
      </c>
      <c r="H33" s="100">
        <v>43.32</v>
      </c>
      <c r="I33" s="100">
        <v>15.04</v>
      </c>
      <c r="J33" s="100">
        <v>0.1</v>
      </c>
      <c r="K33" s="100">
        <v>98.02</v>
      </c>
      <c r="L33" s="100">
        <v>11.11</v>
      </c>
      <c r="M33" s="100">
        <v>83.43</v>
      </c>
      <c r="N33" s="100">
        <v>19.5</v>
      </c>
      <c r="O33" s="100">
        <v>0</v>
      </c>
      <c r="P33" s="100">
        <v>1.02</v>
      </c>
      <c r="Q33" s="100">
        <v>9.32</v>
      </c>
      <c r="R33" s="6"/>
      <c r="S33" s="6"/>
      <c r="T33" s="156"/>
      <c r="U33" s="6"/>
    </row>
    <row r="34" spans="1:21" customFormat="1">
      <c r="A34" s="163" t="s">
        <v>2672</v>
      </c>
      <c r="B34" s="100">
        <v>27.38</v>
      </c>
      <c r="C34" s="100">
        <v>18.649999999999999</v>
      </c>
      <c r="D34" s="100">
        <v>31.7</v>
      </c>
      <c r="E34" s="100">
        <v>5.61</v>
      </c>
      <c r="F34" s="100">
        <v>1.04</v>
      </c>
      <c r="G34" s="100">
        <v>89.21</v>
      </c>
      <c r="H34" s="100">
        <v>43.32</v>
      </c>
      <c r="I34" s="100">
        <v>13.31</v>
      </c>
      <c r="J34" s="100">
        <v>0.11</v>
      </c>
      <c r="K34" s="100">
        <v>140.97</v>
      </c>
      <c r="L34" s="100">
        <v>11.06</v>
      </c>
      <c r="M34" s="100">
        <v>83.2</v>
      </c>
      <c r="N34" s="100">
        <v>20.3</v>
      </c>
      <c r="O34" s="100">
        <v>0</v>
      </c>
      <c r="P34" s="100">
        <v>1.01</v>
      </c>
      <c r="Q34" s="100">
        <v>9.32</v>
      </c>
      <c r="R34" s="6"/>
      <c r="S34" s="6"/>
      <c r="T34" s="156"/>
      <c r="U34" s="6"/>
    </row>
    <row r="35" spans="1:21" customFormat="1">
      <c r="A35" s="163" t="s">
        <v>2673</v>
      </c>
      <c r="B35" s="100">
        <v>28.09</v>
      </c>
      <c r="C35" s="100">
        <v>18.8</v>
      </c>
      <c r="D35" s="100">
        <v>32.35</v>
      </c>
      <c r="E35" s="100">
        <v>5.47</v>
      </c>
      <c r="F35" s="100">
        <v>1.1299999999999999</v>
      </c>
      <c r="G35" s="100">
        <v>89.21</v>
      </c>
      <c r="H35" s="100">
        <v>43.32</v>
      </c>
      <c r="I35" s="100">
        <v>13.25</v>
      </c>
      <c r="J35" s="100">
        <v>0.12</v>
      </c>
      <c r="K35" s="100">
        <v>135.91999999999999</v>
      </c>
      <c r="L35" s="100">
        <v>10.98</v>
      </c>
      <c r="M35" s="100">
        <v>83.43</v>
      </c>
      <c r="N35" s="100">
        <v>22.8</v>
      </c>
      <c r="O35" s="100">
        <v>0</v>
      </c>
      <c r="P35" s="100">
        <v>1</v>
      </c>
      <c r="Q35" s="100">
        <v>9.32</v>
      </c>
      <c r="R35" s="6"/>
      <c r="S35" s="6"/>
      <c r="T35" s="156"/>
      <c r="U35" s="6"/>
    </row>
    <row r="36" spans="1:21" customFormat="1">
      <c r="A36" s="163" t="s">
        <v>2674</v>
      </c>
      <c r="B36" s="100">
        <v>29</v>
      </c>
      <c r="C36" s="100">
        <v>19.079999999999998</v>
      </c>
      <c r="D36" s="100">
        <v>33.22</v>
      </c>
      <c r="E36" s="100">
        <v>5.73</v>
      </c>
      <c r="F36" s="100">
        <v>1.1399999999999999</v>
      </c>
      <c r="G36" s="100">
        <v>89.21</v>
      </c>
      <c r="H36" s="100">
        <v>43.32</v>
      </c>
      <c r="I36" s="100">
        <v>13.16</v>
      </c>
      <c r="J36" s="100">
        <v>0.05</v>
      </c>
      <c r="K36" s="100">
        <v>173.92</v>
      </c>
      <c r="L36" s="100">
        <v>11.24</v>
      </c>
      <c r="M36" s="100">
        <v>81.78</v>
      </c>
      <c r="N36" s="100">
        <v>29.3</v>
      </c>
      <c r="O36" s="100">
        <v>0</v>
      </c>
      <c r="P36" s="100">
        <v>0.99</v>
      </c>
      <c r="Q36" s="100">
        <v>9.32</v>
      </c>
      <c r="R36" s="6"/>
      <c r="S36" s="6"/>
      <c r="T36" s="156"/>
      <c r="U36" s="6"/>
    </row>
    <row r="37" spans="1:21" customFormat="1">
      <c r="A37" s="163" t="s">
        <v>2675</v>
      </c>
      <c r="B37" s="100">
        <v>29.69</v>
      </c>
      <c r="C37" s="100">
        <v>19.43</v>
      </c>
      <c r="D37" s="100">
        <v>33.96</v>
      </c>
      <c r="E37" s="100">
        <v>5.65</v>
      </c>
      <c r="F37" s="100">
        <v>1.23</v>
      </c>
      <c r="G37" s="100">
        <v>78.099999999999994</v>
      </c>
      <c r="H37" s="100">
        <v>42.8</v>
      </c>
      <c r="I37" s="100">
        <v>13.05</v>
      </c>
      <c r="J37" s="100">
        <v>0.11</v>
      </c>
      <c r="K37" s="100">
        <v>158.53</v>
      </c>
      <c r="L37" s="100">
        <v>11.27</v>
      </c>
      <c r="M37" s="100">
        <v>82.04</v>
      </c>
      <c r="N37" s="100">
        <v>38.5</v>
      </c>
      <c r="O37" s="100">
        <v>0</v>
      </c>
      <c r="P37" s="100">
        <v>0.98</v>
      </c>
      <c r="Q37" s="100">
        <v>9.32</v>
      </c>
      <c r="R37" s="6"/>
      <c r="S37" s="6"/>
      <c r="T37" s="156"/>
      <c r="U37" s="6"/>
    </row>
    <row r="38" spans="1:21" customFormat="1">
      <c r="A38" s="163" t="s">
        <v>2676</v>
      </c>
      <c r="B38" s="100">
        <v>29.74</v>
      </c>
      <c r="C38" s="100">
        <v>19.47</v>
      </c>
      <c r="D38" s="100">
        <v>34.03</v>
      </c>
      <c r="E38" s="100">
        <v>5.48</v>
      </c>
      <c r="F38" s="100">
        <v>1.1499999999999999</v>
      </c>
      <c r="G38" s="100">
        <v>77.45</v>
      </c>
      <c r="H38" s="100">
        <v>42.8</v>
      </c>
      <c r="I38" s="100">
        <v>12.95</v>
      </c>
      <c r="J38" s="100">
        <v>0.21</v>
      </c>
      <c r="K38" s="100">
        <v>61.01</v>
      </c>
      <c r="L38" s="100">
        <v>11.81</v>
      </c>
      <c r="M38" s="100">
        <v>79.510000000000005</v>
      </c>
      <c r="N38" s="100">
        <v>48.2</v>
      </c>
      <c r="O38" s="100">
        <v>0</v>
      </c>
      <c r="P38" s="100">
        <v>0.96</v>
      </c>
      <c r="Q38" s="100">
        <v>9.32</v>
      </c>
      <c r="R38" s="6"/>
      <c r="S38" s="6"/>
      <c r="T38" s="156"/>
      <c r="U38" s="6"/>
    </row>
    <row r="39" spans="1:21" customFormat="1">
      <c r="A39" s="163" t="s">
        <v>2677</v>
      </c>
      <c r="B39" s="100">
        <v>29.66</v>
      </c>
      <c r="C39" s="100">
        <v>19.52</v>
      </c>
      <c r="D39" s="100">
        <v>33.99</v>
      </c>
      <c r="E39" s="100">
        <v>5.82</v>
      </c>
      <c r="F39" s="100">
        <v>1.1200000000000001</v>
      </c>
      <c r="G39" s="100">
        <v>77.45</v>
      </c>
      <c r="H39" s="100">
        <v>42.8</v>
      </c>
      <c r="I39" s="100">
        <v>12.85</v>
      </c>
      <c r="J39" s="100">
        <v>0.45</v>
      </c>
      <c r="K39" s="100">
        <v>55.49</v>
      </c>
      <c r="L39" s="100">
        <v>12.63</v>
      </c>
      <c r="M39" s="100">
        <v>71.099999999999994</v>
      </c>
      <c r="N39" s="100">
        <v>58.6</v>
      </c>
      <c r="O39" s="100">
        <v>0</v>
      </c>
      <c r="P39" s="100">
        <v>0.96</v>
      </c>
      <c r="Q39" s="100">
        <v>9.32</v>
      </c>
      <c r="R39" s="6"/>
      <c r="S39" s="6"/>
      <c r="T39" s="156"/>
      <c r="U39" s="6"/>
    </row>
    <row r="40" spans="1:21" customFormat="1">
      <c r="A40" s="163" t="s">
        <v>2678</v>
      </c>
      <c r="B40" s="100">
        <v>29.42</v>
      </c>
      <c r="C40" s="100">
        <v>19.68</v>
      </c>
      <c r="D40" s="100">
        <v>33.869999999999997</v>
      </c>
      <c r="E40" s="100">
        <v>5.79</v>
      </c>
      <c r="F40" s="100">
        <v>1.08</v>
      </c>
      <c r="G40" s="100">
        <v>77.45</v>
      </c>
      <c r="H40" s="100">
        <v>42.8</v>
      </c>
      <c r="I40" s="100">
        <v>12.81</v>
      </c>
      <c r="J40" s="100">
        <v>0.23</v>
      </c>
      <c r="K40" s="100">
        <v>94.1</v>
      </c>
      <c r="L40" s="100">
        <v>13.37</v>
      </c>
      <c r="M40" s="100">
        <v>65.510000000000005</v>
      </c>
      <c r="N40" s="100">
        <v>68.5</v>
      </c>
      <c r="O40" s="100">
        <v>0</v>
      </c>
      <c r="P40" s="100">
        <v>0.93</v>
      </c>
      <c r="Q40" s="100">
        <v>9.32</v>
      </c>
      <c r="R40" s="6"/>
      <c r="S40" s="6"/>
      <c r="T40" s="156"/>
      <c r="U40" s="6"/>
    </row>
    <row r="41" spans="1:21" customFormat="1">
      <c r="A41" s="163" t="s">
        <v>2679</v>
      </c>
      <c r="B41" s="100">
        <v>28.5</v>
      </c>
      <c r="C41" s="100">
        <v>20.14</v>
      </c>
      <c r="D41" s="100">
        <v>33.369999999999997</v>
      </c>
      <c r="E41" s="100">
        <v>6.16</v>
      </c>
      <c r="F41" s="100">
        <v>1.26</v>
      </c>
      <c r="G41" s="100">
        <v>76.42</v>
      </c>
      <c r="H41" s="100">
        <v>40.770000000000003</v>
      </c>
      <c r="I41" s="100">
        <v>12.83</v>
      </c>
      <c r="J41" s="100">
        <v>0.68</v>
      </c>
      <c r="K41" s="100">
        <v>51.55</v>
      </c>
      <c r="L41" s="100">
        <v>13.96</v>
      </c>
      <c r="M41" s="100">
        <v>62.78</v>
      </c>
      <c r="N41" s="100">
        <v>124.5</v>
      </c>
      <c r="O41" s="100">
        <v>0</v>
      </c>
      <c r="P41" s="100">
        <v>0.92</v>
      </c>
      <c r="Q41" s="100">
        <v>9.32</v>
      </c>
      <c r="R41" s="6"/>
      <c r="S41" s="6"/>
      <c r="T41" s="156"/>
      <c r="U41" s="6"/>
    </row>
    <row r="42" spans="1:21" customFormat="1">
      <c r="A42" s="163" t="s">
        <v>2680</v>
      </c>
      <c r="B42" s="100">
        <v>27.69</v>
      </c>
      <c r="C42" s="100">
        <v>20.82</v>
      </c>
      <c r="D42" s="100">
        <v>33.08</v>
      </c>
      <c r="E42" s="100">
        <v>5.86</v>
      </c>
      <c r="F42" s="100">
        <v>1.41</v>
      </c>
      <c r="G42" s="100">
        <v>76.36</v>
      </c>
      <c r="H42" s="100">
        <v>40.770000000000003</v>
      </c>
      <c r="I42" s="100">
        <v>12.82</v>
      </c>
      <c r="J42" s="100">
        <v>0.79</v>
      </c>
      <c r="K42" s="100">
        <v>46.3</v>
      </c>
      <c r="L42" s="100">
        <v>14.56</v>
      </c>
      <c r="M42" s="100">
        <v>60.97</v>
      </c>
      <c r="N42" s="100">
        <v>196.2</v>
      </c>
      <c r="O42" s="100">
        <v>0</v>
      </c>
      <c r="P42" s="100">
        <v>0.91</v>
      </c>
      <c r="Q42" s="100">
        <v>9.32</v>
      </c>
      <c r="R42" s="6"/>
      <c r="S42" s="6"/>
      <c r="T42" s="156"/>
      <c r="U42" s="6"/>
    </row>
    <row r="43" spans="1:21" customFormat="1">
      <c r="A43" s="163" t="s">
        <v>2681</v>
      </c>
      <c r="B43" s="100">
        <v>26.99</v>
      </c>
      <c r="C43" s="100">
        <v>21.38</v>
      </c>
      <c r="D43" s="100">
        <v>32.81</v>
      </c>
      <c r="E43" s="100">
        <v>6.53</v>
      </c>
      <c r="F43" s="100">
        <v>1.23</v>
      </c>
      <c r="G43" s="100">
        <v>76.36</v>
      </c>
      <c r="H43" s="100">
        <v>40.770000000000003</v>
      </c>
      <c r="I43" s="100">
        <v>12.87</v>
      </c>
      <c r="J43" s="100">
        <v>0.86</v>
      </c>
      <c r="K43" s="100">
        <v>48.49</v>
      </c>
      <c r="L43" s="100">
        <v>15.38</v>
      </c>
      <c r="M43" s="100">
        <v>58.17</v>
      </c>
      <c r="N43" s="100">
        <v>230.5</v>
      </c>
      <c r="O43" s="100">
        <v>0</v>
      </c>
      <c r="P43" s="100">
        <v>0.9</v>
      </c>
      <c r="Q43" s="100">
        <v>9.32</v>
      </c>
      <c r="R43" s="6"/>
      <c r="S43" s="6"/>
      <c r="T43" s="156"/>
      <c r="U43" s="6"/>
    </row>
    <row r="44" spans="1:21" customFormat="1">
      <c r="A44" s="163" t="s">
        <v>2682</v>
      </c>
      <c r="B44" s="100">
        <v>26.48</v>
      </c>
      <c r="C44" s="100">
        <v>21.42</v>
      </c>
      <c r="D44" s="100">
        <v>32.43</v>
      </c>
      <c r="E44" s="100">
        <v>5.92</v>
      </c>
      <c r="F44" s="100">
        <v>1.23</v>
      </c>
      <c r="G44" s="100">
        <v>76.36</v>
      </c>
      <c r="H44" s="100">
        <v>40.770000000000003</v>
      </c>
      <c r="I44" s="100">
        <v>13.14</v>
      </c>
      <c r="J44" s="100">
        <v>0.79</v>
      </c>
      <c r="K44" s="100">
        <v>43.75</v>
      </c>
      <c r="L44" s="100">
        <v>16.43</v>
      </c>
      <c r="M44" s="100">
        <v>55.25</v>
      </c>
      <c r="N44" s="100">
        <v>258.89999999999998</v>
      </c>
      <c r="O44" s="100">
        <v>0</v>
      </c>
      <c r="P44" s="100">
        <v>0.89</v>
      </c>
      <c r="Q44" s="100">
        <v>9.32</v>
      </c>
      <c r="R44" s="6"/>
      <c r="S44" s="6"/>
      <c r="T44" s="156"/>
      <c r="U44" s="6"/>
    </row>
    <row r="45" spans="1:21" customFormat="1">
      <c r="A45" s="163" t="s">
        <v>2683</v>
      </c>
      <c r="B45" s="100">
        <v>25.99</v>
      </c>
      <c r="C45" s="100">
        <v>21.67</v>
      </c>
      <c r="D45" s="100">
        <v>32.159999999999997</v>
      </c>
      <c r="E45" s="100">
        <v>5.9</v>
      </c>
      <c r="F45" s="100">
        <v>1.34</v>
      </c>
      <c r="G45" s="100">
        <v>81.099999999999994</v>
      </c>
      <c r="H45" s="100">
        <v>41.77</v>
      </c>
      <c r="I45" s="100">
        <v>13.47</v>
      </c>
      <c r="J45" s="100">
        <v>0.39</v>
      </c>
      <c r="K45" s="100">
        <v>89.05</v>
      </c>
      <c r="L45" s="100">
        <v>17.899999999999999</v>
      </c>
      <c r="M45" s="100">
        <v>48.24</v>
      </c>
      <c r="N45" s="100">
        <v>192.7</v>
      </c>
      <c r="O45" s="100">
        <v>0</v>
      </c>
      <c r="P45" s="100">
        <v>0.87</v>
      </c>
      <c r="Q45" s="100">
        <v>9.32</v>
      </c>
      <c r="R45" s="6"/>
      <c r="S45" s="6"/>
      <c r="T45" s="156"/>
      <c r="U45" s="6"/>
    </row>
    <row r="46" spans="1:21" customFormat="1">
      <c r="A46" s="163" t="s">
        <v>2684</v>
      </c>
      <c r="B46" s="100">
        <v>25.19</v>
      </c>
      <c r="C46" s="100">
        <v>21.73</v>
      </c>
      <c r="D46" s="100">
        <v>31.56</v>
      </c>
      <c r="E46" s="100">
        <v>6.25</v>
      </c>
      <c r="F46" s="100">
        <v>1.47</v>
      </c>
      <c r="G46" s="100">
        <v>81.38</v>
      </c>
      <c r="H46" s="100">
        <v>41.77</v>
      </c>
      <c r="I46" s="100">
        <v>13.58</v>
      </c>
      <c r="J46" s="100">
        <v>1.01</v>
      </c>
      <c r="K46" s="100">
        <v>43.32</v>
      </c>
      <c r="L46" s="100">
        <v>18.34</v>
      </c>
      <c r="M46" s="100">
        <v>45.58</v>
      </c>
      <c r="N46" s="100">
        <v>126.7</v>
      </c>
      <c r="O46" s="100">
        <v>0</v>
      </c>
      <c r="P46" s="100">
        <v>0.84</v>
      </c>
      <c r="Q46" s="100">
        <v>9.32</v>
      </c>
      <c r="R46" s="6"/>
      <c r="S46" s="6"/>
      <c r="T46" s="156"/>
      <c r="U46" s="6"/>
    </row>
    <row r="47" spans="1:21" customFormat="1">
      <c r="A47" s="163" t="s">
        <v>2685</v>
      </c>
      <c r="B47" s="100">
        <v>24.46</v>
      </c>
      <c r="C47" s="100">
        <v>21.82</v>
      </c>
      <c r="D47" s="100">
        <v>31.01</v>
      </c>
      <c r="E47" s="100">
        <v>6.37</v>
      </c>
      <c r="F47" s="100">
        <v>1.36</v>
      </c>
      <c r="G47" s="100">
        <v>81.38</v>
      </c>
      <c r="H47" s="100">
        <v>41.77</v>
      </c>
      <c r="I47" s="100">
        <v>13.4</v>
      </c>
      <c r="J47" s="100">
        <v>0.56999999999999995</v>
      </c>
      <c r="K47" s="100">
        <v>66.97</v>
      </c>
      <c r="L47" s="100">
        <v>19.29</v>
      </c>
      <c r="M47" s="100">
        <v>42.91</v>
      </c>
      <c r="N47" s="100">
        <v>131.6</v>
      </c>
      <c r="O47" s="100">
        <v>0</v>
      </c>
      <c r="P47" s="100">
        <v>0.83</v>
      </c>
      <c r="Q47" s="100">
        <v>9.32</v>
      </c>
      <c r="R47" s="6"/>
      <c r="S47" s="6"/>
      <c r="T47" s="156"/>
      <c r="U47" s="6"/>
    </row>
    <row r="48" spans="1:21" customFormat="1">
      <c r="A48" s="163" t="s">
        <v>2686</v>
      </c>
      <c r="B48" s="100">
        <v>23.65</v>
      </c>
      <c r="C48" s="100">
        <v>21.96</v>
      </c>
      <c r="D48" s="100">
        <v>30.44</v>
      </c>
      <c r="E48" s="100">
        <v>6.12</v>
      </c>
      <c r="F48" s="100">
        <v>1.4</v>
      </c>
      <c r="G48" s="100">
        <v>81.38</v>
      </c>
      <c r="H48" s="100">
        <v>41.77</v>
      </c>
      <c r="I48" s="100">
        <v>13.09</v>
      </c>
      <c r="J48" s="100">
        <v>1.02</v>
      </c>
      <c r="K48" s="100">
        <v>49.78</v>
      </c>
      <c r="L48" s="100">
        <v>19.48</v>
      </c>
      <c r="M48" s="100">
        <v>42.29</v>
      </c>
      <c r="N48" s="100">
        <v>142</v>
      </c>
      <c r="O48" s="100">
        <v>0</v>
      </c>
      <c r="P48" s="100">
        <v>0.8</v>
      </c>
      <c r="Q48" s="100">
        <v>9.32</v>
      </c>
      <c r="R48" s="6"/>
      <c r="S48" s="6"/>
      <c r="T48" s="156"/>
      <c r="U48" s="6"/>
    </row>
    <row r="49" spans="1:21" customFormat="1">
      <c r="A49" s="163" t="s">
        <v>2687</v>
      </c>
      <c r="B49" s="100">
        <v>22.8</v>
      </c>
      <c r="C49" s="100">
        <v>22.18</v>
      </c>
      <c r="D49" s="100">
        <v>29.87</v>
      </c>
      <c r="E49" s="100">
        <v>4.75</v>
      </c>
      <c r="F49" s="100">
        <v>1.55</v>
      </c>
      <c r="G49" s="100">
        <v>84.15</v>
      </c>
      <c r="H49" s="100">
        <v>38.06</v>
      </c>
      <c r="I49" s="100">
        <v>12.8</v>
      </c>
      <c r="J49" s="100">
        <v>0.43</v>
      </c>
      <c r="K49" s="100">
        <v>80.349999999999994</v>
      </c>
      <c r="L49" s="100">
        <v>20.09</v>
      </c>
      <c r="M49" s="100">
        <v>41.05</v>
      </c>
      <c r="N49" s="100">
        <v>334.1</v>
      </c>
      <c r="O49" s="100">
        <v>0</v>
      </c>
      <c r="P49" s="100">
        <v>0.79</v>
      </c>
      <c r="Q49" s="100">
        <v>9.32</v>
      </c>
      <c r="R49" s="6"/>
      <c r="S49" s="6"/>
      <c r="T49" s="156"/>
      <c r="U49" s="6"/>
    </row>
    <row r="50" spans="1:21" customFormat="1">
      <c r="A50" s="163" t="s">
        <v>2688</v>
      </c>
      <c r="B50" s="100">
        <v>21.49</v>
      </c>
      <c r="C50" s="100">
        <v>22.19</v>
      </c>
      <c r="D50" s="100">
        <v>28.83</v>
      </c>
      <c r="E50" s="100">
        <v>5.51</v>
      </c>
      <c r="F50" s="100">
        <v>1.55</v>
      </c>
      <c r="G50" s="100">
        <v>84.31</v>
      </c>
      <c r="H50" s="100">
        <v>38.06</v>
      </c>
      <c r="I50" s="100">
        <v>12.52</v>
      </c>
      <c r="J50" s="100">
        <v>0.4</v>
      </c>
      <c r="K50" s="100">
        <v>110.2</v>
      </c>
      <c r="L50" s="100">
        <v>21.29</v>
      </c>
      <c r="M50" s="100">
        <v>38.71</v>
      </c>
      <c r="N50" s="100">
        <v>454.2</v>
      </c>
      <c r="O50" s="100">
        <v>0</v>
      </c>
      <c r="P50" s="100">
        <v>0.76</v>
      </c>
      <c r="Q50" s="100">
        <v>9.32</v>
      </c>
      <c r="R50" s="6"/>
      <c r="S50" s="6"/>
      <c r="T50" s="156"/>
      <c r="U50" s="6"/>
    </row>
    <row r="51" spans="1:21" customFormat="1">
      <c r="A51" s="163" t="s">
        <v>2689</v>
      </c>
      <c r="B51" s="100">
        <v>20.100000000000001</v>
      </c>
      <c r="C51" s="100">
        <v>22.1</v>
      </c>
      <c r="D51" s="100">
        <v>27.66</v>
      </c>
      <c r="E51" s="100">
        <v>5.68</v>
      </c>
      <c r="F51" s="100">
        <v>1.74</v>
      </c>
      <c r="G51" s="100">
        <v>84.31</v>
      </c>
      <c r="H51" s="100">
        <v>38.06</v>
      </c>
      <c r="I51" s="100">
        <v>12.22</v>
      </c>
      <c r="J51" s="100">
        <v>0.86</v>
      </c>
      <c r="K51" s="100">
        <v>39.44</v>
      </c>
      <c r="L51" s="100">
        <v>20.87</v>
      </c>
      <c r="M51" s="100">
        <v>39.619999999999997</v>
      </c>
      <c r="N51" s="100">
        <v>470.7</v>
      </c>
      <c r="O51" s="100">
        <v>0</v>
      </c>
      <c r="P51" s="100">
        <v>0.75</v>
      </c>
      <c r="Q51" s="100">
        <v>9.32</v>
      </c>
      <c r="R51" s="6"/>
      <c r="S51" s="6"/>
      <c r="T51" s="156"/>
      <c r="U51" s="6"/>
    </row>
    <row r="52" spans="1:21" customFormat="1">
      <c r="A52" s="163" t="s">
        <v>2690</v>
      </c>
      <c r="B52" s="100">
        <v>18.82</v>
      </c>
      <c r="C52" s="100">
        <v>22.18</v>
      </c>
      <c r="D52" s="100">
        <v>26.68</v>
      </c>
      <c r="E52" s="100">
        <v>6.02</v>
      </c>
      <c r="F52" s="100">
        <v>1.53</v>
      </c>
      <c r="G52" s="100">
        <v>84.31</v>
      </c>
      <c r="H52" s="100">
        <v>38.06</v>
      </c>
      <c r="I52" s="100">
        <v>11.91</v>
      </c>
      <c r="J52" s="100">
        <v>0.49</v>
      </c>
      <c r="K52" s="100">
        <v>13.65</v>
      </c>
      <c r="L52" s="100">
        <v>21.56</v>
      </c>
      <c r="M52" s="100">
        <v>36.450000000000003</v>
      </c>
      <c r="N52" s="100">
        <v>491.8</v>
      </c>
      <c r="O52" s="100">
        <v>0</v>
      </c>
      <c r="P52" s="100">
        <v>0.73</v>
      </c>
      <c r="Q52" s="100">
        <v>9.32</v>
      </c>
      <c r="R52" s="6"/>
      <c r="S52" s="6"/>
      <c r="T52" s="156"/>
      <c r="U52" s="6"/>
    </row>
    <row r="53" spans="1:21" customFormat="1">
      <c r="A53" s="163" t="s">
        <v>2691</v>
      </c>
      <c r="B53" s="100">
        <v>17.510000000000002</v>
      </c>
      <c r="C53" s="100">
        <v>22.17</v>
      </c>
      <c r="D53" s="100">
        <v>25.62</v>
      </c>
      <c r="E53" s="100">
        <v>5.94</v>
      </c>
      <c r="F53" s="100">
        <v>1.48</v>
      </c>
      <c r="G53" s="100">
        <v>73.64</v>
      </c>
      <c r="H53" s="100">
        <v>32.51</v>
      </c>
      <c r="I53" s="100">
        <v>11.62</v>
      </c>
      <c r="J53" s="100">
        <v>0.67</v>
      </c>
      <c r="K53" s="100">
        <v>36.979999999999997</v>
      </c>
      <c r="L53" s="100">
        <v>22.01</v>
      </c>
      <c r="M53" s="100">
        <v>34.950000000000003</v>
      </c>
      <c r="N53" s="100">
        <v>474.6</v>
      </c>
      <c r="O53" s="100">
        <v>0</v>
      </c>
      <c r="P53" s="100">
        <v>0.72</v>
      </c>
      <c r="Q53" s="100">
        <v>9.32</v>
      </c>
      <c r="R53" s="6"/>
      <c r="S53" s="6"/>
      <c r="T53" s="156"/>
      <c r="U53" s="6"/>
    </row>
    <row r="54" spans="1:21" customFormat="1">
      <c r="A54" s="163" t="s">
        <v>2692</v>
      </c>
      <c r="B54" s="100">
        <v>16.14</v>
      </c>
      <c r="C54" s="100">
        <v>22.28</v>
      </c>
      <c r="D54" s="100">
        <v>24.58</v>
      </c>
      <c r="E54" s="100">
        <v>5.52</v>
      </c>
      <c r="F54" s="100">
        <v>1.57</v>
      </c>
      <c r="G54" s="100">
        <v>73.02</v>
      </c>
      <c r="H54" s="100">
        <v>32.51</v>
      </c>
      <c r="I54" s="100">
        <v>12.51</v>
      </c>
      <c r="J54" s="100">
        <v>0.64</v>
      </c>
      <c r="K54" s="100">
        <v>45.53</v>
      </c>
      <c r="L54" s="100">
        <v>22.33</v>
      </c>
      <c r="M54" s="100">
        <v>33.020000000000003</v>
      </c>
      <c r="N54" s="100">
        <v>537.1</v>
      </c>
      <c r="O54" s="100">
        <v>0</v>
      </c>
      <c r="P54" s="100">
        <v>0.69</v>
      </c>
      <c r="Q54" s="100">
        <v>9.32</v>
      </c>
      <c r="R54" s="6"/>
      <c r="S54" s="6"/>
      <c r="T54" s="156"/>
      <c r="U54" s="6"/>
    </row>
    <row r="55" spans="1:21" customFormat="1">
      <c r="A55" s="163" t="s">
        <v>2693</v>
      </c>
      <c r="B55" s="100">
        <v>14.69</v>
      </c>
      <c r="C55" s="100">
        <v>22.29</v>
      </c>
      <c r="D55" s="100">
        <v>23.43</v>
      </c>
      <c r="E55" s="100">
        <v>5.73</v>
      </c>
      <c r="F55" s="100">
        <v>1.83</v>
      </c>
      <c r="G55" s="100">
        <v>73.02</v>
      </c>
      <c r="H55" s="100">
        <v>32.51</v>
      </c>
      <c r="I55" s="100">
        <v>13.5</v>
      </c>
      <c r="J55" s="100">
        <v>0.53</v>
      </c>
      <c r="K55" s="100">
        <v>57.64</v>
      </c>
      <c r="L55" s="100">
        <v>22.79</v>
      </c>
      <c r="M55" s="100">
        <v>32.85</v>
      </c>
      <c r="N55" s="100">
        <v>549.70000000000005</v>
      </c>
      <c r="O55" s="100">
        <v>0</v>
      </c>
      <c r="P55" s="100">
        <v>0.68</v>
      </c>
      <c r="Q55" s="100">
        <v>9.32</v>
      </c>
      <c r="R55" s="6"/>
      <c r="S55" s="6"/>
      <c r="T55" s="156"/>
      <c r="U55" s="6"/>
    </row>
    <row r="56" spans="1:21" customFormat="1">
      <c r="A56" s="163" t="s">
        <v>2694</v>
      </c>
      <c r="B56" s="100">
        <v>13.25</v>
      </c>
      <c r="C56" s="100">
        <v>22.42</v>
      </c>
      <c r="D56" s="100">
        <v>22.34</v>
      </c>
      <c r="E56" s="100">
        <v>5.76</v>
      </c>
      <c r="F56" s="100">
        <v>1.92</v>
      </c>
      <c r="G56" s="100">
        <v>73.02</v>
      </c>
      <c r="H56" s="100">
        <v>32.51</v>
      </c>
      <c r="I56" s="100">
        <v>13.17</v>
      </c>
      <c r="J56" s="100">
        <v>0.37</v>
      </c>
      <c r="K56" s="100">
        <v>70.05</v>
      </c>
      <c r="L56" s="100">
        <v>23.23</v>
      </c>
      <c r="M56" s="100">
        <v>32.020000000000003</v>
      </c>
      <c r="N56" s="100">
        <v>534.9</v>
      </c>
      <c r="O56" s="100">
        <v>0</v>
      </c>
      <c r="P56" s="100">
        <v>0.66</v>
      </c>
      <c r="Q56" s="100">
        <v>9.32</v>
      </c>
      <c r="R56" s="6"/>
      <c r="S56" s="6"/>
      <c r="T56" s="156"/>
      <c r="U56" s="6"/>
    </row>
    <row r="57" spans="1:21" customFormat="1">
      <c r="A57" s="163" t="s">
        <v>2695</v>
      </c>
      <c r="B57" s="100">
        <v>11.97</v>
      </c>
      <c r="C57" s="100">
        <v>22.38</v>
      </c>
      <c r="D57" s="100">
        <v>21.3</v>
      </c>
      <c r="E57" s="100">
        <v>5.8</v>
      </c>
      <c r="F57" s="100">
        <v>1.83</v>
      </c>
      <c r="G57" s="100">
        <v>65.36</v>
      </c>
      <c r="H57" s="100">
        <v>27</v>
      </c>
      <c r="I57" s="100">
        <v>12.85</v>
      </c>
      <c r="J57" s="100">
        <v>0.44</v>
      </c>
      <c r="K57" s="100">
        <v>26.02</v>
      </c>
      <c r="L57" s="100">
        <v>23.37</v>
      </c>
      <c r="M57" s="100">
        <v>31.46</v>
      </c>
      <c r="N57" s="100">
        <v>537.70000000000005</v>
      </c>
      <c r="O57" s="100">
        <v>0</v>
      </c>
      <c r="P57" s="100">
        <v>0.64</v>
      </c>
      <c r="Q57" s="100">
        <v>9.32</v>
      </c>
      <c r="R57" s="6"/>
      <c r="S57" s="6"/>
      <c r="T57" s="156"/>
      <c r="U57" s="6"/>
    </row>
    <row r="58" spans="1:21" customFormat="1">
      <c r="A58" s="163" t="s">
        <v>2696</v>
      </c>
      <c r="B58" s="100">
        <v>10.75</v>
      </c>
      <c r="C58" s="100">
        <v>22.37</v>
      </c>
      <c r="D58" s="100">
        <v>20.309999999999999</v>
      </c>
      <c r="E58" s="100">
        <v>5.54</v>
      </c>
      <c r="F58" s="100">
        <v>1.75</v>
      </c>
      <c r="G58" s="100">
        <v>64.91</v>
      </c>
      <c r="H58" s="100">
        <v>27</v>
      </c>
      <c r="I58" s="100">
        <v>12.57</v>
      </c>
      <c r="J58" s="100">
        <v>0.5</v>
      </c>
      <c r="K58" s="100">
        <v>332.92</v>
      </c>
      <c r="L58" s="100">
        <v>23.45</v>
      </c>
      <c r="M58" s="100">
        <v>31.63</v>
      </c>
      <c r="N58" s="100">
        <v>541.1</v>
      </c>
      <c r="O58" s="100">
        <v>0</v>
      </c>
      <c r="P58" s="100">
        <v>0.62</v>
      </c>
      <c r="Q58" s="100">
        <v>9.32</v>
      </c>
      <c r="R58" s="6"/>
      <c r="S58" s="6"/>
      <c r="T58" s="156"/>
      <c r="U58" s="6"/>
    </row>
    <row r="59" spans="1:21" customFormat="1">
      <c r="A59" s="163" t="s">
        <v>2697</v>
      </c>
      <c r="B59" s="100">
        <v>9.66</v>
      </c>
      <c r="C59" s="100">
        <v>22.4</v>
      </c>
      <c r="D59" s="100">
        <v>19.45</v>
      </c>
      <c r="E59" s="100">
        <v>5.64</v>
      </c>
      <c r="F59" s="100">
        <v>1.88</v>
      </c>
      <c r="G59" s="100">
        <v>64.91</v>
      </c>
      <c r="H59" s="100">
        <v>27</v>
      </c>
      <c r="I59" s="100">
        <v>12.27</v>
      </c>
      <c r="J59" s="100">
        <v>0.21</v>
      </c>
      <c r="K59" s="100">
        <v>2.04</v>
      </c>
      <c r="L59" s="100">
        <v>23.54</v>
      </c>
      <c r="M59" s="100">
        <v>31</v>
      </c>
      <c r="N59" s="100">
        <v>539</v>
      </c>
      <c r="O59" s="100">
        <v>0</v>
      </c>
      <c r="P59" s="100">
        <v>0.6</v>
      </c>
      <c r="Q59" s="100">
        <v>9.32</v>
      </c>
      <c r="R59" s="6"/>
      <c r="S59" s="6"/>
      <c r="T59" s="156"/>
      <c r="U59" s="6"/>
    </row>
    <row r="60" spans="1:21" customFormat="1">
      <c r="A60" s="163" t="s">
        <v>2698</v>
      </c>
      <c r="B60" s="100">
        <v>9</v>
      </c>
      <c r="C60" s="100">
        <v>22.42</v>
      </c>
      <c r="D60" s="100">
        <v>18.93</v>
      </c>
      <c r="E60" s="100">
        <v>6.5</v>
      </c>
      <c r="F60" s="100">
        <v>2.9</v>
      </c>
      <c r="G60" s="100">
        <v>64.91</v>
      </c>
      <c r="H60" s="100">
        <v>27</v>
      </c>
      <c r="I60" s="100">
        <v>11.95</v>
      </c>
      <c r="J60" s="100">
        <v>0.5</v>
      </c>
      <c r="K60" s="100">
        <v>6.61</v>
      </c>
      <c r="L60" s="100">
        <v>23.71</v>
      </c>
      <c r="M60" s="100">
        <v>30.07</v>
      </c>
      <c r="N60" s="100">
        <v>502.6</v>
      </c>
      <c r="O60" s="100">
        <v>0</v>
      </c>
      <c r="P60" s="100">
        <v>0.62</v>
      </c>
      <c r="Q60" s="100">
        <v>9.32</v>
      </c>
      <c r="R60" s="6"/>
      <c r="S60" s="6"/>
      <c r="T60" s="156"/>
      <c r="U60" s="6"/>
    </row>
    <row r="61" spans="1:21" customFormat="1">
      <c r="A61" s="163" t="s">
        <v>2699</v>
      </c>
      <c r="B61" s="100">
        <v>8.7799999999999994</v>
      </c>
      <c r="C61" s="100">
        <v>22.05</v>
      </c>
      <c r="D61" s="100">
        <v>18.559999999999999</v>
      </c>
      <c r="E61" s="100">
        <v>5.62</v>
      </c>
      <c r="F61" s="100">
        <v>2.0299999999999998</v>
      </c>
      <c r="G61" s="100">
        <v>50.93</v>
      </c>
      <c r="H61" s="100">
        <v>25.67</v>
      </c>
      <c r="I61" s="100">
        <v>11.76</v>
      </c>
      <c r="J61" s="100">
        <v>0.24</v>
      </c>
      <c r="K61" s="100">
        <v>48.77</v>
      </c>
      <c r="L61" s="100">
        <v>23.87</v>
      </c>
      <c r="M61" s="100">
        <v>30.02</v>
      </c>
      <c r="N61" s="100">
        <v>418.5</v>
      </c>
      <c r="O61" s="100">
        <v>0</v>
      </c>
      <c r="P61" s="100">
        <v>0.62</v>
      </c>
      <c r="Q61" s="100">
        <v>9.32</v>
      </c>
      <c r="R61" s="6"/>
      <c r="S61" s="6"/>
      <c r="T61" s="156"/>
      <c r="U61" s="6"/>
    </row>
    <row r="62" spans="1:21" customFormat="1">
      <c r="A62" s="163" t="s">
        <v>2700</v>
      </c>
      <c r="B62" s="100">
        <v>8.6300000000000008</v>
      </c>
      <c r="C62" s="100">
        <v>21.5</v>
      </c>
      <c r="D62" s="100">
        <v>18.149999999999999</v>
      </c>
      <c r="E62" s="100">
        <v>6.45</v>
      </c>
      <c r="F62" s="100">
        <v>2.1</v>
      </c>
      <c r="G62" s="100">
        <v>50.11</v>
      </c>
      <c r="H62" s="100">
        <v>25.67</v>
      </c>
      <c r="I62" s="100">
        <v>11.67</v>
      </c>
      <c r="J62" s="100">
        <v>0.4</v>
      </c>
      <c r="K62" s="100">
        <v>9.49</v>
      </c>
      <c r="L62" s="100">
        <v>23.64</v>
      </c>
      <c r="M62" s="100">
        <v>30.48</v>
      </c>
      <c r="N62" s="100">
        <v>247</v>
      </c>
      <c r="O62" s="100">
        <v>0</v>
      </c>
      <c r="P62" s="100">
        <v>0.61</v>
      </c>
      <c r="Q62" s="100">
        <v>9.32</v>
      </c>
      <c r="R62" s="6"/>
      <c r="S62" s="6"/>
      <c r="T62" s="156"/>
      <c r="U62" s="6"/>
    </row>
    <row r="63" spans="1:21" customFormat="1">
      <c r="A63" s="163" t="s">
        <v>2701</v>
      </c>
      <c r="B63" s="100">
        <v>8.51</v>
      </c>
      <c r="C63" s="100">
        <v>21.09</v>
      </c>
      <c r="D63" s="100">
        <v>17.850000000000001</v>
      </c>
      <c r="E63" s="100">
        <v>6.04</v>
      </c>
      <c r="F63" s="100">
        <v>1.67</v>
      </c>
      <c r="G63" s="100">
        <v>50.11</v>
      </c>
      <c r="H63" s="100">
        <v>25.67</v>
      </c>
      <c r="I63" s="100">
        <v>11.55</v>
      </c>
      <c r="J63" s="100">
        <v>0.51</v>
      </c>
      <c r="K63" s="100">
        <v>20.5</v>
      </c>
      <c r="L63" s="100">
        <v>23.39</v>
      </c>
      <c r="M63" s="100">
        <v>30.09</v>
      </c>
      <c r="N63" s="100">
        <v>144.1</v>
      </c>
      <c r="O63" s="100">
        <v>0</v>
      </c>
      <c r="P63" s="100">
        <v>0.6</v>
      </c>
      <c r="Q63" s="100">
        <v>9.32</v>
      </c>
      <c r="R63" s="6"/>
      <c r="S63" s="6"/>
      <c r="T63" s="156"/>
      <c r="U63" s="6"/>
    </row>
    <row r="64" spans="1:21" customFormat="1">
      <c r="A64" s="163" t="s">
        <v>2702</v>
      </c>
      <c r="B64" s="100">
        <v>8.4600000000000009</v>
      </c>
      <c r="C64" s="100">
        <v>20.87</v>
      </c>
      <c r="D64" s="100">
        <v>17.690000000000001</v>
      </c>
      <c r="E64" s="100">
        <v>6.55</v>
      </c>
      <c r="F64" s="100">
        <v>2.68</v>
      </c>
      <c r="G64" s="100">
        <v>50.11</v>
      </c>
      <c r="H64" s="100">
        <v>25.67</v>
      </c>
      <c r="I64" s="100">
        <v>11.4</v>
      </c>
      <c r="J64" s="100">
        <v>0.4</v>
      </c>
      <c r="K64" s="100">
        <v>15.17</v>
      </c>
      <c r="L64" s="100">
        <v>23.44</v>
      </c>
      <c r="M64" s="100">
        <v>29.19</v>
      </c>
      <c r="N64" s="100">
        <v>118.7</v>
      </c>
      <c r="O64" s="100">
        <v>0</v>
      </c>
      <c r="P64" s="100">
        <v>0.6</v>
      </c>
      <c r="Q64" s="100">
        <v>9.32</v>
      </c>
      <c r="R64" s="6"/>
      <c r="S64" s="6"/>
      <c r="T64" s="156"/>
      <c r="U64" s="6"/>
    </row>
    <row r="65" spans="1:21" customFormat="1">
      <c r="A65" s="163" t="s">
        <v>2703</v>
      </c>
      <c r="B65" s="100">
        <v>8.36</v>
      </c>
      <c r="C65" s="100">
        <v>20.57</v>
      </c>
      <c r="D65" s="100">
        <v>17.45</v>
      </c>
      <c r="E65" s="100">
        <v>6.86</v>
      </c>
      <c r="F65" s="100">
        <v>2.57</v>
      </c>
      <c r="G65" s="100">
        <v>49.77</v>
      </c>
      <c r="H65" s="100">
        <v>23.22</v>
      </c>
      <c r="I65" s="100">
        <v>11.26</v>
      </c>
      <c r="J65" s="100">
        <v>0.05</v>
      </c>
      <c r="K65" s="100">
        <v>161.91</v>
      </c>
      <c r="L65" s="100">
        <v>23.29</v>
      </c>
      <c r="M65" s="100">
        <v>30.09</v>
      </c>
      <c r="N65" s="100">
        <v>110.4</v>
      </c>
      <c r="O65" s="100">
        <v>0</v>
      </c>
      <c r="P65" s="100">
        <v>0.53</v>
      </c>
      <c r="Q65" s="100">
        <v>9.32</v>
      </c>
      <c r="R65" s="6"/>
      <c r="S65" s="6"/>
      <c r="T65" s="156"/>
      <c r="U65" s="6"/>
    </row>
    <row r="66" spans="1:21" customFormat="1">
      <c r="A66" s="163" t="s">
        <v>2704</v>
      </c>
      <c r="B66" s="100">
        <v>8.1300000000000008</v>
      </c>
      <c r="C66" s="100">
        <v>20.079999999999998</v>
      </c>
      <c r="D66" s="100">
        <v>17.010000000000002</v>
      </c>
      <c r="E66" s="100">
        <v>5.91</v>
      </c>
      <c r="F66" s="100">
        <v>2.4900000000000002</v>
      </c>
      <c r="G66" s="100">
        <v>49.75</v>
      </c>
      <c r="H66" s="100">
        <v>23.22</v>
      </c>
      <c r="I66" s="100">
        <v>11.1</v>
      </c>
      <c r="J66" s="100">
        <v>0.26</v>
      </c>
      <c r="K66" s="100">
        <v>293.97000000000003</v>
      </c>
      <c r="L66" s="100">
        <v>23.31</v>
      </c>
      <c r="M66" s="100">
        <v>31.23</v>
      </c>
      <c r="N66" s="100">
        <v>111.5</v>
      </c>
      <c r="O66" s="100">
        <v>0</v>
      </c>
      <c r="P66" s="100">
        <v>0.54</v>
      </c>
      <c r="Q66" s="100">
        <v>9.32</v>
      </c>
      <c r="R66" s="6"/>
      <c r="S66" s="6"/>
      <c r="T66" s="156"/>
      <c r="U66" s="6"/>
    </row>
    <row r="67" spans="1:21" customFormat="1">
      <c r="A67" s="163" t="s">
        <v>2705</v>
      </c>
      <c r="B67" s="100">
        <v>7.82</v>
      </c>
      <c r="C67" s="100">
        <v>19.760000000000002</v>
      </c>
      <c r="D67" s="100">
        <v>16.59</v>
      </c>
      <c r="E67" s="100">
        <v>6.55</v>
      </c>
      <c r="F67" s="100">
        <v>3.36</v>
      </c>
      <c r="G67" s="100">
        <v>49.75</v>
      </c>
      <c r="H67" s="100">
        <v>23.22</v>
      </c>
      <c r="I67" s="100">
        <v>11</v>
      </c>
      <c r="J67" s="100">
        <v>0.38</v>
      </c>
      <c r="K67" s="100">
        <v>67.81</v>
      </c>
      <c r="L67" s="100">
        <v>23.38</v>
      </c>
      <c r="M67" s="100">
        <v>30.57</v>
      </c>
      <c r="N67" s="100">
        <v>108.5</v>
      </c>
      <c r="O67" s="100">
        <v>0</v>
      </c>
      <c r="P67" s="100">
        <v>0.54</v>
      </c>
      <c r="Q67" s="100">
        <v>9.32</v>
      </c>
      <c r="R67" s="6"/>
      <c r="S67" s="6"/>
      <c r="T67" s="156"/>
      <c r="U67" s="6"/>
    </row>
    <row r="68" spans="1:21" customFormat="1">
      <c r="A68" s="163" t="s">
        <v>2706</v>
      </c>
      <c r="B68" s="100">
        <v>7.48</v>
      </c>
      <c r="C68" s="100">
        <v>19.32</v>
      </c>
      <c r="D68" s="100">
        <v>16.100000000000001</v>
      </c>
      <c r="E68" s="100">
        <v>6.24</v>
      </c>
      <c r="F68" s="100">
        <v>3.25</v>
      </c>
      <c r="G68" s="100">
        <v>49.75</v>
      </c>
      <c r="H68" s="100">
        <v>23.22</v>
      </c>
      <c r="I68" s="100">
        <v>10.88</v>
      </c>
      <c r="J68" s="100">
        <v>0.24</v>
      </c>
      <c r="K68" s="100">
        <v>149.11000000000001</v>
      </c>
      <c r="L68" s="100">
        <v>23.43</v>
      </c>
      <c r="M68" s="100">
        <v>31.16</v>
      </c>
      <c r="N68" s="100">
        <v>96.2</v>
      </c>
      <c r="O68" s="100">
        <v>0</v>
      </c>
      <c r="P68" s="100">
        <v>0.54</v>
      </c>
      <c r="Q68" s="100">
        <v>9.32</v>
      </c>
      <c r="R68" s="6"/>
      <c r="S68" s="6"/>
      <c r="T68" s="156"/>
      <c r="U68" s="6"/>
    </row>
    <row r="69" spans="1:21" customFormat="1">
      <c r="A69" s="163" t="s">
        <v>2707</v>
      </c>
      <c r="B69" s="100">
        <v>7.13</v>
      </c>
      <c r="C69" s="100">
        <v>18.95</v>
      </c>
      <c r="D69" s="100">
        <v>15.61</v>
      </c>
      <c r="E69" s="100">
        <v>6.93</v>
      </c>
      <c r="F69" s="100">
        <v>4.1399999999999997</v>
      </c>
      <c r="G69" s="100">
        <v>48.55</v>
      </c>
      <c r="H69" s="100">
        <v>21.81</v>
      </c>
      <c r="I69" s="100">
        <v>10.73</v>
      </c>
      <c r="J69" s="100">
        <v>0.45</v>
      </c>
      <c r="K69" s="100">
        <v>43.85</v>
      </c>
      <c r="L69" s="100">
        <v>23.51</v>
      </c>
      <c r="M69" s="100">
        <v>28.89</v>
      </c>
      <c r="N69" s="100">
        <v>90.8</v>
      </c>
      <c r="O69" s="100">
        <v>0</v>
      </c>
      <c r="P69" s="100">
        <v>0.53</v>
      </c>
      <c r="Q69" s="100">
        <v>9.32</v>
      </c>
      <c r="R69" s="6"/>
      <c r="S69" s="6"/>
      <c r="T69" s="156"/>
      <c r="U69" s="6"/>
    </row>
    <row r="70" spans="1:21" customFormat="1">
      <c r="A70" s="163" t="s">
        <v>2708</v>
      </c>
      <c r="B70" s="100">
        <v>6.98</v>
      </c>
      <c r="C70" s="100">
        <v>18.98</v>
      </c>
      <c r="D70" s="100">
        <v>15.51</v>
      </c>
      <c r="E70" s="100">
        <v>6.9</v>
      </c>
      <c r="F70" s="100">
        <v>3.51</v>
      </c>
      <c r="G70" s="100">
        <v>48.48</v>
      </c>
      <c r="H70" s="100">
        <v>21.81</v>
      </c>
      <c r="I70" s="100">
        <v>10.63</v>
      </c>
      <c r="J70" s="100">
        <v>0.57999999999999996</v>
      </c>
      <c r="K70" s="100">
        <v>45.52</v>
      </c>
      <c r="L70" s="100">
        <v>23.55</v>
      </c>
      <c r="M70" s="100">
        <v>28.2</v>
      </c>
      <c r="N70" s="100">
        <v>77.099999999999994</v>
      </c>
      <c r="O70" s="100">
        <v>0</v>
      </c>
      <c r="P70" s="100">
        <v>0.54</v>
      </c>
      <c r="Q70" s="100">
        <v>9.32</v>
      </c>
      <c r="R70" s="6"/>
      <c r="S70" s="6"/>
      <c r="T70" s="156"/>
      <c r="U70" s="6"/>
    </row>
    <row r="71" spans="1:21" customFormat="1">
      <c r="A71" s="163" t="s">
        <v>2709</v>
      </c>
      <c r="B71" s="100">
        <v>6.78</v>
      </c>
      <c r="C71" s="100">
        <v>19.010000000000002</v>
      </c>
      <c r="D71" s="100">
        <v>15.37</v>
      </c>
      <c r="E71" s="100">
        <v>6.96</v>
      </c>
      <c r="F71" s="100">
        <v>3.96</v>
      </c>
      <c r="G71" s="100">
        <v>48.48</v>
      </c>
      <c r="H71" s="100">
        <v>21.81</v>
      </c>
      <c r="I71" s="100">
        <v>10.54</v>
      </c>
      <c r="J71" s="100">
        <v>0.53</v>
      </c>
      <c r="K71" s="100">
        <v>60.14</v>
      </c>
      <c r="L71" s="100">
        <v>23.48</v>
      </c>
      <c r="M71" s="100">
        <v>28.35</v>
      </c>
      <c r="N71" s="100">
        <v>72.3</v>
      </c>
      <c r="O71" s="100">
        <v>0</v>
      </c>
      <c r="P71" s="100">
        <v>0.53</v>
      </c>
      <c r="Q71" s="100">
        <v>9.32</v>
      </c>
      <c r="R71" s="6"/>
      <c r="S71" s="6"/>
      <c r="T71" s="156"/>
      <c r="U71" s="6"/>
    </row>
    <row r="72" spans="1:21" customFormat="1">
      <c r="A72" s="163" t="s">
        <v>2710</v>
      </c>
      <c r="B72" s="100">
        <v>6.47</v>
      </c>
      <c r="C72" s="100">
        <v>18.98</v>
      </c>
      <c r="D72" s="100">
        <v>15.1</v>
      </c>
      <c r="E72" s="100">
        <v>7.19</v>
      </c>
      <c r="F72" s="100">
        <v>4.6100000000000003</v>
      </c>
      <c r="G72" s="100">
        <v>48.48</v>
      </c>
      <c r="H72" s="100">
        <v>21.81</v>
      </c>
      <c r="I72" s="100">
        <v>10.46</v>
      </c>
      <c r="J72" s="100">
        <v>0.41</v>
      </c>
      <c r="K72" s="100">
        <v>32.869999999999997</v>
      </c>
      <c r="L72" s="100">
        <v>23.41</v>
      </c>
      <c r="M72" s="100">
        <v>28.42</v>
      </c>
      <c r="N72" s="100">
        <v>64.3</v>
      </c>
      <c r="O72" s="100">
        <v>0</v>
      </c>
      <c r="P72" s="100">
        <v>0.53</v>
      </c>
      <c r="Q72" s="100">
        <v>9.32</v>
      </c>
      <c r="R72" s="6"/>
      <c r="S72" s="6"/>
      <c r="T72" s="156"/>
      <c r="U72" s="6"/>
    </row>
    <row r="73" spans="1:21" customFormat="1">
      <c r="A73" s="163" t="s">
        <v>2711</v>
      </c>
      <c r="B73" s="100">
        <v>6.33</v>
      </c>
      <c r="C73" s="100">
        <v>18.77</v>
      </c>
      <c r="D73" s="100">
        <v>14.88</v>
      </c>
      <c r="E73" s="100">
        <v>6.59</v>
      </c>
      <c r="F73" s="100">
        <v>3.97</v>
      </c>
      <c r="G73" s="100">
        <v>49.78</v>
      </c>
      <c r="H73" s="100">
        <v>22.86</v>
      </c>
      <c r="I73" s="100">
        <v>10.31</v>
      </c>
      <c r="J73" s="100">
        <v>0.44</v>
      </c>
      <c r="K73" s="100">
        <v>22.63</v>
      </c>
      <c r="L73" s="100">
        <v>23.26</v>
      </c>
      <c r="M73" s="100">
        <v>28.96</v>
      </c>
      <c r="N73" s="100">
        <v>58.1</v>
      </c>
      <c r="O73" s="100">
        <v>0</v>
      </c>
      <c r="P73" s="100">
        <v>0.52</v>
      </c>
      <c r="Q73" s="100">
        <v>9.32</v>
      </c>
      <c r="R73" s="6"/>
      <c r="S73" s="6"/>
      <c r="T73" s="156"/>
      <c r="U73" s="6"/>
    </row>
    <row r="74" spans="1:21" customFormat="1">
      <c r="A74" s="163" t="s">
        <v>2712</v>
      </c>
      <c r="B74" s="100">
        <v>6.17</v>
      </c>
      <c r="C74" s="100">
        <v>18.600000000000001</v>
      </c>
      <c r="D74" s="100">
        <v>14.67</v>
      </c>
      <c r="E74" s="100">
        <v>6.48</v>
      </c>
      <c r="F74" s="100">
        <v>3.77</v>
      </c>
      <c r="G74" s="100">
        <v>49.86</v>
      </c>
      <c r="H74" s="100">
        <v>22.86</v>
      </c>
      <c r="I74" s="100">
        <v>10.17</v>
      </c>
      <c r="J74" s="100">
        <v>0.55000000000000004</v>
      </c>
      <c r="K74" s="100">
        <v>33.74</v>
      </c>
      <c r="L74" s="100">
        <v>23.07</v>
      </c>
      <c r="M74" s="100">
        <v>28.61</v>
      </c>
      <c r="N74" s="100">
        <v>53.7</v>
      </c>
      <c r="O74" s="100">
        <v>0</v>
      </c>
      <c r="P74" s="100">
        <v>0.52</v>
      </c>
      <c r="Q74" s="100">
        <v>9.32</v>
      </c>
      <c r="R74" s="6"/>
      <c r="S74" s="6"/>
      <c r="T74" s="156"/>
      <c r="U74" s="6"/>
    </row>
    <row r="75" spans="1:21" customFormat="1">
      <c r="A75" s="163" t="s">
        <v>2713</v>
      </c>
      <c r="B75" s="100">
        <v>6.22</v>
      </c>
      <c r="C75" s="100">
        <v>18.59</v>
      </c>
      <c r="D75" s="100">
        <v>14.7</v>
      </c>
      <c r="E75" s="100">
        <v>6.17</v>
      </c>
      <c r="F75" s="100">
        <v>2.4700000000000002</v>
      </c>
      <c r="G75" s="100">
        <v>49.86</v>
      </c>
      <c r="H75" s="100">
        <v>22.86</v>
      </c>
      <c r="I75" s="100">
        <v>10.119999999999999</v>
      </c>
      <c r="J75" s="100">
        <v>0.16</v>
      </c>
      <c r="K75" s="100">
        <v>356.4</v>
      </c>
      <c r="L75" s="100">
        <v>22.7</v>
      </c>
      <c r="M75" s="100">
        <v>30.81</v>
      </c>
      <c r="N75" s="100">
        <v>48.6</v>
      </c>
      <c r="O75" s="100">
        <v>0</v>
      </c>
      <c r="P75" s="100">
        <v>0.53</v>
      </c>
      <c r="Q75" s="100">
        <v>9.32</v>
      </c>
      <c r="R75" s="6"/>
      <c r="S75" s="6"/>
      <c r="T75" s="156"/>
      <c r="U75" s="6"/>
    </row>
    <row r="76" spans="1:21" customFormat="1">
      <c r="A76" s="163" t="s">
        <v>2714</v>
      </c>
      <c r="B76" s="100">
        <v>6.37</v>
      </c>
      <c r="C76" s="100">
        <v>18.559999999999999</v>
      </c>
      <c r="D76" s="100">
        <v>14.8</v>
      </c>
      <c r="E76" s="100">
        <v>6.24</v>
      </c>
      <c r="F76" s="100">
        <v>2.2000000000000002</v>
      </c>
      <c r="G76" s="100">
        <v>49.86</v>
      </c>
      <c r="H76" s="100">
        <v>22.86</v>
      </c>
      <c r="I76" s="100">
        <v>10.119999999999999</v>
      </c>
      <c r="J76" s="100">
        <v>0.22</v>
      </c>
      <c r="K76" s="100">
        <v>61.6</v>
      </c>
      <c r="L76" s="100">
        <v>22.05</v>
      </c>
      <c r="M76" s="100">
        <v>33.19</v>
      </c>
      <c r="N76" s="100">
        <v>39.4</v>
      </c>
      <c r="O76" s="100">
        <v>0</v>
      </c>
      <c r="P76" s="100">
        <v>0.53</v>
      </c>
      <c r="Q76" s="100">
        <v>9.32</v>
      </c>
      <c r="R76" s="6"/>
      <c r="S76" s="6"/>
      <c r="T76" s="156"/>
      <c r="U76" s="6"/>
    </row>
    <row r="77" spans="1:21" customFormat="1">
      <c r="A77" s="163" t="s">
        <v>2715</v>
      </c>
      <c r="B77" s="100">
        <v>6.68</v>
      </c>
      <c r="C77" s="100">
        <v>18.489999999999998</v>
      </c>
      <c r="D77" s="100">
        <v>15.02</v>
      </c>
      <c r="E77" s="100">
        <v>6.17</v>
      </c>
      <c r="F77" s="100">
        <v>1.63</v>
      </c>
      <c r="G77" s="100">
        <v>48.99</v>
      </c>
      <c r="H77" s="100">
        <v>22.74</v>
      </c>
      <c r="I77" s="100">
        <v>10.1</v>
      </c>
      <c r="J77" s="100">
        <v>0.36</v>
      </c>
      <c r="K77" s="100">
        <v>63.03</v>
      </c>
      <c r="L77" s="100">
        <v>21.53</v>
      </c>
      <c r="M77" s="100">
        <v>33.71</v>
      </c>
      <c r="N77" s="100">
        <v>32.799999999999997</v>
      </c>
      <c r="O77" s="100">
        <v>0</v>
      </c>
      <c r="P77" s="100">
        <v>0.53</v>
      </c>
      <c r="Q77" s="100">
        <v>9.32</v>
      </c>
      <c r="R77" s="6"/>
      <c r="S77" s="6"/>
      <c r="T77" s="156"/>
      <c r="U77" s="6"/>
    </row>
    <row r="78" spans="1:21" customFormat="1">
      <c r="A78" s="163" t="s">
        <v>2716</v>
      </c>
      <c r="B78" s="100">
        <v>7.11</v>
      </c>
      <c r="C78" s="100">
        <v>18.600000000000001</v>
      </c>
      <c r="D78" s="100">
        <v>15.42</v>
      </c>
      <c r="E78" s="100">
        <v>6.32</v>
      </c>
      <c r="F78" s="100">
        <v>1.58</v>
      </c>
      <c r="G78" s="100">
        <v>48.94</v>
      </c>
      <c r="H78" s="100">
        <v>22.74</v>
      </c>
      <c r="I78" s="100">
        <v>10.09</v>
      </c>
      <c r="J78" s="100">
        <v>0.47</v>
      </c>
      <c r="K78" s="100">
        <v>63</v>
      </c>
      <c r="L78" s="100">
        <v>21.19</v>
      </c>
      <c r="M78" s="100">
        <v>33.94</v>
      </c>
      <c r="N78" s="100">
        <v>27.7</v>
      </c>
      <c r="O78" s="100">
        <v>0</v>
      </c>
      <c r="P78" s="100">
        <v>0.54</v>
      </c>
      <c r="Q78" s="100">
        <v>9.32</v>
      </c>
      <c r="R78" s="6"/>
      <c r="S78" s="6"/>
      <c r="T78" s="156"/>
      <c r="U78" s="6"/>
    </row>
    <row r="79" spans="1:21" customFormat="1">
      <c r="A79" s="163" t="s">
        <v>2717</v>
      </c>
      <c r="B79" s="100">
        <v>7.41</v>
      </c>
      <c r="C79" s="100">
        <v>18.68</v>
      </c>
      <c r="D79" s="100">
        <v>15.7</v>
      </c>
      <c r="E79" s="100">
        <v>3.65</v>
      </c>
      <c r="F79" s="100">
        <v>1.48</v>
      </c>
      <c r="G79" s="100">
        <v>48.94</v>
      </c>
      <c r="H79" s="100">
        <v>22.74</v>
      </c>
      <c r="I79" s="100">
        <v>10.09</v>
      </c>
      <c r="J79" s="100">
        <v>0.18</v>
      </c>
      <c r="K79" s="100">
        <v>59.69</v>
      </c>
      <c r="L79" s="100">
        <v>20.38</v>
      </c>
      <c r="M79" s="100">
        <v>39</v>
      </c>
      <c r="N79" s="100">
        <v>25.9</v>
      </c>
      <c r="O79" s="100">
        <v>0</v>
      </c>
      <c r="P79" s="100">
        <v>0.52</v>
      </c>
      <c r="Q79" s="100">
        <v>9.32</v>
      </c>
      <c r="R79" s="6"/>
      <c r="S79" s="6"/>
      <c r="T79" s="156"/>
      <c r="U79" s="6"/>
    </row>
    <row r="80" spans="1:21" customFormat="1">
      <c r="A80" s="163" t="s">
        <v>2718</v>
      </c>
      <c r="B80" s="100">
        <v>7.59</v>
      </c>
      <c r="C80" s="100">
        <v>18.87</v>
      </c>
      <c r="D80" s="100">
        <v>15.95</v>
      </c>
      <c r="E80" s="100">
        <v>5.6</v>
      </c>
      <c r="F80" s="100">
        <v>1.23</v>
      </c>
      <c r="G80" s="100">
        <v>48.94</v>
      </c>
      <c r="H80" s="100">
        <v>22.74</v>
      </c>
      <c r="I80" s="100">
        <v>10.07</v>
      </c>
      <c r="J80" s="100">
        <v>0.21</v>
      </c>
      <c r="K80" s="100">
        <v>153.56</v>
      </c>
      <c r="L80" s="100">
        <v>19.190000000000001</v>
      </c>
      <c r="M80" s="100">
        <v>44.34</v>
      </c>
      <c r="N80" s="100">
        <v>25.7</v>
      </c>
      <c r="O80" s="100">
        <v>0</v>
      </c>
      <c r="P80" s="100">
        <v>0.52</v>
      </c>
      <c r="Q80" s="100">
        <v>9.32</v>
      </c>
      <c r="R80" s="6"/>
      <c r="S80" s="6"/>
      <c r="T80" s="156"/>
      <c r="U80" s="6"/>
    </row>
    <row r="81" spans="1:21" customFormat="1">
      <c r="A81" s="163" t="s">
        <v>2719</v>
      </c>
      <c r="B81" s="100">
        <v>7.76</v>
      </c>
      <c r="C81" s="100">
        <v>19.2</v>
      </c>
      <c r="D81" s="100">
        <v>16.25</v>
      </c>
      <c r="E81" s="100">
        <v>5.93</v>
      </c>
      <c r="F81" s="100">
        <v>1.24</v>
      </c>
      <c r="G81" s="100">
        <v>59.5</v>
      </c>
      <c r="H81" s="100">
        <v>22.96</v>
      </c>
      <c r="I81" s="100">
        <v>10.050000000000001</v>
      </c>
      <c r="J81" s="100">
        <v>0.34</v>
      </c>
      <c r="K81" s="100">
        <v>161.57</v>
      </c>
      <c r="L81" s="100">
        <v>18.329999999999998</v>
      </c>
      <c r="M81" s="100">
        <v>47.45</v>
      </c>
      <c r="N81" s="100">
        <v>25.6</v>
      </c>
      <c r="O81" s="100">
        <v>0</v>
      </c>
      <c r="P81" s="100">
        <v>0.52</v>
      </c>
      <c r="Q81" s="100">
        <v>9.32</v>
      </c>
      <c r="R81" s="6"/>
      <c r="S81" s="6"/>
      <c r="T81" s="156"/>
      <c r="U81" s="6"/>
    </row>
    <row r="82" spans="1:21" customFormat="1">
      <c r="A82" s="163" t="s">
        <v>2720</v>
      </c>
      <c r="B82" s="100">
        <v>8.2100000000000009</v>
      </c>
      <c r="C82" s="100">
        <v>19.43</v>
      </c>
      <c r="D82" s="100">
        <v>16.739999999999998</v>
      </c>
      <c r="E82" s="100">
        <v>7.23</v>
      </c>
      <c r="F82" s="100">
        <v>1.34</v>
      </c>
      <c r="G82" s="100">
        <v>60.12</v>
      </c>
      <c r="H82" s="100">
        <v>22.96</v>
      </c>
      <c r="I82" s="100">
        <v>10.02</v>
      </c>
      <c r="J82" s="100">
        <v>0.27</v>
      </c>
      <c r="K82" s="100">
        <v>161.74</v>
      </c>
      <c r="L82" s="100">
        <v>17.8</v>
      </c>
      <c r="M82" s="100">
        <v>48.5</v>
      </c>
      <c r="N82" s="100">
        <v>25.3</v>
      </c>
      <c r="O82" s="100">
        <v>0</v>
      </c>
      <c r="P82" s="100">
        <v>0.53</v>
      </c>
      <c r="Q82" s="100">
        <v>9.32</v>
      </c>
      <c r="R82" s="6"/>
      <c r="S82" s="6"/>
      <c r="T82" s="156"/>
      <c r="U82" s="6"/>
    </row>
    <row r="83" spans="1:21" customFormat="1">
      <c r="A83" s="163" t="s">
        <v>2721</v>
      </c>
      <c r="B83" s="100">
        <v>8.91</v>
      </c>
      <c r="C83" s="100">
        <v>19.84</v>
      </c>
      <c r="D83" s="100">
        <v>17.510000000000002</v>
      </c>
      <c r="E83" s="100">
        <v>6.85</v>
      </c>
      <c r="F83" s="100">
        <v>1.24</v>
      </c>
      <c r="G83" s="100">
        <v>60.12</v>
      </c>
      <c r="H83" s="100">
        <v>22.96</v>
      </c>
      <c r="I83" s="100">
        <v>10</v>
      </c>
      <c r="J83" s="100">
        <v>0.28000000000000003</v>
      </c>
      <c r="K83" s="100">
        <v>167.36</v>
      </c>
      <c r="L83" s="100">
        <v>17.57</v>
      </c>
      <c r="M83" s="100">
        <v>50.01</v>
      </c>
      <c r="N83" s="100">
        <v>25.1</v>
      </c>
      <c r="O83" s="100">
        <v>0</v>
      </c>
      <c r="P83" s="100">
        <v>0.54</v>
      </c>
      <c r="Q83" s="100">
        <v>9.32</v>
      </c>
      <c r="R83" s="6"/>
      <c r="S83" s="6"/>
      <c r="T83" s="156"/>
      <c r="U83" s="6"/>
    </row>
    <row r="84" spans="1:21" customFormat="1">
      <c r="A84" s="163" t="s">
        <v>2722</v>
      </c>
      <c r="B84" s="100">
        <v>9.64</v>
      </c>
      <c r="C84" s="100">
        <v>20.23</v>
      </c>
      <c r="D84" s="100">
        <v>18.3</v>
      </c>
      <c r="E84" s="100">
        <v>7.22</v>
      </c>
      <c r="F84" s="100">
        <v>1.25</v>
      </c>
      <c r="G84" s="100">
        <v>60.12</v>
      </c>
      <c r="H84" s="100">
        <v>22.96</v>
      </c>
      <c r="I84" s="100">
        <v>10.09</v>
      </c>
      <c r="J84" s="100">
        <v>0.28999999999999998</v>
      </c>
      <c r="K84" s="100">
        <v>165.54</v>
      </c>
      <c r="L84" s="100">
        <v>17.02</v>
      </c>
      <c r="M84" s="100">
        <v>57.5</v>
      </c>
      <c r="N84" s="100">
        <v>25.1</v>
      </c>
      <c r="O84" s="100">
        <v>0</v>
      </c>
      <c r="P84" s="100">
        <v>0.56000000000000005</v>
      </c>
      <c r="Q84" s="100">
        <v>9.32</v>
      </c>
      <c r="R84" s="6"/>
      <c r="S84" s="6"/>
      <c r="T84" s="156"/>
      <c r="U84" s="6"/>
    </row>
    <row r="85" spans="1:21" customFormat="1">
      <c r="A85" s="163" t="s">
        <v>2723</v>
      </c>
      <c r="B85" s="100">
        <v>10.16</v>
      </c>
      <c r="C85" s="100">
        <v>20.25</v>
      </c>
      <c r="D85" s="100">
        <v>18.73</v>
      </c>
      <c r="E85" s="100">
        <v>6.94</v>
      </c>
      <c r="F85" s="100">
        <v>1.44</v>
      </c>
      <c r="G85" s="100">
        <v>78.069999999999993</v>
      </c>
      <c r="H85" s="100">
        <v>26.26</v>
      </c>
      <c r="I85" s="100">
        <v>10.29</v>
      </c>
      <c r="J85" s="100">
        <v>0.22</v>
      </c>
      <c r="K85" s="100">
        <v>183.72</v>
      </c>
      <c r="L85" s="100">
        <v>16.27</v>
      </c>
      <c r="M85" s="100">
        <v>68.069999999999993</v>
      </c>
      <c r="N85" s="100">
        <v>25.2</v>
      </c>
      <c r="O85" s="100">
        <v>0</v>
      </c>
      <c r="P85" s="100">
        <v>0.56999999999999995</v>
      </c>
      <c r="Q85" s="100">
        <v>9.32</v>
      </c>
      <c r="R85" s="6"/>
      <c r="S85" s="6"/>
      <c r="T85" s="156"/>
      <c r="U85" s="6"/>
    </row>
    <row r="86" spans="1:21" customFormat="1">
      <c r="A86" s="163" t="s">
        <v>2724</v>
      </c>
      <c r="B86" s="100">
        <v>10.74</v>
      </c>
      <c r="C86" s="100">
        <v>19.97</v>
      </c>
      <c r="D86" s="100">
        <v>19.05</v>
      </c>
      <c r="E86" s="100">
        <v>6.93</v>
      </c>
      <c r="F86" s="100">
        <v>1.31</v>
      </c>
      <c r="G86" s="100">
        <v>79.13</v>
      </c>
      <c r="H86" s="100">
        <v>26.26</v>
      </c>
      <c r="I86" s="100">
        <v>10.53</v>
      </c>
      <c r="J86" s="100">
        <v>0.23</v>
      </c>
      <c r="K86" s="100">
        <v>181.68</v>
      </c>
      <c r="L86" s="100">
        <v>15.73</v>
      </c>
      <c r="M86" s="100">
        <v>69.72</v>
      </c>
      <c r="N86" s="100">
        <v>25.1</v>
      </c>
      <c r="O86" s="100">
        <v>0</v>
      </c>
      <c r="P86" s="100">
        <v>0.59</v>
      </c>
      <c r="Q86" s="100">
        <v>9.32</v>
      </c>
      <c r="R86" s="6"/>
      <c r="S86" s="6"/>
      <c r="T86" s="156"/>
      <c r="U86" s="6"/>
    </row>
    <row r="87" spans="1:21" customFormat="1">
      <c r="A87" s="163" t="s">
        <v>2725</v>
      </c>
      <c r="B87" s="100">
        <v>11.54</v>
      </c>
      <c r="C87" s="100">
        <v>19.899999999999999</v>
      </c>
      <c r="D87" s="100">
        <v>19.66</v>
      </c>
      <c r="E87" s="100">
        <v>7.08</v>
      </c>
      <c r="F87" s="100">
        <v>1.3</v>
      </c>
      <c r="G87" s="100">
        <v>79.13</v>
      </c>
      <c r="H87" s="100">
        <v>26.26</v>
      </c>
      <c r="I87" s="100">
        <v>10.79</v>
      </c>
      <c r="J87" s="100">
        <v>0.22</v>
      </c>
      <c r="K87" s="100">
        <v>178.48</v>
      </c>
      <c r="L87" s="100">
        <v>15.4</v>
      </c>
      <c r="M87" s="100">
        <v>70.510000000000005</v>
      </c>
      <c r="N87" s="100">
        <v>25</v>
      </c>
      <c r="O87" s="100">
        <v>0</v>
      </c>
      <c r="P87" s="100">
        <v>0.63</v>
      </c>
      <c r="Q87" s="100">
        <v>9.32</v>
      </c>
      <c r="R87" s="6"/>
      <c r="S87" s="6"/>
      <c r="T87" s="156"/>
      <c r="U87" s="6"/>
    </row>
    <row r="88" spans="1:21" customFormat="1">
      <c r="A88" s="163" t="s">
        <v>2726</v>
      </c>
      <c r="B88" s="100">
        <v>12.26</v>
      </c>
      <c r="C88" s="100">
        <v>19.89</v>
      </c>
      <c r="D88" s="100">
        <v>20.22</v>
      </c>
      <c r="E88" s="100">
        <v>6.9</v>
      </c>
      <c r="F88" s="100">
        <v>1.27</v>
      </c>
      <c r="G88" s="100">
        <v>79.13</v>
      </c>
      <c r="H88" s="100">
        <v>26.26</v>
      </c>
      <c r="I88" s="100">
        <v>10.98</v>
      </c>
      <c r="J88" s="100">
        <v>0.21</v>
      </c>
      <c r="K88" s="100">
        <v>209.4</v>
      </c>
      <c r="L88" s="100">
        <v>15.01</v>
      </c>
      <c r="M88" s="100">
        <v>74.25</v>
      </c>
      <c r="N88" s="100">
        <v>25</v>
      </c>
      <c r="O88" s="100">
        <v>0</v>
      </c>
      <c r="P88" s="100">
        <v>0.66</v>
      </c>
      <c r="Q88" s="100">
        <v>9.32</v>
      </c>
      <c r="R88" s="6"/>
      <c r="S88" s="6"/>
      <c r="T88" s="156"/>
      <c r="U88" s="6"/>
    </row>
    <row r="89" spans="1:21" customFormat="1">
      <c r="A89" s="163" t="s">
        <v>2727</v>
      </c>
      <c r="B89" s="100">
        <v>12.88</v>
      </c>
      <c r="C89" s="100">
        <v>19.760000000000002</v>
      </c>
      <c r="D89" s="100">
        <v>20.65</v>
      </c>
      <c r="E89" s="100">
        <v>7</v>
      </c>
      <c r="F89" s="100">
        <v>1.1499999999999999</v>
      </c>
      <c r="G89" s="100">
        <v>75.06</v>
      </c>
      <c r="H89" s="100">
        <v>26.04</v>
      </c>
      <c r="I89" s="100">
        <v>11.25</v>
      </c>
      <c r="J89" s="100">
        <v>0.18</v>
      </c>
      <c r="K89" s="100">
        <v>208.36</v>
      </c>
      <c r="L89" s="100">
        <v>14.61</v>
      </c>
      <c r="M89" s="100">
        <v>75.290000000000006</v>
      </c>
      <c r="N89" s="100">
        <v>25.1</v>
      </c>
      <c r="O89" s="100">
        <v>0</v>
      </c>
      <c r="P89" s="100">
        <v>0.68</v>
      </c>
      <c r="Q89" s="100">
        <v>9.32</v>
      </c>
      <c r="R89" s="6"/>
      <c r="S89" s="6"/>
      <c r="T89" s="156"/>
      <c r="U89" s="6"/>
    </row>
    <row r="90" spans="1:21" customFormat="1">
      <c r="A90" s="163" t="s">
        <v>2728</v>
      </c>
      <c r="B90" s="100">
        <v>13.27</v>
      </c>
      <c r="C90" s="100">
        <v>19.579999999999998</v>
      </c>
      <c r="D90" s="100">
        <v>20.87</v>
      </c>
      <c r="E90" s="100">
        <v>6.82</v>
      </c>
      <c r="F90" s="100">
        <v>1.22</v>
      </c>
      <c r="G90" s="100">
        <v>74.819999999999993</v>
      </c>
      <c r="H90" s="100">
        <v>26.04</v>
      </c>
      <c r="I90" s="100">
        <v>11.64</v>
      </c>
      <c r="J90" s="100">
        <v>0.15</v>
      </c>
      <c r="K90" s="100">
        <v>193.16</v>
      </c>
      <c r="L90" s="100">
        <v>14.31</v>
      </c>
      <c r="M90" s="100">
        <v>74.23</v>
      </c>
      <c r="N90" s="100">
        <v>24.9</v>
      </c>
      <c r="O90" s="100">
        <v>0</v>
      </c>
      <c r="P90" s="100">
        <v>0.68</v>
      </c>
      <c r="Q90" s="100">
        <v>9.32</v>
      </c>
      <c r="R90" s="6"/>
      <c r="S90" s="6"/>
      <c r="T90" s="156"/>
      <c r="U90" s="6"/>
    </row>
    <row r="91" spans="1:21" customFormat="1">
      <c r="A91" s="163" t="s">
        <v>2729</v>
      </c>
      <c r="B91" s="100">
        <v>13.41</v>
      </c>
      <c r="C91" s="100">
        <v>19.39</v>
      </c>
      <c r="D91" s="100">
        <v>20.88</v>
      </c>
      <c r="E91" s="100">
        <v>6.66</v>
      </c>
      <c r="F91" s="100">
        <v>1.34</v>
      </c>
      <c r="G91" s="100">
        <v>74.819999999999993</v>
      </c>
      <c r="H91" s="100">
        <v>26.04</v>
      </c>
      <c r="I91" s="100">
        <v>12.17</v>
      </c>
      <c r="J91" s="100">
        <v>0.14000000000000001</v>
      </c>
      <c r="K91" s="100">
        <v>203.81</v>
      </c>
      <c r="L91" s="100">
        <v>14.15</v>
      </c>
      <c r="M91" s="100">
        <v>74.25</v>
      </c>
      <c r="N91" s="100">
        <v>24.8</v>
      </c>
      <c r="O91" s="100">
        <v>0</v>
      </c>
      <c r="P91" s="100">
        <v>0.69</v>
      </c>
      <c r="Q91" s="100">
        <v>9.32</v>
      </c>
      <c r="R91" s="6"/>
      <c r="S91" s="6"/>
      <c r="T91" s="156"/>
      <c r="U91" s="6"/>
    </row>
    <row r="92" spans="1:21" customFormat="1">
      <c r="A92" s="163" t="s">
        <v>2730</v>
      </c>
      <c r="B92" s="100">
        <v>13.4</v>
      </c>
      <c r="C92" s="100">
        <v>19.23</v>
      </c>
      <c r="D92" s="100">
        <v>20.79</v>
      </c>
      <c r="E92" s="100">
        <v>6.8</v>
      </c>
      <c r="F92" s="100">
        <v>1.3</v>
      </c>
      <c r="G92" s="100">
        <v>74.819999999999993</v>
      </c>
      <c r="H92" s="100">
        <v>26.04</v>
      </c>
      <c r="I92" s="100">
        <v>12.62</v>
      </c>
      <c r="J92" s="100">
        <v>0.18</v>
      </c>
      <c r="K92" s="100">
        <v>178.21</v>
      </c>
      <c r="L92" s="100">
        <v>14.06</v>
      </c>
      <c r="M92" s="100">
        <v>75.17</v>
      </c>
      <c r="N92" s="100">
        <v>24.7</v>
      </c>
      <c r="O92" s="100">
        <v>0</v>
      </c>
      <c r="P92" s="100">
        <v>0.7</v>
      </c>
      <c r="Q92" s="100">
        <v>9.32</v>
      </c>
      <c r="R92" s="6"/>
      <c r="S92" s="6"/>
      <c r="T92" s="156"/>
      <c r="U92" s="6"/>
    </row>
    <row r="93" spans="1:21" customFormat="1">
      <c r="A93" s="163" t="s">
        <v>2731</v>
      </c>
      <c r="B93" s="100">
        <v>13.35</v>
      </c>
      <c r="C93" s="100">
        <v>19.05</v>
      </c>
      <c r="D93" s="100">
        <v>20.66</v>
      </c>
      <c r="E93" s="100">
        <v>7.06</v>
      </c>
      <c r="F93" s="100">
        <v>1.18</v>
      </c>
      <c r="G93" s="100">
        <v>75.45</v>
      </c>
      <c r="H93" s="100">
        <v>27.65</v>
      </c>
      <c r="I93" s="100">
        <v>12.71</v>
      </c>
      <c r="J93" s="100">
        <v>0.19</v>
      </c>
      <c r="K93" s="100">
        <v>194.04</v>
      </c>
      <c r="L93" s="100">
        <v>13.94</v>
      </c>
      <c r="M93" s="100">
        <v>75.08</v>
      </c>
      <c r="N93" s="100">
        <v>24.7</v>
      </c>
      <c r="O93" s="100">
        <v>0</v>
      </c>
      <c r="P93" s="100">
        <v>0.7</v>
      </c>
      <c r="Q93" s="100">
        <v>9.32</v>
      </c>
      <c r="R93" s="6"/>
      <c r="S93" s="6"/>
      <c r="T93" s="156"/>
      <c r="U93" s="6"/>
    </row>
    <row r="94" spans="1:21" customFormat="1">
      <c r="A94" s="163" t="s">
        <v>2732</v>
      </c>
      <c r="B94" s="100">
        <v>13.32</v>
      </c>
      <c r="C94" s="100">
        <v>18.760000000000002</v>
      </c>
      <c r="D94" s="100">
        <v>20.48</v>
      </c>
      <c r="E94" s="100">
        <v>7.15</v>
      </c>
      <c r="F94" s="100">
        <v>1.0900000000000001</v>
      </c>
      <c r="G94" s="100">
        <v>75.489999999999995</v>
      </c>
      <c r="H94" s="100">
        <v>27.65</v>
      </c>
      <c r="I94" s="100">
        <v>12.8</v>
      </c>
      <c r="J94" s="100">
        <v>0.15</v>
      </c>
      <c r="K94" s="100">
        <v>176.06</v>
      </c>
      <c r="L94" s="100">
        <v>13.78</v>
      </c>
      <c r="M94" s="100">
        <v>76.59</v>
      </c>
      <c r="N94" s="100">
        <v>24.8</v>
      </c>
      <c r="O94" s="100">
        <v>0</v>
      </c>
      <c r="P94" s="100">
        <v>0.71</v>
      </c>
      <c r="Q94" s="100">
        <v>9.32</v>
      </c>
      <c r="R94" s="6"/>
      <c r="S94" s="6"/>
      <c r="T94" s="156"/>
      <c r="U94" s="6"/>
    </row>
    <row r="95" spans="1:21" customFormat="1">
      <c r="A95" s="163" t="s">
        <v>2733</v>
      </c>
      <c r="B95" s="100">
        <v>13.17</v>
      </c>
      <c r="C95" s="100">
        <v>18.59</v>
      </c>
      <c r="D95" s="100">
        <v>20.27</v>
      </c>
      <c r="E95" s="100">
        <v>6.79</v>
      </c>
      <c r="F95" s="100">
        <v>1.22</v>
      </c>
      <c r="G95" s="100">
        <v>75.489999999999995</v>
      </c>
      <c r="H95" s="100">
        <v>27.65</v>
      </c>
      <c r="I95" s="100">
        <v>12.86</v>
      </c>
      <c r="J95" s="100">
        <v>0.17</v>
      </c>
      <c r="K95" s="100">
        <v>177.79</v>
      </c>
      <c r="L95" s="100">
        <v>13.69</v>
      </c>
      <c r="M95" s="100">
        <v>77.36</v>
      </c>
      <c r="N95" s="100">
        <v>24.7</v>
      </c>
      <c r="O95" s="100">
        <v>0</v>
      </c>
      <c r="P95" s="100">
        <v>0.71</v>
      </c>
      <c r="Q95" s="100">
        <v>9.32</v>
      </c>
      <c r="R95" s="6"/>
      <c r="S95" s="6"/>
      <c r="T95" s="156"/>
      <c r="U95" s="6"/>
    </row>
    <row r="96" spans="1:21" customFormat="1">
      <c r="A96" s="163" t="s">
        <v>2734</v>
      </c>
      <c r="B96" s="100">
        <v>13.05</v>
      </c>
      <c r="C96" s="100">
        <v>18.34</v>
      </c>
      <c r="D96" s="100">
        <v>20.04</v>
      </c>
      <c r="E96" s="100">
        <v>6.94</v>
      </c>
      <c r="F96" s="100">
        <v>1.08</v>
      </c>
      <c r="G96" s="100">
        <v>75.489999999999995</v>
      </c>
      <c r="H96" s="100">
        <v>27.65</v>
      </c>
      <c r="I96" s="100">
        <v>12.89</v>
      </c>
      <c r="J96" s="100">
        <v>0.18</v>
      </c>
      <c r="K96" s="100">
        <v>181.45</v>
      </c>
      <c r="L96" s="100">
        <v>13.51</v>
      </c>
      <c r="M96" s="100">
        <v>81.8</v>
      </c>
      <c r="N96" s="100">
        <v>24.7</v>
      </c>
      <c r="O96" s="100">
        <v>0</v>
      </c>
      <c r="P96" s="100">
        <v>0.71</v>
      </c>
      <c r="Q96" s="100">
        <v>9.32</v>
      </c>
      <c r="R96" s="6"/>
      <c r="S96" s="6"/>
      <c r="T96" s="156"/>
      <c r="U96" s="6"/>
    </row>
    <row r="97" spans="1:28" customFormat="1">
      <c r="A97" s="163" t="s">
        <v>2735</v>
      </c>
      <c r="B97" s="100">
        <v>13.07</v>
      </c>
      <c r="C97" s="100">
        <v>18.079999999999998</v>
      </c>
      <c r="D97" s="100">
        <v>19.93</v>
      </c>
      <c r="E97" s="100">
        <v>6.71</v>
      </c>
      <c r="F97" s="100">
        <v>1.03</v>
      </c>
      <c r="G97" s="100">
        <v>77.459999999999994</v>
      </c>
      <c r="H97" s="100">
        <v>28.86</v>
      </c>
      <c r="I97" s="100">
        <v>12.99</v>
      </c>
      <c r="J97" s="100">
        <v>0.25</v>
      </c>
      <c r="K97" s="100">
        <v>158.49</v>
      </c>
      <c r="L97" s="100">
        <v>13.49</v>
      </c>
      <c r="M97" s="100">
        <v>78.34</v>
      </c>
      <c r="N97" s="100">
        <v>24.7</v>
      </c>
      <c r="O97" s="100">
        <v>0</v>
      </c>
      <c r="P97" s="100">
        <v>0.72</v>
      </c>
      <c r="Q97" s="100">
        <v>9.32</v>
      </c>
      <c r="R97" s="6"/>
      <c r="S97" s="6"/>
      <c r="T97" s="156"/>
      <c r="U97" s="6"/>
    </row>
    <row r="98" spans="1:28" customFormat="1">
      <c r="A98" s="163" t="s">
        <v>2736</v>
      </c>
      <c r="B98" s="100">
        <v>13.03</v>
      </c>
      <c r="C98" s="100">
        <v>18.05</v>
      </c>
      <c r="D98" s="100">
        <v>19.88</v>
      </c>
      <c r="E98" s="100">
        <v>6.72</v>
      </c>
      <c r="F98" s="100">
        <v>1.1599999999999999</v>
      </c>
      <c r="G98" s="100">
        <v>77.58</v>
      </c>
      <c r="H98" s="100">
        <v>28.86</v>
      </c>
      <c r="I98" s="100">
        <v>13.11</v>
      </c>
      <c r="J98" s="100">
        <v>0.18</v>
      </c>
      <c r="K98" s="100">
        <v>183.5</v>
      </c>
      <c r="L98" s="100">
        <v>13.46</v>
      </c>
      <c r="M98" s="100">
        <v>75.2</v>
      </c>
      <c r="N98" s="100">
        <v>24.7</v>
      </c>
      <c r="O98" s="100">
        <v>0</v>
      </c>
      <c r="P98" s="100">
        <v>0.73</v>
      </c>
      <c r="Q98" s="100">
        <v>9.32</v>
      </c>
      <c r="R98" s="6"/>
      <c r="S98" s="6"/>
      <c r="T98" s="156"/>
      <c r="U98" s="6"/>
    </row>
    <row r="99" spans="1:28" customFormat="1">
      <c r="A99" s="163" t="s">
        <v>2737</v>
      </c>
      <c r="B99" s="100">
        <v>13</v>
      </c>
      <c r="C99" s="100">
        <v>18.13</v>
      </c>
      <c r="D99" s="100">
        <v>19.899999999999999</v>
      </c>
      <c r="E99" s="100">
        <v>6.86</v>
      </c>
      <c r="F99" s="100">
        <v>1.2</v>
      </c>
      <c r="G99" s="100">
        <v>77.58</v>
      </c>
      <c r="H99" s="100">
        <v>28.86</v>
      </c>
      <c r="I99" s="100">
        <v>13.28</v>
      </c>
      <c r="J99" s="100">
        <v>0.19</v>
      </c>
      <c r="K99" s="100">
        <v>200.3</v>
      </c>
      <c r="L99" s="100">
        <v>13.18</v>
      </c>
      <c r="M99" s="100">
        <v>82.4</v>
      </c>
      <c r="N99" s="100">
        <v>24.8</v>
      </c>
      <c r="O99" s="100">
        <v>0</v>
      </c>
      <c r="P99" s="100">
        <v>0.76</v>
      </c>
      <c r="Q99" s="100">
        <v>9.32</v>
      </c>
      <c r="R99" s="6"/>
      <c r="S99" s="6"/>
      <c r="T99" s="156"/>
      <c r="U99" s="6"/>
    </row>
    <row r="100" spans="1:28" customFormat="1">
      <c r="A100" s="163" t="s">
        <v>2738</v>
      </c>
      <c r="B100" s="100">
        <v>13.16</v>
      </c>
      <c r="C100" s="100">
        <v>17.97</v>
      </c>
      <c r="D100" s="100">
        <v>19.95</v>
      </c>
      <c r="E100" s="100">
        <v>6.65</v>
      </c>
      <c r="F100" s="100">
        <v>1.1200000000000001</v>
      </c>
      <c r="G100" s="100">
        <v>77.58</v>
      </c>
      <c r="H100" s="100">
        <v>28.86</v>
      </c>
      <c r="I100" s="100">
        <v>13.49</v>
      </c>
      <c r="J100" s="100">
        <v>0.16</v>
      </c>
      <c r="K100" s="100">
        <v>208.79</v>
      </c>
      <c r="L100" s="100">
        <v>12.81</v>
      </c>
      <c r="M100" s="100">
        <v>82.48</v>
      </c>
      <c r="N100" s="100">
        <v>24.9</v>
      </c>
      <c r="O100" s="100">
        <v>0</v>
      </c>
      <c r="P100" s="100">
        <v>0.78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2739</v>
      </c>
      <c r="B101" s="100">
        <v>13.3</v>
      </c>
      <c r="C101" s="100">
        <v>17.66</v>
      </c>
      <c r="D101" s="100">
        <v>19.89</v>
      </c>
      <c r="E101" s="100">
        <v>6.43</v>
      </c>
      <c r="F101" s="100">
        <v>1.1299999999999999</v>
      </c>
      <c r="G101" s="100">
        <v>75.62</v>
      </c>
      <c r="H101" s="100">
        <v>31.68</v>
      </c>
      <c r="I101" s="100">
        <v>13.67</v>
      </c>
      <c r="J101" s="100">
        <v>0.14000000000000001</v>
      </c>
      <c r="K101" s="100">
        <v>193.43</v>
      </c>
      <c r="L101" s="100">
        <v>12.71</v>
      </c>
      <c r="M101" s="100">
        <v>82.02</v>
      </c>
      <c r="N101" s="100">
        <v>24.9</v>
      </c>
      <c r="O101" s="100">
        <v>0</v>
      </c>
      <c r="P101" s="100">
        <v>0.78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2740</v>
      </c>
      <c r="B102" s="100">
        <v>13.36</v>
      </c>
      <c r="C102" s="100">
        <v>17.36</v>
      </c>
      <c r="D102" s="100">
        <v>19.79</v>
      </c>
      <c r="E102" s="100">
        <v>6.45</v>
      </c>
      <c r="F102" s="100">
        <v>1.34</v>
      </c>
      <c r="G102" s="100">
        <v>75.510000000000005</v>
      </c>
      <c r="H102" s="100">
        <v>31.68</v>
      </c>
      <c r="I102" s="100">
        <v>13.81</v>
      </c>
      <c r="J102" s="100">
        <v>0.16</v>
      </c>
      <c r="K102" s="100">
        <v>202.56</v>
      </c>
      <c r="L102" s="100">
        <v>12.63</v>
      </c>
      <c r="M102" s="100">
        <v>84.44</v>
      </c>
      <c r="N102" s="100">
        <v>24.8</v>
      </c>
      <c r="O102" s="100">
        <v>0</v>
      </c>
      <c r="P102" s="100">
        <v>0.79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2741</v>
      </c>
      <c r="B103" s="100">
        <v>13.39</v>
      </c>
      <c r="C103" s="100">
        <v>17.14</v>
      </c>
      <c r="D103" s="100">
        <v>19.690000000000001</v>
      </c>
      <c r="E103" s="100">
        <v>6.12</v>
      </c>
      <c r="F103" s="100">
        <v>1.28</v>
      </c>
      <c r="G103" s="100">
        <v>75.510000000000005</v>
      </c>
      <c r="H103" s="100">
        <v>31.68</v>
      </c>
      <c r="I103" s="100">
        <v>13.96</v>
      </c>
      <c r="J103" s="100">
        <v>0.09</v>
      </c>
      <c r="K103" s="100">
        <v>208.3</v>
      </c>
      <c r="L103" s="100">
        <v>12.28</v>
      </c>
      <c r="M103" s="100">
        <v>85.73</v>
      </c>
      <c r="N103" s="100">
        <v>25</v>
      </c>
      <c r="O103" s="100">
        <v>0</v>
      </c>
      <c r="P103" s="100">
        <v>0.79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2742</v>
      </c>
      <c r="B104" s="100">
        <v>13.72</v>
      </c>
      <c r="C104" s="100">
        <v>17.02</v>
      </c>
      <c r="D104" s="100">
        <v>19.89</v>
      </c>
      <c r="E104" s="100">
        <v>6.18</v>
      </c>
      <c r="F104" s="100">
        <v>1.33</v>
      </c>
      <c r="G104" s="100">
        <v>75.510000000000005</v>
      </c>
      <c r="H104" s="100">
        <v>31.68</v>
      </c>
      <c r="I104" s="100">
        <v>14.09</v>
      </c>
      <c r="J104" s="100">
        <v>0.56999999999999995</v>
      </c>
      <c r="K104" s="100">
        <v>41.46</v>
      </c>
      <c r="L104" s="100">
        <v>12.94</v>
      </c>
      <c r="M104" s="100">
        <v>76.72</v>
      </c>
      <c r="N104" s="100">
        <v>23.7</v>
      </c>
      <c r="O104" s="100">
        <v>0</v>
      </c>
      <c r="P104" s="100">
        <v>0.81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6.17</v>
      </c>
      <c r="C106" s="158">
        <f>MIN(C9:C104)</f>
        <v>15.88</v>
      </c>
      <c r="D106" s="158">
        <f t="shared" ref="D106:Q106" si="0">MIN(D9:D104)</f>
        <v>14.67</v>
      </c>
      <c r="E106" s="158">
        <f t="shared" si="0"/>
        <v>3.65</v>
      </c>
      <c r="F106" s="158">
        <f t="shared" si="0"/>
        <v>1.03</v>
      </c>
      <c r="G106" s="158">
        <f t="shared" si="0"/>
        <v>48.48</v>
      </c>
      <c r="H106" s="158">
        <f t="shared" si="0"/>
        <v>21.81</v>
      </c>
      <c r="I106" s="158">
        <f t="shared" si="0"/>
        <v>10</v>
      </c>
      <c r="J106" s="158">
        <f t="shared" si="0"/>
        <v>0.02</v>
      </c>
      <c r="K106" s="158">
        <f t="shared" si="0"/>
        <v>0.82</v>
      </c>
      <c r="L106" s="158">
        <f t="shared" si="0"/>
        <v>10.96</v>
      </c>
      <c r="M106" s="158">
        <f t="shared" si="0"/>
        <v>28.2</v>
      </c>
      <c r="N106" s="158">
        <f t="shared" si="0"/>
        <v>18.8</v>
      </c>
      <c r="O106" s="158">
        <f t="shared" si="0"/>
        <v>0</v>
      </c>
      <c r="P106" s="158">
        <f t="shared" si="0"/>
        <v>0.52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29.74</v>
      </c>
      <c r="C107" s="157">
        <f t="shared" ref="C107:Q107" si="1">MAX(C9:C104)</f>
        <v>22.42</v>
      </c>
      <c r="D107" s="157">
        <f t="shared" si="1"/>
        <v>34.03</v>
      </c>
      <c r="E107" s="157">
        <f t="shared" si="1"/>
        <v>7.23</v>
      </c>
      <c r="F107" s="157">
        <f t="shared" si="1"/>
        <v>4.6100000000000003</v>
      </c>
      <c r="G107" s="157">
        <f t="shared" si="1"/>
        <v>99.55</v>
      </c>
      <c r="H107" s="157">
        <f t="shared" si="1"/>
        <v>44.06</v>
      </c>
      <c r="I107" s="157">
        <f t="shared" si="1"/>
        <v>16.95</v>
      </c>
      <c r="J107" s="157">
        <f t="shared" si="1"/>
        <v>1.02</v>
      </c>
      <c r="K107" s="157">
        <f t="shared" si="1"/>
        <v>356.4</v>
      </c>
      <c r="L107" s="157">
        <f t="shared" si="1"/>
        <v>23.87</v>
      </c>
      <c r="M107" s="157">
        <f t="shared" si="1"/>
        <v>91.29</v>
      </c>
      <c r="N107" s="157">
        <f t="shared" si="1"/>
        <v>549.70000000000005</v>
      </c>
      <c r="O107" s="157">
        <f t="shared" si="1"/>
        <v>0</v>
      </c>
      <c r="P107" s="157">
        <f t="shared" si="1"/>
        <v>1.07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15.406562500000007</v>
      </c>
      <c r="C108" s="158">
        <f t="shared" ref="C108:Q108" si="2">AVERAGE(C9:C104)</f>
        <v>19.319687499999993</v>
      </c>
      <c r="D108" s="158">
        <f t="shared" si="2"/>
        <v>22.44854166666666</v>
      </c>
      <c r="E108" s="158">
        <f t="shared" si="2"/>
        <v>6.1314583333333346</v>
      </c>
      <c r="F108" s="158">
        <f t="shared" si="2"/>
        <v>1.611666666666667</v>
      </c>
      <c r="G108" s="158">
        <f t="shared" si="2"/>
        <v>71.977812499999956</v>
      </c>
      <c r="H108" s="158">
        <f t="shared" si="2"/>
        <v>32.069166666666653</v>
      </c>
      <c r="I108" s="158">
        <f t="shared" si="2"/>
        <v>12.724791666666667</v>
      </c>
      <c r="J108" s="158">
        <f t="shared" si="2"/>
        <v>0.31270833333333331</v>
      </c>
      <c r="K108" s="158">
        <f t="shared" si="2"/>
        <v>122.29479166666664</v>
      </c>
      <c r="L108" s="158">
        <f t="shared" si="2"/>
        <v>16.524479166666669</v>
      </c>
      <c r="M108" s="158">
        <f t="shared" si="2"/>
        <v>61.102604166666652</v>
      </c>
      <c r="N108" s="158">
        <f t="shared" si="2"/>
        <v>111.63020833333339</v>
      </c>
      <c r="O108" s="158">
        <f t="shared" si="2"/>
        <v>0</v>
      </c>
      <c r="P108" s="158">
        <f t="shared" si="2"/>
        <v>0.75250000000000028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7.1918876561866814</v>
      </c>
      <c r="C109" s="158">
        <f t="shared" ref="C109:Q109" si="3">STDEV(C9:C104)</f>
        <v>1.740984871378388</v>
      </c>
      <c r="D109" s="158">
        <f t="shared" si="3"/>
        <v>5.9306873621629448</v>
      </c>
      <c r="E109" s="158">
        <f t="shared" si="3"/>
        <v>0.60524371631628771</v>
      </c>
      <c r="F109" s="158">
        <f t="shared" si="3"/>
        <v>0.77536228091561499</v>
      </c>
      <c r="G109" s="158">
        <f t="shared" si="3"/>
        <v>14.229751427582917</v>
      </c>
      <c r="H109" s="158">
        <f t="shared" si="3"/>
        <v>7.513827207106023</v>
      </c>
      <c r="I109" s="158">
        <f t="shared" si="3"/>
        <v>1.8518553877646486</v>
      </c>
      <c r="J109" s="158">
        <f t="shared" si="3"/>
        <v>0.22525998624591301</v>
      </c>
      <c r="K109" s="158">
        <f t="shared" si="3"/>
        <v>78.815291903607658</v>
      </c>
      <c r="L109" s="158">
        <f t="shared" si="3"/>
        <v>4.7588532165221702</v>
      </c>
      <c r="M109" s="158">
        <f t="shared" si="3"/>
        <v>23.050493738052207</v>
      </c>
      <c r="N109" s="158">
        <f t="shared" si="3"/>
        <v>161.20344394897009</v>
      </c>
      <c r="O109" s="158">
        <f t="shared" si="3"/>
        <v>0</v>
      </c>
      <c r="P109" s="158">
        <f t="shared" si="3"/>
        <v>0.1723704700561226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K108" sqref="K10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2743</v>
      </c>
      <c r="B9" s="100">
        <v>15.44</v>
      </c>
      <c r="C9" s="100">
        <v>17</v>
      </c>
      <c r="D9" s="100">
        <v>21.26</v>
      </c>
      <c r="E9" s="100">
        <v>6.32</v>
      </c>
      <c r="F9" s="100">
        <v>1.21</v>
      </c>
      <c r="G9" s="100">
        <v>76.069999999999993</v>
      </c>
      <c r="H9" s="100">
        <v>33.340000000000003</v>
      </c>
      <c r="I9" s="100">
        <v>14.22</v>
      </c>
      <c r="J9" s="100">
        <v>0.15</v>
      </c>
      <c r="K9" s="100">
        <v>16.96</v>
      </c>
      <c r="L9" s="100">
        <v>13.47</v>
      </c>
      <c r="M9" s="100">
        <v>66.52</v>
      </c>
      <c r="N9" s="100">
        <v>24.6</v>
      </c>
      <c r="O9" s="100">
        <v>0</v>
      </c>
      <c r="P9" s="100">
        <v>0.82</v>
      </c>
      <c r="Q9" s="100">
        <v>9.32</v>
      </c>
      <c r="R9" s="6"/>
      <c r="S9" s="6"/>
      <c r="T9" s="156"/>
      <c r="U9" s="6"/>
    </row>
    <row r="10" spans="1:21" customFormat="1">
      <c r="A10" s="163" t="s">
        <v>2744</v>
      </c>
      <c r="B10" s="100">
        <v>16.23</v>
      </c>
      <c r="C10" s="100">
        <v>17.829999999999998</v>
      </c>
      <c r="D10" s="100">
        <v>22.33</v>
      </c>
      <c r="E10" s="100">
        <v>6.46</v>
      </c>
      <c r="F10" s="100">
        <v>1.04</v>
      </c>
      <c r="G10" s="100">
        <v>76.099999999999994</v>
      </c>
      <c r="H10" s="100">
        <v>33.340000000000003</v>
      </c>
      <c r="I10" s="100">
        <v>14.4</v>
      </c>
      <c r="J10" s="100">
        <v>0.15</v>
      </c>
      <c r="K10" s="100">
        <v>196.52</v>
      </c>
      <c r="L10" s="100">
        <v>13.09</v>
      </c>
      <c r="M10" s="100">
        <v>69.86</v>
      </c>
      <c r="N10" s="100">
        <v>25.1</v>
      </c>
      <c r="O10" s="100">
        <v>0</v>
      </c>
      <c r="P10" s="100">
        <v>0.83</v>
      </c>
      <c r="Q10" s="100">
        <v>9.32</v>
      </c>
      <c r="R10" s="6"/>
      <c r="S10" s="6"/>
      <c r="T10" s="156"/>
      <c r="U10" s="6"/>
    </row>
    <row r="11" spans="1:21" customFormat="1">
      <c r="A11" s="163" t="s">
        <v>2745</v>
      </c>
      <c r="B11" s="100">
        <v>17.03</v>
      </c>
      <c r="C11" s="100">
        <v>18.22</v>
      </c>
      <c r="D11" s="100">
        <v>23.18</v>
      </c>
      <c r="E11" s="100">
        <v>6.32</v>
      </c>
      <c r="F11" s="100">
        <v>1.01</v>
      </c>
      <c r="G11" s="100">
        <v>76.099999999999994</v>
      </c>
      <c r="H11" s="100">
        <v>33.340000000000003</v>
      </c>
      <c r="I11" s="100">
        <v>14.55</v>
      </c>
      <c r="J11" s="100">
        <v>0.15</v>
      </c>
      <c r="K11" s="100">
        <v>194.22</v>
      </c>
      <c r="L11" s="100">
        <v>12.73</v>
      </c>
      <c r="M11" s="100">
        <v>73.58</v>
      </c>
      <c r="N11" s="100">
        <v>25</v>
      </c>
      <c r="O11" s="100">
        <v>0</v>
      </c>
      <c r="P11" s="100">
        <v>0.83</v>
      </c>
      <c r="Q11" s="100">
        <v>9.32</v>
      </c>
      <c r="R11" s="6"/>
      <c r="S11" s="6"/>
      <c r="T11" s="156"/>
      <c r="U11" s="6"/>
    </row>
    <row r="12" spans="1:21" customFormat="1">
      <c r="A12" s="163" t="s">
        <v>2746</v>
      </c>
      <c r="B12" s="100">
        <v>17.82</v>
      </c>
      <c r="C12" s="100">
        <v>18.670000000000002</v>
      </c>
      <c r="D12" s="100">
        <v>24.04</v>
      </c>
      <c r="E12" s="100">
        <v>6.38</v>
      </c>
      <c r="F12" s="100">
        <v>1.1299999999999999</v>
      </c>
      <c r="G12" s="100">
        <v>76.099999999999994</v>
      </c>
      <c r="H12" s="100">
        <v>33.340000000000003</v>
      </c>
      <c r="I12" s="100">
        <v>14.66</v>
      </c>
      <c r="J12" s="100">
        <v>0.14000000000000001</v>
      </c>
      <c r="K12" s="100">
        <v>200.92</v>
      </c>
      <c r="L12" s="100">
        <v>12.48</v>
      </c>
      <c r="M12" s="100">
        <v>76.16</v>
      </c>
      <c r="N12" s="100">
        <v>25</v>
      </c>
      <c r="O12" s="100">
        <v>0</v>
      </c>
      <c r="P12" s="100">
        <v>0.84</v>
      </c>
      <c r="Q12" s="100">
        <v>9.32</v>
      </c>
      <c r="R12" s="6"/>
      <c r="S12" s="6"/>
      <c r="T12" s="156"/>
      <c r="U12" s="6"/>
    </row>
    <row r="13" spans="1:21" customFormat="1">
      <c r="A13" s="163" t="s">
        <v>2747</v>
      </c>
      <c r="B13" s="100">
        <v>19.03</v>
      </c>
      <c r="C13" s="100">
        <v>18.89</v>
      </c>
      <c r="D13" s="100">
        <v>25.13</v>
      </c>
      <c r="E13" s="100">
        <v>6.38</v>
      </c>
      <c r="F13" s="100">
        <v>1.2</v>
      </c>
      <c r="G13" s="100">
        <v>75.650000000000006</v>
      </c>
      <c r="H13" s="100">
        <v>38.33</v>
      </c>
      <c r="I13" s="100">
        <v>14.77</v>
      </c>
      <c r="J13" s="100">
        <v>0.18</v>
      </c>
      <c r="K13" s="100">
        <v>176.06</v>
      </c>
      <c r="L13" s="100">
        <v>12.47</v>
      </c>
      <c r="M13" s="100">
        <v>77.47</v>
      </c>
      <c r="N13" s="100">
        <v>24.9</v>
      </c>
      <c r="O13" s="100">
        <v>0</v>
      </c>
      <c r="P13" s="100">
        <v>0.85</v>
      </c>
      <c r="Q13" s="100">
        <v>9.32</v>
      </c>
      <c r="R13" s="6"/>
      <c r="S13" s="6"/>
      <c r="T13" s="156"/>
      <c r="U13" s="6"/>
    </row>
    <row r="14" spans="1:21" customFormat="1">
      <c r="A14" s="163" t="s">
        <v>2748</v>
      </c>
      <c r="B14" s="100">
        <v>19.96</v>
      </c>
      <c r="C14" s="100">
        <v>19.11</v>
      </c>
      <c r="D14" s="100">
        <v>25.99</v>
      </c>
      <c r="E14" s="100">
        <v>6.39</v>
      </c>
      <c r="F14" s="100">
        <v>1.2</v>
      </c>
      <c r="G14" s="100">
        <v>75.62</v>
      </c>
      <c r="H14" s="100">
        <v>38.33</v>
      </c>
      <c r="I14" s="100">
        <v>14.88</v>
      </c>
      <c r="J14" s="100">
        <v>0.17</v>
      </c>
      <c r="K14" s="100">
        <v>158.02000000000001</v>
      </c>
      <c r="L14" s="100">
        <v>12.34</v>
      </c>
      <c r="M14" s="100">
        <v>81.44</v>
      </c>
      <c r="N14" s="100">
        <v>24.9</v>
      </c>
      <c r="O14" s="100">
        <v>0</v>
      </c>
      <c r="P14" s="100">
        <v>0.86</v>
      </c>
      <c r="Q14" s="100">
        <v>9.32</v>
      </c>
      <c r="R14" s="6"/>
      <c r="S14" s="6"/>
      <c r="T14" s="156"/>
      <c r="U14" s="6"/>
    </row>
    <row r="15" spans="1:21" customFormat="1">
      <c r="A15" s="163" t="s">
        <v>2749</v>
      </c>
      <c r="B15" s="100">
        <v>20.77</v>
      </c>
      <c r="C15" s="100">
        <v>19.09</v>
      </c>
      <c r="D15" s="100">
        <v>26.63</v>
      </c>
      <c r="E15" s="100">
        <v>6.6</v>
      </c>
      <c r="F15" s="100">
        <v>1.03</v>
      </c>
      <c r="G15" s="100">
        <v>75.62</v>
      </c>
      <c r="H15" s="100">
        <v>38.33</v>
      </c>
      <c r="I15" s="100">
        <v>15.01</v>
      </c>
      <c r="J15" s="100">
        <v>0.18</v>
      </c>
      <c r="K15" s="100">
        <v>151.05000000000001</v>
      </c>
      <c r="L15" s="100">
        <v>12.11</v>
      </c>
      <c r="M15" s="100">
        <v>81.849999999999994</v>
      </c>
      <c r="N15" s="100">
        <v>25</v>
      </c>
      <c r="O15" s="100">
        <v>0</v>
      </c>
      <c r="P15" s="100">
        <v>0.88</v>
      </c>
      <c r="Q15" s="100">
        <v>9.32</v>
      </c>
      <c r="R15" s="6"/>
      <c r="S15" s="6"/>
      <c r="T15" s="156"/>
      <c r="U15" s="6"/>
    </row>
    <row r="16" spans="1:21" customFormat="1">
      <c r="A16" s="163" t="s">
        <v>2750</v>
      </c>
      <c r="B16" s="100">
        <v>21.58</v>
      </c>
      <c r="C16" s="100">
        <v>19.170000000000002</v>
      </c>
      <c r="D16" s="100">
        <v>27.32</v>
      </c>
      <c r="E16" s="100">
        <v>6.27</v>
      </c>
      <c r="F16" s="100">
        <v>1.01</v>
      </c>
      <c r="G16" s="100">
        <v>75.62</v>
      </c>
      <c r="H16" s="100">
        <v>38.33</v>
      </c>
      <c r="I16" s="100">
        <v>15.16</v>
      </c>
      <c r="J16" s="100">
        <v>0.17</v>
      </c>
      <c r="K16" s="100">
        <v>182.66</v>
      </c>
      <c r="L16" s="100">
        <v>11.9</v>
      </c>
      <c r="M16" s="100">
        <v>83.16</v>
      </c>
      <c r="N16" s="100">
        <v>24.8</v>
      </c>
      <c r="O16" s="100">
        <v>0</v>
      </c>
      <c r="P16" s="100">
        <v>0.9</v>
      </c>
      <c r="Q16" s="100">
        <v>9.32</v>
      </c>
      <c r="R16" s="6"/>
      <c r="S16" s="6"/>
      <c r="T16" s="156"/>
      <c r="U16" s="6"/>
    </row>
    <row r="17" spans="1:21" customFormat="1">
      <c r="A17" s="163" t="s">
        <v>2751</v>
      </c>
      <c r="B17" s="100">
        <v>22.16</v>
      </c>
      <c r="C17" s="100">
        <v>19.04</v>
      </c>
      <c r="D17" s="100">
        <v>27.72</v>
      </c>
      <c r="E17" s="100">
        <v>4.68</v>
      </c>
      <c r="F17" s="100">
        <v>1.1299999999999999</v>
      </c>
      <c r="G17" s="100">
        <v>79.37</v>
      </c>
      <c r="H17" s="100">
        <v>37.03</v>
      </c>
      <c r="I17" s="100">
        <v>15.4</v>
      </c>
      <c r="J17" s="100">
        <v>0.17</v>
      </c>
      <c r="K17" s="100">
        <v>209.3</v>
      </c>
      <c r="L17" s="100">
        <v>11.55</v>
      </c>
      <c r="M17" s="100">
        <v>87.07</v>
      </c>
      <c r="N17" s="100">
        <v>25.1</v>
      </c>
      <c r="O17" s="100">
        <v>0</v>
      </c>
      <c r="P17" s="100">
        <v>0.91</v>
      </c>
      <c r="Q17" s="100">
        <v>9.32</v>
      </c>
      <c r="R17" s="6"/>
      <c r="S17" s="6"/>
      <c r="T17" s="156"/>
      <c r="U17" s="6"/>
    </row>
    <row r="18" spans="1:21" customFormat="1">
      <c r="A18" s="163" t="s">
        <v>2752</v>
      </c>
      <c r="B18" s="100">
        <v>22.3</v>
      </c>
      <c r="C18" s="100">
        <v>18.86</v>
      </c>
      <c r="D18" s="100">
        <v>27.74</v>
      </c>
      <c r="E18" s="100">
        <v>5.72</v>
      </c>
      <c r="F18" s="100">
        <v>1.24</v>
      </c>
      <c r="G18" s="100">
        <v>79.59</v>
      </c>
      <c r="H18" s="100">
        <v>37.03</v>
      </c>
      <c r="I18" s="100">
        <v>15.58</v>
      </c>
      <c r="J18" s="100">
        <v>0.19</v>
      </c>
      <c r="K18" s="100">
        <v>209.54</v>
      </c>
      <c r="L18" s="100">
        <v>11.18</v>
      </c>
      <c r="M18" s="100">
        <v>88.56</v>
      </c>
      <c r="N18" s="100">
        <v>25</v>
      </c>
      <c r="O18" s="100">
        <v>0</v>
      </c>
      <c r="P18" s="100">
        <v>0.91</v>
      </c>
      <c r="Q18" s="100">
        <v>9.32</v>
      </c>
      <c r="R18" s="6"/>
      <c r="S18" s="6"/>
      <c r="T18" s="156"/>
      <c r="U18" s="6"/>
    </row>
    <row r="19" spans="1:21" customFormat="1">
      <c r="A19" s="163" t="s">
        <v>2753</v>
      </c>
      <c r="B19" s="100">
        <v>22.24</v>
      </c>
      <c r="C19" s="100">
        <v>18.68</v>
      </c>
      <c r="D19" s="100">
        <v>27.6</v>
      </c>
      <c r="E19" s="100">
        <v>5.42</v>
      </c>
      <c r="F19" s="100">
        <v>1.29</v>
      </c>
      <c r="G19" s="100">
        <v>79.59</v>
      </c>
      <c r="H19" s="100">
        <v>37.03</v>
      </c>
      <c r="I19" s="100">
        <v>15.67</v>
      </c>
      <c r="J19" s="100">
        <v>0.14000000000000001</v>
      </c>
      <c r="K19" s="100">
        <v>207.95</v>
      </c>
      <c r="L19" s="100">
        <v>11.03</v>
      </c>
      <c r="M19" s="100">
        <v>89.53</v>
      </c>
      <c r="N19" s="100">
        <v>25</v>
      </c>
      <c r="O19" s="100">
        <v>0</v>
      </c>
      <c r="P19" s="100">
        <v>0.91</v>
      </c>
      <c r="Q19" s="100">
        <v>9.32</v>
      </c>
      <c r="R19" s="6"/>
      <c r="S19" s="6"/>
      <c r="T19" s="156"/>
      <c r="U19" s="6"/>
    </row>
    <row r="20" spans="1:21" customFormat="1">
      <c r="A20" s="163" t="s">
        <v>2754</v>
      </c>
      <c r="B20" s="100">
        <v>22.2</v>
      </c>
      <c r="C20" s="100">
        <v>18.37</v>
      </c>
      <c r="D20" s="100">
        <v>27.4</v>
      </c>
      <c r="E20" s="100">
        <v>5.51</v>
      </c>
      <c r="F20" s="100">
        <v>1.0900000000000001</v>
      </c>
      <c r="G20" s="100">
        <v>79.59</v>
      </c>
      <c r="H20" s="100">
        <v>37.03</v>
      </c>
      <c r="I20" s="100">
        <v>15.68</v>
      </c>
      <c r="J20" s="100">
        <v>0.08</v>
      </c>
      <c r="K20" s="100">
        <v>146.04</v>
      </c>
      <c r="L20" s="100">
        <v>10.71</v>
      </c>
      <c r="M20" s="100">
        <v>89.58</v>
      </c>
      <c r="N20" s="100">
        <v>25</v>
      </c>
      <c r="O20" s="100">
        <v>0</v>
      </c>
      <c r="P20" s="100">
        <v>0.91</v>
      </c>
      <c r="Q20" s="100">
        <v>9.32</v>
      </c>
      <c r="R20" s="6"/>
      <c r="S20" s="6"/>
      <c r="T20" s="156"/>
      <c r="U20" s="6"/>
    </row>
    <row r="21" spans="1:21" customFormat="1">
      <c r="A21" s="163" t="s">
        <v>2755</v>
      </c>
      <c r="B21" s="100">
        <v>22.11</v>
      </c>
      <c r="C21" s="100">
        <v>17.95</v>
      </c>
      <c r="D21" s="100">
        <v>27.11</v>
      </c>
      <c r="E21" s="100">
        <v>5.34</v>
      </c>
      <c r="F21" s="100">
        <v>1.06</v>
      </c>
      <c r="G21" s="100">
        <v>75.59</v>
      </c>
      <c r="H21" s="100">
        <v>37.14</v>
      </c>
      <c r="I21" s="100">
        <v>15.69</v>
      </c>
      <c r="J21" s="100">
        <v>0.14000000000000001</v>
      </c>
      <c r="K21" s="100">
        <v>147.07</v>
      </c>
      <c r="L21" s="100">
        <v>10.67</v>
      </c>
      <c r="M21" s="100">
        <v>89.37</v>
      </c>
      <c r="N21" s="100">
        <v>24.7</v>
      </c>
      <c r="O21" s="100">
        <v>0</v>
      </c>
      <c r="P21" s="100">
        <v>0.91</v>
      </c>
      <c r="Q21" s="100">
        <v>9.32</v>
      </c>
      <c r="R21" s="6"/>
      <c r="S21" s="6"/>
      <c r="T21" s="156"/>
      <c r="U21" s="6"/>
    </row>
    <row r="22" spans="1:21" customFormat="1">
      <c r="A22" s="163" t="s">
        <v>2756</v>
      </c>
      <c r="B22" s="100">
        <v>21.85</v>
      </c>
      <c r="C22" s="100">
        <v>17.75</v>
      </c>
      <c r="D22" s="100">
        <v>26.8</v>
      </c>
      <c r="E22" s="100">
        <v>5.18</v>
      </c>
      <c r="F22" s="100">
        <v>1.05</v>
      </c>
      <c r="G22" s="100">
        <v>75.349999999999994</v>
      </c>
      <c r="H22" s="100">
        <v>37.14</v>
      </c>
      <c r="I22" s="100">
        <v>15.68</v>
      </c>
      <c r="J22" s="100">
        <v>0.12</v>
      </c>
      <c r="K22" s="100">
        <v>203.31</v>
      </c>
      <c r="L22" s="100">
        <v>10.71</v>
      </c>
      <c r="M22" s="100">
        <v>88.99</v>
      </c>
      <c r="N22" s="100">
        <v>24.6</v>
      </c>
      <c r="O22" s="100">
        <v>0</v>
      </c>
      <c r="P22" s="100">
        <v>0.89</v>
      </c>
      <c r="Q22" s="100">
        <v>9.32</v>
      </c>
      <c r="R22" s="6"/>
      <c r="S22" s="6"/>
      <c r="T22" s="156"/>
      <c r="U22" s="6"/>
    </row>
    <row r="23" spans="1:21" customFormat="1">
      <c r="A23" s="163" t="s">
        <v>2757</v>
      </c>
      <c r="B23" s="100">
        <v>21.5</v>
      </c>
      <c r="C23" s="100">
        <v>17.54</v>
      </c>
      <c r="D23" s="100">
        <v>26.41</v>
      </c>
      <c r="E23" s="100">
        <v>5.67</v>
      </c>
      <c r="F23" s="100">
        <v>1.26</v>
      </c>
      <c r="G23" s="100">
        <v>75.349999999999994</v>
      </c>
      <c r="H23" s="100">
        <v>37.14</v>
      </c>
      <c r="I23" s="100">
        <v>15.66</v>
      </c>
      <c r="J23" s="100">
        <v>0.13</v>
      </c>
      <c r="K23" s="100">
        <v>185.48</v>
      </c>
      <c r="L23" s="100">
        <v>10.7</v>
      </c>
      <c r="M23" s="100">
        <v>90.23</v>
      </c>
      <c r="N23" s="100">
        <v>24.7</v>
      </c>
      <c r="O23" s="100">
        <v>0</v>
      </c>
      <c r="P23" s="100">
        <v>0.87</v>
      </c>
      <c r="Q23" s="100">
        <v>9.32</v>
      </c>
      <c r="R23" s="6"/>
      <c r="S23" s="6"/>
      <c r="T23" s="156"/>
      <c r="U23" s="6"/>
    </row>
    <row r="24" spans="1:21" customFormat="1">
      <c r="A24" s="163" t="s">
        <v>2758</v>
      </c>
      <c r="B24" s="100">
        <v>21.22</v>
      </c>
      <c r="C24" s="100">
        <v>17.329999999999998</v>
      </c>
      <c r="D24" s="100">
        <v>26.07</v>
      </c>
      <c r="E24" s="100">
        <v>5.35</v>
      </c>
      <c r="F24" s="100">
        <v>1.36</v>
      </c>
      <c r="G24" s="100">
        <v>75.349999999999994</v>
      </c>
      <c r="H24" s="100">
        <v>37.14</v>
      </c>
      <c r="I24" s="100">
        <v>15.63</v>
      </c>
      <c r="J24" s="100">
        <v>0.12</v>
      </c>
      <c r="K24" s="100">
        <v>179.74</v>
      </c>
      <c r="L24" s="100">
        <v>10.59</v>
      </c>
      <c r="M24" s="100">
        <v>90.03</v>
      </c>
      <c r="N24" s="100">
        <v>24.8</v>
      </c>
      <c r="O24" s="100">
        <v>0</v>
      </c>
      <c r="P24" s="100">
        <v>0.87</v>
      </c>
      <c r="Q24" s="100">
        <v>9.32</v>
      </c>
      <c r="R24" s="6"/>
      <c r="S24" s="6"/>
      <c r="T24" s="156"/>
      <c r="U24" s="6"/>
    </row>
    <row r="25" spans="1:21" customFormat="1">
      <c r="A25" s="163" t="s">
        <v>2759</v>
      </c>
      <c r="B25" s="100">
        <v>21.61</v>
      </c>
      <c r="C25" s="100">
        <v>17.21</v>
      </c>
      <c r="D25" s="100">
        <v>26.32</v>
      </c>
      <c r="E25" s="100">
        <v>5.42</v>
      </c>
      <c r="F25" s="100">
        <v>1.38</v>
      </c>
      <c r="G25" s="100">
        <v>71.260000000000005</v>
      </c>
      <c r="H25" s="100">
        <v>34.979999999999997</v>
      </c>
      <c r="I25" s="100">
        <v>15.54</v>
      </c>
      <c r="J25" s="100">
        <v>0.12</v>
      </c>
      <c r="K25" s="100">
        <v>178.15</v>
      </c>
      <c r="L25" s="100">
        <v>10.6</v>
      </c>
      <c r="M25" s="100">
        <v>89.34</v>
      </c>
      <c r="N25" s="100">
        <v>24.7</v>
      </c>
      <c r="O25" s="100">
        <v>0</v>
      </c>
      <c r="P25" s="100">
        <v>0.86</v>
      </c>
      <c r="Q25" s="100">
        <v>9.32</v>
      </c>
      <c r="R25" s="6"/>
      <c r="S25" s="6"/>
      <c r="T25" s="156"/>
      <c r="U25" s="6"/>
    </row>
    <row r="26" spans="1:21" customFormat="1">
      <c r="A26" s="163" t="s">
        <v>2760</v>
      </c>
      <c r="B26" s="100">
        <v>23.61</v>
      </c>
      <c r="C26" s="100">
        <v>17.62</v>
      </c>
      <c r="D26" s="100">
        <v>28.14</v>
      </c>
      <c r="E26" s="100">
        <v>5.63</v>
      </c>
      <c r="F26" s="100">
        <v>1.41</v>
      </c>
      <c r="G26" s="100">
        <v>70.97</v>
      </c>
      <c r="H26" s="100">
        <v>34.979999999999997</v>
      </c>
      <c r="I26" s="100">
        <v>15.44</v>
      </c>
      <c r="J26" s="100">
        <v>0.17</v>
      </c>
      <c r="K26" s="100">
        <v>155.22999999999999</v>
      </c>
      <c r="L26" s="100">
        <v>10.74</v>
      </c>
      <c r="M26" s="100">
        <v>87.71</v>
      </c>
      <c r="N26" s="100">
        <v>24.7</v>
      </c>
      <c r="O26" s="100">
        <v>0</v>
      </c>
      <c r="P26" s="100">
        <v>0.86</v>
      </c>
      <c r="Q26" s="100">
        <v>9.32</v>
      </c>
      <c r="R26" s="6"/>
      <c r="S26" s="6"/>
      <c r="T26" s="156"/>
      <c r="U26" s="6"/>
    </row>
    <row r="27" spans="1:21" customFormat="1">
      <c r="A27" s="163" t="s">
        <v>2761</v>
      </c>
      <c r="B27" s="100">
        <v>26.43</v>
      </c>
      <c r="C27" s="100">
        <v>18.07</v>
      </c>
      <c r="D27" s="100">
        <v>30.64</v>
      </c>
      <c r="E27" s="100">
        <v>5.7</v>
      </c>
      <c r="F27" s="100">
        <v>1.34</v>
      </c>
      <c r="G27" s="100">
        <v>70.97</v>
      </c>
      <c r="H27" s="100">
        <v>34.979999999999997</v>
      </c>
      <c r="I27" s="100">
        <v>15.38</v>
      </c>
      <c r="J27" s="100">
        <v>0.16</v>
      </c>
      <c r="K27" s="100">
        <v>151.53</v>
      </c>
      <c r="L27" s="100">
        <v>10.71</v>
      </c>
      <c r="M27" s="100">
        <v>86.27</v>
      </c>
      <c r="N27" s="100">
        <v>24.6</v>
      </c>
      <c r="O27" s="100">
        <v>0</v>
      </c>
      <c r="P27" s="100">
        <v>0.86</v>
      </c>
      <c r="Q27" s="100">
        <v>9.32</v>
      </c>
      <c r="R27" s="6"/>
      <c r="S27" s="6"/>
      <c r="T27" s="156"/>
      <c r="U27" s="6"/>
    </row>
    <row r="28" spans="1:21" customFormat="1">
      <c r="A28" s="163" t="s">
        <v>2762</v>
      </c>
      <c r="B28" s="100">
        <v>29.04</v>
      </c>
      <c r="C28" s="100">
        <v>18.57</v>
      </c>
      <c r="D28" s="100">
        <v>32.99</v>
      </c>
      <c r="E28" s="100">
        <v>5.51</v>
      </c>
      <c r="F28" s="100">
        <v>1.26</v>
      </c>
      <c r="G28" s="100">
        <v>70.97</v>
      </c>
      <c r="H28" s="100">
        <v>34.979999999999997</v>
      </c>
      <c r="I28" s="100">
        <v>15.38</v>
      </c>
      <c r="J28" s="100">
        <v>0.19</v>
      </c>
      <c r="K28" s="100">
        <v>164.47</v>
      </c>
      <c r="L28" s="100">
        <v>10.74</v>
      </c>
      <c r="M28" s="100">
        <v>86.09</v>
      </c>
      <c r="N28" s="100">
        <v>24.5</v>
      </c>
      <c r="O28" s="100">
        <v>0</v>
      </c>
      <c r="P28" s="100">
        <v>0.85</v>
      </c>
      <c r="Q28" s="100">
        <v>9.32</v>
      </c>
      <c r="R28" s="6"/>
      <c r="S28" s="6"/>
      <c r="T28" s="156"/>
      <c r="U28" s="6"/>
    </row>
    <row r="29" spans="1:21" customFormat="1">
      <c r="A29" s="163" t="s">
        <v>2763</v>
      </c>
      <c r="B29" s="100">
        <v>31.07</v>
      </c>
      <c r="C29" s="100">
        <v>18.8</v>
      </c>
      <c r="D29" s="100">
        <v>34.74</v>
      </c>
      <c r="E29" s="100">
        <v>5.63</v>
      </c>
      <c r="F29" s="100">
        <v>1.28</v>
      </c>
      <c r="G29" s="100">
        <v>69.25</v>
      </c>
      <c r="H29" s="100">
        <v>35.159999999999997</v>
      </c>
      <c r="I29" s="100">
        <v>15.37</v>
      </c>
      <c r="J29" s="100">
        <v>0.18</v>
      </c>
      <c r="K29" s="100">
        <v>189.41</v>
      </c>
      <c r="L29" s="100">
        <v>10.68</v>
      </c>
      <c r="M29" s="100">
        <v>89.44</v>
      </c>
      <c r="N29" s="100">
        <v>24.7</v>
      </c>
      <c r="O29" s="100">
        <v>0</v>
      </c>
      <c r="P29" s="100">
        <v>0.85</v>
      </c>
      <c r="Q29" s="100">
        <v>9.32</v>
      </c>
      <c r="R29" s="6"/>
      <c r="S29" s="6"/>
      <c r="T29" s="156"/>
      <c r="U29" s="6"/>
    </row>
    <row r="30" spans="1:21" customFormat="1">
      <c r="A30" s="163" t="s">
        <v>2764</v>
      </c>
      <c r="B30" s="100">
        <v>31.62</v>
      </c>
      <c r="C30" s="100">
        <v>18.68</v>
      </c>
      <c r="D30" s="100">
        <v>35.119999999999997</v>
      </c>
      <c r="E30" s="100">
        <v>5.85</v>
      </c>
      <c r="F30" s="100">
        <v>1.06</v>
      </c>
      <c r="G30" s="100">
        <v>69.150000000000006</v>
      </c>
      <c r="H30" s="100">
        <v>35.159999999999997</v>
      </c>
      <c r="I30" s="100">
        <v>15.32</v>
      </c>
      <c r="J30" s="100">
        <v>0.13</v>
      </c>
      <c r="K30" s="100">
        <v>208.73</v>
      </c>
      <c r="L30" s="100">
        <v>10.24</v>
      </c>
      <c r="M30" s="100">
        <v>90.65</v>
      </c>
      <c r="N30" s="100">
        <v>25</v>
      </c>
      <c r="O30" s="100">
        <v>0</v>
      </c>
      <c r="P30" s="100">
        <v>0.84</v>
      </c>
      <c r="Q30" s="100">
        <v>9.32</v>
      </c>
      <c r="R30" s="6"/>
      <c r="S30" s="6"/>
      <c r="T30" s="156"/>
      <c r="U30" s="6"/>
    </row>
    <row r="31" spans="1:21" customFormat="1">
      <c r="A31" s="163" t="s">
        <v>2765</v>
      </c>
      <c r="B31" s="100">
        <v>31.35</v>
      </c>
      <c r="C31" s="100">
        <v>18.47</v>
      </c>
      <c r="D31" s="100">
        <v>34.79</v>
      </c>
      <c r="E31" s="100">
        <v>5.85</v>
      </c>
      <c r="F31" s="100">
        <v>1.2</v>
      </c>
      <c r="G31" s="100">
        <v>69.150000000000006</v>
      </c>
      <c r="H31" s="100">
        <v>35.159999999999997</v>
      </c>
      <c r="I31" s="100">
        <v>15.26</v>
      </c>
      <c r="J31" s="100">
        <v>0.12</v>
      </c>
      <c r="K31" s="100">
        <v>229.64</v>
      </c>
      <c r="L31" s="100">
        <v>10.050000000000001</v>
      </c>
      <c r="M31" s="100">
        <v>91.17</v>
      </c>
      <c r="N31" s="100">
        <v>24.9</v>
      </c>
      <c r="O31" s="100">
        <v>0</v>
      </c>
      <c r="P31" s="100">
        <v>0.83</v>
      </c>
      <c r="Q31" s="100">
        <v>9.32</v>
      </c>
      <c r="R31" s="6"/>
      <c r="S31" s="6"/>
      <c r="T31" s="156"/>
      <c r="U31" s="6"/>
    </row>
    <row r="32" spans="1:21" customFormat="1">
      <c r="A32" s="163" t="s">
        <v>2766</v>
      </c>
      <c r="B32" s="100">
        <v>30.87</v>
      </c>
      <c r="C32" s="100">
        <v>18.190000000000001</v>
      </c>
      <c r="D32" s="100">
        <v>34.25</v>
      </c>
      <c r="E32" s="100">
        <v>5.86</v>
      </c>
      <c r="F32" s="100">
        <v>1.24</v>
      </c>
      <c r="G32" s="100">
        <v>69.150000000000006</v>
      </c>
      <c r="H32" s="100">
        <v>35.159999999999997</v>
      </c>
      <c r="I32" s="100">
        <v>15.21</v>
      </c>
      <c r="J32" s="100">
        <v>0.13</v>
      </c>
      <c r="K32" s="100">
        <v>201.64</v>
      </c>
      <c r="L32" s="100">
        <v>9.93</v>
      </c>
      <c r="M32" s="100">
        <v>91.72</v>
      </c>
      <c r="N32" s="100">
        <v>24.8</v>
      </c>
      <c r="O32" s="100">
        <v>0</v>
      </c>
      <c r="P32" s="100">
        <v>0.82</v>
      </c>
      <c r="Q32" s="100">
        <v>9.32</v>
      </c>
      <c r="R32" s="6"/>
      <c r="S32" s="6"/>
      <c r="T32" s="156"/>
      <c r="U32" s="6"/>
    </row>
    <row r="33" spans="1:21" customFormat="1">
      <c r="A33" s="163" t="s">
        <v>2767</v>
      </c>
      <c r="B33" s="100">
        <v>30.52</v>
      </c>
      <c r="C33" s="100">
        <v>17.91</v>
      </c>
      <c r="D33" s="100">
        <v>33.83</v>
      </c>
      <c r="E33" s="100">
        <v>5.94</v>
      </c>
      <c r="F33" s="100">
        <v>1.1200000000000001</v>
      </c>
      <c r="G33" s="100">
        <v>61.61</v>
      </c>
      <c r="H33" s="100">
        <v>34.049999999999997</v>
      </c>
      <c r="I33" s="100">
        <v>15.12</v>
      </c>
      <c r="J33" s="100">
        <v>0.15</v>
      </c>
      <c r="K33" s="100">
        <v>204.05</v>
      </c>
      <c r="L33" s="100">
        <v>9.91</v>
      </c>
      <c r="M33" s="100">
        <v>92.3</v>
      </c>
      <c r="N33" s="100">
        <v>24.9</v>
      </c>
      <c r="O33" s="100">
        <v>0</v>
      </c>
      <c r="P33" s="100">
        <v>0.81</v>
      </c>
      <c r="Q33" s="100">
        <v>9.32</v>
      </c>
      <c r="R33" s="6"/>
      <c r="S33" s="6"/>
      <c r="T33" s="156"/>
      <c r="U33" s="6"/>
    </row>
    <row r="34" spans="1:21" customFormat="1">
      <c r="A34" s="163" t="s">
        <v>2768</v>
      </c>
      <c r="B34" s="100">
        <v>29.96</v>
      </c>
      <c r="C34" s="100">
        <v>17.64</v>
      </c>
      <c r="D34" s="100">
        <v>33.24</v>
      </c>
      <c r="E34" s="100">
        <v>6.03</v>
      </c>
      <c r="F34" s="100">
        <v>1.19</v>
      </c>
      <c r="G34" s="100">
        <v>61.16</v>
      </c>
      <c r="H34" s="100">
        <v>34.049999999999997</v>
      </c>
      <c r="I34" s="100">
        <v>15.03</v>
      </c>
      <c r="J34" s="100">
        <v>0.12</v>
      </c>
      <c r="K34" s="100">
        <v>212.35</v>
      </c>
      <c r="L34" s="100">
        <v>9.81</v>
      </c>
      <c r="M34" s="100">
        <v>92.8</v>
      </c>
      <c r="N34" s="100">
        <v>25.4</v>
      </c>
      <c r="O34" s="100">
        <v>0</v>
      </c>
      <c r="P34" s="100">
        <v>0.81</v>
      </c>
      <c r="Q34" s="100">
        <v>9.32</v>
      </c>
      <c r="R34" s="6"/>
      <c r="S34" s="6"/>
      <c r="T34" s="156"/>
      <c r="U34" s="6"/>
    </row>
    <row r="35" spans="1:21" customFormat="1">
      <c r="A35" s="163" t="s">
        <v>2769</v>
      </c>
      <c r="B35" s="100">
        <v>29.33</v>
      </c>
      <c r="C35" s="100">
        <v>17.350000000000001</v>
      </c>
      <c r="D35" s="100">
        <v>32.58</v>
      </c>
      <c r="E35" s="100">
        <v>5.84</v>
      </c>
      <c r="F35" s="100">
        <v>1.02</v>
      </c>
      <c r="G35" s="100">
        <v>61.16</v>
      </c>
      <c r="H35" s="100">
        <v>34.049999999999997</v>
      </c>
      <c r="I35" s="100">
        <v>15.03</v>
      </c>
      <c r="J35" s="100">
        <v>0.12</v>
      </c>
      <c r="K35" s="100">
        <v>197.83</v>
      </c>
      <c r="L35" s="100">
        <v>9.75</v>
      </c>
      <c r="M35" s="100">
        <v>93.16</v>
      </c>
      <c r="N35" s="100">
        <v>27.8</v>
      </c>
      <c r="O35" s="100">
        <v>0</v>
      </c>
      <c r="P35" s="100">
        <v>0.8</v>
      </c>
      <c r="Q35" s="100">
        <v>9.32</v>
      </c>
      <c r="R35" s="6"/>
      <c r="S35" s="6"/>
      <c r="T35" s="156"/>
      <c r="U35" s="6"/>
    </row>
    <row r="36" spans="1:21" customFormat="1">
      <c r="A36" s="163" t="s">
        <v>2770</v>
      </c>
      <c r="B36" s="100">
        <v>28.71</v>
      </c>
      <c r="C36" s="100">
        <v>16.91</v>
      </c>
      <c r="D36" s="100">
        <v>31.86</v>
      </c>
      <c r="E36" s="100">
        <v>5.42</v>
      </c>
      <c r="F36" s="100">
        <v>1.26</v>
      </c>
      <c r="G36" s="100">
        <v>61.16</v>
      </c>
      <c r="H36" s="100">
        <v>34.049999999999997</v>
      </c>
      <c r="I36" s="100">
        <v>15.13</v>
      </c>
      <c r="J36" s="100">
        <v>0.12</v>
      </c>
      <c r="K36" s="100">
        <v>209.31</v>
      </c>
      <c r="L36" s="100">
        <v>9.82</v>
      </c>
      <c r="M36" s="100">
        <v>93.34</v>
      </c>
      <c r="N36" s="100">
        <v>34.299999999999997</v>
      </c>
      <c r="O36" s="100">
        <v>0</v>
      </c>
      <c r="P36" s="100">
        <v>0.8</v>
      </c>
      <c r="Q36" s="100">
        <v>9.32</v>
      </c>
      <c r="R36" s="6"/>
      <c r="S36" s="6"/>
      <c r="T36" s="156"/>
      <c r="U36" s="6"/>
    </row>
    <row r="37" spans="1:21" customFormat="1">
      <c r="A37" s="163" t="s">
        <v>2771</v>
      </c>
      <c r="B37" s="100">
        <v>28.2</v>
      </c>
      <c r="C37" s="100">
        <v>16.71</v>
      </c>
      <c r="D37" s="100">
        <v>31.35</v>
      </c>
      <c r="E37" s="100">
        <v>5.74</v>
      </c>
      <c r="F37" s="100">
        <v>1.1599999999999999</v>
      </c>
      <c r="G37" s="100">
        <v>55.31</v>
      </c>
      <c r="H37" s="100">
        <v>33.67</v>
      </c>
      <c r="I37" s="100">
        <v>15.26</v>
      </c>
      <c r="J37" s="100">
        <v>0.16</v>
      </c>
      <c r="K37" s="100">
        <v>239.06</v>
      </c>
      <c r="L37" s="100">
        <v>9.86</v>
      </c>
      <c r="M37" s="100">
        <v>93.54</v>
      </c>
      <c r="N37" s="100">
        <v>43.4</v>
      </c>
      <c r="O37" s="100">
        <v>0</v>
      </c>
      <c r="P37" s="100">
        <v>0.81</v>
      </c>
      <c r="Q37" s="100">
        <v>9.32</v>
      </c>
      <c r="R37" s="6"/>
      <c r="S37" s="6"/>
      <c r="T37" s="156"/>
      <c r="U37" s="6"/>
    </row>
    <row r="38" spans="1:21" customFormat="1">
      <c r="A38" s="163" t="s">
        <v>2772</v>
      </c>
      <c r="B38" s="100">
        <v>27.66</v>
      </c>
      <c r="C38" s="100">
        <v>16.510000000000002</v>
      </c>
      <c r="D38" s="100">
        <v>30.81</v>
      </c>
      <c r="E38" s="100">
        <v>5.73</v>
      </c>
      <c r="F38" s="100">
        <v>1.04</v>
      </c>
      <c r="G38" s="100">
        <v>54.96</v>
      </c>
      <c r="H38" s="100">
        <v>33.67</v>
      </c>
      <c r="I38" s="100">
        <v>15.37</v>
      </c>
      <c r="J38" s="100">
        <v>0.17</v>
      </c>
      <c r="K38" s="100">
        <v>251.65</v>
      </c>
      <c r="L38" s="100">
        <v>10.14</v>
      </c>
      <c r="M38" s="100">
        <v>92.57</v>
      </c>
      <c r="N38" s="100">
        <v>53.8</v>
      </c>
      <c r="O38" s="100">
        <v>0</v>
      </c>
      <c r="P38" s="100">
        <v>0.81</v>
      </c>
      <c r="Q38" s="100">
        <v>9.32</v>
      </c>
      <c r="R38" s="6"/>
      <c r="S38" s="6"/>
      <c r="T38" s="156"/>
      <c r="U38" s="6"/>
    </row>
    <row r="39" spans="1:21" customFormat="1">
      <c r="A39" s="163" t="s">
        <v>2773</v>
      </c>
      <c r="B39" s="100">
        <v>27.11</v>
      </c>
      <c r="C39" s="100">
        <v>16.32</v>
      </c>
      <c r="D39" s="100">
        <v>30.27</v>
      </c>
      <c r="E39" s="100">
        <v>5.59</v>
      </c>
      <c r="F39" s="100">
        <v>1.1399999999999999</v>
      </c>
      <c r="G39" s="100">
        <v>54.96</v>
      </c>
      <c r="H39" s="100">
        <v>33.67</v>
      </c>
      <c r="I39" s="100">
        <v>15.47</v>
      </c>
      <c r="J39" s="100">
        <v>0.1</v>
      </c>
      <c r="K39" s="100">
        <v>238.99</v>
      </c>
      <c r="L39" s="100">
        <v>10.72</v>
      </c>
      <c r="M39" s="100">
        <v>90.68</v>
      </c>
      <c r="N39" s="100">
        <v>65</v>
      </c>
      <c r="O39" s="100">
        <v>0</v>
      </c>
      <c r="P39" s="100">
        <v>0.8</v>
      </c>
      <c r="Q39" s="100">
        <v>9.32</v>
      </c>
      <c r="R39" s="6"/>
      <c r="S39" s="6"/>
      <c r="T39" s="156"/>
      <c r="U39" s="6"/>
    </row>
    <row r="40" spans="1:21" customFormat="1">
      <c r="A40" s="163" t="s">
        <v>2774</v>
      </c>
      <c r="B40" s="100">
        <v>26.52</v>
      </c>
      <c r="C40" s="100">
        <v>16.29</v>
      </c>
      <c r="D40" s="100">
        <v>29.78</v>
      </c>
      <c r="E40" s="100">
        <v>5.86</v>
      </c>
      <c r="F40" s="100">
        <v>1.33</v>
      </c>
      <c r="G40" s="100">
        <v>54.96</v>
      </c>
      <c r="H40" s="100">
        <v>33.67</v>
      </c>
      <c r="I40" s="100">
        <v>15.51</v>
      </c>
      <c r="J40" s="100">
        <v>0.1</v>
      </c>
      <c r="K40" s="100">
        <v>228.68</v>
      </c>
      <c r="L40" s="100">
        <v>11.54</v>
      </c>
      <c r="M40" s="100">
        <v>87.73</v>
      </c>
      <c r="N40" s="100">
        <v>75.5</v>
      </c>
      <c r="O40" s="100">
        <v>0</v>
      </c>
      <c r="P40" s="100">
        <v>0.8</v>
      </c>
      <c r="Q40" s="100">
        <v>9.32</v>
      </c>
      <c r="R40" s="6"/>
      <c r="S40" s="6"/>
      <c r="T40" s="156"/>
      <c r="U40" s="6"/>
    </row>
    <row r="41" spans="1:21" customFormat="1">
      <c r="A41" s="163" t="s">
        <v>2775</v>
      </c>
      <c r="B41" s="100">
        <v>26.56</v>
      </c>
      <c r="C41" s="100">
        <v>16.670000000000002</v>
      </c>
      <c r="D41" s="100">
        <v>30.01</v>
      </c>
      <c r="E41" s="100">
        <v>5.75</v>
      </c>
      <c r="F41" s="100">
        <v>1.28</v>
      </c>
      <c r="G41" s="100">
        <v>50.36</v>
      </c>
      <c r="H41" s="100">
        <v>32.14</v>
      </c>
      <c r="I41" s="100">
        <v>15.52</v>
      </c>
      <c r="J41" s="100">
        <v>0.54</v>
      </c>
      <c r="K41" s="100">
        <v>49.32</v>
      </c>
      <c r="L41" s="100">
        <v>12.83</v>
      </c>
      <c r="M41" s="100">
        <v>75.03</v>
      </c>
      <c r="N41" s="100">
        <v>124.2</v>
      </c>
      <c r="O41" s="100">
        <v>0</v>
      </c>
      <c r="P41" s="100">
        <v>0.81</v>
      </c>
      <c r="Q41" s="100">
        <v>9.32</v>
      </c>
      <c r="R41" s="6"/>
      <c r="S41" s="6"/>
      <c r="T41" s="156"/>
      <c r="U41" s="6"/>
    </row>
    <row r="42" spans="1:21" customFormat="1">
      <c r="A42" s="163" t="s">
        <v>2776</v>
      </c>
      <c r="B42" s="100">
        <v>26.79</v>
      </c>
      <c r="C42" s="100">
        <v>17.72</v>
      </c>
      <c r="D42" s="100">
        <v>30.74</v>
      </c>
      <c r="E42" s="100">
        <v>5.8</v>
      </c>
      <c r="F42" s="100">
        <v>1.28</v>
      </c>
      <c r="G42" s="100">
        <v>50.09</v>
      </c>
      <c r="H42" s="100">
        <v>32.14</v>
      </c>
      <c r="I42" s="100">
        <v>15.6</v>
      </c>
      <c r="J42" s="100">
        <v>0.75</v>
      </c>
      <c r="K42" s="100">
        <v>51.88</v>
      </c>
      <c r="L42" s="100">
        <v>13.75</v>
      </c>
      <c r="M42" s="100">
        <v>65.97</v>
      </c>
      <c r="N42" s="100">
        <v>193.8</v>
      </c>
      <c r="O42" s="100">
        <v>0</v>
      </c>
      <c r="P42" s="100">
        <v>0.81</v>
      </c>
      <c r="Q42" s="100">
        <v>9.32</v>
      </c>
      <c r="R42" s="6"/>
      <c r="S42" s="6"/>
      <c r="T42" s="156"/>
      <c r="U42" s="6"/>
    </row>
    <row r="43" spans="1:21" customFormat="1">
      <c r="A43" s="163" t="s">
        <v>2777</v>
      </c>
      <c r="B43" s="100">
        <v>26.55</v>
      </c>
      <c r="C43" s="100">
        <v>18.7</v>
      </c>
      <c r="D43" s="100">
        <v>31.06</v>
      </c>
      <c r="E43" s="100">
        <v>5.62</v>
      </c>
      <c r="F43" s="100">
        <v>1.23</v>
      </c>
      <c r="G43" s="100">
        <v>50.09</v>
      </c>
      <c r="H43" s="100">
        <v>32.14</v>
      </c>
      <c r="I43" s="100">
        <v>15.69</v>
      </c>
      <c r="J43" s="100">
        <v>0.79</v>
      </c>
      <c r="K43" s="100">
        <v>45.23</v>
      </c>
      <c r="L43" s="100">
        <v>14.56</v>
      </c>
      <c r="M43" s="100">
        <v>62.9</v>
      </c>
      <c r="N43" s="100">
        <v>223.3</v>
      </c>
      <c r="O43" s="100">
        <v>0</v>
      </c>
      <c r="P43" s="100">
        <v>0.83</v>
      </c>
      <c r="Q43" s="100">
        <v>9.32</v>
      </c>
      <c r="R43" s="6"/>
      <c r="S43" s="6"/>
      <c r="T43" s="156"/>
      <c r="U43" s="6"/>
    </row>
    <row r="44" spans="1:21" customFormat="1">
      <c r="A44" s="163" t="s">
        <v>2778</v>
      </c>
      <c r="B44" s="100">
        <v>25.98</v>
      </c>
      <c r="C44" s="100">
        <v>18.989999999999998</v>
      </c>
      <c r="D44" s="100">
        <v>30.76</v>
      </c>
      <c r="E44" s="100">
        <v>5.72</v>
      </c>
      <c r="F44" s="100">
        <v>1.2</v>
      </c>
      <c r="G44" s="100">
        <v>50.09</v>
      </c>
      <c r="H44" s="100">
        <v>32.14</v>
      </c>
      <c r="I44" s="100">
        <v>15.66</v>
      </c>
      <c r="J44" s="100">
        <v>0.91</v>
      </c>
      <c r="K44" s="100">
        <v>46.68</v>
      </c>
      <c r="L44" s="100">
        <v>15.39</v>
      </c>
      <c r="M44" s="100">
        <v>59.15</v>
      </c>
      <c r="N44" s="100">
        <v>246.7</v>
      </c>
      <c r="O44" s="100">
        <v>0</v>
      </c>
      <c r="P44" s="100">
        <v>0.82</v>
      </c>
      <c r="Q44" s="100">
        <v>9.32</v>
      </c>
      <c r="R44" s="6"/>
      <c r="S44" s="6"/>
      <c r="T44" s="156"/>
      <c r="U44" s="6"/>
    </row>
    <row r="45" spans="1:21" customFormat="1">
      <c r="A45" s="163" t="s">
        <v>2779</v>
      </c>
      <c r="B45" s="100">
        <v>25.57</v>
      </c>
      <c r="C45" s="100">
        <v>19.239999999999998</v>
      </c>
      <c r="D45" s="100">
        <v>30.56</v>
      </c>
      <c r="E45" s="100">
        <v>5.73</v>
      </c>
      <c r="F45" s="100">
        <v>1.21</v>
      </c>
      <c r="G45" s="100">
        <v>58.87</v>
      </c>
      <c r="H45" s="100">
        <v>35.840000000000003</v>
      </c>
      <c r="I45" s="100">
        <v>15.63</v>
      </c>
      <c r="J45" s="100">
        <v>1.03</v>
      </c>
      <c r="K45" s="100">
        <v>43.08</v>
      </c>
      <c r="L45" s="100">
        <v>16.29</v>
      </c>
      <c r="M45" s="100">
        <v>55.16</v>
      </c>
      <c r="N45" s="100">
        <v>200.4</v>
      </c>
      <c r="O45" s="100">
        <v>0</v>
      </c>
      <c r="P45" s="100">
        <v>0.81</v>
      </c>
      <c r="Q45" s="100">
        <v>9.32</v>
      </c>
      <c r="R45" s="6"/>
      <c r="S45" s="6"/>
      <c r="T45" s="156"/>
      <c r="U45" s="6"/>
    </row>
    <row r="46" spans="1:21" customFormat="1">
      <c r="A46" s="163" t="s">
        <v>2780</v>
      </c>
      <c r="B46" s="100">
        <v>24.85</v>
      </c>
      <c r="C46" s="100">
        <v>19.47</v>
      </c>
      <c r="D46" s="100">
        <v>30.1</v>
      </c>
      <c r="E46" s="100">
        <v>5.68</v>
      </c>
      <c r="F46" s="100">
        <v>1.25</v>
      </c>
      <c r="G46" s="100">
        <v>59.39</v>
      </c>
      <c r="H46" s="100">
        <v>35.840000000000003</v>
      </c>
      <c r="I46" s="100">
        <v>15.74</v>
      </c>
      <c r="J46" s="100">
        <v>0.9</v>
      </c>
      <c r="K46" s="100">
        <v>50.14</v>
      </c>
      <c r="L46" s="100">
        <v>17</v>
      </c>
      <c r="M46" s="100">
        <v>51.08</v>
      </c>
      <c r="N46" s="100">
        <v>141.30000000000001</v>
      </c>
      <c r="O46" s="100">
        <v>0</v>
      </c>
      <c r="P46" s="100">
        <v>0.8</v>
      </c>
      <c r="Q46" s="100">
        <v>9.32</v>
      </c>
      <c r="R46" s="6"/>
      <c r="S46" s="6"/>
      <c r="T46" s="156"/>
      <c r="U46" s="6"/>
    </row>
    <row r="47" spans="1:21" customFormat="1">
      <c r="A47" s="163" t="s">
        <v>2781</v>
      </c>
      <c r="B47" s="100">
        <v>23.7</v>
      </c>
      <c r="C47" s="100">
        <v>19.41</v>
      </c>
      <c r="D47" s="100">
        <v>29.15</v>
      </c>
      <c r="E47" s="100">
        <v>5.79</v>
      </c>
      <c r="F47" s="100">
        <v>1.37</v>
      </c>
      <c r="G47" s="100">
        <v>59.39</v>
      </c>
      <c r="H47" s="100">
        <v>35.840000000000003</v>
      </c>
      <c r="I47" s="100">
        <v>15.78</v>
      </c>
      <c r="J47" s="100">
        <v>0.52</v>
      </c>
      <c r="K47" s="100">
        <v>71.349999999999994</v>
      </c>
      <c r="L47" s="100">
        <v>17.75</v>
      </c>
      <c r="M47" s="100">
        <v>48.44</v>
      </c>
      <c r="N47" s="100">
        <v>146.4</v>
      </c>
      <c r="O47" s="100">
        <v>0</v>
      </c>
      <c r="P47" s="100">
        <v>0.78</v>
      </c>
      <c r="Q47" s="100">
        <v>9.32</v>
      </c>
      <c r="R47" s="6"/>
      <c r="S47" s="6"/>
      <c r="T47" s="156"/>
      <c r="U47" s="6"/>
    </row>
    <row r="48" spans="1:21" customFormat="1">
      <c r="A48" s="163" t="s">
        <v>2782</v>
      </c>
      <c r="B48" s="100">
        <v>22.52</v>
      </c>
      <c r="C48" s="100">
        <v>19.420000000000002</v>
      </c>
      <c r="D48" s="100">
        <v>28.21</v>
      </c>
      <c r="E48" s="100">
        <v>6.22</v>
      </c>
      <c r="F48" s="100">
        <v>1.3</v>
      </c>
      <c r="G48" s="100">
        <v>59.39</v>
      </c>
      <c r="H48" s="100">
        <v>35.840000000000003</v>
      </c>
      <c r="I48" s="100">
        <v>15.61</v>
      </c>
      <c r="J48" s="100">
        <v>0.46</v>
      </c>
      <c r="K48" s="100">
        <v>65.47</v>
      </c>
      <c r="L48" s="100">
        <v>18.57</v>
      </c>
      <c r="M48" s="100">
        <v>46.88</v>
      </c>
      <c r="N48" s="100">
        <v>156.5</v>
      </c>
      <c r="O48" s="100">
        <v>0</v>
      </c>
      <c r="P48" s="100">
        <v>0.77</v>
      </c>
      <c r="Q48" s="100">
        <v>9.32</v>
      </c>
      <c r="R48" s="6"/>
      <c r="S48" s="6"/>
      <c r="T48" s="156"/>
      <c r="U48" s="6"/>
    </row>
    <row r="49" spans="1:21" customFormat="1">
      <c r="A49" s="163" t="s">
        <v>2783</v>
      </c>
      <c r="B49" s="100">
        <v>21.22</v>
      </c>
      <c r="C49" s="100">
        <v>19.47</v>
      </c>
      <c r="D49" s="100">
        <v>27.19</v>
      </c>
      <c r="E49" s="100">
        <v>4.71</v>
      </c>
      <c r="F49" s="100">
        <v>1.37</v>
      </c>
      <c r="G49" s="100">
        <v>71.92</v>
      </c>
      <c r="H49" s="100">
        <v>37.43</v>
      </c>
      <c r="I49" s="100">
        <v>15.34</v>
      </c>
      <c r="J49" s="100">
        <v>1.07</v>
      </c>
      <c r="K49" s="100">
        <v>43.37</v>
      </c>
      <c r="L49" s="100">
        <v>18.84</v>
      </c>
      <c r="M49" s="100">
        <v>46.69</v>
      </c>
      <c r="N49" s="100">
        <v>333</v>
      </c>
      <c r="O49" s="100">
        <v>0</v>
      </c>
      <c r="P49" s="100">
        <v>0.75</v>
      </c>
      <c r="Q49" s="100">
        <v>9.32</v>
      </c>
      <c r="R49" s="6"/>
      <c r="S49" s="6"/>
      <c r="T49" s="156"/>
      <c r="U49" s="6"/>
    </row>
    <row r="50" spans="1:21" customFormat="1">
      <c r="A50" s="163" t="s">
        <v>2784</v>
      </c>
      <c r="B50" s="100">
        <v>18.2</v>
      </c>
      <c r="C50" s="100">
        <v>20.93</v>
      </c>
      <c r="D50" s="100">
        <v>25.53</v>
      </c>
      <c r="E50" s="100">
        <v>5.4</v>
      </c>
      <c r="F50" s="100">
        <v>1.72</v>
      </c>
      <c r="G50" s="100">
        <v>72.650000000000006</v>
      </c>
      <c r="H50" s="100">
        <v>37.43</v>
      </c>
      <c r="I50" s="100">
        <v>14.87</v>
      </c>
      <c r="J50" s="100">
        <v>1.04</v>
      </c>
      <c r="K50" s="100">
        <v>45.01</v>
      </c>
      <c r="L50" s="100">
        <v>19.11</v>
      </c>
      <c r="M50" s="100">
        <v>46.07</v>
      </c>
      <c r="N50" s="100">
        <v>448.8</v>
      </c>
      <c r="O50" s="100">
        <v>0</v>
      </c>
      <c r="P50" s="100">
        <v>0.73</v>
      </c>
      <c r="Q50" s="100">
        <v>9.32</v>
      </c>
      <c r="R50" s="6"/>
      <c r="S50" s="6"/>
      <c r="T50" s="156"/>
      <c r="U50" s="6"/>
    </row>
    <row r="51" spans="1:21" customFormat="1">
      <c r="A51" s="163" t="s">
        <v>2785</v>
      </c>
      <c r="B51" s="100">
        <v>14.67</v>
      </c>
      <c r="C51" s="100">
        <v>22.48</v>
      </c>
      <c r="D51" s="100">
        <v>23.51</v>
      </c>
      <c r="E51" s="100">
        <v>5.88</v>
      </c>
      <c r="F51" s="100">
        <v>2.2799999999999998</v>
      </c>
      <c r="G51" s="100">
        <v>72.650000000000006</v>
      </c>
      <c r="H51" s="100">
        <v>37.43</v>
      </c>
      <c r="I51" s="100">
        <v>14.48</v>
      </c>
      <c r="J51" s="100">
        <v>0.91</v>
      </c>
      <c r="K51" s="100">
        <v>37.81</v>
      </c>
      <c r="L51" s="100">
        <v>19.53</v>
      </c>
      <c r="M51" s="100">
        <v>43.98</v>
      </c>
      <c r="N51" s="100">
        <v>475.7</v>
      </c>
      <c r="O51" s="100">
        <v>0</v>
      </c>
      <c r="P51" s="100">
        <v>0.7</v>
      </c>
      <c r="Q51" s="100">
        <v>9.32</v>
      </c>
      <c r="R51" s="6"/>
      <c r="S51" s="6"/>
      <c r="T51" s="156"/>
      <c r="U51" s="6"/>
    </row>
    <row r="52" spans="1:21" customFormat="1">
      <c r="A52" s="163" t="s">
        <v>2786</v>
      </c>
      <c r="B52" s="100">
        <v>11.41</v>
      </c>
      <c r="C52" s="100">
        <v>23.75</v>
      </c>
      <c r="D52" s="100">
        <v>21.55</v>
      </c>
      <c r="E52" s="100">
        <v>5.9</v>
      </c>
      <c r="F52" s="100">
        <v>2.62</v>
      </c>
      <c r="G52" s="100">
        <v>72.650000000000006</v>
      </c>
      <c r="H52" s="100">
        <v>37.43</v>
      </c>
      <c r="I52" s="100">
        <v>13.95</v>
      </c>
      <c r="J52" s="100">
        <v>0.76</v>
      </c>
      <c r="K52" s="100">
        <v>34.159999999999997</v>
      </c>
      <c r="L52" s="100">
        <v>20.57</v>
      </c>
      <c r="M52" s="100">
        <v>40.32</v>
      </c>
      <c r="N52" s="100">
        <v>505.3</v>
      </c>
      <c r="O52" s="100">
        <v>0</v>
      </c>
      <c r="P52" s="100">
        <v>0.67</v>
      </c>
      <c r="Q52" s="100">
        <v>9.32</v>
      </c>
      <c r="R52" s="6"/>
      <c r="S52" s="6"/>
      <c r="T52" s="156"/>
      <c r="U52" s="6"/>
    </row>
    <row r="53" spans="1:21" customFormat="1">
      <c r="A53" s="163" t="s">
        <v>2787</v>
      </c>
      <c r="B53" s="100">
        <v>8.49</v>
      </c>
      <c r="C53" s="100">
        <v>24.55</v>
      </c>
      <c r="D53" s="100">
        <v>19.63</v>
      </c>
      <c r="E53" s="100">
        <v>6.26</v>
      </c>
      <c r="F53" s="100">
        <v>3.32</v>
      </c>
      <c r="G53" s="100">
        <v>69.819999999999993</v>
      </c>
      <c r="H53" s="100">
        <v>35.94</v>
      </c>
      <c r="I53" s="100">
        <v>13.3</v>
      </c>
      <c r="J53" s="100">
        <v>0.64</v>
      </c>
      <c r="K53" s="100">
        <v>39.07</v>
      </c>
      <c r="L53" s="100">
        <v>20.88</v>
      </c>
      <c r="M53" s="100">
        <v>38.880000000000003</v>
      </c>
      <c r="N53" s="100">
        <v>478.3</v>
      </c>
      <c r="O53" s="100">
        <v>0</v>
      </c>
      <c r="P53" s="100">
        <v>0.62</v>
      </c>
      <c r="Q53" s="100">
        <v>9.32</v>
      </c>
      <c r="R53" s="6"/>
      <c r="S53" s="6"/>
      <c r="T53" s="156"/>
      <c r="U53" s="6"/>
    </row>
    <row r="54" spans="1:21" customFormat="1">
      <c r="A54" s="163" t="s">
        <v>2788</v>
      </c>
      <c r="B54" s="100">
        <v>6.01</v>
      </c>
      <c r="C54" s="100">
        <v>25.17</v>
      </c>
      <c r="D54" s="100">
        <v>17.97</v>
      </c>
      <c r="E54" s="100">
        <v>19</v>
      </c>
      <c r="F54" s="100">
        <v>7.47</v>
      </c>
      <c r="G54" s="100">
        <v>69.349999999999994</v>
      </c>
      <c r="H54" s="100">
        <v>35.94</v>
      </c>
      <c r="I54" s="100">
        <v>11.68</v>
      </c>
      <c r="J54" s="100">
        <v>0.31</v>
      </c>
      <c r="K54" s="100">
        <v>99.07</v>
      </c>
      <c r="L54" s="100">
        <v>21.67</v>
      </c>
      <c r="M54" s="100">
        <v>35.6</v>
      </c>
      <c r="N54" s="100">
        <v>554</v>
      </c>
      <c r="O54" s="100">
        <v>0</v>
      </c>
      <c r="P54" s="100">
        <v>0.56999999999999995</v>
      </c>
      <c r="Q54" s="100">
        <v>9.32</v>
      </c>
      <c r="R54" s="6"/>
      <c r="S54" s="6"/>
      <c r="T54" s="156"/>
      <c r="U54" s="6"/>
    </row>
    <row r="55" spans="1:21" customFormat="1">
      <c r="A55" s="163" t="s">
        <v>2789</v>
      </c>
      <c r="B55" s="100">
        <v>4.4000000000000004</v>
      </c>
      <c r="C55" s="100">
        <v>24.69</v>
      </c>
      <c r="D55" s="100">
        <v>16.43</v>
      </c>
      <c r="E55" s="100">
        <v>20.93</v>
      </c>
      <c r="F55" s="100">
        <v>11.23</v>
      </c>
      <c r="G55" s="100">
        <v>69.349999999999994</v>
      </c>
      <c r="H55" s="100">
        <v>35.94</v>
      </c>
      <c r="I55" s="100">
        <v>9.73</v>
      </c>
      <c r="J55" s="100">
        <v>0.14000000000000001</v>
      </c>
      <c r="K55" s="100">
        <v>345.27</v>
      </c>
      <c r="L55" s="100">
        <v>22.7</v>
      </c>
      <c r="M55" s="100">
        <v>33.159999999999997</v>
      </c>
      <c r="N55" s="100">
        <v>591.5</v>
      </c>
      <c r="O55" s="100">
        <v>0</v>
      </c>
      <c r="P55" s="100">
        <v>0.52</v>
      </c>
      <c r="Q55" s="100">
        <v>9.32</v>
      </c>
      <c r="R55" s="6"/>
      <c r="S55" s="6"/>
      <c r="T55" s="156"/>
      <c r="U55" s="6"/>
    </row>
    <row r="56" spans="1:21" customFormat="1">
      <c r="A56" s="163" t="s">
        <v>2790</v>
      </c>
      <c r="B56" s="100">
        <v>3.62</v>
      </c>
      <c r="C56" s="100">
        <v>23.92</v>
      </c>
      <c r="D56" s="100">
        <v>15.4</v>
      </c>
      <c r="E56" s="100">
        <v>11.27</v>
      </c>
      <c r="F56" s="100">
        <v>11.81</v>
      </c>
      <c r="G56" s="100">
        <v>69.349999999999994</v>
      </c>
      <c r="H56" s="100">
        <v>35.94</v>
      </c>
      <c r="I56" s="100">
        <v>9.09</v>
      </c>
      <c r="J56" s="100">
        <v>0.45</v>
      </c>
      <c r="K56" s="100">
        <v>32.68</v>
      </c>
      <c r="L56" s="100">
        <v>22.25</v>
      </c>
      <c r="M56" s="100">
        <v>35.08</v>
      </c>
      <c r="N56" s="100">
        <v>565.1</v>
      </c>
      <c r="O56" s="100">
        <v>0</v>
      </c>
      <c r="P56" s="100">
        <v>0.48</v>
      </c>
      <c r="Q56" s="100">
        <v>9.32</v>
      </c>
      <c r="R56" s="6"/>
      <c r="S56" s="6"/>
      <c r="T56" s="156"/>
      <c r="U56" s="6"/>
    </row>
    <row r="57" spans="1:21" customFormat="1">
      <c r="A57" s="163" t="s">
        <v>2791</v>
      </c>
      <c r="B57" s="100">
        <v>3.45</v>
      </c>
      <c r="C57" s="100">
        <v>23.95</v>
      </c>
      <c r="D57" s="100">
        <v>15.28</v>
      </c>
      <c r="E57" s="100">
        <v>5.95</v>
      </c>
      <c r="F57" s="100">
        <v>7.58</v>
      </c>
      <c r="G57" s="100">
        <v>69.349999999999994</v>
      </c>
      <c r="H57" s="100">
        <v>35.94</v>
      </c>
      <c r="I57" s="100">
        <v>8.34</v>
      </c>
      <c r="J57" s="100">
        <v>0.75</v>
      </c>
      <c r="K57" s="100">
        <v>315.45</v>
      </c>
      <c r="L57" s="100">
        <v>22.7</v>
      </c>
      <c r="M57" s="100">
        <v>33.409999999999997</v>
      </c>
      <c r="N57" s="100">
        <v>582.70000000000005</v>
      </c>
      <c r="O57" s="100">
        <v>0</v>
      </c>
      <c r="P57" s="100">
        <v>0.47</v>
      </c>
      <c r="Q57" s="100">
        <v>9.32</v>
      </c>
      <c r="R57" s="6"/>
      <c r="S57" s="6"/>
      <c r="T57" s="156"/>
      <c r="U57" s="6"/>
    </row>
    <row r="58" spans="1:21" customFormat="1">
      <c r="A58" s="163" t="s">
        <v>2792</v>
      </c>
      <c r="B58" s="100">
        <v>0.01</v>
      </c>
      <c r="C58" s="100">
        <v>6.45</v>
      </c>
      <c r="D58" s="100">
        <v>3.37</v>
      </c>
      <c r="E58" s="100">
        <v>4.47</v>
      </c>
      <c r="F58" s="100">
        <v>7.08</v>
      </c>
      <c r="G58" s="100">
        <v>69.349999999999994</v>
      </c>
      <c r="H58" s="100">
        <v>35.94</v>
      </c>
      <c r="I58" s="100">
        <v>8.75</v>
      </c>
      <c r="J58" s="100">
        <v>0.25</v>
      </c>
      <c r="K58" s="100">
        <v>273.07</v>
      </c>
      <c r="L58" s="100">
        <v>23.07</v>
      </c>
      <c r="M58" s="100">
        <v>33.659999999999997</v>
      </c>
      <c r="N58" s="100">
        <v>580</v>
      </c>
      <c r="O58" s="100">
        <v>0</v>
      </c>
      <c r="P58" s="100">
        <v>0.45</v>
      </c>
      <c r="Q58" s="100">
        <v>9.32</v>
      </c>
      <c r="R58" s="6"/>
      <c r="S58" s="6"/>
      <c r="T58" s="156"/>
      <c r="U58" s="6"/>
    </row>
    <row r="59" spans="1:21" customFormat="1">
      <c r="A59" s="163" t="s">
        <v>2793</v>
      </c>
      <c r="B59" s="100">
        <v>0.4</v>
      </c>
      <c r="C59" s="100">
        <v>17.079999999999998</v>
      </c>
      <c r="D59" s="100">
        <v>9.25</v>
      </c>
      <c r="E59" s="100">
        <v>1.46</v>
      </c>
      <c r="F59" s="100">
        <v>7.66</v>
      </c>
      <c r="G59" s="135" t="s">
        <v>12</v>
      </c>
      <c r="H59" s="135" t="s">
        <v>12</v>
      </c>
      <c r="I59" s="100">
        <v>9.56</v>
      </c>
      <c r="J59" s="100">
        <v>0.19</v>
      </c>
      <c r="K59" s="100">
        <v>218.55</v>
      </c>
      <c r="L59" s="100">
        <v>23.54</v>
      </c>
      <c r="M59" s="100">
        <v>33.5</v>
      </c>
      <c r="N59" s="100">
        <v>555.79999999999995</v>
      </c>
      <c r="O59" s="100">
        <v>0</v>
      </c>
      <c r="P59" s="100">
        <v>0.44</v>
      </c>
      <c r="Q59" s="100">
        <v>9.32</v>
      </c>
      <c r="R59" s="6"/>
      <c r="S59" s="6"/>
      <c r="T59" s="156"/>
      <c r="U59" s="6"/>
    </row>
    <row r="60" spans="1:21" customFormat="1">
      <c r="A60" s="163" t="s">
        <v>2794</v>
      </c>
      <c r="B60" s="100">
        <v>0.42</v>
      </c>
      <c r="C60" s="100">
        <v>21.46</v>
      </c>
      <c r="D60" s="100">
        <v>11.55</v>
      </c>
      <c r="E60" s="100">
        <v>3.01</v>
      </c>
      <c r="F60" s="100">
        <v>6.68</v>
      </c>
      <c r="G60" s="135" t="s">
        <v>12</v>
      </c>
      <c r="H60" s="135" t="s">
        <v>12</v>
      </c>
      <c r="I60" s="100">
        <v>9.2100000000000009</v>
      </c>
      <c r="J60" s="100">
        <v>0.42</v>
      </c>
      <c r="K60" s="100">
        <v>292.20999999999998</v>
      </c>
      <c r="L60" s="100">
        <v>23.72</v>
      </c>
      <c r="M60" s="100">
        <v>32.61</v>
      </c>
      <c r="N60" s="100">
        <v>500.7</v>
      </c>
      <c r="O60" s="100">
        <v>0</v>
      </c>
      <c r="P60" s="100">
        <v>0.42</v>
      </c>
      <c r="Q60" s="100">
        <v>9.32</v>
      </c>
      <c r="R60" s="6"/>
      <c r="S60" s="6"/>
      <c r="T60" s="156"/>
      <c r="U60" s="6"/>
    </row>
    <row r="61" spans="1:21" customFormat="1">
      <c r="A61" s="163" t="s">
        <v>2795</v>
      </c>
      <c r="B61" s="100">
        <v>0.94</v>
      </c>
      <c r="C61" s="100">
        <v>23.15</v>
      </c>
      <c r="D61" s="100">
        <v>12.85</v>
      </c>
      <c r="E61" s="100">
        <v>2.87</v>
      </c>
      <c r="F61" s="100">
        <v>3.14</v>
      </c>
      <c r="G61" s="135" t="s">
        <v>12</v>
      </c>
      <c r="H61" s="135" t="s">
        <v>12</v>
      </c>
      <c r="I61" s="100">
        <v>8.8699999999999992</v>
      </c>
      <c r="J61" s="100">
        <v>0.5</v>
      </c>
      <c r="K61" s="100">
        <v>303.36</v>
      </c>
      <c r="L61" s="100">
        <v>23.51</v>
      </c>
      <c r="M61" s="100">
        <v>32.29</v>
      </c>
      <c r="N61" s="100">
        <v>426.3</v>
      </c>
      <c r="O61" s="100">
        <v>0</v>
      </c>
      <c r="P61" s="100">
        <v>0.43</v>
      </c>
      <c r="Q61" s="100">
        <v>9.32</v>
      </c>
      <c r="R61" s="6"/>
      <c r="S61" s="6"/>
      <c r="T61" s="156"/>
      <c r="U61" s="6"/>
    </row>
    <row r="62" spans="1:21" customFormat="1">
      <c r="A62" s="163" t="s">
        <v>2796</v>
      </c>
      <c r="B62" s="100">
        <v>1.1100000000000001</v>
      </c>
      <c r="C62" s="100">
        <v>22.26</v>
      </c>
      <c r="D62" s="100">
        <v>12.52</v>
      </c>
      <c r="E62" s="100">
        <v>2.63</v>
      </c>
      <c r="F62" s="100">
        <v>1.46</v>
      </c>
      <c r="G62" s="135" t="s">
        <v>12</v>
      </c>
      <c r="H62" s="135" t="s">
        <v>12</v>
      </c>
      <c r="I62" s="100">
        <v>8.7799999999999994</v>
      </c>
      <c r="J62" s="100">
        <v>0.41</v>
      </c>
      <c r="K62" s="100">
        <v>296.02</v>
      </c>
      <c r="L62" s="100">
        <v>23.27</v>
      </c>
      <c r="M62" s="100">
        <v>32.619999999999997</v>
      </c>
      <c r="N62" s="100">
        <v>251.4</v>
      </c>
      <c r="O62" s="100">
        <v>0</v>
      </c>
      <c r="P62" s="100">
        <v>0.45</v>
      </c>
      <c r="Q62" s="100">
        <v>9.32</v>
      </c>
      <c r="R62" s="6"/>
      <c r="S62" s="6"/>
      <c r="T62" s="156"/>
      <c r="U62" s="6"/>
    </row>
    <row r="63" spans="1:21" customFormat="1">
      <c r="A63" s="163" t="s">
        <v>2797</v>
      </c>
      <c r="B63" s="100">
        <v>1.6</v>
      </c>
      <c r="C63" s="100">
        <v>23.01</v>
      </c>
      <c r="D63" s="100">
        <v>13.31</v>
      </c>
      <c r="E63" s="100">
        <v>4.13</v>
      </c>
      <c r="F63" s="100">
        <v>1.29</v>
      </c>
      <c r="G63" s="100">
        <v>33.770000000000003</v>
      </c>
      <c r="H63" s="100">
        <v>13.58</v>
      </c>
      <c r="I63" s="100">
        <v>7.85</v>
      </c>
      <c r="J63" s="100">
        <v>0.55000000000000004</v>
      </c>
      <c r="K63" s="100">
        <v>27.81</v>
      </c>
      <c r="L63" s="100">
        <v>23.33</v>
      </c>
      <c r="M63" s="100">
        <v>32.130000000000003</v>
      </c>
      <c r="N63" s="100">
        <v>177.1</v>
      </c>
      <c r="O63" s="100">
        <v>0</v>
      </c>
      <c r="P63" s="100">
        <v>0.47</v>
      </c>
      <c r="Q63" s="100">
        <v>9.32</v>
      </c>
      <c r="R63" s="6"/>
      <c r="S63" s="6"/>
      <c r="T63" s="156"/>
      <c r="U63" s="6"/>
    </row>
    <row r="64" spans="1:21" customFormat="1">
      <c r="A64" s="163" t="s">
        <v>2798</v>
      </c>
      <c r="B64" s="100">
        <v>2.37</v>
      </c>
      <c r="C64" s="100">
        <v>25.75</v>
      </c>
      <c r="D64" s="100">
        <v>15.35</v>
      </c>
      <c r="E64" s="100">
        <v>5.82</v>
      </c>
      <c r="F64" s="100">
        <v>2.21</v>
      </c>
      <c r="G64" s="100">
        <v>79.989999999999995</v>
      </c>
      <c r="H64" s="100">
        <v>23.94</v>
      </c>
      <c r="I64" s="100">
        <v>6.78</v>
      </c>
      <c r="J64" s="100">
        <v>0.55000000000000004</v>
      </c>
      <c r="K64" s="100">
        <v>336.27</v>
      </c>
      <c r="L64" s="100">
        <v>23.36</v>
      </c>
      <c r="M64" s="100">
        <v>30.89</v>
      </c>
      <c r="N64" s="100">
        <v>142.19999999999999</v>
      </c>
      <c r="O64" s="100">
        <v>0</v>
      </c>
      <c r="P64" s="100">
        <v>0.5</v>
      </c>
      <c r="Q64" s="100">
        <v>9.32</v>
      </c>
      <c r="R64" s="6"/>
      <c r="S64" s="6"/>
      <c r="T64" s="156"/>
      <c r="U64" s="6"/>
    </row>
    <row r="65" spans="1:21" customFormat="1">
      <c r="A65" s="163" t="s">
        <v>2799</v>
      </c>
      <c r="B65" s="100">
        <v>2.41</v>
      </c>
      <c r="C65" s="100">
        <v>26.47</v>
      </c>
      <c r="D65" s="100">
        <v>15.76</v>
      </c>
      <c r="E65" s="100">
        <v>3.78</v>
      </c>
      <c r="F65" s="100">
        <v>2.1</v>
      </c>
      <c r="G65" s="100">
        <v>79.989999999999995</v>
      </c>
      <c r="H65" s="100">
        <v>23.94</v>
      </c>
      <c r="I65" s="100">
        <v>8.06</v>
      </c>
      <c r="J65" s="100">
        <v>0.67</v>
      </c>
      <c r="K65" s="100">
        <v>327.45999999999998</v>
      </c>
      <c r="L65" s="100">
        <v>23.39</v>
      </c>
      <c r="M65" s="100">
        <v>28.17</v>
      </c>
      <c r="N65" s="100">
        <v>121.2</v>
      </c>
      <c r="O65" s="100">
        <v>0</v>
      </c>
      <c r="P65" s="100">
        <v>0.49</v>
      </c>
      <c r="Q65" s="100">
        <v>9.32</v>
      </c>
      <c r="R65" s="6"/>
      <c r="S65" s="6"/>
      <c r="T65" s="156"/>
      <c r="U65" s="6"/>
    </row>
    <row r="66" spans="1:21" customFormat="1">
      <c r="A66" s="163" t="s">
        <v>2800</v>
      </c>
      <c r="B66" s="100">
        <v>2.09</v>
      </c>
      <c r="C66" s="100">
        <v>25.65</v>
      </c>
      <c r="D66" s="100">
        <v>15.07</v>
      </c>
      <c r="E66" s="100">
        <v>2.91</v>
      </c>
      <c r="F66" s="100">
        <v>2.42</v>
      </c>
      <c r="G66" s="100">
        <v>79.989999999999995</v>
      </c>
      <c r="H66" s="100">
        <v>23.94</v>
      </c>
      <c r="I66" s="100">
        <v>8.3699999999999992</v>
      </c>
      <c r="J66" s="100">
        <v>0.47</v>
      </c>
      <c r="K66" s="100">
        <v>289.31</v>
      </c>
      <c r="L66" s="100">
        <v>23.41</v>
      </c>
      <c r="M66" s="100">
        <v>27.43</v>
      </c>
      <c r="N66" s="100">
        <v>117.2</v>
      </c>
      <c r="O66" s="100">
        <v>0</v>
      </c>
      <c r="P66" s="100">
        <v>0.5</v>
      </c>
      <c r="Q66" s="100">
        <v>9.32</v>
      </c>
      <c r="R66" s="6"/>
      <c r="S66" s="6"/>
      <c r="T66" s="156"/>
      <c r="U66" s="6"/>
    </row>
    <row r="67" spans="1:21" customFormat="1">
      <c r="A67" s="163" t="s">
        <v>2801</v>
      </c>
      <c r="B67" s="100">
        <v>1.81</v>
      </c>
      <c r="C67" s="100">
        <v>25.53</v>
      </c>
      <c r="D67" s="100">
        <v>14.79</v>
      </c>
      <c r="E67" s="100">
        <v>3.72</v>
      </c>
      <c r="F67" s="100">
        <v>2.98</v>
      </c>
      <c r="G67" s="100">
        <v>77.22</v>
      </c>
      <c r="H67" s="100">
        <v>24.07</v>
      </c>
      <c r="I67" s="100">
        <v>7.16</v>
      </c>
      <c r="J67" s="100">
        <v>0.55000000000000004</v>
      </c>
      <c r="K67" s="100">
        <v>319.57</v>
      </c>
      <c r="L67" s="100">
        <v>23.42</v>
      </c>
      <c r="M67" s="100">
        <v>27.33</v>
      </c>
      <c r="N67" s="100">
        <v>122.8</v>
      </c>
      <c r="O67" s="100">
        <v>0</v>
      </c>
      <c r="P67" s="100">
        <v>0.49</v>
      </c>
      <c r="Q67" s="100">
        <v>9.32</v>
      </c>
      <c r="R67" s="6"/>
      <c r="S67" s="6"/>
      <c r="T67" s="156"/>
      <c r="U67" s="6"/>
    </row>
    <row r="68" spans="1:21" customFormat="1">
      <c r="A68" s="163" t="s">
        <v>2802</v>
      </c>
      <c r="B68" s="100">
        <v>1.55</v>
      </c>
      <c r="C68" s="100">
        <v>25.82</v>
      </c>
      <c r="D68" s="100">
        <v>14.73</v>
      </c>
      <c r="E68" s="100">
        <v>3.15</v>
      </c>
      <c r="F68" s="100">
        <v>4.4000000000000004</v>
      </c>
      <c r="G68" s="100">
        <v>73.430000000000007</v>
      </c>
      <c r="H68" s="100">
        <v>24.16</v>
      </c>
      <c r="I68" s="100">
        <v>6.98</v>
      </c>
      <c r="J68" s="100">
        <v>0.27</v>
      </c>
      <c r="K68" s="100">
        <v>332.99</v>
      </c>
      <c r="L68" s="100">
        <v>23.48</v>
      </c>
      <c r="M68" s="100">
        <v>27.73</v>
      </c>
      <c r="N68" s="100">
        <v>102.5</v>
      </c>
      <c r="O68" s="100">
        <v>0</v>
      </c>
      <c r="P68" s="100">
        <v>0.47</v>
      </c>
      <c r="Q68" s="100">
        <v>9.32</v>
      </c>
      <c r="R68" s="6"/>
      <c r="S68" s="6"/>
      <c r="T68" s="156"/>
      <c r="U68" s="6"/>
    </row>
    <row r="69" spans="1:21" customFormat="1">
      <c r="A69" s="163" t="s">
        <v>2803</v>
      </c>
      <c r="B69" s="100">
        <v>1.96</v>
      </c>
      <c r="C69" s="100">
        <v>25.68</v>
      </c>
      <c r="D69" s="100">
        <v>18.95</v>
      </c>
      <c r="E69" s="100">
        <v>3.35</v>
      </c>
      <c r="F69" s="100">
        <v>5.5</v>
      </c>
      <c r="G69" s="100">
        <v>73.430000000000007</v>
      </c>
      <c r="H69" s="100">
        <v>24.16</v>
      </c>
      <c r="I69" s="100">
        <v>6.78</v>
      </c>
      <c r="J69" s="100">
        <v>0.28999999999999998</v>
      </c>
      <c r="K69" s="100">
        <v>353.2</v>
      </c>
      <c r="L69" s="100">
        <v>23.46</v>
      </c>
      <c r="M69" s="100">
        <v>27.42</v>
      </c>
      <c r="N69" s="100">
        <v>97.7</v>
      </c>
      <c r="O69" s="100">
        <v>0</v>
      </c>
      <c r="P69" s="100">
        <v>0.47</v>
      </c>
      <c r="Q69" s="100">
        <v>9.32</v>
      </c>
      <c r="R69" s="6"/>
      <c r="S69" s="6"/>
      <c r="T69" s="156"/>
      <c r="U69" s="6"/>
    </row>
    <row r="70" spans="1:21" customFormat="1">
      <c r="A70" s="163" t="s">
        <v>2804</v>
      </c>
      <c r="B70" s="100">
        <v>2.37</v>
      </c>
      <c r="C70" s="100">
        <v>25.28</v>
      </c>
      <c r="D70" s="100">
        <v>15.1</v>
      </c>
      <c r="E70" s="100">
        <v>2.99</v>
      </c>
      <c r="F70" s="100">
        <v>6.2</v>
      </c>
      <c r="G70" s="100">
        <v>73.430000000000007</v>
      </c>
      <c r="H70" s="100">
        <v>24.16</v>
      </c>
      <c r="I70" s="100">
        <v>6.6</v>
      </c>
      <c r="J70" s="100">
        <v>0.13</v>
      </c>
      <c r="K70" s="100">
        <v>46.46</v>
      </c>
      <c r="L70" s="100">
        <v>23.51</v>
      </c>
      <c r="M70" s="100">
        <v>26.93</v>
      </c>
      <c r="N70" s="100">
        <v>83</v>
      </c>
      <c r="O70" s="100">
        <v>0</v>
      </c>
      <c r="P70" s="100">
        <v>0.46</v>
      </c>
      <c r="Q70" s="100">
        <v>9.32</v>
      </c>
      <c r="R70" s="6"/>
      <c r="S70" s="6"/>
      <c r="T70" s="156"/>
      <c r="U70" s="6"/>
    </row>
    <row r="71" spans="1:21" customFormat="1">
      <c r="A71" s="163" t="s">
        <v>2805</v>
      </c>
      <c r="B71" s="100">
        <v>2.36</v>
      </c>
      <c r="C71" s="100">
        <v>24.09</v>
      </c>
      <c r="D71" s="100">
        <v>14.48</v>
      </c>
      <c r="E71" s="100">
        <v>2.9</v>
      </c>
      <c r="F71" s="100">
        <v>4.93</v>
      </c>
      <c r="G71" s="100">
        <v>67.239999999999995</v>
      </c>
      <c r="H71" s="100">
        <v>24.41</v>
      </c>
      <c r="I71" s="100">
        <v>7.05</v>
      </c>
      <c r="J71" s="100">
        <v>0.18</v>
      </c>
      <c r="K71" s="100">
        <v>2.6</v>
      </c>
      <c r="L71" s="100">
        <v>23.41</v>
      </c>
      <c r="M71" s="100">
        <v>27.44</v>
      </c>
      <c r="N71" s="100">
        <v>78.8</v>
      </c>
      <c r="O71" s="100">
        <v>0</v>
      </c>
      <c r="P71" s="100">
        <v>0.46</v>
      </c>
      <c r="Q71" s="100">
        <v>9.32</v>
      </c>
      <c r="R71" s="6"/>
      <c r="S71" s="6"/>
      <c r="T71" s="156"/>
      <c r="U71" s="6"/>
    </row>
    <row r="72" spans="1:21" customFormat="1">
      <c r="A72" s="163" t="s">
        <v>2806</v>
      </c>
      <c r="B72" s="100">
        <v>2.5</v>
      </c>
      <c r="C72" s="100">
        <v>24.31</v>
      </c>
      <c r="D72" s="100">
        <v>14.7</v>
      </c>
      <c r="E72" s="100">
        <v>3.51</v>
      </c>
      <c r="F72" s="100">
        <v>6.6</v>
      </c>
      <c r="G72" s="100">
        <v>58.78</v>
      </c>
      <c r="H72" s="100">
        <v>24.6</v>
      </c>
      <c r="I72" s="100">
        <v>7.57</v>
      </c>
      <c r="J72" s="100">
        <v>0.53</v>
      </c>
      <c r="K72" s="100">
        <v>39.369999999999997</v>
      </c>
      <c r="L72" s="100">
        <v>23.44</v>
      </c>
      <c r="M72" s="100">
        <v>25.84</v>
      </c>
      <c r="N72" s="100">
        <v>71.2</v>
      </c>
      <c r="O72" s="100">
        <v>0</v>
      </c>
      <c r="P72" s="100">
        <v>0.45</v>
      </c>
      <c r="Q72" s="100">
        <v>9.32</v>
      </c>
      <c r="R72" s="6"/>
      <c r="S72" s="6"/>
      <c r="T72" s="156"/>
      <c r="U72" s="6"/>
    </row>
    <row r="73" spans="1:21" customFormat="1">
      <c r="A73" s="163" t="s">
        <v>2807</v>
      </c>
      <c r="B73" s="100">
        <v>2.61</v>
      </c>
      <c r="C73" s="100">
        <v>25.71</v>
      </c>
      <c r="D73" s="100">
        <v>15.53</v>
      </c>
      <c r="E73" s="100">
        <v>2.1800000000000002</v>
      </c>
      <c r="F73" s="100">
        <v>4.62</v>
      </c>
      <c r="G73" s="100">
        <v>58.78</v>
      </c>
      <c r="H73" s="100">
        <v>24.6</v>
      </c>
      <c r="I73" s="100">
        <v>7.38</v>
      </c>
      <c r="J73" s="100">
        <v>0.48</v>
      </c>
      <c r="K73" s="100">
        <v>45.62</v>
      </c>
      <c r="L73" s="100">
        <v>23.34</v>
      </c>
      <c r="M73" s="100">
        <v>26.39</v>
      </c>
      <c r="N73" s="100">
        <v>65.7</v>
      </c>
      <c r="O73" s="100">
        <v>0</v>
      </c>
      <c r="P73" s="100">
        <v>0.44</v>
      </c>
      <c r="Q73" s="100">
        <v>9.32</v>
      </c>
      <c r="R73" s="6"/>
      <c r="S73" s="6"/>
      <c r="T73" s="156"/>
      <c r="U73" s="6"/>
    </row>
    <row r="74" spans="1:21" customFormat="1">
      <c r="A74" s="163" t="s">
        <v>2808</v>
      </c>
      <c r="B74" s="100">
        <v>2.7</v>
      </c>
      <c r="C74" s="100">
        <v>25.86</v>
      </c>
      <c r="D74" s="100">
        <v>15.68</v>
      </c>
      <c r="E74" s="100">
        <v>1.65</v>
      </c>
      <c r="F74" s="100">
        <v>2.38</v>
      </c>
      <c r="G74" s="100">
        <v>58.78</v>
      </c>
      <c r="H74" s="100">
        <v>24.6</v>
      </c>
      <c r="I74" s="100">
        <v>7.23</v>
      </c>
      <c r="J74" s="100">
        <v>0.32</v>
      </c>
      <c r="K74" s="100">
        <v>24.85</v>
      </c>
      <c r="L74" s="100">
        <v>23.18</v>
      </c>
      <c r="M74" s="100">
        <v>27.18</v>
      </c>
      <c r="N74" s="100">
        <v>62.6</v>
      </c>
      <c r="O74" s="100">
        <v>0</v>
      </c>
      <c r="P74" s="100">
        <v>0.43</v>
      </c>
      <c r="Q74" s="100">
        <v>9.32</v>
      </c>
      <c r="R74" s="6"/>
      <c r="S74" s="6"/>
      <c r="T74" s="156"/>
      <c r="U74" s="6"/>
    </row>
    <row r="75" spans="1:21" customFormat="1">
      <c r="A75" s="163" t="s">
        <v>2809</v>
      </c>
      <c r="B75" s="100">
        <v>2.9</v>
      </c>
      <c r="C75" s="100">
        <v>25.39</v>
      </c>
      <c r="D75" s="100">
        <v>15.59</v>
      </c>
      <c r="E75" s="100">
        <v>1.68</v>
      </c>
      <c r="F75" s="100">
        <v>1.46</v>
      </c>
      <c r="G75" s="100">
        <v>59</v>
      </c>
      <c r="H75" s="100">
        <v>23.48</v>
      </c>
      <c r="I75" s="100">
        <v>7.16</v>
      </c>
      <c r="J75" s="100">
        <v>0.12</v>
      </c>
      <c r="K75" s="100">
        <v>24.61</v>
      </c>
      <c r="L75" s="100">
        <v>22.74</v>
      </c>
      <c r="M75" s="100">
        <v>29.62</v>
      </c>
      <c r="N75" s="100">
        <v>58.8</v>
      </c>
      <c r="O75" s="100">
        <v>0</v>
      </c>
      <c r="P75" s="100">
        <v>0.42</v>
      </c>
      <c r="Q75" s="100">
        <v>9.32</v>
      </c>
      <c r="R75" s="6"/>
      <c r="S75" s="6"/>
      <c r="T75" s="156"/>
      <c r="U75" s="6"/>
    </row>
    <row r="76" spans="1:21" customFormat="1">
      <c r="A76" s="163" t="s">
        <v>2810</v>
      </c>
      <c r="B76" s="100">
        <v>3.16</v>
      </c>
      <c r="C76" s="100">
        <v>24.86</v>
      </c>
      <c r="D76" s="100">
        <v>15.52</v>
      </c>
      <c r="E76" s="100">
        <v>1.58</v>
      </c>
      <c r="F76" s="100">
        <v>0.8</v>
      </c>
      <c r="G76" s="100">
        <v>59.29</v>
      </c>
      <c r="H76" s="100">
        <v>22.64</v>
      </c>
      <c r="I76" s="100">
        <v>7.14</v>
      </c>
      <c r="J76" s="100">
        <v>0.11</v>
      </c>
      <c r="K76" s="100">
        <v>72.94</v>
      </c>
      <c r="L76" s="100">
        <v>22.04</v>
      </c>
      <c r="M76" s="100">
        <v>33.28</v>
      </c>
      <c r="N76" s="100">
        <v>48.5</v>
      </c>
      <c r="O76" s="100">
        <v>0</v>
      </c>
      <c r="P76" s="100">
        <v>0.43</v>
      </c>
      <c r="Q76" s="100">
        <v>9.32</v>
      </c>
      <c r="R76" s="6"/>
      <c r="S76" s="6"/>
      <c r="T76" s="156"/>
      <c r="U76" s="6"/>
    </row>
    <row r="77" spans="1:21" customFormat="1">
      <c r="A77" s="163" t="s">
        <v>2811</v>
      </c>
      <c r="B77" s="100">
        <v>3.45</v>
      </c>
      <c r="C77" s="100">
        <v>24.47</v>
      </c>
      <c r="D77" s="100">
        <v>15.55</v>
      </c>
      <c r="E77" s="100">
        <v>1.51</v>
      </c>
      <c r="F77" s="100">
        <v>0.48</v>
      </c>
      <c r="G77" s="100">
        <v>59.29</v>
      </c>
      <c r="H77" s="100">
        <v>22.64</v>
      </c>
      <c r="I77" s="100">
        <v>7.15</v>
      </c>
      <c r="J77" s="100">
        <v>0.17</v>
      </c>
      <c r="K77" s="100">
        <v>134.61000000000001</v>
      </c>
      <c r="L77" s="100">
        <v>21.07</v>
      </c>
      <c r="M77" s="100">
        <v>37.68</v>
      </c>
      <c r="N77" s="100">
        <v>41.6</v>
      </c>
      <c r="O77" s="100">
        <v>0</v>
      </c>
      <c r="P77" s="100">
        <v>0.43</v>
      </c>
      <c r="Q77" s="100">
        <v>9.32</v>
      </c>
      <c r="R77" s="6"/>
      <c r="S77" s="6"/>
      <c r="T77" s="156"/>
      <c r="U77" s="6"/>
    </row>
    <row r="78" spans="1:21" customFormat="1">
      <c r="A78" s="163" t="s">
        <v>2812</v>
      </c>
      <c r="B78" s="100">
        <v>3.79</v>
      </c>
      <c r="C78" s="100">
        <v>24.23</v>
      </c>
      <c r="D78" s="100">
        <v>15.69</v>
      </c>
      <c r="E78" s="100">
        <v>1.95</v>
      </c>
      <c r="F78" s="100">
        <v>0.35</v>
      </c>
      <c r="G78" s="100">
        <v>59.29</v>
      </c>
      <c r="H78" s="100">
        <v>22.64</v>
      </c>
      <c r="I78" s="100">
        <v>7.23</v>
      </c>
      <c r="J78" s="100">
        <v>0.24</v>
      </c>
      <c r="K78" s="100">
        <v>161.93</v>
      </c>
      <c r="L78" s="100">
        <v>19.899999999999999</v>
      </c>
      <c r="M78" s="100">
        <v>41.41</v>
      </c>
      <c r="N78" s="100">
        <v>36.1</v>
      </c>
      <c r="O78" s="100">
        <v>0</v>
      </c>
      <c r="P78" s="100">
        <v>0.45</v>
      </c>
      <c r="Q78" s="100">
        <v>9.32</v>
      </c>
      <c r="R78" s="6"/>
      <c r="S78" s="6"/>
      <c r="T78" s="156"/>
      <c r="U78" s="6"/>
    </row>
    <row r="79" spans="1:21" customFormat="1">
      <c r="A79" s="163" t="s">
        <v>2813</v>
      </c>
      <c r="B79" s="100">
        <v>4.13</v>
      </c>
      <c r="C79" s="100">
        <v>24.04</v>
      </c>
      <c r="D79" s="100">
        <v>15.88</v>
      </c>
      <c r="E79" s="100">
        <v>1.67</v>
      </c>
      <c r="F79" s="100">
        <v>0.2</v>
      </c>
      <c r="G79" s="100">
        <v>62.78</v>
      </c>
      <c r="H79" s="100">
        <v>23.08</v>
      </c>
      <c r="I79" s="100">
        <v>7.35</v>
      </c>
      <c r="J79" s="100">
        <v>0.21</v>
      </c>
      <c r="K79" s="100">
        <v>191.03</v>
      </c>
      <c r="L79" s="100">
        <v>19.04</v>
      </c>
      <c r="M79" s="100">
        <v>43.24</v>
      </c>
      <c r="N79" s="100">
        <v>33.5</v>
      </c>
      <c r="O79" s="100">
        <v>0</v>
      </c>
      <c r="P79" s="100">
        <v>0.46</v>
      </c>
      <c r="Q79" s="100">
        <v>9.32</v>
      </c>
      <c r="R79" s="6"/>
      <c r="S79" s="6"/>
      <c r="T79" s="156"/>
      <c r="U79" s="6"/>
    </row>
    <row r="80" spans="1:21" customFormat="1">
      <c r="A80" s="163" t="s">
        <v>2814</v>
      </c>
      <c r="B80" s="100">
        <v>4.49</v>
      </c>
      <c r="C80" s="100">
        <v>23.98</v>
      </c>
      <c r="D80" s="100">
        <v>16.12</v>
      </c>
      <c r="E80" s="100">
        <v>1.93</v>
      </c>
      <c r="F80" s="100">
        <v>0.12</v>
      </c>
      <c r="G80" s="100">
        <v>67.55</v>
      </c>
      <c r="H80" s="100">
        <v>23.43</v>
      </c>
      <c r="I80" s="100">
        <v>7.52</v>
      </c>
      <c r="J80" s="100">
        <v>0.22</v>
      </c>
      <c r="K80" s="100">
        <v>182.27</v>
      </c>
      <c r="L80" s="100">
        <v>18.27</v>
      </c>
      <c r="M80" s="100">
        <v>46.77</v>
      </c>
      <c r="N80" s="100">
        <v>32.700000000000003</v>
      </c>
      <c r="O80" s="100">
        <v>0</v>
      </c>
      <c r="P80" s="100">
        <v>0.47</v>
      </c>
      <c r="Q80" s="100">
        <v>9.32</v>
      </c>
      <c r="R80" s="6"/>
      <c r="S80" s="6"/>
      <c r="T80" s="156"/>
      <c r="U80" s="6"/>
    </row>
    <row r="81" spans="1:21" customFormat="1">
      <c r="A81" s="163" t="s">
        <v>2815</v>
      </c>
      <c r="B81" s="100">
        <v>4.9800000000000004</v>
      </c>
      <c r="C81" s="100">
        <v>24.07</v>
      </c>
      <c r="D81" s="100">
        <v>16.57</v>
      </c>
      <c r="E81" s="100">
        <v>3.27</v>
      </c>
      <c r="F81" s="100">
        <v>0.06</v>
      </c>
      <c r="G81" s="100">
        <v>67.55</v>
      </c>
      <c r="H81" s="100">
        <v>23.43</v>
      </c>
      <c r="I81" s="100">
        <v>7.7</v>
      </c>
      <c r="J81" s="100">
        <v>0.22</v>
      </c>
      <c r="K81" s="100">
        <v>167.89</v>
      </c>
      <c r="L81" s="100">
        <v>17.670000000000002</v>
      </c>
      <c r="M81" s="100">
        <v>51.11</v>
      </c>
      <c r="N81" s="100">
        <v>32.5</v>
      </c>
      <c r="O81" s="100">
        <v>0</v>
      </c>
      <c r="P81" s="100">
        <v>0.48</v>
      </c>
      <c r="Q81" s="100">
        <v>9.32</v>
      </c>
      <c r="R81" s="6"/>
      <c r="S81" s="6"/>
      <c r="T81" s="156"/>
      <c r="U81" s="6"/>
    </row>
    <row r="82" spans="1:21" customFormat="1">
      <c r="A82" s="163" t="s">
        <v>2816</v>
      </c>
      <c r="B82" s="100">
        <v>5.64</v>
      </c>
      <c r="C82" s="100">
        <v>24.01</v>
      </c>
      <c r="D82" s="100">
        <v>17.07</v>
      </c>
      <c r="E82" s="100">
        <v>4.2699999999999996</v>
      </c>
      <c r="F82" s="100">
        <v>0.08</v>
      </c>
      <c r="G82" s="100">
        <v>67.55</v>
      </c>
      <c r="H82" s="100">
        <v>23.43</v>
      </c>
      <c r="I82" s="100">
        <v>7.87</v>
      </c>
      <c r="J82" s="100">
        <v>0.28000000000000003</v>
      </c>
      <c r="K82" s="100">
        <v>162.6</v>
      </c>
      <c r="L82" s="100">
        <v>16.899999999999999</v>
      </c>
      <c r="M82" s="100">
        <v>63.15</v>
      </c>
      <c r="N82" s="100">
        <v>32.5</v>
      </c>
      <c r="O82" s="100">
        <v>0</v>
      </c>
      <c r="P82" s="100">
        <v>0.51</v>
      </c>
      <c r="Q82" s="100">
        <v>9.32</v>
      </c>
      <c r="R82" s="6"/>
      <c r="S82" s="6"/>
      <c r="T82" s="156"/>
      <c r="U82" s="6"/>
    </row>
    <row r="83" spans="1:21" customFormat="1">
      <c r="A83" s="163" t="s">
        <v>2817</v>
      </c>
      <c r="B83" s="100">
        <v>6.05</v>
      </c>
      <c r="C83" s="100">
        <v>23.62</v>
      </c>
      <c r="D83" s="100">
        <v>17.2</v>
      </c>
      <c r="E83" s="100">
        <v>4.16</v>
      </c>
      <c r="F83" s="100">
        <v>0.05</v>
      </c>
      <c r="G83" s="100">
        <v>75.709999999999994</v>
      </c>
      <c r="H83" s="100">
        <v>25.89</v>
      </c>
      <c r="I83" s="100">
        <v>8.0399999999999991</v>
      </c>
      <c r="J83" s="100">
        <v>0.28999999999999998</v>
      </c>
      <c r="K83" s="100">
        <v>161.18</v>
      </c>
      <c r="L83" s="100">
        <v>16.28</v>
      </c>
      <c r="M83" s="100">
        <v>63.24</v>
      </c>
      <c r="N83" s="100">
        <v>32.6</v>
      </c>
      <c r="O83" s="100">
        <v>0</v>
      </c>
      <c r="P83" s="100">
        <v>0.51</v>
      </c>
      <c r="Q83" s="100">
        <v>9.32</v>
      </c>
      <c r="R83" s="6"/>
      <c r="S83" s="6"/>
      <c r="T83" s="156"/>
      <c r="U83" s="6"/>
    </row>
    <row r="84" spans="1:21" customFormat="1">
      <c r="A84" s="163" t="s">
        <v>2818</v>
      </c>
      <c r="B84" s="100">
        <v>6.34</v>
      </c>
      <c r="C84" s="100">
        <v>22.97</v>
      </c>
      <c r="D84" s="100">
        <v>17.079999999999998</v>
      </c>
      <c r="E84" s="100">
        <v>4.34</v>
      </c>
      <c r="F84" s="100">
        <v>7.0000000000000007E-2</v>
      </c>
      <c r="G84" s="100">
        <v>86.39</v>
      </c>
      <c r="H84" s="100">
        <v>31</v>
      </c>
      <c r="I84" s="100">
        <v>8.2200000000000006</v>
      </c>
      <c r="J84" s="100">
        <v>0.25</v>
      </c>
      <c r="K84" s="100">
        <v>153.94</v>
      </c>
      <c r="L84" s="100">
        <v>15.7</v>
      </c>
      <c r="M84" s="100">
        <v>65.31</v>
      </c>
      <c r="N84" s="100">
        <v>32.4</v>
      </c>
      <c r="O84" s="100">
        <v>0</v>
      </c>
      <c r="P84" s="100">
        <v>0.52</v>
      </c>
      <c r="Q84" s="100">
        <v>9.32</v>
      </c>
      <c r="R84" s="6"/>
      <c r="S84" s="6"/>
      <c r="T84" s="156"/>
      <c r="U84" s="6"/>
    </row>
    <row r="85" spans="1:21" customFormat="1">
      <c r="A85" s="163" t="s">
        <v>2819</v>
      </c>
      <c r="B85" s="100">
        <v>6.59</v>
      </c>
      <c r="C85" s="100">
        <v>22.4</v>
      </c>
      <c r="D85" s="100">
        <v>16.989999999999998</v>
      </c>
      <c r="E85" s="100">
        <v>4.32</v>
      </c>
      <c r="F85" s="100">
        <v>0.06</v>
      </c>
      <c r="G85" s="100">
        <v>86.39</v>
      </c>
      <c r="H85" s="100">
        <v>31</v>
      </c>
      <c r="I85" s="100">
        <v>8.36</v>
      </c>
      <c r="J85" s="100">
        <v>0.17</v>
      </c>
      <c r="K85" s="100">
        <v>188.64</v>
      </c>
      <c r="L85" s="100">
        <v>15.28</v>
      </c>
      <c r="M85" s="100">
        <v>70.73</v>
      </c>
      <c r="N85" s="100">
        <v>32.299999999999997</v>
      </c>
      <c r="O85" s="100">
        <v>0</v>
      </c>
      <c r="P85" s="100">
        <v>0.54</v>
      </c>
      <c r="Q85" s="100">
        <v>9.32</v>
      </c>
      <c r="R85" s="6"/>
      <c r="S85" s="6"/>
      <c r="T85" s="156"/>
      <c r="U85" s="6"/>
    </row>
    <row r="86" spans="1:21" customFormat="1">
      <c r="A86" s="163" t="s">
        <v>2820</v>
      </c>
      <c r="B86" s="100">
        <v>6.83</v>
      </c>
      <c r="C86" s="100">
        <v>21.82</v>
      </c>
      <c r="D86" s="100">
        <v>16.88</v>
      </c>
      <c r="E86" s="100">
        <v>4.12</v>
      </c>
      <c r="F86" s="100">
        <v>0.13</v>
      </c>
      <c r="G86" s="100">
        <v>86.39</v>
      </c>
      <c r="H86" s="100">
        <v>31</v>
      </c>
      <c r="I86" s="100">
        <v>8.6</v>
      </c>
      <c r="J86" s="100">
        <v>0.16</v>
      </c>
      <c r="K86" s="100">
        <v>163.72999999999999</v>
      </c>
      <c r="L86" s="100">
        <v>15.1</v>
      </c>
      <c r="M86" s="100">
        <v>67.84</v>
      </c>
      <c r="N86" s="100">
        <v>32.299999999999997</v>
      </c>
      <c r="O86" s="100">
        <v>0</v>
      </c>
      <c r="P86" s="100">
        <v>0.56000000000000005</v>
      </c>
      <c r="Q86" s="100">
        <v>9.32</v>
      </c>
      <c r="R86" s="6"/>
      <c r="S86" s="6"/>
      <c r="T86" s="156"/>
      <c r="U86" s="6"/>
    </row>
    <row r="87" spans="1:21" customFormat="1">
      <c r="A87" s="163" t="s">
        <v>2821</v>
      </c>
      <c r="B87" s="100">
        <v>7.06</v>
      </c>
      <c r="C87" s="100">
        <v>21.38</v>
      </c>
      <c r="D87" s="100">
        <v>16.829999999999998</v>
      </c>
      <c r="E87" s="100">
        <v>4.3899999999999997</v>
      </c>
      <c r="F87" s="100">
        <v>0.1</v>
      </c>
      <c r="G87" s="100">
        <v>87.55</v>
      </c>
      <c r="H87" s="100">
        <v>31.56</v>
      </c>
      <c r="I87" s="100">
        <v>9.15</v>
      </c>
      <c r="J87" s="100">
        <v>0.14000000000000001</v>
      </c>
      <c r="K87" s="100">
        <v>185.46</v>
      </c>
      <c r="L87" s="100">
        <v>14.82</v>
      </c>
      <c r="M87" s="100">
        <v>72.34</v>
      </c>
      <c r="N87" s="100">
        <v>32.1</v>
      </c>
      <c r="O87" s="100">
        <v>0</v>
      </c>
      <c r="P87" s="100">
        <v>0.56999999999999995</v>
      </c>
      <c r="Q87" s="100">
        <v>9.32</v>
      </c>
      <c r="R87" s="6"/>
      <c r="S87" s="6"/>
      <c r="T87" s="156"/>
      <c r="U87" s="6"/>
    </row>
    <row r="88" spans="1:21" customFormat="1">
      <c r="A88" s="163" t="s">
        <v>2822</v>
      </c>
      <c r="B88" s="100">
        <v>7.35</v>
      </c>
      <c r="C88" s="100">
        <v>20.93</v>
      </c>
      <c r="D88" s="100">
        <v>16.829999999999998</v>
      </c>
      <c r="E88" s="100">
        <v>4.1399999999999997</v>
      </c>
      <c r="F88" s="100">
        <v>0.12</v>
      </c>
      <c r="G88" s="100">
        <v>89.12</v>
      </c>
      <c r="H88" s="100">
        <v>31.99</v>
      </c>
      <c r="I88" s="100">
        <v>9.64</v>
      </c>
      <c r="J88" s="100">
        <v>0.14000000000000001</v>
      </c>
      <c r="K88" s="100">
        <v>218.5</v>
      </c>
      <c r="L88" s="100">
        <v>14.41</v>
      </c>
      <c r="M88" s="100">
        <v>77.08</v>
      </c>
      <c r="N88" s="100">
        <v>32.299999999999997</v>
      </c>
      <c r="O88" s="100">
        <v>0</v>
      </c>
      <c r="P88" s="100">
        <v>0.57999999999999996</v>
      </c>
      <c r="Q88" s="100">
        <v>9.32</v>
      </c>
      <c r="R88" s="6"/>
      <c r="S88" s="6"/>
      <c r="T88" s="156"/>
      <c r="U88" s="6"/>
    </row>
    <row r="89" spans="1:21" customFormat="1">
      <c r="A89" s="163" t="s">
        <v>2823</v>
      </c>
      <c r="B89" s="100">
        <v>7.8</v>
      </c>
      <c r="C89" s="100">
        <v>20.47</v>
      </c>
      <c r="D89" s="100">
        <v>16.95</v>
      </c>
      <c r="E89" s="100">
        <v>4.13</v>
      </c>
      <c r="F89" s="100">
        <v>0.08</v>
      </c>
      <c r="G89" s="100">
        <v>89.12</v>
      </c>
      <c r="H89" s="100">
        <v>31.99</v>
      </c>
      <c r="I89" s="100">
        <v>9.8699999999999992</v>
      </c>
      <c r="J89" s="100">
        <v>0.16</v>
      </c>
      <c r="K89" s="100">
        <v>223.93</v>
      </c>
      <c r="L89" s="100">
        <v>13.96</v>
      </c>
      <c r="M89" s="100">
        <v>75.290000000000006</v>
      </c>
      <c r="N89" s="100">
        <v>32.299999999999997</v>
      </c>
      <c r="O89" s="100">
        <v>0</v>
      </c>
      <c r="P89" s="100">
        <v>0.6</v>
      </c>
      <c r="Q89" s="100">
        <v>9.32</v>
      </c>
      <c r="R89" s="6"/>
      <c r="S89" s="6"/>
      <c r="T89" s="156"/>
      <c r="U89" s="6"/>
    </row>
    <row r="90" spans="1:21" customFormat="1">
      <c r="A90" s="163" t="s">
        <v>2824</v>
      </c>
      <c r="B90" s="100">
        <v>8.2100000000000009</v>
      </c>
      <c r="C90" s="100">
        <v>20.27</v>
      </c>
      <c r="D90" s="100">
        <v>17.18</v>
      </c>
      <c r="E90" s="100">
        <v>4.2</v>
      </c>
      <c r="F90" s="100">
        <v>0.02</v>
      </c>
      <c r="G90" s="100">
        <v>89.12</v>
      </c>
      <c r="H90" s="100">
        <v>31.99</v>
      </c>
      <c r="I90" s="100">
        <v>10.130000000000001</v>
      </c>
      <c r="J90" s="100">
        <v>0.16</v>
      </c>
      <c r="K90" s="100">
        <v>206.95</v>
      </c>
      <c r="L90" s="100">
        <v>13.74</v>
      </c>
      <c r="M90" s="100">
        <v>73.040000000000006</v>
      </c>
      <c r="N90" s="100">
        <v>32.299999999999997</v>
      </c>
      <c r="O90" s="100">
        <v>0</v>
      </c>
      <c r="P90" s="100">
        <v>0.61</v>
      </c>
      <c r="Q90" s="100">
        <v>9.32</v>
      </c>
      <c r="R90" s="6"/>
      <c r="S90" s="6"/>
      <c r="T90" s="156"/>
      <c r="U90" s="6"/>
    </row>
    <row r="91" spans="1:21" customFormat="1">
      <c r="A91" s="163" t="s">
        <v>2825</v>
      </c>
      <c r="B91" s="100">
        <v>8.44</v>
      </c>
      <c r="C91" s="100">
        <v>20.12</v>
      </c>
      <c r="D91" s="100">
        <v>17.28</v>
      </c>
      <c r="E91" s="100">
        <v>3.75</v>
      </c>
      <c r="F91" s="100">
        <v>0.03</v>
      </c>
      <c r="G91" s="100">
        <v>86.09</v>
      </c>
      <c r="H91" s="100">
        <v>31.65</v>
      </c>
      <c r="I91" s="100">
        <v>10.36</v>
      </c>
      <c r="J91" s="100">
        <v>0.2</v>
      </c>
      <c r="K91" s="100">
        <v>168.74</v>
      </c>
      <c r="L91" s="100">
        <v>13.47</v>
      </c>
      <c r="M91" s="100">
        <v>76.8</v>
      </c>
      <c r="N91" s="100">
        <v>32.299999999999997</v>
      </c>
      <c r="O91" s="100">
        <v>0</v>
      </c>
      <c r="P91" s="100">
        <v>0.62</v>
      </c>
      <c r="Q91" s="100">
        <v>9.32</v>
      </c>
      <c r="R91" s="6"/>
      <c r="S91" s="6"/>
      <c r="T91" s="156"/>
      <c r="U91" s="6"/>
    </row>
    <row r="92" spans="1:21" customFormat="1">
      <c r="A92" s="163" t="s">
        <v>2826</v>
      </c>
      <c r="B92" s="100">
        <v>8.7100000000000009</v>
      </c>
      <c r="C92" s="100">
        <v>19.91</v>
      </c>
      <c r="D92" s="100">
        <v>17.39</v>
      </c>
      <c r="E92" s="100">
        <v>3.96</v>
      </c>
      <c r="F92" s="100">
        <v>0.09</v>
      </c>
      <c r="G92" s="100">
        <v>82.11</v>
      </c>
      <c r="H92" s="100">
        <v>31.39</v>
      </c>
      <c r="I92" s="100">
        <v>10.58</v>
      </c>
      <c r="J92" s="100">
        <v>0.25</v>
      </c>
      <c r="K92" s="100">
        <v>149.05000000000001</v>
      </c>
      <c r="L92" s="100">
        <v>13.21</v>
      </c>
      <c r="M92" s="100">
        <v>77.790000000000006</v>
      </c>
      <c r="N92" s="100">
        <v>32.299999999999997</v>
      </c>
      <c r="O92" s="100">
        <v>0</v>
      </c>
      <c r="P92" s="100">
        <v>0.63</v>
      </c>
      <c r="Q92" s="100">
        <v>9.32</v>
      </c>
      <c r="R92" s="6"/>
      <c r="S92" s="6"/>
      <c r="T92" s="156"/>
      <c r="U92" s="6"/>
    </row>
    <row r="93" spans="1:21" customFormat="1">
      <c r="A93" s="163" t="s">
        <v>2827</v>
      </c>
      <c r="B93" s="100">
        <v>8.82</v>
      </c>
      <c r="C93" s="100">
        <v>19.79</v>
      </c>
      <c r="D93" s="100">
        <v>17.41</v>
      </c>
      <c r="E93" s="100">
        <v>4.2300000000000004</v>
      </c>
      <c r="F93" s="100">
        <v>0.2</v>
      </c>
      <c r="G93" s="100">
        <v>82.11</v>
      </c>
      <c r="H93" s="100">
        <v>31.39</v>
      </c>
      <c r="I93" s="100">
        <v>10.8</v>
      </c>
      <c r="J93" s="100">
        <v>0.28999999999999998</v>
      </c>
      <c r="K93" s="100">
        <v>161.57</v>
      </c>
      <c r="L93" s="100">
        <v>13.35</v>
      </c>
      <c r="M93" s="100">
        <v>75.22</v>
      </c>
      <c r="N93" s="100">
        <v>32</v>
      </c>
      <c r="O93" s="100">
        <v>0</v>
      </c>
      <c r="P93" s="100">
        <v>0.65</v>
      </c>
      <c r="Q93" s="100">
        <v>9.32</v>
      </c>
      <c r="R93" s="6"/>
      <c r="S93" s="6"/>
      <c r="T93" s="156"/>
      <c r="U93" s="6"/>
    </row>
    <row r="94" spans="1:21" customFormat="1">
      <c r="A94" s="163" t="s">
        <v>2828</v>
      </c>
      <c r="B94" s="100">
        <v>8.85</v>
      </c>
      <c r="C94" s="100">
        <v>19.72</v>
      </c>
      <c r="D94" s="100">
        <v>17.399999999999999</v>
      </c>
      <c r="E94" s="100">
        <v>4.2</v>
      </c>
      <c r="F94" s="100">
        <v>7.0000000000000007E-2</v>
      </c>
      <c r="G94" s="100">
        <v>82.11</v>
      </c>
      <c r="H94" s="100">
        <v>31.39</v>
      </c>
      <c r="I94" s="100">
        <v>11.06</v>
      </c>
      <c r="J94" s="100">
        <v>0.25</v>
      </c>
      <c r="K94" s="100">
        <v>159.86000000000001</v>
      </c>
      <c r="L94" s="100">
        <v>13.19</v>
      </c>
      <c r="M94" s="100">
        <v>76.680000000000007</v>
      </c>
      <c r="N94" s="100">
        <v>32.200000000000003</v>
      </c>
      <c r="O94" s="100">
        <v>0</v>
      </c>
      <c r="P94" s="100">
        <v>0.67</v>
      </c>
      <c r="Q94" s="100">
        <v>9.32</v>
      </c>
      <c r="R94" s="6"/>
      <c r="S94" s="6"/>
      <c r="T94" s="156"/>
      <c r="U94" s="6"/>
    </row>
    <row r="95" spans="1:21" customFormat="1">
      <c r="A95" s="163" t="s">
        <v>2829</v>
      </c>
      <c r="B95" s="100">
        <v>8.94</v>
      </c>
      <c r="C95" s="100">
        <v>19.440000000000001</v>
      </c>
      <c r="D95" s="100">
        <v>17.329999999999998</v>
      </c>
      <c r="E95" s="100">
        <v>4.03</v>
      </c>
      <c r="F95" s="100">
        <v>0.22</v>
      </c>
      <c r="G95" s="100">
        <v>85.19</v>
      </c>
      <c r="H95" s="100">
        <v>34.74</v>
      </c>
      <c r="I95" s="100">
        <v>11.39</v>
      </c>
      <c r="J95" s="100">
        <v>0.24</v>
      </c>
      <c r="K95" s="100">
        <v>158.80000000000001</v>
      </c>
      <c r="L95" s="100">
        <v>13.12</v>
      </c>
      <c r="M95" s="100">
        <v>77.86</v>
      </c>
      <c r="N95" s="100">
        <v>32.1</v>
      </c>
      <c r="O95" s="100">
        <v>0</v>
      </c>
      <c r="P95" s="100">
        <v>0.69</v>
      </c>
      <c r="Q95" s="100">
        <v>9.32</v>
      </c>
      <c r="R95" s="6"/>
      <c r="S95" s="6"/>
      <c r="T95" s="156"/>
      <c r="U95" s="6"/>
    </row>
    <row r="96" spans="1:21" customFormat="1">
      <c r="A96" s="163" t="s">
        <v>2830</v>
      </c>
      <c r="B96" s="100">
        <v>9.06</v>
      </c>
      <c r="C96" s="100">
        <v>19.32</v>
      </c>
      <c r="D96" s="100">
        <v>17.36</v>
      </c>
      <c r="E96" s="100">
        <v>4.18</v>
      </c>
      <c r="F96" s="100">
        <v>0.28000000000000003</v>
      </c>
      <c r="G96" s="100">
        <v>89.39</v>
      </c>
      <c r="H96" s="100">
        <v>37.369999999999997</v>
      </c>
      <c r="I96" s="100">
        <v>11.78</v>
      </c>
      <c r="J96" s="100">
        <v>0.23</v>
      </c>
      <c r="K96" s="100">
        <v>159.28</v>
      </c>
      <c r="L96" s="100">
        <v>12.95</v>
      </c>
      <c r="M96" s="100">
        <v>78.91</v>
      </c>
      <c r="N96" s="100">
        <v>32.200000000000003</v>
      </c>
      <c r="O96" s="100">
        <v>0</v>
      </c>
      <c r="P96" s="100">
        <v>0.71</v>
      </c>
      <c r="Q96" s="100">
        <v>9.32</v>
      </c>
      <c r="R96" s="6"/>
      <c r="S96" s="6"/>
      <c r="T96" s="156"/>
      <c r="U96" s="6"/>
    </row>
    <row r="97" spans="1:28" customFormat="1">
      <c r="A97" s="163" t="s">
        <v>2831</v>
      </c>
      <c r="B97" s="100">
        <v>9.17</v>
      </c>
      <c r="C97" s="100">
        <v>19.190000000000001</v>
      </c>
      <c r="D97" s="100">
        <v>17.38</v>
      </c>
      <c r="E97" s="100">
        <v>4.5999999999999996</v>
      </c>
      <c r="F97" s="100">
        <v>0.26</v>
      </c>
      <c r="G97" s="100">
        <v>89.39</v>
      </c>
      <c r="H97" s="100">
        <v>37.369999999999997</v>
      </c>
      <c r="I97" s="100">
        <v>12.19</v>
      </c>
      <c r="J97" s="100">
        <v>0.14000000000000001</v>
      </c>
      <c r="K97" s="100">
        <v>189.08</v>
      </c>
      <c r="L97" s="100">
        <v>12.9</v>
      </c>
      <c r="M97" s="100">
        <v>79.44</v>
      </c>
      <c r="N97" s="100">
        <v>32</v>
      </c>
      <c r="O97" s="100">
        <v>0</v>
      </c>
      <c r="P97" s="100">
        <v>0.73</v>
      </c>
      <c r="Q97" s="100">
        <v>9.32</v>
      </c>
      <c r="R97" s="6"/>
      <c r="S97" s="6"/>
      <c r="T97" s="156"/>
      <c r="U97" s="6"/>
    </row>
    <row r="98" spans="1:28" customFormat="1">
      <c r="A98" s="163" t="s">
        <v>2832</v>
      </c>
      <c r="B98" s="100">
        <v>9.2899999999999991</v>
      </c>
      <c r="C98" s="100">
        <v>19.09</v>
      </c>
      <c r="D98" s="100">
        <v>17.43</v>
      </c>
      <c r="E98" s="100">
        <v>4.3499999999999996</v>
      </c>
      <c r="F98" s="100">
        <v>0.33</v>
      </c>
      <c r="G98" s="100">
        <v>89.39</v>
      </c>
      <c r="H98" s="100">
        <v>37.369999999999997</v>
      </c>
      <c r="I98" s="100">
        <v>12.58</v>
      </c>
      <c r="J98" s="100">
        <v>0.17</v>
      </c>
      <c r="K98" s="100">
        <v>216.56</v>
      </c>
      <c r="L98" s="100">
        <v>12.65</v>
      </c>
      <c r="M98" s="100">
        <v>80.98</v>
      </c>
      <c r="N98" s="100">
        <v>32.200000000000003</v>
      </c>
      <c r="O98" s="100">
        <v>0</v>
      </c>
      <c r="P98" s="100">
        <v>0.74</v>
      </c>
      <c r="Q98" s="100">
        <v>9.32</v>
      </c>
      <c r="R98" s="6"/>
      <c r="S98" s="6"/>
      <c r="T98" s="156"/>
      <c r="U98" s="6"/>
    </row>
    <row r="99" spans="1:28" customFormat="1">
      <c r="A99" s="163" t="s">
        <v>2833</v>
      </c>
      <c r="B99" s="100">
        <v>9.76</v>
      </c>
      <c r="C99" s="100">
        <v>19.12</v>
      </c>
      <c r="D99" s="100">
        <v>17.82</v>
      </c>
      <c r="E99" s="100">
        <v>4.38</v>
      </c>
      <c r="F99" s="100">
        <v>0.31</v>
      </c>
      <c r="G99" s="100">
        <v>88.88</v>
      </c>
      <c r="H99" s="100">
        <v>39.340000000000003</v>
      </c>
      <c r="I99" s="100">
        <v>12.95</v>
      </c>
      <c r="J99" s="100">
        <v>0.2</v>
      </c>
      <c r="K99" s="100">
        <v>218.8</v>
      </c>
      <c r="L99" s="100">
        <v>12.41</v>
      </c>
      <c r="M99" s="100">
        <v>83.41</v>
      </c>
      <c r="N99" s="100">
        <v>32.299999999999997</v>
      </c>
      <c r="O99" s="100">
        <v>0</v>
      </c>
      <c r="P99" s="100">
        <v>0.75</v>
      </c>
      <c r="Q99" s="100">
        <v>9.32</v>
      </c>
      <c r="R99" s="6"/>
      <c r="S99" s="6"/>
      <c r="T99" s="156"/>
      <c r="U99" s="6"/>
    </row>
    <row r="100" spans="1:28" customFormat="1">
      <c r="A100" s="163" t="s">
        <v>2834</v>
      </c>
      <c r="B100" s="100">
        <v>10.33</v>
      </c>
      <c r="C100" s="100">
        <v>19.05</v>
      </c>
      <c r="D100" s="100">
        <v>18.239999999999998</v>
      </c>
      <c r="E100" s="100">
        <v>4</v>
      </c>
      <c r="F100" s="100">
        <v>0.45</v>
      </c>
      <c r="G100" s="100">
        <v>88.19</v>
      </c>
      <c r="H100" s="100">
        <v>40.840000000000003</v>
      </c>
      <c r="I100" s="100">
        <v>13.31</v>
      </c>
      <c r="J100" s="100">
        <v>0.28000000000000003</v>
      </c>
      <c r="K100" s="100">
        <v>231.41</v>
      </c>
      <c r="L100" s="100">
        <v>12.13</v>
      </c>
      <c r="M100" s="100">
        <v>82.62</v>
      </c>
      <c r="N100" s="100">
        <v>32.299999999999997</v>
      </c>
      <c r="O100" s="100">
        <v>0</v>
      </c>
      <c r="P100" s="100">
        <v>0.78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2835</v>
      </c>
      <c r="B101" s="100">
        <v>11.36</v>
      </c>
      <c r="C101" s="100">
        <v>19.149999999999999</v>
      </c>
      <c r="D101" s="100">
        <v>19.11</v>
      </c>
      <c r="E101" s="100">
        <v>4.6399999999999997</v>
      </c>
      <c r="F101" s="100">
        <v>0.2</v>
      </c>
      <c r="G101" s="100">
        <v>88.19</v>
      </c>
      <c r="H101" s="100">
        <v>40.840000000000003</v>
      </c>
      <c r="I101" s="100">
        <v>13.68</v>
      </c>
      <c r="J101" s="100">
        <v>0.2</v>
      </c>
      <c r="K101" s="100">
        <v>168.32</v>
      </c>
      <c r="L101" s="100">
        <v>12.37</v>
      </c>
      <c r="M101" s="100">
        <v>78.540000000000006</v>
      </c>
      <c r="N101" s="100">
        <v>32.1</v>
      </c>
      <c r="O101" s="100">
        <v>0</v>
      </c>
      <c r="P101" s="100">
        <v>0.79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2836</v>
      </c>
      <c r="B102" s="100">
        <v>12.88</v>
      </c>
      <c r="C102" s="100">
        <v>19.489999999999998</v>
      </c>
      <c r="D102" s="100">
        <v>20.51</v>
      </c>
      <c r="E102" s="100">
        <v>4.32</v>
      </c>
      <c r="F102" s="100">
        <v>0.27</v>
      </c>
      <c r="G102" s="100">
        <v>88.19</v>
      </c>
      <c r="H102" s="100">
        <v>40.840000000000003</v>
      </c>
      <c r="I102" s="100">
        <v>14.03</v>
      </c>
      <c r="J102" s="100">
        <v>0.22</v>
      </c>
      <c r="K102" s="100">
        <v>156.47999999999999</v>
      </c>
      <c r="L102" s="100">
        <v>12.5</v>
      </c>
      <c r="M102" s="100">
        <v>79.62</v>
      </c>
      <c r="N102" s="100">
        <v>32.1</v>
      </c>
      <c r="O102" s="100">
        <v>0</v>
      </c>
      <c r="P102" s="100">
        <v>0.82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2837</v>
      </c>
      <c r="B103" s="100">
        <v>15.16</v>
      </c>
      <c r="C103" s="100">
        <v>19.84</v>
      </c>
      <c r="D103" s="100">
        <v>22.52</v>
      </c>
      <c r="E103" s="100">
        <v>4.37</v>
      </c>
      <c r="F103" s="100">
        <v>0.47</v>
      </c>
      <c r="G103" s="100">
        <v>88.59</v>
      </c>
      <c r="H103" s="100">
        <v>42.17</v>
      </c>
      <c r="I103" s="100">
        <v>14.4</v>
      </c>
      <c r="J103" s="100">
        <v>0.25</v>
      </c>
      <c r="K103" s="100">
        <v>183.41</v>
      </c>
      <c r="L103" s="100">
        <v>12.46</v>
      </c>
      <c r="M103" s="100">
        <v>81.150000000000006</v>
      </c>
      <c r="N103" s="100">
        <v>31.9</v>
      </c>
      <c r="O103" s="100">
        <v>0</v>
      </c>
      <c r="P103" s="100">
        <v>0.84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2838</v>
      </c>
      <c r="B104" s="100">
        <v>17.239999999999998</v>
      </c>
      <c r="C104" s="100">
        <v>20.21</v>
      </c>
      <c r="D104" s="100">
        <v>24.38</v>
      </c>
      <c r="E104" s="100">
        <v>4.49</v>
      </c>
      <c r="F104" s="100">
        <v>0.54</v>
      </c>
      <c r="G104" s="100">
        <v>89.1</v>
      </c>
      <c r="H104" s="100">
        <v>43.17</v>
      </c>
      <c r="I104" s="100">
        <v>14.8</v>
      </c>
      <c r="J104" s="100">
        <v>0.18</v>
      </c>
      <c r="K104" s="100">
        <v>190.96</v>
      </c>
      <c r="L104" s="100">
        <v>12.28</v>
      </c>
      <c r="M104" s="100">
        <v>85.64</v>
      </c>
      <c r="N104" s="100">
        <v>32</v>
      </c>
      <c r="O104" s="100">
        <v>0</v>
      </c>
      <c r="P104" s="100">
        <v>0.88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0.01</v>
      </c>
      <c r="C106" s="158">
        <f>MIN(C9:C104)</f>
        <v>6.45</v>
      </c>
      <c r="D106" s="158">
        <f t="shared" ref="D106:Q106" si="0">MIN(D9:D104)</f>
        <v>3.37</v>
      </c>
      <c r="E106" s="158">
        <f t="shared" si="0"/>
        <v>1.46</v>
      </c>
      <c r="F106" s="158">
        <f t="shared" si="0"/>
        <v>0.02</v>
      </c>
      <c r="G106" s="158">
        <f t="shared" si="0"/>
        <v>33.770000000000003</v>
      </c>
      <c r="H106" s="158">
        <f t="shared" si="0"/>
        <v>13.58</v>
      </c>
      <c r="I106" s="158">
        <f t="shared" si="0"/>
        <v>6.6</v>
      </c>
      <c r="J106" s="158">
        <f t="shared" si="0"/>
        <v>0.08</v>
      </c>
      <c r="K106" s="158">
        <f t="shared" si="0"/>
        <v>2.6</v>
      </c>
      <c r="L106" s="158">
        <f t="shared" si="0"/>
        <v>9.75</v>
      </c>
      <c r="M106" s="158">
        <f t="shared" si="0"/>
        <v>25.84</v>
      </c>
      <c r="N106" s="158">
        <f t="shared" si="0"/>
        <v>24.5</v>
      </c>
      <c r="O106" s="158">
        <f t="shared" si="0"/>
        <v>0</v>
      </c>
      <c r="P106" s="158">
        <f t="shared" si="0"/>
        <v>0.42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31.62</v>
      </c>
      <c r="C107" s="157">
        <f t="shared" ref="C107:Q107" si="1">MAX(C9:C104)</f>
        <v>26.47</v>
      </c>
      <c r="D107" s="157">
        <f t="shared" si="1"/>
        <v>35.119999999999997</v>
      </c>
      <c r="E107" s="157">
        <f t="shared" si="1"/>
        <v>20.93</v>
      </c>
      <c r="F107" s="157">
        <f t="shared" si="1"/>
        <v>11.81</v>
      </c>
      <c r="G107" s="157">
        <f t="shared" si="1"/>
        <v>89.39</v>
      </c>
      <c r="H107" s="157">
        <f t="shared" si="1"/>
        <v>43.17</v>
      </c>
      <c r="I107" s="157">
        <f t="shared" si="1"/>
        <v>15.78</v>
      </c>
      <c r="J107" s="157">
        <f t="shared" si="1"/>
        <v>1.07</v>
      </c>
      <c r="K107" s="157">
        <f t="shared" si="1"/>
        <v>353.2</v>
      </c>
      <c r="L107" s="157">
        <f t="shared" si="1"/>
        <v>23.72</v>
      </c>
      <c r="M107" s="157">
        <f t="shared" si="1"/>
        <v>93.54</v>
      </c>
      <c r="N107" s="157">
        <f t="shared" si="1"/>
        <v>591.5</v>
      </c>
      <c r="O107" s="157">
        <f t="shared" si="1"/>
        <v>0</v>
      </c>
      <c r="P107" s="157">
        <f t="shared" si="1"/>
        <v>0.91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13.927395833333334</v>
      </c>
      <c r="C108" s="158">
        <f t="shared" ref="C108:Q108" si="2">AVERAGE(C9:C104)</f>
        <v>20.512395833333333</v>
      </c>
      <c r="D108" s="158">
        <f t="shared" si="2"/>
        <v>21.927083333333332</v>
      </c>
      <c r="E108" s="158">
        <f t="shared" si="2"/>
        <v>5.030104166666665</v>
      </c>
      <c r="F108" s="158">
        <f t="shared" si="2"/>
        <v>1.8417708333333327</v>
      </c>
      <c r="G108" s="158">
        <f t="shared" si="2"/>
        <v>71.964782608695643</v>
      </c>
      <c r="H108" s="158">
        <f t="shared" si="2"/>
        <v>32.644565217391289</v>
      </c>
      <c r="I108" s="158">
        <f t="shared" si="2"/>
        <v>12.098854166666667</v>
      </c>
      <c r="J108" s="158">
        <f t="shared" si="2"/>
        <v>0.30718750000000011</v>
      </c>
      <c r="K108" s="158">
        <f t="shared" si="2"/>
        <v>167.51927083333334</v>
      </c>
      <c r="L108" s="158">
        <f t="shared" si="2"/>
        <v>15.844895833333339</v>
      </c>
      <c r="M108" s="158">
        <f t="shared" si="2"/>
        <v>63.69854166666665</v>
      </c>
      <c r="N108" s="158">
        <f t="shared" si="2"/>
        <v>119.73125</v>
      </c>
      <c r="O108" s="158">
        <f t="shared" si="2"/>
        <v>0</v>
      </c>
      <c r="P108" s="158">
        <f t="shared" si="2"/>
        <v>0.68124999999999991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10.084527100025083</v>
      </c>
      <c r="C109" s="158">
        <f t="shared" ref="C109:Q109" si="3">STDEV(C9:C104)</f>
        <v>3.2763380536304108</v>
      </c>
      <c r="D109" s="158">
        <f t="shared" si="3"/>
        <v>7.0608272836703954</v>
      </c>
      <c r="E109" s="158">
        <f t="shared" si="3"/>
        <v>2.6722816959892746</v>
      </c>
      <c r="F109" s="158">
        <f t="shared" si="3"/>
        <v>2.3338542753369955</v>
      </c>
      <c r="G109" s="158">
        <f t="shared" si="3"/>
        <v>11.790665098657694</v>
      </c>
      <c r="H109" s="158">
        <f t="shared" si="3"/>
        <v>5.7423235740132039</v>
      </c>
      <c r="I109" s="158">
        <f t="shared" si="3"/>
        <v>3.3906552292693961</v>
      </c>
      <c r="J109" s="158">
        <f t="shared" si="3"/>
        <v>0.24362483291020703</v>
      </c>
      <c r="K109" s="158">
        <f t="shared" si="3"/>
        <v>86.700143874642762</v>
      </c>
      <c r="L109" s="158">
        <f t="shared" si="3"/>
        <v>4.9421271778118303</v>
      </c>
      <c r="M109" s="158">
        <f t="shared" si="3"/>
        <v>23.687293506020321</v>
      </c>
      <c r="N109" s="158">
        <f t="shared" si="3"/>
        <v>164.89542990220068</v>
      </c>
      <c r="O109" s="158">
        <f t="shared" si="3"/>
        <v>0</v>
      </c>
      <c r="P109" s="158">
        <f t="shared" si="3"/>
        <v>0.16904842034474254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COUNT(H9:H104)+4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G16" sqref="G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2839</v>
      </c>
      <c r="B9" s="100">
        <v>19.03</v>
      </c>
      <c r="C9" s="100">
        <v>19.79</v>
      </c>
      <c r="D9" s="100">
        <v>25.6</v>
      </c>
      <c r="E9" s="100">
        <v>4.4800000000000004</v>
      </c>
      <c r="F9" s="100">
        <v>0.33</v>
      </c>
      <c r="G9" s="100">
        <v>89.1</v>
      </c>
      <c r="H9" s="100">
        <v>43.17</v>
      </c>
      <c r="I9" s="100">
        <v>13.78</v>
      </c>
      <c r="J9" s="100">
        <v>0.23</v>
      </c>
      <c r="K9" s="100">
        <v>209.74</v>
      </c>
      <c r="L9" s="100">
        <v>12</v>
      </c>
      <c r="M9" s="100">
        <v>86.49</v>
      </c>
      <c r="N9" s="100">
        <v>32.1</v>
      </c>
      <c r="O9" s="100">
        <v>0</v>
      </c>
      <c r="P9" s="100">
        <v>0.91</v>
      </c>
      <c r="Q9" s="100">
        <v>9.32</v>
      </c>
      <c r="R9" s="6"/>
      <c r="S9" s="6"/>
      <c r="T9" s="156"/>
      <c r="U9" s="6"/>
    </row>
    <row r="10" spans="1:21" customFormat="1">
      <c r="A10" s="163" t="s">
        <v>2840</v>
      </c>
      <c r="B10" s="100">
        <v>19.3</v>
      </c>
      <c r="C10" s="100">
        <v>20.14</v>
      </c>
      <c r="D10" s="100">
        <v>26</v>
      </c>
      <c r="E10" s="100">
        <v>4.4000000000000004</v>
      </c>
      <c r="F10" s="100">
        <v>0.18</v>
      </c>
      <c r="G10" s="100">
        <v>89.1</v>
      </c>
      <c r="H10" s="100">
        <v>43.17</v>
      </c>
      <c r="I10" s="100">
        <v>12.6</v>
      </c>
      <c r="J10" s="100">
        <v>0.12</v>
      </c>
      <c r="K10" s="100">
        <v>195.02</v>
      </c>
      <c r="L10" s="100">
        <v>11.6</v>
      </c>
      <c r="M10" s="100">
        <v>85.97</v>
      </c>
      <c r="N10" s="100">
        <v>32.4</v>
      </c>
      <c r="O10" s="100">
        <v>0</v>
      </c>
      <c r="P10" s="100">
        <v>0.93</v>
      </c>
      <c r="Q10" s="100">
        <v>9.32</v>
      </c>
      <c r="R10" s="6"/>
      <c r="S10" s="6"/>
      <c r="T10" s="156"/>
      <c r="U10" s="6"/>
    </row>
    <row r="11" spans="1:21" customFormat="1">
      <c r="A11" s="163" t="s">
        <v>2841</v>
      </c>
      <c r="B11" s="100">
        <v>19.45</v>
      </c>
      <c r="C11" s="100">
        <v>20.27</v>
      </c>
      <c r="D11" s="100">
        <v>26.18</v>
      </c>
      <c r="E11" s="100">
        <v>4.59</v>
      </c>
      <c r="F11" s="100">
        <v>0.34</v>
      </c>
      <c r="G11" s="100">
        <v>85.96</v>
      </c>
      <c r="H11" s="100">
        <v>42.82</v>
      </c>
      <c r="I11" s="100">
        <v>12.91</v>
      </c>
      <c r="J11" s="100">
        <v>0.43</v>
      </c>
      <c r="K11" s="100">
        <v>57.05</v>
      </c>
      <c r="L11" s="100">
        <v>11.9</v>
      </c>
      <c r="M11" s="100">
        <v>80.010000000000005</v>
      </c>
      <c r="N11" s="100">
        <v>31.5</v>
      </c>
      <c r="O11" s="100">
        <v>0</v>
      </c>
      <c r="P11" s="100">
        <v>0.94</v>
      </c>
      <c r="Q11" s="100">
        <v>9.32</v>
      </c>
      <c r="R11" s="6"/>
      <c r="S11" s="6"/>
      <c r="T11" s="156"/>
      <c r="U11" s="6"/>
    </row>
    <row r="12" spans="1:21" customFormat="1">
      <c r="A12" s="163" t="s">
        <v>2842</v>
      </c>
      <c r="B12" s="100">
        <v>20.53</v>
      </c>
      <c r="C12" s="100">
        <v>20.56</v>
      </c>
      <c r="D12" s="100">
        <v>27.21</v>
      </c>
      <c r="E12" s="100">
        <v>4.8899999999999997</v>
      </c>
      <c r="F12" s="100">
        <v>0.53</v>
      </c>
      <c r="G12" s="100">
        <v>81.66</v>
      </c>
      <c r="H12" s="100">
        <v>42.12</v>
      </c>
      <c r="I12" s="100">
        <v>13.16</v>
      </c>
      <c r="J12" s="100">
        <v>7.0000000000000007E-2</v>
      </c>
      <c r="K12" s="100">
        <v>134.01</v>
      </c>
      <c r="L12" s="100">
        <v>12.54</v>
      </c>
      <c r="M12" s="100">
        <v>74.459999999999994</v>
      </c>
      <c r="N12" s="100">
        <v>31.8</v>
      </c>
      <c r="O12" s="100">
        <v>0</v>
      </c>
      <c r="P12" s="100">
        <v>0.99</v>
      </c>
      <c r="Q12" s="100">
        <v>9.32</v>
      </c>
      <c r="R12" s="6"/>
      <c r="S12" s="6"/>
      <c r="T12" s="156"/>
      <c r="U12" s="6"/>
    </row>
    <row r="13" spans="1:21" customFormat="1">
      <c r="A13" s="163" t="s">
        <v>2843</v>
      </c>
      <c r="B13" s="100">
        <v>21.98</v>
      </c>
      <c r="C13" s="100">
        <v>21.24</v>
      </c>
      <c r="D13" s="100">
        <v>28.73</v>
      </c>
      <c r="E13" s="100">
        <v>5.0599999999999996</v>
      </c>
      <c r="F13" s="100">
        <v>0.54</v>
      </c>
      <c r="G13" s="100">
        <v>81.66</v>
      </c>
      <c r="H13" s="100">
        <v>42.12</v>
      </c>
      <c r="I13" s="100">
        <v>13.44</v>
      </c>
      <c r="J13" s="100">
        <v>0.15</v>
      </c>
      <c r="K13" s="100">
        <v>206.31</v>
      </c>
      <c r="L13" s="100">
        <v>12.41</v>
      </c>
      <c r="M13" s="100">
        <v>75.42</v>
      </c>
      <c r="N13" s="100">
        <v>32.200000000000003</v>
      </c>
      <c r="O13" s="100">
        <v>0</v>
      </c>
      <c r="P13" s="100">
        <v>1.02</v>
      </c>
      <c r="Q13" s="100">
        <v>9.32</v>
      </c>
      <c r="R13" s="6"/>
      <c r="S13" s="6"/>
      <c r="T13" s="156"/>
      <c r="U13" s="6"/>
    </row>
    <row r="14" spans="1:21" customFormat="1">
      <c r="A14" s="163" t="s">
        <v>2844</v>
      </c>
      <c r="B14" s="100">
        <v>23.52</v>
      </c>
      <c r="C14" s="100">
        <v>21.72</v>
      </c>
      <c r="D14" s="100">
        <v>30.21</v>
      </c>
      <c r="E14" s="100">
        <v>4.9400000000000004</v>
      </c>
      <c r="F14" s="100">
        <v>0.68</v>
      </c>
      <c r="G14" s="100">
        <v>81.66</v>
      </c>
      <c r="H14" s="100">
        <v>42.12</v>
      </c>
      <c r="I14" s="100">
        <v>13.91</v>
      </c>
      <c r="J14" s="100">
        <v>0.15</v>
      </c>
      <c r="K14" s="100">
        <v>160.62</v>
      </c>
      <c r="L14" s="100">
        <v>12.09</v>
      </c>
      <c r="M14" s="100">
        <v>78.400000000000006</v>
      </c>
      <c r="N14" s="100">
        <v>32.299999999999997</v>
      </c>
      <c r="O14" s="100">
        <v>0</v>
      </c>
      <c r="P14" s="100">
        <v>1.06</v>
      </c>
      <c r="Q14" s="100">
        <v>9.32</v>
      </c>
      <c r="R14" s="6"/>
      <c r="S14" s="6"/>
      <c r="T14" s="156"/>
      <c r="U14" s="6"/>
    </row>
    <row r="15" spans="1:21" customFormat="1">
      <c r="A15" s="163" t="s">
        <v>2845</v>
      </c>
      <c r="B15" s="100">
        <v>24.69</v>
      </c>
      <c r="C15" s="100">
        <v>21.88</v>
      </c>
      <c r="D15" s="100">
        <v>31.23</v>
      </c>
      <c r="E15" s="100">
        <v>4.78</v>
      </c>
      <c r="F15" s="100">
        <v>0.52</v>
      </c>
      <c r="G15" s="100">
        <v>86.83</v>
      </c>
      <c r="H15" s="100">
        <v>46.57</v>
      </c>
      <c r="I15" s="100">
        <v>14.38</v>
      </c>
      <c r="J15" s="100">
        <v>0.17</v>
      </c>
      <c r="K15" s="100">
        <v>164.09</v>
      </c>
      <c r="L15" s="100">
        <v>11.66</v>
      </c>
      <c r="M15" s="100">
        <v>82.15</v>
      </c>
      <c r="N15" s="100">
        <v>32.299999999999997</v>
      </c>
      <c r="O15" s="100">
        <v>0</v>
      </c>
      <c r="P15" s="100">
        <v>1.08</v>
      </c>
      <c r="Q15" s="100">
        <v>9.32</v>
      </c>
      <c r="R15" s="6"/>
      <c r="S15" s="6"/>
      <c r="T15" s="156"/>
      <c r="U15" s="6"/>
    </row>
    <row r="16" spans="1:21" customFormat="1">
      <c r="A16" s="163" t="s">
        <v>2846</v>
      </c>
      <c r="B16" s="100">
        <v>25.41</v>
      </c>
      <c r="C16" s="100">
        <v>21.76</v>
      </c>
      <c r="D16" s="100">
        <v>31.74</v>
      </c>
      <c r="E16" s="100">
        <v>4.71</v>
      </c>
      <c r="F16" s="100">
        <v>0.31</v>
      </c>
      <c r="G16" s="100">
        <v>93.92</v>
      </c>
      <c r="H16" s="100">
        <v>50.06</v>
      </c>
      <c r="I16" s="100">
        <v>14.73</v>
      </c>
      <c r="J16" s="100">
        <v>0.21</v>
      </c>
      <c r="K16" s="100">
        <v>166.38</v>
      </c>
      <c r="L16" s="100">
        <v>11.57</v>
      </c>
      <c r="M16" s="100">
        <v>85.05</v>
      </c>
      <c r="N16" s="100">
        <v>32.1</v>
      </c>
      <c r="O16" s="100">
        <v>0</v>
      </c>
      <c r="P16" s="100">
        <v>1.1000000000000001</v>
      </c>
      <c r="Q16" s="100">
        <v>9.32</v>
      </c>
      <c r="R16" s="6"/>
      <c r="S16" s="6"/>
      <c r="T16" s="156"/>
      <c r="U16" s="6"/>
    </row>
    <row r="17" spans="1:21" customFormat="1">
      <c r="A17" s="163" t="s">
        <v>2847</v>
      </c>
      <c r="B17" s="100">
        <v>25.87</v>
      </c>
      <c r="C17" s="100">
        <v>21.54</v>
      </c>
      <c r="D17" s="100">
        <v>32</v>
      </c>
      <c r="E17" s="100">
        <v>1.9</v>
      </c>
      <c r="F17" s="100">
        <v>0.39</v>
      </c>
      <c r="G17" s="100">
        <v>93.92</v>
      </c>
      <c r="H17" s="100">
        <v>50.06</v>
      </c>
      <c r="I17" s="100">
        <v>15.06</v>
      </c>
      <c r="J17" s="100">
        <v>0.14000000000000001</v>
      </c>
      <c r="K17" s="100">
        <v>156.38</v>
      </c>
      <c r="L17" s="100">
        <v>11.2</v>
      </c>
      <c r="M17" s="100">
        <v>87.07</v>
      </c>
      <c r="N17" s="100">
        <v>32.299999999999997</v>
      </c>
      <c r="O17" s="100">
        <v>0</v>
      </c>
      <c r="P17" s="100">
        <v>1.1200000000000001</v>
      </c>
      <c r="Q17" s="100">
        <v>9.32</v>
      </c>
      <c r="R17" s="6"/>
      <c r="S17" s="6"/>
      <c r="T17" s="156"/>
      <c r="U17" s="6"/>
    </row>
    <row r="18" spans="1:21" customFormat="1">
      <c r="A18" s="163" t="s">
        <v>2848</v>
      </c>
      <c r="B18" s="100">
        <v>26.56</v>
      </c>
      <c r="C18" s="100">
        <v>21.31</v>
      </c>
      <c r="D18" s="100">
        <v>32.43</v>
      </c>
      <c r="E18" s="100">
        <v>3.01</v>
      </c>
      <c r="F18" s="100">
        <v>0.32</v>
      </c>
      <c r="G18" s="100">
        <v>93.92</v>
      </c>
      <c r="H18" s="100">
        <v>50.06</v>
      </c>
      <c r="I18" s="100">
        <v>15.38</v>
      </c>
      <c r="J18" s="100">
        <v>0.16</v>
      </c>
      <c r="K18" s="100">
        <v>167.47</v>
      </c>
      <c r="L18" s="100">
        <v>11.03</v>
      </c>
      <c r="M18" s="100">
        <v>85.61</v>
      </c>
      <c r="N18" s="100">
        <v>32</v>
      </c>
      <c r="O18" s="100">
        <v>0</v>
      </c>
      <c r="P18" s="100">
        <v>1.1399999999999999</v>
      </c>
      <c r="Q18" s="100">
        <v>9.32</v>
      </c>
      <c r="R18" s="6"/>
      <c r="S18" s="6"/>
      <c r="T18" s="156"/>
      <c r="U18" s="6"/>
    </row>
    <row r="19" spans="1:21" customFormat="1">
      <c r="A19" s="163" t="s">
        <v>2849</v>
      </c>
      <c r="B19" s="100">
        <v>28.27</v>
      </c>
      <c r="C19" s="100">
        <v>21.41</v>
      </c>
      <c r="D19" s="100">
        <v>33.86</v>
      </c>
      <c r="E19" s="100">
        <v>2.87</v>
      </c>
      <c r="F19" s="100">
        <v>0.37</v>
      </c>
      <c r="G19" s="100">
        <v>96.87</v>
      </c>
      <c r="H19" s="100">
        <v>51.63</v>
      </c>
      <c r="I19" s="100">
        <v>15.65</v>
      </c>
      <c r="J19" s="100">
        <v>0.19</v>
      </c>
      <c r="K19" s="100">
        <v>168.46</v>
      </c>
      <c r="L19" s="100">
        <v>11.02</v>
      </c>
      <c r="M19" s="100">
        <v>86.96</v>
      </c>
      <c r="N19" s="100">
        <v>32</v>
      </c>
      <c r="O19" s="100">
        <v>0</v>
      </c>
      <c r="P19" s="100">
        <v>1.1599999999999999</v>
      </c>
      <c r="Q19" s="100">
        <v>9.32</v>
      </c>
      <c r="R19" s="6"/>
      <c r="S19" s="6"/>
      <c r="T19" s="156"/>
      <c r="U19" s="6"/>
    </row>
    <row r="20" spans="1:21" customFormat="1">
      <c r="A20" s="163" t="s">
        <v>2850</v>
      </c>
      <c r="B20" s="100">
        <v>28.96</v>
      </c>
      <c r="C20" s="100">
        <v>21.47</v>
      </c>
      <c r="D20" s="100">
        <v>34.44</v>
      </c>
      <c r="E20" s="100">
        <v>3.21</v>
      </c>
      <c r="F20" s="100">
        <v>0.33</v>
      </c>
      <c r="G20" s="100">
        <v>100.9</v>
      </c>
      <c r="H20" s="100">
        <v>52.86</v>
      </c>
      <c r="I20" s="100">
        <v>15.83</v>
      </c>
      <c r="J20" s="100">
        <v>0.14000000000000001</v>
      </c>
      <c r="K20" s="100">
        <v>172.24</v>
      </c>
      <c r="L20" s="100">
        <v>10.79</v>
      </c>
      <c r="M20" s="100">
        <v>88</v>
      </c>
      <c r="N20" s="100">
        <v>32.299999999999997</v>
      </c>
      <c r="O20" s="100">
        <v>0</v>
      </c>
      <c r="P20" s="100">
        <v>1.17</v>
      </c>
      <c r="Q20" s="100">
        <v>9.32</v>
      </c>
      <c r="R20" s="6"/>
      <c r="S20" s="6"/>
      <c r="T20" s="156"/>
      <c r="U20" s="6"/>
    </row>
    <row r="21" spans="1:21" customFormat="1">
      <c r="A21" s="163" t="s">
        <v>2851</v>
      </c>
      <c r="B21" s="100">
        <v>29.41</v>
      </c>
      <c r="C21" s="100">
        <v>21.24</v>
      </c>
      <c r="D21" s="100">
        <v>34.68</v>
      </c>
      <c r="E21" s="100">
        <v>2.98</v>
      </c>
      <c r="F21" s="100">
        <v>0.44</v>
      </c>
      <c r="G21" s="100">
        <v>100.9</v>
      </c>
      <c r="H21" s="100">
        <v>52.86</v>
      </c>
      <c r="I21" s="100">
        <v>16.04</v>
      </c>
      <c r="J21" s="100">
        <v>0.1</v>
      </c>
      <c r="K21" s="100">
        <v>173.75</v>
      </c>
      <c r="L21" s="100">
        <v>10.65</v>
      </c>
      <c r="M21" s="100">
        <v>88.04</v>
      </c>
      <c r="N21" s="100">
        <v>32.1</v>
      </c>
      <c r="O21" s="100">
        <v>0</v>
      </c>
      <c r="P21" s="100">
        <v>1.19</v>
      </c>
      <c r="Q21" s="100">
        <v>9.32</v>
      </c>
      <c r="R21" s="6"/>
      <c r="S21" s="6"/>
      <c r="T21" s="156"/>
      <c r="U21" s="6"/>
    </row>
    <row r="22" spans="1:21" customFormat="1">
      <c r="A22" s="163" t="s">
        <v>2852</v>
      </c>
      <c r="B22" s="100">
        <v>31.25</v>
      </c>
      <c r="C22" s="100">
        <v>21.28</v>
      </c>
      <c r="D22" s="100">
        <v>36.18</v>
      </c>
      <c r="E22" s="100">
        <v>3.03</v>
      </c>
      <c r="F22" s="100">
        <v>0.41</v>
      </c>
      <c r="G22" s="100">
        <v>100.9</v>
      </c>
      <c r="H22" s="100">
        <v>52.86</v>
      </c>
      <c r="I22" s="100">
        <v>16.25</v>
      </c>
      <c r="J22" s="100">
        <v>0.08</v>
      </c>
      <c r="K22" s="100">
        <v>162.69999999999999</v>
      </c>
      <c r="L22" s="100">
        <v>10.57</v>
      </c>
      <c r="M22" s="100">
        <v>86.91</v>
      </c>
      <c r="N22" s="100">
        <v>32</v>
      </c>
      <c r="O22" s="100">
        <v>0</v>
      </c>
      <c r="P22" s="100">
        <v>1.2</v>
      </c>
      <c r="Q22" s="100">
        <v>9.32</v>
      </c>
      <c r="R22" s="6"/>
      <c r="S22" s="6"/>
      <c r="T22" s="156"/>
      <c r="U22" s="6"/>
    </row>
    <row r="23" spans="1:21" customFormat="1">
      <c r="A23" s="163" t="s">
        <v>2853</v>
      </c>
      <c r="B23" s="100">
        <v>34.729999999999997</v>
      </c>
      <c r="C23" s="100">
        <v>21.88</v>
      </c>
      <c r="D23" s="100">
        <v>39.29</v>
      </c>
      <c r="E23" s="100">
        <v>2.93</v>
      </c>
      <c r="F23" s="100">
        <v>0.46</v>
      </c>
      <c r="G23" s="100">
        <v>96.79</v>
      </c>
      <c r="H23" s="100">
        <v>53.59</v>
      </c>
      <c r="I23" s="100">
        <v>16.39</v>
      </c>
      <c r="J23" s="100">
        <v>0.17</v>
      </c>
      <c r="K23" s="100">
        <v>162.32</v>
      </c>
      <c r="L23" s="100">
        <v>10.68</v>
      </c>
      <c r="M23" s="100">
        <v>84.96</v>
      </c>
      <c r="N23" s="100">
        <v>31.9</v>
      </c>
      <c r="O23" s="100">
        <v>0</v>
      </c>
      <c r="P23" s="100">
        <v>1.2</v>
      </c>
      <c r="Q23" s="100">
        <v>9.32</v>
      </c>
      <c r="R23" s="6"/>
      <c r="S23" s="6"/>
      <c r="T23" s="156"/>
      <c r="U23" s="6"/>
    </row>
    <row r="24" spans="1:21" customFormat="1">
      <c r="A24" s="163" t="s">
        <v>2854</v>
      </c>
      <c r="B24" s="100">
        <v>36.9</v>
      </c>
      <c r="C24" s="100">
        <v>22.18</v>
      </c>
      <c r="D24" s="100">
        <v>41.18</v>
      </c>
      <c r="E24" s="100">
        <v>3.04</v>
      </c>
      <c r="F24" s="100">
        <v>0.41</v>
      </c>
      <c r="G24" s="100">
        <v>91.17</v>
      </c>
      <c r="H24" s="100">
        <v>54.17</v>
      </c>
      <c r="I24" s="100">
        <v>16.54</v>
      </c>
      <c r="J24" s="100">
        <v>0.15</v>
      </c>
      <c r="K24" s="100">
        <v>153.21</v>
      </c>
      <c r="L24" s="100">
        <v>10.65</v>
      </c>
      <c r="M24" s="100">
        <v>84.2</v>
      </c>
      <c r="N24" s="100">
        <v>32</v>
      </c>
      <c r="O24" s="100">
        <v>0</v>
      </c>
      <c r="P24" s="100">
        <v>1.2</v>
      </c>
      <c r="Q24" s="100">
        <v>9.32</v>
      </c>
      <c r="R24" s="6"/>
      <c r="S24" s="6"/>
      <c r="T24" s="156"/>
      <c r="U24" s="6"/>
    </row>
    <row r="25" spans="1:21" customFormat="1">
      <c r="A25" s="163" t="s">
        <v>2855</v>
      </c>
      <c r="B25" s="100">
        <v>38.1</v>
      </c>
      <c r="C25" s="100">
        <v>22.26</v>
      </c>
      <c r="D25" s="100">
        <v>42.18</v>
      </c>
      <c r="E25" s="100">
        <v>2.97</v>
      </c>
      <c r="F25" s="100">
        <v>0.43</v>
      </c>
      <c r="G25" s="100">
        <v>91.17</v>
      </c>
      <c r="H25" s="100">
        <v>54.17</v>
      </c>
      <c r="I25" s="100">
        <v>16.66</v>
      </c>
      <c r="J25" s="100">
        <v>0.15</v>
      </c>
      <c r="K25" s="100">
        <v>146.27000000000001</v>
      </c>
      <c r="L25" s="100">
        <v>10.62</v>
      </c>
      <c r="M25" s="100">
        <v>84.59</v>
      </c>
      <c r="N25" s="100">
        <v>32</v>
      </c>
      <c r="O25" s="100">
        <v>0</v>
      </c>
      <c r="P25" s="100">
        <v>1.19</v>
      </c>
      <c r="Q25" s="100">
        <v>9.32</v>
      </c>
      <c r="R25" s="6"/>
      <c r="S25" s="6"/>
      <c r="T25" s="156"/>
      <c r="U25" s="6"/>
    </row>
    <row r="26" spans="1:21" customFormat="1">
      <c r="A26" s="163" t="s">
        <v>2856</v>
      </c>
      <c r="B26" s="100">
        <v>38.97</v>
      </c>
      <c r="C26" s="100">
        <v>22.51</v>
      </c>
      <c r="D26" s="100">
        <v>43.01</v>
      </c>
      <c r="E26" s="100">
        <v>3.14</v>
      </c>
      <c r="F26" s="100">
        <v>0.48</v>
      </c>
      <c r="G26" s="100">
        <v>91.17</v>
      </c>
      <c r="H26" s="100">
        <v>54.17</v>
      </c>
      <c r="I26" s="100">
        <v>16.71</v>
      </c>
      <c r="J26" s="100">
        <v>0.12</v>
      </c>
      <c r="K26" s="100">
        <v>144.4</v>
      </c>
      <c r="L26" s="100">
        <v>10.6</v>
      </c>
      <c r="M26" s="100">
        <v>84.7</v>
      </c>
      <c r="N26" s="100">
        <v>31.9</v>
      </c>
      <c r="O26" s="100">
        <v>0</v>
      </c>
      <c r="P26" s="100">
        <v>1.2</v>
      </c>
      <c r="Q26" s="100">
        <v>9.32</v>
      </c>
      <c r="R26" s="6"/>
      <c r="S26" s="6"/>
      <c r="T26" s="156"/>
      <c r="U26" s="6"/>
    </row>
    <row r="27" spans="1:21" customFormat="1">
      <c r="A27" s="163" t="s">
        <v>2857</v>
      </c>
      <c r="B27" s="100">
        <v>39.67</v>
      </c>
      <c r="C27" s="100">
        <v>22.75</v>
      </c>
      <c r="D27" s="100">
        <v>43.7</v>
      </c>
      <c r="E27" s="100">
        <v>3.12</v>
      </c>
      <c r="F27" s="100">
        <v>0.55000000000000004</v>
      </c>
      <c r="G27" s="100">
        <v>90.68</v>
      </c>
      <c r="H27" s="100">
        <v>53.35</v>
      </c>
      <c r="I27" s="100">
        <v>16.68</v>
      </c>
      <c r="J27" s="100">
        <v>0.15</v>
      </c>
      <c r="K27" s="100">
        <v>151.31</v>
      </c>
      <c r="L27" s="100">
        <v>10.46</v>
      </c>
      <c r="M27" s="100">
        <v>85.12</v>
      </c>
      <c r="N27" s="100">
        <v>32.1</v>
      </c>
      <c r="O27" s="100">
        <v>0</v>
      </c>
      <c r="P27" s="100">
        <v>1.19</v>
      </c>
      <c r="Q27" s="100">
        <v>9.32</v>
      </c>
      <c r="R27" s="6"/>
      <c r="S27" s="6"/>
      <c r="T27" s="156"/>
      <c r="U27" s="6"/>
    </row>
    <row r="28" spans="1:21" customFormat="1">
      <c r="A28" s="163" t="s">
        <v>2858</v>
      </c>
      <c r="B28" s="100">
        <v>39.729999999999997</v>
      </c>
      <c r="C28" s="100">
        <v>22.64</v>
      </c>
      <c r="D28" s="100">
        <v>43.69</v>
      </c>
      <c r="E28" s="100">
        <v>3.16</v>
      </c>
      <c r="F28" s="100">
        <v>0.39</v>
      </c>
      <c r="G28" s="100">
        <v>90.02</v>
      </c>
      <c r="H28" s="100">
        <v>52.72</v>
      </c>
      <c r="I28" s="100">
        <v>16.62</v>
      </c>
      <c r="J28" s="100">
        <v>0.17</v>
      </c>
      <c r="K28" s="100">
        <v>168.2</v>
      </c>
      <c r="L28" s="100">
        <v>10.25</v>
      </c>
      <c r="M28" s="100">
        <v>88.55</v>
      </c>
      <c r="N28" s="100">
        <v>32.200000000000003</v>
      </c>
      <c r="O28" s="100">
        <v>0</v>
      </c>
      <c r="P28" s="100">
        <v>1.18</v>
      </c>
      <c r="Q28" s="100">
        <v>9.32</v>
      </c>
      <c r="R28" s="6"/>
      <c r="S28" s="6"/>
      <c r="T28" s="156"/>
      <c r="U28" s="6"/>
    </row>
    <row r="29" spans="1:21" customFormat="1">
      <c r="A29" s="163" t="s">
        <v>2859</v>
      </c>
      <c r="B29" s="100">
        <v>39.39</v>
      </c>
      <c r="C29" s="100">
        <v>22.3</v>
      </c>
      <c r="D29" s="100">
        <v>43.24</v>
      </c>
      <c r="E29" s="100">
        <v>3.11</v>
      </c>
      <c r="F29" s="100">
        <v>0.42</v>
      </c>
      <c r="G29" s="100">
        <v>90.02</v>
      </c>
      <c r="H29" s="100">
        <v>52.72</v>
      </c>
      <c r="I29" s="100">
        <v>16.57</v>
      </c>
      <c r="J29" s="100">
        <v>0.15</v>
      </c>
      <c r="K29" s="100">
        <v>145.75</v>
      </c>
      <c r="L29" s="100">
        <v>9.94</v>
      </c>
      <c r="M29" s="100">
        <v>89.99</v>
      </c>
      <c r="N29" s="100">
        <v>32.4</v>
      </c>
      <c r="O29" s="100">
        <v>0</v>
      </c>
      <c r="P29" s="100">
        <v>1.17</v>
      </c>
      <c r="Q29" s="100">
        <v>9.32</v>
      </c>
      <c r="R29" s="6"/>
      <c r="S29" s="6"/>
      <c r="T29" s="156"/>
      <c r="U29" s="6"/>
    </row>
    <row r="30" spans="1:21" customFormat="1">
      <c r="A30" s="163" t="s">
        <v>2860</v>
      </c>
      <c r="B30" s="100">
        <v>39.25</v>
      </c>
      <c r="C30" s="100">
        <v>21.92</v>
      </c>
      <c r="D30" s="100">
        <v>42.93</v>
      </c>
      <c r="E30" s="100">
        <v>2.77</v>
      </c>
      <c r="F30" s="100">
        <v>0.21</v>
      </c>
      <c r="G30" s="100">
        <v>90.02</v>
      </c>
      <c r="H30" s="100">
        <v>52.72</v>
      </c>
      <c r="I30" s="100">
        <v>16.52</v>
      </c>
      <c r="J30" s="100">
        <v>0.16</v>
      </c>
      <c r="K30" s="100">
        <v>159.85</v>
      </c>
      <c r="L30" s="100">
        <v>9.8000000000000007</v>
      </c>
      <c r="M30" s="100">
        <v>90.57</v>
      </c>
      <c r="N30" s="100">
        <v>32.200000000000003</v>
      </c>
      <c r="O30" s="100">
        <v>0</v>
      </c>
      <c r="P30" s="100">
        <v>1.1499999999999999</v>
      </c>
      <c r="Q30" s="100">
        <v>9.32</v>
      </c>
      <c r="R30" s="6"/>
      <c r="S30" s="6"/>
      <c r="T30" s="156"/>
      <c r="U30" s="6"/>
    </row>
    <row r="31" spans="1:21" customFormat="1">
      <c r="A31" s="163" t="s">
        <v>2861</v>
      </c>
      <c r="B31" s="100">
        <v>39.43</v>
      </c>
      <c r="C31" s="100">
        <v>21.73</v>
      </c>
      <c r="D31" s="100">
        <v>42.97</v>
      </c>
      <c r="E31" s="100">
        <v>2.88</v>
      </c>
      <c r="F31" s="100">
        <v>0.16</v>
      </c>
      <c r="G31" s="100">
        <v>83.92</v>
      </c>
      <c r="H31" s="100">
        <v>49.76</v>
      </c>
      <c r="I31" s="100">
        <v>16.46</v>
      </c>
      <c r="J31" s="100">
        <v>0.17</v>
      </c>
      <c r="K31" s="100">
        <v>216.36</v>
      </c>
      <c r="L31" s="100">
        <v>9.75</v>
      </c>
      <c r="M31" s="100">
        <v>91.58</v>
      </c>
      <c r="N31" s="100">
        <v>32.200000000000003</v>
      </c>
      <c r="O31" s="100">
        <v>0</v>
      </c>
      <c r="P31" s="100">
        <v>1.1499999999999999</v>
      </c>
      <c r="Q31" s="100">
        <v>9.32</v>
      </c>
      <c r="R31" s="6"/>
      <c r="S31" s="6"/>
      <c r="T31" s="156"/>
      <c r="U31" s="6"/>
    </row>
    <row r="32" spans="1:21" customFormat="1">
      <c r="A32" s="163" t="s">
        <v>2862</v>
      </c>
      <c r="B32" s="100">
        <v>38.869999999999997</v>
      </c>
      <c r="C32" s="100">
        <v>21.59</v>
      </c>
      <c r="D32" s="100">
        <v>42.45</v>
      </c>
      <c r="E32" s="100">
        <v>2.42</v>
      </c>
      <c r="F32" s="100">
        <v>0.12</v>
      </c>
      <c r="G32" s="100">
        <v>75.569999999999993</v>
      </c>
      <c r="H32" s="100">
        <v>49.35</v>
      </c>
      <c r="I32" s="100">
        <v>16.39</v>
      </c>
      <c r="J32" s="100">
        <v>0.11</v>
      </c>
      <c r="K32" s="100">
        <v>202.5</v>
      </c>
      <c r="L32" s="100">
        <v>9.5299999999999994</v>
      </c>
      <c r="M32" s="100">
        <v>92.46</v>
      </c>
      <c r="N32" s="100">
        <v>32.299999999999997</v>
      </c>
      <c r="O32" s="100">
        <v>0</v>
      </c>
      <c r="P32" s="100">
        <v>1.1299999999999999</v>
      </c>
      <c r="Q32" s="100">
        <v>9.32</v>
      </c>
      <c r="R32" s="6"/>
      <c r="S32" s="6"/>
      <c r="T32" s="156"/>
      <c r="U32" s="6"/>
    </row>
    <row r="33" spans="1:21" customFormat="1">
      <c r="A33" s="163" t="s">
        <v>2863</v>
      </c>
      <c r="B33" s="100">
        <v>38</v>
      </c>
      <c r="C33" s="100">
        <v>21.17</v>
      </c>
      <c r="D33" s="100">
        <v>41.54</v>
      </c>
      <c r="E33" s="100">
        <v>2.5499999999999998</v>
      </c>
      <c r="F33" s="100">
        <v>0.39</v>
      </c>
      <c r="G33" s="100">
        <v>75.569999999999993</v>
      </c>
      <c r="H33" s="100">
        <v>49.35</v>
      </c>
      <c r="I33" s="100">
        <v>16.3</v>
      </c>
      <c r="J33" s="100">
        <v>0.13</v>
      </c>
      <c r="K33" s="100">
        <v>232.57</v>
      </c>
      <c r="L33" s="100">
        <v>9.3699999999999992</v>
      </c>
      <c r="M33" s="100">
        <v>93.07</v>
      </c>
      <c r="N33" s="100">
        <v>32.299999999999997</v>
      </c>
      <c r="O33" s="100">
        <v>0</v>
      </c>
      <c r="P33" s="100">
        <v>1.1100000000000001</v>
      </c>
      <c r="Q33" s="100">
        <v>9.32</v>
      </c>
      <c r="R33" s="6"/>
      <c r="S33" s="6"/>
      <c r="T33" s="156"/>
      <c r="U33" s="6"/>
    </row>
    <row r="34" spans="1:21" customFormat="1">
      <c r="A34" s="163" t="s">
        <v>2864</v>
      </c>
      <c r="B34" s="100">
        <v>36.96</v>
      </c>
      <c r="C34" s="100">
        <v>20.8</v>
      </c>
      <c r="D34" s="100">
        <v>40.51</v>
      </c>
      <c r="E34" s="100">
        <v>2.48</v>
      </c>
      <c r="F34" s="100">
        <v>0.42</v>
      </c>
      <c r="G34" s="100">
        <v>75.569999999999993</v>
      </c>
      <c r="H34" s="100">
        <v>49.35</v>
      </c>
      <c r="I34" s="100">
        <v>16.239999999999998</v>
      </c>
      <c r="J34" s="100">
        <v>0.13</v>
      </c>
      <c r="K34" s="100">
        <v>170.25</v>
      </c>
      <c r="L34" s="100">
        <v>9.1999999999999993</v>
      </c>
      <c r="M34" s="100">
        <v>93.26</v>
      </c>
      <c r="N34" s="100">
        <v>32.799999999999997</v>
      </c>
      <c r="O34" s="100">
        <v>0</v>
      </c>
      <c r="P34" s="100">
        <v>1.1100000000000001</v>
      </c>
      <c r="Q34" s="100">
        <v>9.32</v>
      </c>
      <c r="R34" s="6"/>
      <c r="S34" s="6"/>
      <c r="T34" s="156"/>
      <c r="U34" s="6"/>
    </row>
    <row r="35" spans="1:21" customFormat="1">
      <c r="A35" s="163" t="s">
        <v>2865</v>
      </c>
      <c r="B35" s="100">
        <v>37.03</v>
      </c>
      <c r="C35" s="100">
        <v>20.69</v>
      </c>
      <c r="D35" s="100">
        <v>40.5</v>
      </c>
      <c r="E35" s="100">
        <v>2.2200000000000002</v>
      </c>
      <c r="F35" s="100">
        <v>0.39</v>
      </c>
      <c r="G35" s="100">
        <v>73.19</v>
      </c>
      <c r="H35" s="100">
        <v>46.91</v>
      </c>
      <c r="I35" s="100">
        <v>16.239999999999998</v>
      </c>
      <c r="J35" s="100">
        <v>0.1</v>
      </c>
      <c r="K35" s="100">
        <v>169.32</v>
      </c>
      <c r="L35" s="100">
        <v>9.14</v>
      </c>
      <c r="M35" s="100">
        <v>93.34</v>
      </c>
      <c r="N35" s="100">
        <v>35.299999999999997</v>
      </c>
      <c r="O35" s="100">
        <v>0</v>
      </c>
      <c r="P35" s="100">
        <v>1.1000000000000001</v>
      </c>
      <c r="Q35" s="100">
        <v>9.32</v>
      </c>
      <c r="R35" s="6"/>
      <c r="S35" s="6"/>
      <c r="T35" s="156"/>
      <c r="U35" s="6"/>
    </row>
    <row r="36" spans="1:21" customFormat="1">
      <c r="A36" s="163" t="s">
        <v>2866</v>
      </c>
      <c r="B36" s="100">
        <v>37.14</v>
      </c>
      <c r="C36" s="100">
        <v>20.75</v>
      </c>
      <c r="D36" s="100">
        <v>40.619999999999997</v>
      </c>
      <c r="E36" s="100">
        <v>3</v>
      </c>
      <c r="F36" s="100">
        <v>0.27</v>
      </c>
      <c r="G36" s="100">
        <v>69.92</v>
      </c>
      <c r="H36" s="100">
        <v>46.21</v>
      </c>
      <c r="I36" s="100">
        <v>16.21</v>
      </c>
      <c r="J36" s="100">
        <v>0.13</v>
      </c>
      <c r="K36" s="100">
        <v>188.54</v>
      </c>
      <c r="L36" s="100">
        <v>9.2799999999999994</v>
      </c>
      <c r="M36" s="100">
        <v>93.74</v>
      </c>
      <c r="N36" s="100">
        <v>41.6</v>
      </c>
      <c r="O36" s="100">
        <v>0</v>
      </c>
      <c r="P36" s="100">
        <v>1.0900000000000001</v>
      </c>
      <c r="Q36" s="100">
        <v>9.32</v>
      </c>
      <c r="R36" s="6"/>
      <c r="S36" s="6"/>
      <c r="T36" s="156"/>
      <c r="U36" s="6"/>
    </row>
    <row r="37" spans="1:21" customFormat="1">
      <c r="A37" s="163" t="s">
        <v>2867</v>
      </c>
      <c r="B37" s="100">
        <v>37.08</v>
      </c>
      <c r="C37" s="100">
        <v>20.71</v>
      </c>
      <c r="D37" s="100">
        <v>40.549999999999997</v>
      </c>
      <c r="E37" s="100">
        <v>2.92</v>
      </c>
      <c r="F37" s="100">
        <v>0.27</v>
      </c>
      <c r="G37" s="100">
        <v>69.92</v>
      </c>
      <c r="H37" s="100">
        <v>46.21</v>
      </c>
      <c r="I37" s="100">
        <v>16.21</v>
      </c>
      <c r="J37" s="100">
        <v>0.15</v>
      </c>
      <c r="K37" s="100">
        <v>194.09</v>
      </c>
      <c r="L37" s="100">
        <v>9.59</v>
      </c>
      <c r="M37" s="100">
        <v>93.84</v>
      </c>
      <c r="N37" s="100">
        <v>50.8</v>
      </c>
      <c r="O37" s="100">
        <v>0</v>
      </c>
      <c r="P37" s="100">
        <v>1.0900000000000001</v>
      </c>
      <c r="Q37" s="100">
        <v>9.32</v>
      </c>
      <c r="R37" s="6"/>
      <c r="S37" s="6"/>
      <c r="T37" s="156"/>
      <c r="U37" s="6"/>
    </row>
    <row r="38" spans="1:21" customFormat="1">
      <c r="A38" s="163" t="s">
        <v>2868</v>
      </c>
      <c r="B38" s="100">
        <v>36.64</v>
      </c>
      <c r="C38" s="100">
        <v>20.61</v>
      </c>
      <c r="D38" s="100">
        <v>40.15</v>
      </c>
      <c r="E38" s="100">
        <v>2.66</v>
      </c>
      <c r="F38" s="100">
        <v>0.36</v>
      </c>
      <c r="G38" s="100">
        <v>69.92</v>
      </c>
      <c r="H38" s="100">
        <v>46.21</v>
      </c>
      <c r="I38" s="100">
        <v>16.329999999999998</v>
      </c>
      <c r="J38" s="100">
        <v>0.09</v>
      </c>
      <c r="K38" s="100">
        <v>220.3</v>
      </c>
      <c r="L38" s="100">
        <v>9.6999999999999993</v>
      </c>
      <c r="M38" s="100">
        <v>93.81</v>
      </c>
      <c r="N38" s="100">
        <v>61.5</v>
      </c>
      <c r="O38" s="100">
        <v>0</v>
      </c>
      <c r="P38" s="100">
        <v>1.1100000000000001</v>
      </c>
      <c r="Q38" s="100">
        <v>9.32</v>
      </c>
      <c r="R38" s="6"/>
      <c r="S38" s="6"/>
      <c r="T38" s="156"/>
      <c r="U38" s="6"/>
    </row>
    <row r="39" spans="1:21" customFormat="1">
      <c r="A39" s="163" t="s">
        <v>2869</v>
      </c>
      <c r="B39" s="100">
        <v>35.94</v>
      </c>
      <c r="C39" s="100">
        <v>20.3</v>
      </c>
      <c r="D39" s="100">
        <v>39.42</v>
      </c>
      <c r="E39" s="100">
        <v>0.88</v>
      </c>
      <c r="F39" s="100">
        <v>0.52</v>
      </c>
      <c r="G39" s="100">
        <v>68.790000000000006</v>
      </c>
      <c r="H39" s="100">
        <v>45.43</v>
      </c>
      <c r="I39" s="100">
        <v>16.46</v>
      </c>
      <c r="J39" s="100">
        <v>0.14000000000000001</v>
      </c>
      <c r="K39" s="100">
        <v>172.99</v>
      </c>
      <c r="L39" s="100">
        <v>10.38</v>
      </c>
      <c r="M39" s="100">
        <v>93.55</v>
      </c>
      <c r="N39" s="100">
        <v>71.7</v>
      </c>
      <c r="O39" s="100">
        <v>0</v>
      </c>
      <c r="P39" s="100">
        <v>1.1100000000000001</v>
      </c>
      <c r="Q39" s="100">
        <v>9.32</v>
      </c>
      <c r="R39" s="6"/>
      <c r="S39" s="6"/>
      <c r="T39" s="156"/>
      <c r="U39" s="6"/>
    </row>
    <row r="40" spans="1:21" customFormat="1">
      <c r="A40" s="163" t="s">
        <v>2870</v>
      </c>
      <c r="B40" s="100">
        <v>35.32</v>
      </c>
      <c r="C40" s="100">
        <v>20.16</v>
      </c>
      <c r="D40" s="100">
        <v>38.86</v>
      </c>
      <c r="E40" s="100">
        <v>2.41</v>
      </c>
      <c r="F40" s="100">
        <v>0.45</v>
      </c>
      <c r="G40" s="100">
        <v>67.23</v>
      </c>
      <c r="H40" s="100">
        <v>44.84</v>
      </c>
      <c r="I40" s="100">
        <v>16.559999999999999</v>
      </c>
      <c r="J40" s="100">
        <v>0.13</v>
      </c>
      <c r="K40" s="100">
        <v>216.98</v>
      </c>
      <c r="L40" s="100">
        <v>11.16</v>
      </c>
      <c r="M40" s="100">
        <v>92.42</v>
      </c>
      <c r="N40" s="100">
        <v>82.5</v>
      </c>
      <c r="O40" s="100">
        <v>0</v>
      </c>
      <c r="P40" s="100">
        <v>1.1000000000000001</v>
      </c>
      <c r="Q40" s="100">
        <v>9.32</v>
      </c>
      <c r="R40" s="6"/>
      <c r="S40" s="6"/>
      <c r="T40" s="156"/>
      <c r="U40" s="6"/>
    </row>
    <row r="41" spans="1:21" customFormat="1">
      <c r="A41" s="163" t="s">
        <v>2871</v>
      </c>
      <c r="B41" s="100">
        <v>35.049999999999997</v>
      </c>
      <c r="C41" s="100">
        <v>20.47</v>
      </c>
      <c r="D41" s="100">
        <v>38.799999999999997</v>
      </c>
      <c r="E41" s="100">
        <v>2.48</v>
      </c>
      <c r="F41" s="100">
        <v>0.37</v>
      </c>
      <c r="G41" s="100">
        <v>67.23</v>
      </c>
      <c r="H41" s="100">
        <v>44.84</v>
      </c>
      <c r="I41" s="100">
        <v>16.66</v>
      </c>
      <c r="J41" s="100">
        <v>0.09</v>
      </c>
      <c r="K41" s="100">
        <v>75.84</v>
      </c>
      <c r="L41" s="100">
        <v>12.37</v>
      </c>
      <c r="M41" s="100">
        <v>80.739999999999995</v>
      </c>
      <c r="N41" s="100">
        <v>136</v>
      </c>
      <c r="O41" s="100">
        <v>0</v>
      </c>
      <c r="P41" s="100">
        <v>1.1000000000000001</v>
      </c>
      <c r="Q41" s="100">
        <v>9.32</v>
      </c>
      <c r="R41" s="6"/>
      <c r="S41" s="6"/>
      <c r="T41" s="156"/>
      <c r="U41" s="6"/>
    </row>
    <row r="42" spans="1:21" customFormat="1">
      <c r="A42" s="163" t="s">
        <v>2872</v>
      </c>
      <c r="B42" s="100">
        <v>34.44</v>
      </c>
      <c r="C42" s="100">
        <v>21</v>
      </c>
      <c r="D42" s="100">
        <v>38.590000000000003</v>
      </c>
      <c r="E42" s="100">
        <v>2.57</v>
      </c>
      <c r="F42" s="100">
        <v>0.55000000000000004</v>
      </c>
      <c r="G42" s="100">
        <v>67.23</v>
      </c>
      <c r="H42" s="100">
        <v>44.84</v>
      </c>
      <c r="I42" s="100">
        <v>16.71</v>
      </c>
      <c r="J42" s="100">
        <v>0.31</v>
      </c>
      <c r="K42" s="100">
        <v>89.61</v>
      </c>
      <c r="L42" s="100">
        <v>13.85</v>
      </c>
      <c r="M42" s="100">
        <v>64.48</v>
      </c>
      <c r="N42" s="100">
        <v>222.4</v>
      </c>
      <c r="O42" s="100">
        <v>0</v>
      </c>
      <c r="P42" s="100">
        <v>1.1000000000000001</v>
      </c>
      <c r="Q42" s="100">
        <v>9.32</v>
      </c>
      <c r="R42" s="6"/>
      <c r="S42" s="6"/>
      <c r="T42" s="156"/>
      <c r="U42" s="6"/>
    </row>
    <row r="43" spans="1:21" customFormat="1">
      <c r="A43" s="163" t="s">
        <v>2873</v>
      </c>
      <c r="B43" s="100">
        <v>32.89</v>
      </c>
      <c r="C43" s="100">
        <v>21.65</v>
      </c>
      <c r="D43" s="100">
        <v>37.69</v>
      </c>
      <c r="E43" s="100">
        <v>2.69</v>
      </c>
      <c r="F43" s="100">
        <v>0.25</v>
      </c>
      <c r="G43" s="100">
        <v>68.819999999999993</v>
      </c>
      <c r="H43" s="100">
        <v>44.54</v>
      </c>
      <c r="I43" s="100">
        <v>18.95</v>
      </c>
      <c r="J43" s="100">
        <v>0.68</v>
      </c>
      <c r="K43" s="100">
        <v>45.05</v>
      </c>
      <c r="L43" s="100">
        <v>14.53</v>
      </c>
      <c r="M43" s="100">
        <v>60.83</v>
      </c>
      <c r="N43" s="100">
        <v>251.6</v>
      </c>
      <c r="O43" s="100">
        <v>0</v>
      </c>
      <c r="P43" s="100">
        <v>1.08</v>
      </c>
      <c r="Q43" s="100">
        <v>9.32</v>
      </c>
      <c r="R43" s="6"/>
      <c r="S43" s="6"/>
      <c r="T43" s="156"/>
      <c r="U43" s="6"/>
    </row>
    <row r="44" spans="1:21" customFormat="1">
      <c r="A44" s="163" t="s">
        <v>2874</v>
      </c>
      <c r="B44" s="100">
        <v>31.41</v>
      </c>
      <c r="C44" s="100">
        <v>22.06</v>
      </c>
      <c r="D44" s="100">
        <v>36.71</v>
      </c>
      <c r="E44" s="100">
        <v>2.61</v>
      </c>
      <c r="F44" s="100">
        <v>0.27</v>
      </c>
      <c r="G44" s="100">
        <v>70.989999999999995</v>
      </c>
      <c r="H44" s="100">
        <v>44.3</v>
      </c>
      <c r="I44" s="100">
        <v>19.02</v>
      </c>
      <c r="J44" s="100">
        <v>0.4</v>
      </c>
      <c r="K44" s="100">
        <v>65.59</v>
      </c>
      <c r="L44" s="100">
        <v>15.53</v>
      </c>
      <c r="M44" s="100">
        <v>57.47</v>
      </c>
      <c r="N44" s="100">
        <v>281.2</v>
      </c>
      <c r="O44" s="100">
        <v>0</v>
      </c>
      <c r="P44" s="100">
        <v>1.05</v>
      </c>
      <c r="Q44" s="100">
        <v>9.32</v>
      </c>
      <c r="R44" s="6"/>
      <c r="S44" s="6"/>
      <c r="T44" s="156"/>
      <c r="U44" s="6"/>
    </row>
    <row r="45" spans="1:21" customFormat="1">
      <c r="A45" s="163" t="s">
        <v>2875</v>
      </c>
      <c r="B45" s="100">
        <v>29.95</v>
      </c>
      <c r="C45" s="100">
        <v>22.86</v>
      </c>
      <c r="D45" s="100">
        <v>35.96</v>
      </c>
      <c r="E45" s="100">
        <v>3.06</v>
      </c>
      <c r="F45" s="100">
        <v>0.39</v>
      </c>
      <c r="G45" s="100">
        <v>70.989999999999995</v>
      </c>
      <c r="H45" s="100">
        <v>44.3</v>
      </c>
      <c r="I45" s="100">
        <v>16.32</v>
      </c>
      <c r="J45" s="100">
        <v>0.21</v>
      </c>
      <c r="K45" s="100">
        <v>102.28</v>
      </c>
      <c r="L45" s="100">
        <v>16.97</v>
      </c>
      <c r="M45" s="100">
        <v>52.38</v>
      </c>
      <c r="N45" s="100">
        <v>224.7</v>
      </c>
      <c r="O45" s="100">
        <v>0</v>
      </c>
      <c r="P45" s="100">
        <v>1.03</v>
      </c>
      <c r="Q45" s="100">
        <v>9.32</v>
      </c>
      <c r="R45" s="6"/>
      <c r="S45" s="6"/>
      <c r="T45" s="156"/>
      <c r="U45" s="6"/>
    </row>
    <row r="46" spans="1:21" customFormat="1">
      <c r="A46" s="163" t="s">
        <v>2876</v>
      </c>
      <c r="B46" s="100">
        <v>28.06</v>
      </c>
      <c r="C46" s="100">
        <v>23.05</v>
      </c>
      <c r="D46" s="100">
        <v>34.54</v>
      </c>
      <c r="E46" s="100">
        <v>3.03</v>
      </c>
      <c r="F46" s="100">
        <v>0.56000000000000005</v>
      </c>
      <c r="G46" s="100">
        <v>70.989999999999995</v>
      </c>
      <c r="H46" s="100">
        <v>44.3</v>
      </c>
      <c r="I46" s="100">
        <v>16.18</v>
      </c>
      <c r="J46" s="100">
        <v>0.23</v>
      </c>
      <c r="K46" s="100">
        <v>63.78</v>
      </c>
      <c r="L46" s="100">
        <v>17.98</v>
      </c>
      <c r="M46" s="100">
        <v>49.14</v>
      </c>
      <c r="N46" s="100">
        <v>140.30000000000001</v>
      </c>
      <c r="O46" s="100">
        <v>0</v>
      </c>
      <c r="P46" s="100">
        <v>0.99</v>
      </c>
      <c r="Q46" s="100">
        <v>9.32</v>
      </c>
      <c r="R46" s="6"/>
      <c r="S46" s="6"/>
      <c r="T46" s="156"/>
      <c r="U46" s="6"/>
    </row>
    <row r="47" spans="1:21" customFormat="1">
      <c r="A47" s="163" t="s">
        <v>2877</v>
      </c>
      <c r="B47" s="100">
        <v>26.2</v>
      </c>
      <c r="C47" s="100">
        <v>23.08</v>
      </c>
      <c r="D47" s="100">
        <v>33.07</v>
      </c>
      <c r="E47" s="100">
        <v>2.92</v>
      </c>
      <c r="F47" s="100">
        <v>0.41</v>
      </c>
      <c r="G47" s="100">
        <v>71.7</v>
      </c>
      <c r="H47" s="100">
        <v>45.16</v>
      </c>
      <c r="I47" s="100">
        <v>18.190000000000001</v>
      </c>
      <c r="J47" s="100">
        <v>0.59</v>
      </c>
      <c r="K47" s="100">
        <v>48.83</v>
      </c>
      <c r="L47" s="100">
        <v>18.239999999999998</v>
      </c>
      <c r="M47" s="100">
        <v>46.79</v>
      </c>
      <c r="N47" s="100">
        <v>148.9</v>
      </c>
      <c r="O47" s="100">
        <v>0</v>
      </c>
      <c r="P47" s="100">
        <v>0.97</v>
      </c>
      <c r="Q47" s="100">
        <v>9.32</v>
      </c>
      <c r="R47" s="6"/>
      <c r="S47" s="6"/>
      <c r="T47" s="156"/>
      <c r="U47" s="6"/>
    </row>
    <row r="48" spans="1:21" customFormat="1">
      <c r="A48" s="163" t="s">
        <v>2878</v>
      </c>
      <c r="B48" s="100">
        <v>24.36</v>
      </c>
      <c r="C48" s="100">
        <v>23.31</v>
      </c>
      <c r="D48" s="100">
        <v>31.71</v>
      </c>
      <c r="E48" s="100">
        <v>2.71</v>
      </c>
      <c r="F48" s="100">
        <v>0.39</v>
      </c>
      <c r="G48" s="100">
        <v>72.680000000000007</v>
      </c>
      <c r="H48" s="100">
        <v>45.84</v>
      </c>
      <c r="I48" s="100">
        <v>18.09</v>
      </c>
      <c r="J48" s="100">
        <v>0.83</v>
      </c>
      <c r="K48" s="100">
        <v>42.13</v>
      </c>
      <c r="L48" s="100">
        <v>18.43</v>
      </c>
      <c r="M48" s="100">
        <v>44.44</v>
      </c>
      <c r="N48" s="100">
        <v>159.6</v>
      </c>
      <c r="O48" s="100">
        <v>0</v>
      </c>
      <c r="P48" s="100">
        <v>0.95</v>
      </c>
      <c r="Q48" s="100">
        <v>9.32</v>
      </c>
      <c r="R48" s="6"/>
      <c r="S48" s="6"/>
      <c r="T48" s="156"/>
      <c r="U48" s="6"/>
    </row>
    <row r="49" spans="1:21" customFormat="1">
      <c r="A49" s="163" t="s">
        <v>2879</v>
      </c>
      <c r="B49" s="100">
        <v>22.7</v>
      </c>
      <c r="C49" s="100">
        <v>23.67</v>
      </c>
      <c r="D49" s="100">
        <v>30.57</v>
      </c>
      <c r="E49" s="100">
        <v>2.4500000000000002</v>
      </c>
      <c r="F49" s="100">
        <v>0.54</v>
      </c>
      <c r="G49" s="100">
        <v>72.680000000000007</v>
      </c>
      <c r="H49" s="100">
        <v>45.84</v>
      </c>
      <c r="I49" s="100">
        <v>15.42</v>
      </c>
      <c r="J49" s="100">
        <v>0.77</v>
      </c>
      <c r="K49" s="100">
        <v>43.06</v>
      </c>
      <c r="L49" s="100">
        <v>19.09</v>
      </c>
      <c r="M49" s="100">
        <v>41.22</v>
      </c>
      <c r="N49" s="100">
        <v>350.6</v>
      </c>
      <c r="O49" s="100">
        <v>0</v>
      </c>
      <c r="P49" s="100">
        <v>0.93</v>
      </c>
      <c r="Q49" s="100">
        <v>9.32</v>
      </c>
      <c r="R49" s="6"/>
      <c r="S49" s="6"/>
      <c r="T49" s="156"/>
      <c r="U49" s="6"/>
    </row>
    <row r="50" spans="1:21" customFormat="1">
      <c r="A50" s="163" t="s">
        <v>2880</v>
      </c>
      <c r="B50" s="100">
        <v>20.79</v>
      </c>
      <c r="C50" s="100">
        <v>24.01</v>
      </c>
      <c r="D50" s="100">
        <v>29.22</v>
      </c>
      <c r="E50" s="100">
        <v>3.54</v>
      </c>
      <c r="F50" s="100">
        <v>0.53</v>
      </c>
      <c r="G50" s="100">
        <v>72.680000000000007</v>
      </c>
      <c r="H50" s="100">
        <v>45.84</v>
      </c>
      <c r="I50" s="100">
        <v>15.15</v>
      </c>
      <c r="J50" s="100">
        <v>0.79</v>
      </c>
      <c r="K50" s="100">
        <v>38.28</v>
      </c>
      <c r="L50" s="100">
        <v>19.82</v>
      </c>
      <c r="M50" s="100">
        <v>37.869999999999997</v>
      </c>
      <c r="N50" s="100">
        <v>482.2</v>
      </c>
      <c r="O50" s="100">
        <v>0</v>
      </c>
      <c r="P50" s="100">
        <v>0.89</v>
      </c>
      <c r="Q50" s="100">
        <v>9.32</v>
      </c>
      <c r="R50" s="6"/>
      <c r="S50" s="6"/>
      <c r="T50" s="156"/>
      <c r="U50" s="6"/>
    </row>
    <row r="51" spans="1:21" customFormat="1">
      <c r="A51" s="163" t="s">
        <v>2881</v>
      </c>
      <c r="B51" s="100">
        <v>18.850000000000001</v>
      </c>
      <c r="C51" s="100">
        <v>24.23</v>
      </c>
      <c r="D51" s="100">
        <v>27.77</v>
      </c>
      <c r="E51" s="100">
        <v>3.35</v>
      </c>
      <c r="F51" s="100">
        <v>0.55000000000000004</v>
      </c>
      <c r="G51" s="100">
        <v>71.55</v>
      </c>
      <c r="H51" s="100">
        <v>42</v>
      </c>
      <c r="I51" s="100">
        <v>14.78</v>
      </c>
      <c r="J51" s="100">
        <v>0.38</v>
      </c>
      <c r="K51" s="100">
        <v>71.08</v>
      </c>
      <c r="L51" s="100">
        <v>20.62</v>
      </c>
      <c r="M51" s="100">
        <v>36.450000000000003</v>
      </c>
      <c r="N51" s="100">
        <v>511.3</v>
      </c>
      <c r="O51" s="100">
        <v>0</v>
      </c>
      <c r="P51" s="100">
        <v>0.87</v>
      </c>
      <c r="Q51" s="100">
        <v>9.32</v>
      </c>
      <c r="R51" s="6"/>
      <c r="S51" s="6"/>
      <c r="T51" s="156"/>
      <c r="U51" s="6"/>
    </row>
    <row r="52" spans="1:21" customFormat="1">
      <c r="A52" s="163" t="s">
        <v>2882</v>
      </c>
      <c r="B52" s="100">
        <v>16.940000000000001</v>
      </c>
      <c r="C52" s="100">
        <v>24.26</v>
      </c>
      <c r="D52" s="100">
        <v>26.26</v>
      </c>
      <c r="E52" s="100">
        <v>3.35</v>
      </c>
      <c r="F52" s="100">
        <v>0.56000000000000005</v>
      </c>
      <c r="G52" s="100">
        <v>70.010000000000005</v>
      </c>
      <c r="H52" s="100">
        <v>39</v>
      </c>
      <c r="I52" s="100">
        <v>14.34</v>
      </c>
      <c r="J52" s="100">
        <v>0.62</v>
      </c>
      <c r="K52" s="100">
        <v>54.84</v>
      </c>
      <c r="L52" s="100">
        <v>20.66</v>
      </c>
      <c r="M52" s="100">
        <v>37.159999999999997</v>
      </c>
      <c r="N52" s="100">
        <v>533.20000000000005</v>
      </c>
      <c r="O52" s="100">
        <v>0</v>
      </c>
      <c r="P52" s="100">
        <v>0.84</v>
      </c>
      <c r="Q52" s="100">
        <v>9.32</v>
      </c>
      <c r="R52" s="6"/>
      <c r="S52" s="6"/>
      <c r="T52" s="156"/>
      <c r="U52" s="6"/>
    </row>
    <row r="53" spans="1:21" customFormat="1">
      <c r="A53" s="163" t="s">
        <v>2883</v>
      </c>
      <c r="B53" s="100">
        <v>15.11</v>
      </c>
      <c r="C53" s="100">
        <v>24.33</v>
      </c>
      <c r="D53" s="100">
        <v>24.83</v>
      </c>
      <c r="E53" s="100">
        <v>3.27</v>
      </c>
      <c r="F53" s="100">
        <v>0.47</v>
      </c>
      <c r="G53" s="100">
        <v>70.010000000000005</v>
      </c>
      <c r="H53" s="100">
        <v>39</v>
      </c>
      <c r="I53" s="100">
        <v>13.89</v>
      </c>
      <c r="J53" s="100">
        <v>0.43</v>
      </c>
      <c r="K53" s="100">
        <v>37.99</v>
      </c>
      <c r="L53" s="100">
        <v>21.43</v>
      </c>
      <c r="M53" s="100">
        <v>35.72</v>
      </c>
      <c r="N53" s="100">
        <v>505.1</v>
      </c>
      <c r="O53" s="100">
        <v>0</v>
      </c>
      <c r="P53" s="100">
        <v>0.81</v>
      </c>
      <c r="Q53" s="100">
        <v>9.32</v>
      </c>
      <c r="R53" s="6"/>
      <c r="S53" s="6"/>
      <c r="T53" s="156"/>
      <c r="U53" s="6"/>
    </row>
    <row r="54" spans="1:21" customFormat="1">
      <c r="A54" s="163" t="s">
        <v>2884</v>
      </c>
      <c r="B54" s="100">
        <v>13.37</v>
      </c>
      <c r="C54" s="100">
        <v>24.38</v>
      </c>
      <c r="D54" s="100">
        <v>23.46</v>
      </c>
      <c r="E54" s="100">
        <v>3.15</v>
      </c>
      <c r="F54" s="100">
        <v>0.53</v>
      </c>
      <c r="G54" s="100">
        <v>70.010000000000005</v>
      </c>
      <c r="H54" s="100">
        <v>39</v>
      </c>
      <c r="I54" s="100">
        <v>13.47</v>
      </c>
      <c r="J54" s="100">
        <v>0.31</v>
      </c>
      <c r="K54" s="100">
        <v>89.91</v>
      </c>
      <c r="L54" s="100">
        <v>22.23</v>
      </c>
      <c r="M54" s="100">
        <v>32.450000000000003</v>
      </c>
      <c r="N54" s="100">
        <v>564.9</v>
      </c>
      <c r="O54" s="100">
        <v>0</v>
      </c>
      <c r="P54" s="100">
        <v>0.79</v>
      </c>
      <c r="Q54" s="100">
        <v>9.32</v>
      </c>
      <c r="R54" s="6"/>
      <c r="S54" s="6"/>
      <c r="T54" s="156"/>
      <c r="U54" s="6"/>
    </row>
    <row r="55" spans="1:21" customFormat="1">
      <c r="A55" s="163" t="s">
        <v>2885</v>
      </c>
      <c r="B55" s="100">
        <v>11.48</v>
      </c>
      <c r="C55" s="100">
        <v>24.41</v>
      </c>
      <c r="D55" s="100">
        <v>21.96</v>
      </c>
      <c r="E55" s="100">
        <v>2.91</v>
      </c>
      <c r="F55" s="100">
        <v>0.89</v>
      </c>
      <c r="G55" s="100">
        <v>68.89</v>
      </c>
      <c r="H55" s="100">
        <v>35.14</v>
      </c>
      <c r="I55" s="100">
        <v>13.09</v>
      </c>
      <c r="J55" s="100">
        <v>0.38</v>
      </c>
      <c r="K55" s="100">
        <v>194.71</v>
      </c>
      <c r="L55" s="100">
        <v>22.67</v>
      </c>
      <c r="M55" s="100">
        <v>31.48</v>
      </c>
      <c r="N55" s="100">
        <v>574.5</v>
      </c>
      <c r="O55" s="100">
        <v>0</v>
      </c>
      <c r="P55" s="100">
        <v>0.76</v>
      </c>
      <c r="Q55" s="100">
        <v>9.32</v>
      </c>
      <c r="R55" s="6"/>
      <c r="S55" s="6"/>
      <c r="T55" s="156"/>
      <c r="U55" s="6"/>
    </row>
    <row r="56" spans="1:21" customFormat="1">
      <c r="A56" s="163" t="s">
        <v>2886</v>
      </c>
      <c r="B56" s="100">
        <v>9.6</v>
      </c>
      <c r="C56" s="100">
        <v>24.3</v>
      </c>
      <c r="D56" s="100">
        <v>20.399999999999999</v>
      </c>
      <c r="E56" s="100">
        <v>3.39</v>
      </c>
      <c r="F56" s="100">
        <v>0.97</v>
      </c>
      <c r="G56" s="100">
        <v>67.36</v>
      </c>
      <c r="H56" s="100">
        <v>32.119999999999997</v>
      </c>
      <c r="I56" s="100">
        <v>12.69</v>
      </c>
      <c r="J56" s="100">
        <v>0.12</v>
      </c>
      <c r="K56" s="100">
        <v>166.52</v>
      </c>
      <c r="L56" s="100">
        <v>23.14</v>
      </c>
      <c r="M56" s="100">
        <v>30.31</v>
      </c>
      <c r="N56" s="100">
        <v>571.1</v>
      </c>
      <c r="O56" s="100">
        <v>0</v>
      </c>
      <c r="P56" s="100">
        <v>0.74</v>
      </c>
      <c r="Q56" s="100">
        <v>9.32</v>
      </c>
      <c r="R56" s="6"/>
      <c r="S56" s="6"/>
      <c r="T56" s="156"/>
      <c r="U56" s="6"/>
    </row>
    <row r="57" spans="1:21" customFormat="1">
      <c r="A57" s="163" t="s">
        <v>2887</v>
      </c>
      <c r="B57" s="100">
        <v>7.93</v>
      </c>
      <c r="C57" s="100">
        <v>24.13</v>
      </c>
      <c r="D57" s="100">
        <v>18.96</v>
      </c>
      <c r="E57" s="100">
        <v>3.18</v>
      </c>
      <c r="F57" s="100">
        <v>1.07</v>
      </c>
      <c r="G57" s="100">
        <v>67.36</v>
      </c>
      <c r="H57" s="100">
        <v>32.119999999999997</v>
      </c>
      <c r="I57" s="100">
        <v>12.31</v>
      </c>
      <c r="J57" s="100">
        <v>0.46</v>
      </c>
      <c r="K57" s="100">
        <v>271.5</v>
      </c>
      <c r="L57" s="100">
        <v>22.71</v>
      </c>
      <c r="M57" s="100">
        <v>30.9</v>
      </c>
      <c r="N57" s="100">
        <v>579.9</v>
      </c>
      <c r="O57" s="100">
        <v>0</v>
      </c>
      <c r="P57" s="100">
        <v>0.71</v>
      </c>
      <c r="Q57" s="100">
        <v>9.32</v>
      </c>
      <c r="R57" s="6"/>
      <c r="S57" s="6"/>
      <c r="T57" s="156"/>
      <c r="U57" s="6"/>
    </row>
    <row r="58" spans="1:21" customFormat="1">
      <c r="A58" s="163" t="s">
        <v>2888</v>
      </c>
      <c r="B58" s="100">
        <v>6.49</v>
      </c>
      <c r="C58" s="100">
        <v>23.89</v>
      </c>
      <c r="D58" s="100">
        <v>17.68</v>
      </c>
      <c r="E58" s="100">
        <v>3.23</v>
      </c>
      <c r="F58" s="100">
        <v>1.41</v>
      </c>
      <c r="G58" s="100">
        <v>67.36</v>
      </c>
      <c r="H58" s="100">
        <v>32.119999999999997</v>
      </c>
      <c r="I58" s="100">
        <v>13.34</v>
      </c>
      <c r="J58" s="100">
        <v>0.3</v>
      </c>
      <c r="K58" s="100">
        <v>312.43</v>
      </c>
      <c r="L58" s="100">
        <v>23.31</v>
      </c>
      <c r="M58" s="100">
        <v>29.53</v>
      </c>
      <c r="N58" s="100">
        <v>582.29999999999995</v>
      </c>
      <c r="O58" s="100">
        <v>0</v>
      </c>
      <c r="P58" s="100">
        <v>0.7</v>
      </c>
      <c r="Q58" s="100">
        <v>9.32</v>
      </c>
      <c r="R58" s="6"/>
      <c r="S58" s="6"/>
      <c r="T58" s="156"/>
      <c r="U58" s="6"/>
    </row>
    <row r="59" spans="1:21" customFormat="1">
      <c r="A59" s="163" t="s">
        <v>2889</v>
      </c>
      <c r="B59" s="100">
        <v>5.36</v>
      </c>
      <c r="C59" s="100">
        <v>23.67</v>
      </c>
      <c r="D59" s="100">
        <v>16.66</v>
      </c>
      <c r="E59" s="100">
        <v>3.17</v>
      </c>
      <c r="F59" s="100">
        <v>1.39</v>
      </c>
      <c r="G59" s="100">
        <v>62.98</v>
      </c>
      <c r="H59" s="100">
        <v>30.9</v>
      </c>
      <c r="I59" s="100">
        <v>14.28</v>
      </c>
      <c r="J59" s="100">
        <v>0.41</v>
      </c>
      <c r="K59" s="100">
        <v>348.29</v>
      </c>
      <c r="L59" s="100">
        <v>23.55</v>
      </c>
      <c r="M59" s="100">
        <v>28.42</v>
      </c>
      <c r="N59" s="100">
        <v>573.70000000000005</v>
      </c>
      <c r="O59" s="100">
        <v>0</v>
      </c>
      <c r="P59" s="100">
        <v>0.68</v>
      </c>
      <c r="Q59" s="100">
        <v>9.32</v>
      </c>
      <c r="R59" s="6"/>
      <c r="S59" s="6"/>
      <c r="T59" s="156"/>
      <c r="U59" s="6"/>
    </row>
    <row r="60" spans="1:21" customFormat="1">
      <c r="A60" s="163" t="s">
        <v>2890</v>
      </c>
      <c r="B60" s="100">
        <v>4.5199999999999996</v>
      </c>
      <c r="C60" s="100">
        <v>23.38</v>
      </c>
      <c r="D60" s="100">
        <v>15.84</v>
      </c>
      <c r="E60" s="100">
        <v>3.29</v>
      </c>
      <c r="F60" s="100">
        <v>1.52</v>
      </c>
      <c r="G60" s="100">
        <v>56.99</v>
      </c>
      <c r="H60" s="100">
        <v>28.56</v>
      </c>
      <c r="I60" s="100">
        <v>13.7</v>
      </c>
      <c r="J60" s="100">
        <v>0.45</v>
      </c>
      <c r="K60" s="100">
        <v>299.89</v>
      </c>
      <c r="L60" s="100">
        <v>23.71</v>
      </c>
      <c r="M60" s="100">
        <v>27.8</v>
      </c>
      <c r="N60" s="100">
        <v>529.6</v>
      </c>
      <c r="O60" s="100">
        <v>0</v>
      </c>
      <c r="P60" s="100">
        <v>0.67</v>
      </c>
      <c r="Q60" s="100">
        <v>9.32</v>
      </c>
      <c r="R60" s="6"/>
      <c r="S60" s="6"/>
      <c r="T60" s="156"/>
      <c r="U60" s="6"/>
    </row>
    <row r="61" spans="1:21" customFormat="1">
      <c r="A61" s="163" t="s">
        <v>2891</v>
      </c>
      <c r="B61" s="100">
        <v>3.89</v>
      </c>
      <c r="C61" s="100">
        <v>23.09</v>
      </c>
      <c r="D61" s="100">
        <v>15.18</v>
      </c>
      <c r="E61" s="100">
        <v>3.23</v>
      </c>
      <c r="F61" s="100">
        <v>1.89</v>
      </c>
      <c r="G61" s="100">
        <v>56.99</v>
      </c>
      <c r="H61" s="100">
        <v>28.56</v>
      </c>
      <c r="I61" s="100">
        <v>13.39</v>
      </c>
      <c r="J61" s="100">
        <v>0.46</v>
      </c>
      <c r="K61" s="100">
        <v>12.53</v>
      </c>
      <c r="L61" s="100">
        <v>23.72</v>
      </c>
      <c r="M61" s="100">
        <v>26.9</v>
      </c>
      <c r="N61" s="100">
        <v>459</v>
      </c>
      <c r="O61" s="100">
        <v>0</v>
      </c>
      <c r="P61" s="100">
        <v>0.65</v>
      </c>
      <c r="Q61" s="100">
        <v>9.32</v>
      </c>
      <c r="R61" s="6"/>
      <c r="S61" s="6"/>
      <c r="T61" s="156"/>
      <c r="U61" s="6"/>
    </row>
    <row r="62" spans="1:21" customFormat="1">
      <c r="A62" s="163" t="s">
        <v>2892</v>
      </c>
      <c r="B62" s="100">
        <v>3.44</v>
      </c>
      <c r="C62" s="100">
        <v>22.84</v>
      </c>
      <c r="D62" s="100">
        <v>14.69</v>
      </c>
      <c r="E62" s="100">
        <v>3.33</v>
      </c>
      <c r="F62" s="100">
        <v>2.23</v>
      </c>
      <c r="G62" s="100">
        <v>56.99</v>
      </c>
      <c r="H62" s="100">
        <v>28.56</v>
      </c>
      <c r="I62" s="100">
        <v>13.12</v>
      </c>
      <c r="J62" s="100">
        <v>0.56000000000000005</v>
      </c>
      <c r="K62" s="100">
        <v>31.9</v>
      </c>
      <c r="L62" s="100">
        <v>23.69</v>
      </c>
      <c r="M62" s="100">
        <v>26.88</v>
      </c>
      <c r="N62" s="100">
        <v>292.39999999999998</v>
      </c>
      <c r="O62" s="100">
        <v>0</v>
      </c>
      <c r="P62" s="100">
        <v>0.64</v>
      </c>
      <c r="Q62" s="100">
        <v>9.32</v>
      </c>
      <c r="R62" s="6"/>
      <c r="S62" s="6"/>
      <c r="T62" s="156"/>
      <c r="U62" s="6"/>
    </row>
    <row r="63" spans="1:21" customFormat="1">
      <c r="A63" s="163" t="s">
        <v>2893</v>
      </c>
      <c r="B63" s="100">
        <v>3.1</v>
      </c>
      <c r="C63" s="100">
        <v>22.64</v>
      </c>
      <c r="D63" s="100">
        <v>14.31</v>
      </c>
      <c r="E63" s="100">
        <v>3.64</v>
      </c>
      <c r="F63" s="100">
        <v>2.37</v>
      </c>
      <c r="G63" s="100">
        <v>57.67</v>
      </c>
      <c r="H63" s="100">
        <v>28.53</v>
      </c>
      <c r="I63" s="100">
        <v>12.84</v>
      </c>
      <c r="J63" s="100">
        <v>0.63</v>
      </c>
      <c r="K63" s="100">
        <v>47.39</v>
      </c>
      <c r="L63" s="100">
        <v>23.33</v>
      </c>
      <c r="M63" s="100">
        <v>27.86</v>
      </c>
      <c r="N63" s="100">
        <v>168.7</v>
      </c>
      <c r="O63" s="100">
        <v>0</v>
      </c>
      <c r="P63" s="100">
        <v>0.63</v>
      </c>
      <c r="Q63" s="100">
        <v>9.32</v>
      </c>
      <c r="R63" s="6"/>
      <c r="S63" s="6"/>
      <c r="T63" s="156"/>
      <c r="U63" s="6"/>
    </row>
    <row r="64" spans="1:21" customFormat="1">
      <c r="A64" s="163" t="s">
        <v>2894</v>
      </c>
      <c r="B64" s="100">
        <v>2.88</v>
      </c>
      <c r="C64" s="100">
        <v>22.42</v>
      </c>
      <c r="D64" s="100">
        <v>14.02</v>
      </c>
      <c r="E64" s="100">
        <v>3.43</v>
      </c>
      <c r="F64" s="100">
        <v>2.4</v>
      </c>
      <c r="G64" s="100">
        <v>58.59</v>
      </c>
      <c r="H64" s="100">
        <v>28.51</v>
      </c>
      <c r="I64" s="100">
        <v>12.58</v>
      </c>
      <c r="J64" s="100">
        <v>0.17</v>
      </c>
      <c r="K64" s="100">
        <v>132.13999999999999</v>
      </c>
      <c r="L64" s="100">
        <v>23.38</v>
      </c>
      <c r="M64" s="100">
        <v>30.42</v>
      </c>
      <c r="N64" s="100">
        <v>139.4</v>
      </c>
      <c r="O64" s="100">
        <v>0</v>
      </c>
      <c r="P64" s="100">
        <v>0.63</v>
      </c>
      <c r="Q64" s="100">
        <v>9.32</v>
      </c>
      <c r="R64" s="6"/>
      <c r="S64" s="6"/>
      <c r="T64" s="156"/>
      <c r="U64" s="6"/>
    </row>
    <row r="65" spans="1:21" customFormat="1">
      <c r="A65" s="163" t="s">
        <v>2895</v>
      </c>
      <c r="B65" s="100">
        <v>2.83</v>
      </c>
      <c r="C65" s="100">
        <v>22.38</v>
      </c>
      <c r="D65" s="100">
        <v>13.96</v>
      </c>
      <c r="E65" s="100">
        <v>3.81</v>
      </c>
      <c r="F65" s="100">
        <v>1.94</v>
      </c>
      <c r="G65" s="100">
        <v>58.59</v>
      </c>
      <c r="H65" s="100">
        <v>28.51</v>
      </c>
      <c r="I65" s="100">
        <v>12.38</v>
      </c>
      <c r="J65" s="100">
        <v>0.12</v>
      </c>
      <c r="K65" s="100">
        <v>337.76</v>
      </c>
      <c r="L65" s="100">
        <v>23.44</v>
      </c>
      <c r="M65" s="100">
        <v>29.93</v>
      </c>
      <c r="N65" s="100">
        <v>133.19999999999999</v>
      </c>
      <c r="O65" s="100">
        <v>0</v>
      </c>
      <c r="P65" s="100">
        <v>0.54</v>
      </c>
      <c r="Q65" s="100">
        <v>9.32</v>
      </c>
      <c r="R65" s="6"/>
      <c r="S65" s="6"/>
      <c r="T65" s="156"/>
      <c r="U65" s="6"/>
    </row>
    <row r="66" spans="1:21" customFormat="1">
      <c r="A66" s="163" t="s">
        <v>2896</v>
      </c>
      <c r="B66" s="100">
        <v>2.93</v>
      </c>
      <c r="C66" s="100">
        <v>22.1</v>
      </c>
      <c r="D66" s="100">
        <v>13.9</v>
      </c>
      <c r="E66" s="100">
        <v>3.86</v>
      </c>
      <c r="F66" s="100">
        <v>1.38</v>
      </c>
      <c r="G66" s="100">
        <v>58.59</v>
      </c>
      <c r="H66" s="100">
        <v>28.51</v>
      </c>
      <c r="I66" s="100">
        <v>12.22</v>
      </c>
      <c r="J66" s="100">
        <v>0.49</v>
      </c>
      <c r="K66" s="100">
        <v>309.70999999999998</v>
      </c>
      <c r="L66" s="100">
        <v>23.53</v>
      </c>
      <c r="M66" s="100">
        <v>29.52</v>
      </c>
      <c r="N66" s="100">
        <v>129.6</v>
      </c>
      <c r="O66" s="100">
        <v>0</v>
      </c>
      <c r="P66" s="100">
        <v>0.56000000000000005</v>
      </c>
      <c r="Q66" s="100">
        <v>9.32</v>
      </c>
      <c r="R66" s="6"/>
      <c r="S66" s="6"/>
      <c r="T66" s="156"/>
      <c r="U66" s="6"/>
    </row>
    <row r="67" spans="1:21" customFormat="1">
      <c r="A67" s="163" t="s">
        <v>2897</v>
      </c>
      <c r="B67" s="100">
        <v>3.07</v>
      </c>
      <c r="C67" s="100">
        <v>22.06</v>
      </c>
      <c r="D67" s="100">
        <v>13.99</v>
      </c>
      <c r="E67" s="100">
        <v>4.6900000000000004</v>
      </c>
      <c r="F67" s="100">
        <v>1.21</v>
      </c>
      <c r="G67" s="100">
        <v>63.09</v>
      </c>
      <c r="H67" s="100">
        <v>30.51</v>
      </c>
      <c r="I67" s="100">
        <v>12.1</v>
      </c>
      <c r="J67" s="100">
        <v>0.26</v>
      </c>
      <c r="K67" s="100">
        <v>19.78</v>
      </c>
      <c r="L67" s="100">
        <v>23.63</v>
      </c>
      <c r="M67" s="100">
        <v>27.82</v>
      </c>
      <c r="N67" s="100">
        <v>124.1</v>
      </c>
      <c r="O67" s="100">
        <v>0</v>
      </c>
      <c r="P67" s="100">
        <v>0.56999999999999995</v>
      </c>
      <c r="Q67" s="100">
        <v>9.32</v>
      </c>
      <c r="R67" s="6"/>
      <c r="S67" s="6"/>
      <c r="T67" s="156"/>
      <c r="U67" s="6"/>
    </row>
    <row r="68" spans="1:21" customFormat="1">
      <c r="A68" s="163" t="s">
        <v>2898</v>
      </c>
      <c r="B68" s="100">
        <v>3.24</v>
      </c>
      <c r="C68" s="100">
        <v>22.09</v>
      </c>
      <c r="D68" s="100">
        <v>14.14</v>
      </c>
      <c r="E68" s="100">
        <v>4.42</v>
      </c>
      <c r="F68" s="100">
        <v>1.19</v>
      </c>
      <c r="G68" s="100">
        <v>69.239999999999995</v>
      </c>
      <c r="H68" s="100">
        <v>32.04</v>
      </c>
      <c r="I68" s="100">
        <v>12.03</v>
      </c>
      <c r="J68" s="100">
        <v>0.53</v>
      </c>
      <c r="K68" s="100">
        <v>300.11</v>
      </c>
      <c r="L68" s="100">
        <v>23.64</v>
      </c>
      <c r="M68" s="100">
        <v>27.74</v>
      </c>
      <c r="N68" s="100">
        <v>110.2</v>
      </c>
      <c r="O68" s="100">
        <v>0</v>
      </c>
      <c r="P68" s="100">
        <v>0.57999999999999996</v>
      </c>
      <c r="Q68" s="100">
        <v>9.32</v>
      </c>
      <c r="R68" s="6"/>
      <c r="S68" s="6"/>
      <c r="T68" s="156"/>
      <c r="U68" s="6"/>
    </row>
    <row r="69" spans="1:21" customFormat="1">
      <c r="A69" s="163" t="s">
        <v>2899</v>
      </c>
      <c r="B69" s="100">
        <v>3.43</v>
      </c>
      <c r="C69" s="100">
        <v>21.69</v>
      </c>
      <c r="D69" s="100">
        <v>14.09</v>
      </c>
      <c r="E69" s="100">
        <v>3.98</v>
      </c>
      <c r="F69" s="100">
        <v>0.88</v>
      </c>
      <c r="G69" s="100">
        <v>69.239999999999995</v>
      </c>
      <c r="H69" s="100">
        <v>32.04</v>
      </c>
      <c r="I69" s="100">
        <v>11.97</v>
      </c>
      <c r="J69" s="100">
        <v>0.27</v>
      </c>
      <c r="K69" s="100">
        <v>272.73</v>
      </c>
      <c r="L69" s="100">
        <v>23.54</v>
      </c>
      <c r="M69" s="100">
        <v>26.5</v>
      </c>
      <c r="N69" s="100">
        <v>98.9</v>
      </c>
      <c r="O69" s="100">
        <v>0</v>
      </c>
      <c r="P69" s="100">
        <v>0.56999999999999995</v>
      </c>
      <c r="Q69" s="100">
        <v>9.32</v>
      </c>
      <c r="R69" s="6"/>
      <c r="S69" s="6"/>
      <c r="T69" s="156"/>
      <c r="U69" s="6"/>
    </row>
    <row r="70" spans="1:21" customFormat="1">
      <c r="A70" s="163" t="s">
        <v>2900</v>
      </c>
      <c r="B70" s="100">
        <v>3.51</v>
      </c>
      <c r="C70" s="100">
        <v>21.09</v>
      </c>
      <c r="D70" s="100">
        <v>13.83</v>
      </c>
      <c r="E70" s="100">
        <v>3.94</v>
      </c>
      <c r="F70" s="100">
        <v>0.77</v>
      </c>
      <c r="G70" s="100">
        <v>69.239999999999995</v>
      </c>
      <c r="H70" s="100">
        <v>32.04</v>
      </c>
      <c r="I70" s="100">
        <v>11.92</v>
      </c>
      <c r="J70" s="100">
        <v>0.28000000000000003</v>
      </c>
      <c r="K70" s="100">
        <v>272.77999999999997</v>
      </c>
      <c r="L70" s="100">
        <v>23.52</v>
      </c>
      <c r="M70" s="100">
        <v>24.59</v>
      </c>
      <c r="N70" s="100">
        <v>83.1</v>
      </c>
      <c r="O70" s="100">
        <v>0</v>
      </c>
      <c r="P70" s="100">
        <v>0.56999999999999995</v>
      </c>
      <c r="Q70" s="100">
        <v>9.32</v>
      </c>
      <c r="R70" s="6"/>
      <c r="S70" s="6"/>
      <c r="T70" s="156"/>
      <c r="U70" s="6"/>
    </row>
    <row r="71" spans="1:21" customFormat="1">
      <c r="A71" s="163" t="s">
        <v>2901</v>
      </c>
      <c r="B71" s="100">
        <v>3.56</v>
      </c>
      <c r="C71" s="100">
        <v>20.73</v>
      </c>
      <c r="D71" s="100">
        <v>13.68</v>
      </c>
      <c r="E71" s="100">
        <v>4.42</v>
      </c>
      <c r="F71" s="100">
        <v>0.68</v>
      </c>
      <c r="G71" s="100">
        <v>68.209999999999994</v>
      </c>
      <c r="H71" s="100">
        <v>31.92</v>
      </c>
      <c r="I71" s="100">
        <v>11.83</v>
      </c>
      <c r="J71" s="100">
        <v>0.22</v>
      </c>
      <c r="K71" s="100">
        <v>308.89999999999998</v>
      </c>
      <c r="L71" s="100">
        <v>23.35</v>
      </c>
      <c r="M71" s="100">
        <v>23.91</v>
      </c>
      <c r="N71" s="100">
        <v>79.099999999999994</v>
      </c>
      <c r="O71" s="100">
        <v>0</v>
      </c>
      <c r="P71" s="100">
        <v>0.56000000000000005</v>
      </c>
      <c r="Q71" s="100">
        <v>9.32</v>
      </c>
      <c r="R71" s="6"/>
      <c r="S71" s="6"/>
      <c r="T71" s="156"/>
      <c r="U71" s="6"/>
    </row>
    <row r="72" spans="1:21" customFormat="1">
      <c r="A72" s="163" t="s">
        <v>2902</v>
      </c>
      <c r="B72" s="100">
        <v>3.64</v>
      </c>
      <c r="C72" s="100">
        <v>20.420000000000002</v>
      </c>
      <c r="D72" s="100">
        <v>13.59</v>
      </c>
      <c r="E72" s="100">
        <v>4.34</v>
      </c>
      <c r="F72" s="100">
        <v>0.81</v>
      </c>
      <c r="G72" s="100">
        <v>66.81</v>
      </c>
      <c r="H72" s="100">
        <v>31.83</v>
      </c>
      <c r="I72" s="100">
        <v>11.71</v>
      </c>
      <c r="J72" s="100">
        <v>0.32</v>
      </c>
      <c r="K72" s="100">
        <v>21.29</v>
      </c>
      <c r="L72" s="100">
        <v>23.58</v>
      </c>
      <c r="M72" s="100">
        <v>22.85</v>
      </c>
      <c r="N72" s="100">
        <v>68.900000000000006</v>
      </c>
      <c r="O72" s="100">
        <v>0</v>
      </c>
      <c r="P72" s="100">
        <v>0.56000000000000005</v>
      </c>
      <c r="Q72" s="100">
        <v>9.32</v>
      </c>
      <c r="R72" s="6"/>
      <c r="S72" s="6"/>
      <c r="T72" s="156"/>
      <c r="U72" s="6"/>
    </row>
    <row r="73" spans="1:21" customFormat="1">
      <c r="A73" s="163" t="s">
        <v>2903</v>
      </c>
      <c r="B73" s="100">
        <v>3.75</v>
      </c>
      <c r="C73" s="100">
        <v>20.190000000000001</v>
      </c>
      <c r="D73" s="100">
        <v>13.56</v>
      </c>
      <c r="E73" s="100">
        <v>4.05</v>
      </c>
      <c r="F73" s="100">
        <v>0.67</v>
      </c>
      <c r="G73" s="100">
        <v>66.81</v>
      </c>
      <c r="H73" s="100">
        <v>31.83</v>
      </c>
      <c r="I73" s="100">
        <v>11.68</v>
      </c>
      <c r="J73" s="100">
        <v>0.24</v>
      </c>
      <c r="K73" s="100">
        <v>42.12</v>
      </c>
      <c r="L73" s="100">
        <v>23.34</v>
      </c>
      <c r="M73" s="100">
        <v>23.63</v>
      </c>
      <c r="N73" s="100">
        <v>63.3</v>
      </c>
      <c r="O73" s="100">
        <v>0</v>
      </c>
      <c r="P73" s="100">
        <v>0.55000000000000004</v>
      </c>
      <c r="Q73" s="100">
        <v>9.32</v>
      </c>
      <c r="R73" s="6"/>
      <c r="S73" s="6"/>
      <c r="T73" s="156"/>
      <c r="U73" s="6"/>
    </row>
    <row r="74" spans="1:21" customFormat="1">
      <c r="A74" s="163" t="s">
        <v>2904</v>
      </c>
      <c r="B74" s="100">
        <v>3.92</v>
      </c>
      <c r="C74" s="100">
        <v>20.07</v>
      </c>
      <c r="D74" s="100">
        <v>13.63</v>
      </c>
      <c r="E74" s="100">
        <v>4.25</v>
      </c>
      <c r="F74" s="100">
        <v>0.55000000000000004</v>
      </c>
      <c r="G74" s="100">
        <v>66.81</v>
      </c>
      <c r="H74" s="100">
        <v>31.83</v>
      </c>
      <c r="I74" s="100">
        <v>11.55</v>
      </c>
      <c r="J74" s="100">
        <v>0.15</v>
      </c>
      <c r="K74" s="100">
        <v>23.97</v>
      </c>
      <c r="L74" s="100">
        <v>22.98</v>
      </c>
      <c r="M74" s="100">
        <v>24.29</v>
      </c>
      <c r="N74" s="100">
        <v>60.4</v>
      </c>
      <c r="O74" s="100">
        <v>0</v>
      </c>
      <c r="P74" s="100">
        <v>0.55000000000000004</v>
      </c>
      <c r="Q74" s="100">
        <v>9.32</v>
      </c>
      <c r="R74" s="6"/>
      <c r="S74" s="6"/>
      <c r="T74" s="156"/>
      <c r="U74" s="6"/>
    </row>
    <row r="75" spans="1:21" customFormat="1">
      <c r="A75" s="163" t="s">
        <v>2905</v>
      </c>
      <c r="B75" s="100">
        <v>4.1100000000000003</v>
      </c>
      <c r="C75" s="100">
        <v>19.8</v>
      </c>
      <c r="D75" s="100">
        <v>13.64</v>
      </c>
      <c r="E75" s="100">
        <v>3.87</v>
      </c>
      <c r="F75" s="100">
        <v>0.44</v>
      </c>
      <c r="G75" s="100">
        <v>67.37</v>
      </c>
      <c r="H75" s="100">
        <v>29.06</v>
      </c>
      <c r="I75" s="100">
        <v>11.45</v>
      </c>
      <c r="J75" s="100">
        <v>0.09</v>
      </c>
      <c r="K75" s="100">
        <v>134.94999999999999</v>
      </c>
      <c r="L75" s="100">
        <v>22.22</v>
      </c>
      <c r="M75" s="100">
        <v>27.47</v>
      </c>
      <c r="N75" s="100">
        <v>55.9</v>
      </c>
      <c r="O75" s="100">
        <v>0</v>
      </c>
      <c r="P75" s="100">
        <v>0.55000000000000004</v>
      </c>
      <c r="Q75" s="100">
        <v>9.32</v>
      </c>
      <c r="R75" s="6"/>
      <c r="S75" s="6"/>
      <c r="T75" s="156"/>
      <c r="U75" s="6"/>
    </row>
    <row r="76" spans="1:21" customFormat="1">
      <c r="A76" s="163" t="s">
        <v>2906</v>
      </c>
      <c r="B76" s="100">
        <v>4.34</v>
      </c>
      <c r="C76" s="100">
        <v>19.559999999999999</v>
      </c>
      <c r="D76" s="100">
        <v>13.7</v>
      </c>
      <c r="E76" s="100">
        <v>3.47</v>
      </c>
      <c r="F76" s="100">
        <v>0.36</v>
      </c>
      <c r="G76" s="100">
        <v>68.13</v>
      </c>
      <c r="H76" s="100">
        <v>26.95</v>
      </c>
      <c r="I76" s="100">
        <v>11.48</v>
      </c>
      <c r="J76" s="100">
        <v>0.25</v>
      </c>
      <c r="K76" s="100">
        <v>172.98</v>
      </c>
      <c r="L76" s="100">
        <v>21.22</v>
      </c>
      <c r="M76" s="100">
        <v>30.32</v>
      </c>
      <c r="N76" s="100">
        <v>46.4</v>
      </c>
      <c r="O76" s="100">
        <v>0</v>
      </c>
      <c r="P76" s="100">
        <v>0.54</v>
      </c>
      <c r="Q76" s="100">
        <v>9.32</v>
      </c>
      <c r="R76" s="6"/>
      <c r="S76" s="6"/>
      <c r="T76" s="156"/>
      <c r="U76" s="6"/>
    </row>
    <row r="77" spans="1:21" customFormat="1">
      <c r="A77" s="163" t="s">
        <v>2907</v>
      </c>
      <c r="B77" s="100">
        <v>4.51</v>
      </c>
      <c r="C77" s="100">
        <v>19.48</v>
      </c>
      <c r="D77" s="100">
        <v>13.8</v>
      </c>
      <c r="E77" s="100">
        <v>3.36</v>
      </c>
      <c r="F77" s="100">
        <v>0.31</v>
      </c>
      <c r="G77" s="100">
        <v>68.13</v>
      </c>
      <c r="H77" s="100">
        <v>26.95</v>
      </c>
      <c r="I77" s="100">
        <v>11.37</v>
      </c>
      <c r="J77" s="100">
        <v>0.17</v>
      </c>
      <c r="K77" s="100">
        <v>164.6</v>
      </c>
      <c r="L77" s="100">
        <v>20.14</v>
      </c>
      <c r="M77" s="100">
        <v>35.28</v>
      </c>
      <c r="N77" s="100">
        <v>40.1</v>
      </c>
      <c r="O77" s="100">
        <v>0</v>
      </c>
      <c r="P77" s="100">
        <v>0.53</v>
      </c>
      <c r="Q77" s="100">
        <v>9.32</v>
      </c>
      <c r="R77" s="6"/>
      <c r="S77" s="6"/>
      <c r="T77" s="156"/>
      <c r="U77" s="6"/>
    </row>
    <row r="78" spans="1:21" customFormat="1">
      <c r="A78" s="163" t="s">
        <v>2908</v>
      </c>
      <c r="B78" s="100">
        <v>4.6500000000000004</v>
      </c>
      <c r="C78" s="100">
        <v>19.440000000000001</v>
      </c>
      <c r="D78" s="100">
        <v>13.89</v>
      </c>
      <c r="E78" s="100">
        <v>3.01</v>
      </c>
      <c r="F78" s="100">
        <v>0.38</v>
      </c>
      <c r="G78" s="100">
        <v>68.13</v>
      </c>
      <c r="H78" s="100">
        <v>26.95</v>
      </c>
      <c r="I78" s="100">
        <v>11.24</v>
      </c>
      <c r="J78" s="100">
        <v>0.36</v>
      </c>
      <c r="K78" s="100">
        <v>160.1</v>
      </c>
      <c r="L78" s="100">
        <v>19.059999999999999</v>
      </c>
      <c r="M78" s="100">
        <v>40.96</v>
      </c>
      <c r="N78" s="100">
        <v>34.4</v>
      </c>
      <c r="O78" s="100">
        <v>0</v>
      </c>
      <c r="P78" s="100">
        <v>0.53</v>
      </c>
      <c r="Q78" s="100">
        <v>9.32</v>
      </c>
      <c r="R78" s="6"/>
      <c r="S78" s="6"/>
      <c r="T78" s="156"/>
      <c r="U78" s="6"/>
    </row>
    <row r="79" spans="1:21" customFormat="1">
      <c r="A79" s="163" t="s">
        <v>2909</v>
      </c>
      <c r="B79" s="100">
        <v>4.8</v>
      </c>
      <c r="C79" s="100">
        <v>19.41</v>
      </c>
      <c r="D79" s="100">
        <v>14</v>
      </c>
      <c r="E79" s="100">
        <v>3.25</v>
      </c>
      <c r="F79" s="100">
        <v>0.34</v>
      </c>
      <c r="G79" s="100">
        <v>73.790000000000006</v>
      </c>
      <c r="H79" s="100">
        <v>27.43</v>
      </c>
      <c r="I79" s="100">
        <v>11.08</v>
      </c>
      <c r="J79" s="100">
        <v>0.32</v>
      </c>
      <c r="K79" s="100">
        <v>161.41</v>
      </c>
      <c r="L79" s="100">
        <v>18.02</v>
      </c>
      <c r="M79" s="100">
        <v>47.78</v>
      </c>
      <c r="N79" s="100">
        <v>31.8</v>
      </c>
      <c r="O79" s="100">
        <v>0</v>
      </c>
      <c r="P79" s="100">
        <v>0.53</v>
      </c>
      <c r="Q79" s="100">
        <v>9.32</v>
      </c>
      <c r="R79" s="6"/>
      <c r="S79" s="6"/>
      <c r="T79" s="156"/>
      <c r="U79" s="6"/>
    </row>
    <row r="80" spans="1:21" customFormat="1">
      <c r="A80" s="163" t="s">
        <v>2910</v>
      </c>
      <c r="B80" s="100">
        <v>5.2</v>
      </c>
      <c r="C80" s="100">
        <v>19.399999999999999</v>
      </c>
      <c r="D80" s="100">
        <v>14.31</v>
      </c>
      <c r="E80" s="100">
        <v>3.27</v>
      </c>
      <c r="F80" s="100">
        <v>0.23</v>
      </c>
      <c r="G80" s="100">
        <v>81.540000000000006</v>
      </c>
      <c r="H80" s="100">
        <v>27.79</v>
      </c>
      <c r="I80" s="100">
        <v>10.96</v>
      </c>
      <c r="J80" s="100">
        <v>0.24</v>
      </c>
      <c r="K80" s="100">
        <v>149.88</v>
      </c>
      <c r="L80" s="100">
        <v>17.34</v>
      </c>
      <c r="M80" s="100">
        <v>47.81</v>
      </c>
      <c r="N80" s="100">
        <v>31</v>
      </c>
      <c r="O80" s="100">
        <v>0</v>
      </c>
      <c r="P80" s="100">
        <v>0.53</v>
      </c>
      <c r="Q80" s="100">
        <v>9.32</v>
      </c>
      <c r="R80" s="6"/>
      <c r="S80" s="6"/>
      <c r="T80" s="156"/>
      <c r="U80" s="6"/>
    </row>
    <row r="81" spans="1:21" customFormat="1">
      <c r="A81" s="163" t="s">
        <v>2911</v>
      </c>
      <c r="B81" s="100">
        <v>6.35</v>
      </c>
      <c r="C81" s="100">
        <v>19.850000000000001</v>
      </c>
      <c r="D81" s="100">
        <v>15.47</v>
      </c>
      <c r="E81" s="100">
        <v>1.95</v>
      </c>
      <c r="F81" s="100">
        <v>0.06</v>
      </c>
      <c r="G81" s="100">
        <v>81.540000000000006</v>
      </c>
      <c r="H81" s="100">
        <v>27.79</v>
      </c>
      <c r="I81" s="100">
        <v>10.85</v>
      </c>
      <c r="J81" s="100">
        <v>0.22</v>
      </c>
      <c r="K81" s="100">
        <v>162.94999999999999</v>
      </c>
      <c r="L81" s="100">
        <v>17.02</v>
      </c>
      <c r="M81" s="100">
        <v>50.26</v>
      </c>
      <c r="N81" s="100">
        <v>30.8</v>
      </c>
      <c r="O81" s="100">
        <v>0</v>
      </c>
      <c r="P81" s="100">
        <v>0.55000000000000004</v>
      </c>
      <c r="Q81" s="100">
        <v>9.32</v>
      </c>
      <c r="R81" s="6"/>
      <c r="S81" s="6"/>
      <c r="T81" s="156"/>
      <c r="U81" s="6"/>
    </row>
    <row r="82" spans="1:21" customFormat="1">
      <c r="A82" s="163" t="s">
        <v>2912</v>
      </c>
      <c r="B82" s="100">
        <v>8.33</v>
      </c>
      <c r="C82" s="100">
        <v>20.54</v>
      </c>
      <c r="D82" s="100">
        <v>17.41</v>
      </c>
      <c r="E82" s="100">
        <v>3.2</v>
      </c>
      <c r="F82" s="100">
        <v>0.02</v>
      </c>
      <c r="G82" s="100">
        <v>81.540000000000006</v>
      </c>
      <c r="H82" s="100">
        <v>27.79</v>
      </c>
      <c r="I82" s="100">
        <v>10.65</v>
      </c>
      <c r="J82" s="100">
        <v>0.24</v>
      </c>
      <c r="K82" s="100">
        <v>176.4</v>
      </c>
      <c r="L82" s="100">
        <v>16.649999999999999</v>
      </c>
      <c r="M82" s="100">
        <v>51.28</v>
      </c>
      <c r="N82" s="100">
        <v>30.6</v>
      </c>
      <c r="O82" s="100">
        <v>0</v>
      </c>
      <c r="P82" s="100">
        <v>0.59</v>
      </c>
      <c r="Q82" s="100">
        <v>9.32</v>
      </c>
      <c r="R82" s="6"/>
      <c r="S82" s="6"/>
      <c r="T82" s="156"/>
      <c r="U82" s="6"/>
    </row>
    <row r="83" spans="1:21" customFormat="1">
      <c r="A83" s="163" t="s">
        <v>2913</v>
      </c>
      <c r="B83" s="100">
        <v>10.44</v>
      </c>
      <c r="C83" s="100">
        <v>21.3</v>
      </c>
      <c r="D83" s="100">
        <v>19.5</v>
      </c>
      <c r="E83" s="100">
        <v>3.16</v>
      </c>
      <c r="F83" s="100">
        <v>0</v>
      </c>
      <c r="G83" s="100">
        <v>108.23</v>
      </c>
      <c r="H83" s="100">
        <v>29.08</v>
      </c>
      <c r="I83" s="100">
        <v>10.55</v>
      </c>
      <c r="J83" s="100">
        <v>0.33</v>
      </c>
      <c r="K83" s="100">
        <v>167.08</v>
      </c>
      <c r="L83" s="100">
        <v>15.96</v>
      </c>
      <c r="M83" s="100">
        <v>60.44</v>
      </c>
      <c r="N83" s="100">
        <v>30.8</v>
      </c>
      <c r="O83" s="100">
        <v>0</v>
      </c>
      <c r="P83" s="100">
        <v>0.62</v>
      </c>
      <c r="Q83" s="100">
        <v>9.32</v>
      </c>
      <c r="R83" s="6"/>
      <c r="S83" s="6"/>
      <c r="T83" s="156"/>
      <c r="U83" s="6"/>
    </row>
    <row r="84" spans="1:21" customFormat="1">
      <c r="A84" s="163" t="s">
        <v>2914</v>
      </c>
      <c r="B84" s="100">
        <v>11.93</v>
      </c>
      <c r="C84" s="100">
        <v>21.46</v>
      </c>
      <c r="D84" s="100">
        <v>20.78</v>
      </c>
      <c r="E84" s="100">
        <v>2.78</v>
      </c>
      <c r="F84" s="100">
        <v>0.04</v>
      </c>
      <c r="G84" s="100">
        <v>143.13999999999999</v>
      </c>
      <c r="H84" s="100">
        <v>31.56</v>
      </c>
      <c r="I84" s="100">
        <v>10.68</v>
      </c>
      <c r="J84" s="100">
        <v>0.22</v>
      </c>
      <c r="K84" s="100">
        <v>165.53</v>
      </c>
      <c r="L84" s="100">
        <v>15.44</v>
      </c>
      <c r="M84" s="100">
        <v>64.73</v>
      </c>
      <c r="N84" s="100">
        <v>30.7</v>
      </c>
      <c r="O84" s="100">
        <v>0</v>
      </c>
      <c r="P84" s="100">
        <v>0.64</v>
      </c>
      <c r="Q84" s="100">
        <v>9.32</v>
      </c>
      <c r="R84" s="6"/>
      <c r="S84" s="6"/>
      <c r="T84" s="156"/>
      <c r="U84" s="6"/>
    </row>
    <row r="85" spans="1:21" customFormat="1">
      <c r="A85" s="163" t="s">
        <v>2915</v>
      </c>
      <c r="B85" s="100">
        <v>13.09</v>
      </c>
      <c r="C85" s="100">
        <v>21.77</v>
      </c>
      <c r="D85" s="100">
        <v>21.87</v>
      </c>
      <c r="E85" s="100">
        <v>3.34</v>
      </c>
      <c r="F85" s="100">
        <v>0.11</v>
      </c>
      <c r="G85" s="100">
        <v>143.13999999999999</v>
      </c>
      <c r="H85" s="100">
        <v>31.56</v>
      </c>
      <c r="I85" s="100">
        <v>10.83</v>
      </c>
      <c r="J85" s="100">
        <v>0.28999999999999998</v>
      </c>
      <c r="K85" s="100">
        <v>160.01</v>
      </c>
      <c r="L85" s="100">
        <v>15.13</v>
      </c>
      <c r="M85" s="100">
        <v>67.989999999999995</v>
      </c>
      <c r="N85" s="100">
        <v>30.4</v>
      </c>
      <c r="O85" s="100">
        <v>0</v>
      </c>
      <c r="P85" s="100">
        <v>0.66</v>
      </c>
      <c r="Q85" s="100">
        <v>9.32</v>
      </c>
      <c r="R85" s="6"/>
      <c r="S85" s="6"/>
      <c r="T85" s="156"/>
      <c r="U85" s="6"/>
    </row>
    <row r="86" spans="1:21" customFormat="1">
      <c r="A86" s="163" t="s">
        <v>2916</v>
      </c>
      <c r="B86" s="100">
        <v>14.15</v>
      </c>
      <c r="C86" s="100">
        <v>21.95</v>
      </c>
      <c r="D86" s="100">
        <v>22.81</v>
      </c>
      <c r="E86" s="100">
        <v>3.21</v>
      </c>
      <c r="F86" s="100">
        <v>0.17</v>
      </c>
      <c r="G86" s="100">
        <v>143.13999999999999</v>
      </c>
      <c r="H86" s="100">
        <v>31.56</v>
      </c>
      <c r="I86" s="100">
        <v>10.95</v>
      </c>
      <c r="J86" s="100">
        <v>0.25</v>
      </c>
      <c r="K86" s="100">
        <v>168.9</v>
      </c>
      <c r="L86" s="100">
        <v>14.77</v>
      </c>
      <c r="M86" s="100">
        <v>70.81</v>
      </c>
      <c r="N86" s="100">
        <v>30.4</v>
      </c>
      <c r="O86" s="100">
        <v>0</v>
      </c>
      <c r="P86" s="100">
        <v>0.69</v>
      </c>
      <c r="Q86" s="100">
        <v>9.32</v>
      </c>
      <c r="R86" s="6"/>
      <c r="S86" s="6"/>
      <c r="T86" s="156"/>
      <c r="U86" s="6"/>
    </row>
    <row r="87" spans="1:21" customFormat="1">
      <c r="A87" s="163" t="s">
        <v>2917</v>
      </c>
      <c r="B87" s="100">
        <v>15.11</v>
      </c>
      <c r="C87" s="100">
        <v>22.03</v>
      </c>
      <c r="D87" s="100">
        <v>23.63</v>
      </c>
      <c r="E87" s="100">
        <v>3.36</v>
      </c>
      <c r="F87" s="100">
        <v>0.3</v>
      </c>
      <c r="G87" s="100">
        <v>121.95</v>
      </c>
      <c r="H87" s="100">
        <v>30.67</v>
      </c>
      <c r="I87" s="100">
        <v>11.38</v>
      </c>
      <c r="J87" s="100">
        <v>0.18</v>
      </c>
      <c r="K87" s="100">
        <v>179.48</v>
      </c>
      <c r="L87" s="100">
        <v>14.36</v>
      </c>
      <c r="M87" s="100">
        <v>73.459999999999994</v>
      </c>
      <c r="N87" s="100">
        <v>30.4</v>
      </c>
      <c r="O87" s="100">
        <v>0</v>
      </c>
      <c r="P87" s="100">
        <v>0.72</v>
      </c>
      <c r="Q87" s="100">
        <v>9.32</v>
      </c>
      <c r="R87" s="6"/>
      <c r="S87" s="6"/>
      <c r="T87" s="156"/>
      <c r="U87" s="6"/>
    </row>
    <row r="88" spans="1:21" customFormat="1">
      <c r="A88" s="163" t="s">
        <v>2918</v>
      </c>
      <c r="B88" s="100">
        <v>16.190000000000001</v>
      </c>
      <c r="C88" s="100">
        <v>22.09</v>
      </c>
      <c r="D88" s="100">
        <v>24.53</v>
      </c>
      <c r="E88" s="100">
        <v>3.37</v>
      </c>
      <c r="F88" s="100">
        <v>0.12</v>
      </c>
      <c r="G88" s="100">
        <v>92.94</v>
      </c>
      <c r="H88" s="100">
        <v>29.99</v>
      </c>
      <c r="I88" s="100">
        <v>11.9</v>
      </c>
      <c r="J88" s="100">
        <v>0.19</v>
      </c>
      <c r="K88" s="100">
        <v>202.96</v>
      </c>
      <c r="L88" s="100">
        <v>13.91</v>
      </c>
      <c r="M88" s="100">
        <v>75.55</v>
      </c>
      <c r="N88" s="100">
        <v>30.4</v>
      </c>
      <c r="O88" s="100">
        <v>0</v>
      </c>
      <c r="P88" s="100">
        <v>0.76</v>
      </c>
      <c r="Q88" s="100">
        <v>9.32</v>
      </c>
      <c r="R88" s="6"/>
      <c r="S88" s="6"/>
      <c r="T88" s="156"/>
      <c r="U88" s="6"/>
    </row>
    <row r="89" spans="1:21" customFormat="1">
      <c r="A89" s="163" t="s">
        <v>2919</v>
      </c>
      <c r="B89" s="100">
        <v>17.03</v>
      </c>
      <c r="C89" s="100">
        <v>22.07</v>
      </c>
      <c r="D89" s="100">
        <v>25.18</v>
      </c>
      <c r="E89" s="100">
        <v>3.02</v>
      </c>
      <c r="F89" s="100">
        <v>0.14000000000000001</v>
      </c>
      <c r="G89" s="100">
        <v>92.94</v>
      </c>
      <c r="H89" s="100">
        <v>29.99</v>
      </c>
      <c r="I89" s="100">
        <v>12.17</v>
      </c>
      <c r="J89" s="100">
        <v>0.18</v>
      </c>
      <c r="K89" s="100">
        <v>188.73</v>
      </c>
      <c r="L89" s="100">
        <v>13.5</v>
      </c>
      <c r="M89" s="100">
        <v>76.930000000000007</v>
      </c>
      <c r="N89" s="100">
        <v>30.4</v>
      </c>
      <c r="O89" s="100">
        <v>0</v>
      </c>
      <c r="P89" s="100">
        <v>0.78</v>
      </c>
      <c r="Q89" s="100">
        <v>9.32</v>
      </c>
      <c r="R89" s="6"/>
      <c r="S89" s="6"/>
      <c r="T89" s="156"/>
      <c r="U89" s="6"/>
    </row>
    <row r="90" spans="1:21" customFormat="1">
      <c r="A90" s="163" t="s">
        <v>2920</v>
      </c>
      <c r="B90" s="100">
        <v>17.27</v>
      </c>
      <c r="C90" s="100">
        <v>21.84</v>
      </c>
      <c r="D90" s="100">
        <v>25.25</v>
      </c>
      <c r="E90" s="100">
        <v>3.02</v>
      </c>
      <c r="F90" s="100">
        <v>0.2</v>
      </c>
      <c r="G90" s="100">
        <v>92.94</v>
      </c>
      <c r="H90" s="100">
        <v>29.99</v>
      </c>
      <c r="I90" s="100">
        <v>12.43</v>
      </c>
      <c r="J90" s="100">
        <v>0.17</v>
      </c>
      <c r="K90" s="100">
        <v>165.36</v>
      </c>
      <c r="L90" s="100">
        <v>13.27</v>
      </c>
      <c r="M90" s="100">
        <v>77.59</v>
      </c>
      <c r="N90" s="100">
        <v>30.3</v>
      </c>
      <c r="O90" s="100">
        <v>0</v>
      </c>
      <c r="P90" s="100">
        <v>0.78</v>
      </c>
      <c r="Q90" s="100">
        <v>9.32</v>
      </c>
      <c r="R90" s="6"/>
      <c r="S90" s="6"/>
      <c r="T90" s="156"/>
      <c r="U90" s="6"/>
    </row>
    <row r="91" spans="1:21" customFormat="1">
      <c r="A91" s="163" t="s">
        <v>2921</v>
      </c>
      <c r="B91" s="100">
        <v>17.100000000000001</v>
      </c>
      <c r="C91" s="100">
        <v>21.49</v>
      </c>
      <c r="D91" s="100">
        <v>24.94</v>
      </c>
      <c r="E91" s="100">
        <v>3.16</v>
      </c>
      <c r="F91" s="100">
        <v>0.17</v>
      </c>
      <c r="G91" s="100">
        <v>92.7</v>
      </c>
      <c r="H91" s="100">
        <v>30.68</v>
      </c>
      <c r="I91" s="100">
        <v>12.67</v>
      </c>
      <c r="J91" s="100">
        <v>0.13</v>
      </c>
      <c r="K91" s="100">
        <v>148.09</v>
      </c>
      <c r="L91" s="100">
        <v>13.12</v>
      </c>
      <c r="M91" s="100">
        <v>76.86</v>
      </c>
      <c r="N91" s="100">
        <v>30.2</v>
      </c>
      <c r="O91" s="100">
        <v>0</v>
      </c>
      <c r="P91" s="100">
        <v>0.79</v>
      </c>
      <c r="Q91" s="100">
        <v>9.32</v>
      </c>
      <c r="R91" s="6"/>
      <c r="S91" s="6"/>
      <c r="T91" s="156"/>
      <c r="U91" s="6"/>
    </row>
    <row r="92" spans="1:21" customFormat="1">
      <c r="A92" s="163" t="s">
        <v>2922</v>
      </c>
      <c r="B92" s="100">
        <v>16.829999999999998</v>
      </c>
      <c r="C92" s="100">
        <v>21.12</v>
      </c>
      <c r="D92" s="100">
        <v>24.53</v>
      </c>
      <c r="E92" s="100">
        <v>3.15</v>
      </c>
      <c r="F92" s="100">
        <v>0.03</v>
      </c>
      <c r="G92" s="100">
        <v>92.37</v>
      </c>
      <c r="H92" s="100">
        <v>31.2</v>
      </c>
      <c r="I92" s="100">
        <v>12.84</v>
      </c>
      <c r="J92" s="100">
        <v>0.14000000000000001</v>
      </c>
      <c r="K92" s="100">
        <v>205.5</v>
      </c>
      <c r="L92" s="100">
        <v>13.03</v>
      </c>
      <c r="M92" s="100">
        <v>75.97</v>
      </c>
      <c r="N92" s="100">
        <v>30</v>
      </c>
      <c r="O92" s="100">
        <v>0</v>
      </c>
      <c r="P92" s="100">
        <v>0.8</v>
      </c>
      <c r="Q92" s="100">
        <v>9.32</v>
      </c>
      <c r="R92" s="6"/>
      <c r="S92" s="6"/>
      <c r="T92" s="156"/>
      <c r="U92" s="6"/>
    </row>
    <row r="93" spans="1:21" customFormat="1">
      <c r="A93" s="163" t="s">
        <v>2923</v>
      </c>
      <c r="B93" s="100">
        <v>16.41</v>
      </c>
      <c r="C93" s="100">
        <v>20.87</v>
      </c>
      <c r="D93" s="100">
        <v>24.06</v>
      </c>
      <c r="E93" s="100">
        <v>2.93</v>
      </c>
      <c r="F93" s="100">
        <v>0.03</v>
      </c>
      <c r="G93" s="100">
        <v>92.37</v>
      </c>
      <c r="H93" s="100">
        <v>31.2</v>
      </c>
      <c r="I93" s="100">
        <v>13</v>
      </c>
      <c r="J93" s="100">
        <v>0.14000000000000001</v>
      </c>
      <c r="K93" s="100">
        <v>183.78</v>
      </c>
      <c r="L93" s="100">
        <v>12.85</v>
      </c>
      <c r="M93" s="100">
        <v>79.739999999999995</v>
      </c>
      <c r="N93" s="100">
        <v>30.2</v>
      </c>
      <c r="O93" s="100">
        <v>0</v>
      </c>
      <c r="P93" s="100">
        <v>0.81</v>
      </c>
      <c r="Q93" s="100">
        <v>9.32</v>
      </c>
      <c r="R93" s="6"/>
      <c r="S93" s="6"/>
      <c r="T93" s="156"/>
      <c r="U93" s="6"/>
    </row>
    <row r="94" spans="1:21" customFormat="1">
      <c r="A94" s="163" t="s">
        <v>2924</v>
      </c>
      <c r="B94" s="100">
        <v>16.27</v>
      </c>
      <c r="C94" s="100">
        <v>20.66</v>
      </c>
      <c r="D94" s="100">
        <v>23.84</v>
      </c>
      <c r="E94" s="100">
        <v>2.91</v>
      </c>
      <c r="F94" s="100">
        <v>0.04</v>
      </c>
      <c r="G94" s="100">
        <v>92.37</v>
      </c>
      <c r="H94" s="100">
        <v>31.2</v>
      </c>
      <c r="I94" s="100">
        <v>13.23</v>
      </c>
      <c r="J94" s="100">
        <v>0.22</v>
      </c>
      <c r="K94" s="100">
        <v>227.95</v>
      </c>
      <c r="L94" s="100">
        <v>12.82</v>
      </c>
      <c r="M94" s="100">
        <v>79.8</v>
      </c>
      <c r="N94" s="100">
        <v>30.1</v>
      </c>
      <c r="O94" s="100">
        <v>0</v>
      </c>
      <c r="P94" s="100">
        <v>0.84</v>
      </c>
      <c r="Q94" s="100">
        <v>9.32</v>
      </c>
      <c r="R94" s="6"/>
      <c r="S94" s="6"/>
      <c r="T94" s="156"/>
      <c r="U94" s="6"/>
    </row>
    <row r="95" spans="1:21" customFormat="1">
      <c r="A95" s="163" t="s">
        <v>2925</v>
      </c>
      <c r="B95" s="100">
        <v>16.62</v>
      </c>
      <c r="C95" s="100">
        <v>20.48</v>
      </c>
      <c r="D95" s="100">
        <v>24.03</v>
      </c>
      <c r="E95" s="100">
        <v>2.72</v>
      </c>
      <c r="F95" s="100">
        <v>0.03</v>
      </c>
      <c r="G95" s="100">
        <v>86.46</v>
      </c>
      <c r="H95" s="100">
        <v>32.61</v>
      </c>
      <c r="I95" s="100">
        <v>13.54</v>
      </c>
      <c r="J95" s="100">
        <v>0.16</v>
      </c>
      <c r="K95" s="100">
        <v>170.37</v>
      </c>
      <c r="L95" s="100">
        <v>12.44</v>
      </c>
      <c r="M95" s="100">
        <v>80.44</v>
      </c>
      <c r="N95" s="100">
        <v>30.4</v>
      </c>
      <c r="O95" s="100">
        <v>0</v>
      </c>
      <c r="P95" s="100">
        <v>0.85</v>
      </c>
      <c r="Q95" s="100">
        <v>9.32</v>
      </c>
      <c r="R95" s="6"/>
      <c r="S95" s="6"/>
      <c r="T95" s="156"/>
      <c r="U95" s="6"/>
    </row>
    <row r="96" spans="1:21" customFormat="1">
      <c r="A96" s="163" t="s">
        <v>2926</v>
      </c>
      <c r="B96" s="100">
        <v>16.89</v>
      </c>
      <c r="C96" s="100">
        <v>20.18</v>
      </c>
      <c r="D96" s="100">
        <v>24.08</v>
      </c>
      <c r="E96" s="100">
        <v>3.02</v>
      </c>
      <c r="F96" s="100">
        <v>0.27</v>
      </c>
      <c r="G96" s="100">
        <v>78.39</v>
      </c>
      <c r="H96" s="100">
        <v>33.69</v>
      </c>
      <c r="I96" s="100">
        <v>13.93</v>
      </c>
      <c r="J96" s="100">
        <v>0.14000000000000001</v>
      </c>
      <c r="K96" s="100">
        <v>167.74</v>
      </c>
      <c r="L96" s="100">
        <v>12.28</v>
      </c>
      <c r="M96" s="100">
        <v>82.27</v>
      </c>
      <c r="N96" s="100">
        <v>30.1</v>
      </c>
      <c r="O96" s="100">
        <v>0</v>
      </c>
      <c r="P96" s="100">
        <v>0.86</v>
      </c>
      <c r="Q96" s="100">
        <v>9.32</v>
      </c>
      <c r="R96" s="6"/>
      <c r="S96" s="6"/>
      <c r="T96" s="156"/>
      <c r="U96" s="6"/>
    </row>
    <row r="97" spans="1:28" customFormat="1">
      <c r="A97" s="163" t="s">
        <v>2927</v>
      </c>
      <c r="B97" s="100">
        <v>16.71</v>
      </c>
      <c r="C97" s="100">
        <v>20.059999999999999</v>
      </c>
      <c r="D97" s="100">
        <v>23.88</v>
      </c>
      <c r="E97" s="100">
        <v>2.93</v>
      </c>
      <c r="F97" s="100">
        <v>0.35</v>
      </c>
      <c r="G97" s="100">
        <v>78.39</v>
      </c>
      <c r="H97" s="100">
        <v>33.69</v>
      </c>
      <c r="I97" s="100">
        <v>14.31</v>
      </c>
      <c r="J97" s="100">
        <v>0.22</v>
      </c>
      <c r="K97" s="100">
        <v>158.19</v>
      </c>
      <c r="L97" s="100">
        <v>12.49</v>
      </c>
      <c r="M97" s="100">
        <v>79.5</v>
      </c>
      <c r="N97" s="100">
        <v>30</v>
      </c>
      <c r="O97" s="100">
        <v>0</v>
      </c>
      <c r="P97" s="100">
        <v>0.87</v>
      </c>
      <c r="Q97" s="100">
        <v>9.32</v>
      </c>
      <c r="R97" s="6"/>
      <c r="S97" s="6"/>
      <c r="T97" s="156"/>
      <c r="U97" s="6"/>
    </row>
    <row r="98" spans="1:28" customFormat="1">
      <c r="A98" s="163" t="s">
        <v>2928</v>
      </c>
      <c r="B98" s="100">
        <v>16.3</v>
      </c>
      <c r="C98" s="100">
        <v>19.809999999999999</v>
      </c>
      <c r="D98" s="100">
        <v>23.43</v>
      </c>
      <c r="E98" s="100">
        <v>2.74</v>
      </c>
      <c r="F98" s="100">
        <v>0.26</v>
      </c>
      <c r="G98" s="100">
        <v>78.39</v>
      </c>
      <c r="H98" s="100">
        <v>33.69</v>
      </c>
      <c r="I98" s="100">
        <v>14.61</v>
      </c>
      <c r="J98" s="100">
        <v>0.22</v>
      </c>
      <c r="K98" s="100">
        <v>165.58</v>
      </c>
      <c r="L98" s="100">
        <v>12.53</v>
      </c>
      <c r="M98" s="100">
        <v>75.31</v>
      </c>
      <c r="N98" s="100">
        <v>30.1</v>
      </c>
      <c r="O98" s="100">
        <v>0</v>
      </c>
      <c r="P98" s="100">
        <v>0.86</v>
      </c>
      <c r="Q98" s="100">
        <v>9.32</v>
      </c>
      <c r="R98" s="6"/>
      <c r="S98" s="6"/>
      <c r="T98" s="156"/>
      <c r="U98" s="6"/>
    </row>
    <row r="99" spans="1:28" customFormat="1">
      <c r="A99" s="163" t="s">
        <v>2929</v>
      </c>
      <c r="B99" s="100">
        <v>15.81</v>
      </c>
      <c r="C99" s="100">
        <v>19.829999999999998</v>
      </c>
      <c r="D99" s="100">
        <v>23.04</v>
      </c>
      <c r="E99" s="100">
        <v>2.9</v>
      </c>
      <c r="F99" s="100">
        <v>0.23</v>
      </c>
      <c r="G99" s="100">
        <v>78.56</v>
      </c>
      <c r="H99" s="100">
        <v>34.26</v>
      </c>
      <c r="I99" s="100">
        <v>14.79</v>
      </c>
      <c r="J99" s="100">
        <v>0.17</v>
      </c>
      <c r="K99" s="100">
        <v>194.05</v>
      </c>
      <c r="L99" s="100">
        <v>12.41</v>
      </c>
      <c r="M99" s="100">
        <v>78.459999999999994</v>
      </c>
      <c r="N99" s="100">
        <v>30.1</v>
      </c>
      <c r="O99" s="100">
        <v>0</v>
      </c>
      <c r="P99" s="100">
        <v>0.87</v>
      </c>
      <c r="Q99" s="100">
        <v>9.32</v>
      </c>
      <c r="R99" s="6"/>
      <c r="S99" s="6"/>
      <c r="T99" s="156"/>
      <c r="U99" s="6"/>
    </row>
    <row r="100" spans="1:28" customFormat="1">
      <c r="A100" s="163" t="s">
        <v>2930</v>
      </c>
      <c r="B100" s="100">
        <v>15.56</v>
      </c>
      <c r="C100" s="100">
        <v>19.71</v>
      </c>
      <c r="D100" s="100">
        <v>22.78</v>
      </c>
      <c r="E100" s="100">
        <v>2.85</v>
      </c>
      <c r="F100" s="100">
        <v>0.15</v>
      </c>
      <c r="G100" s="100">
        <v>78.8</v>
      </c>
      <c r="H100" s="100">
        <v>34.700000000000003</v>
      </c>
      <c r="I100" s="100">
        <v>14.89</v>
      </c>
      <c r="J100" s="100">
        <v>0.22</v>
      </c>
      <c r="K100" s="100">
        <v>206.65</v>
      </c>
      <c r="L100" s="100">
        <v>12.15</v>
      </c>
      <c r="M100" s="100">
        <v>82.99</v>
      </c>
      <c r="N100" s="100">
        <v>30.3</v>
      </c>
      <c r="O100" s="100">
        <v>0</v>
      </c>
      <c r="P100" s="100">
        <v>0.87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2931</v>
      </c>
      <c r="B101" s="100">
        <v>15.69</v>
      </c>
      <c r="C101" s="100">
        <v>19.739999999999998</v>
      </c>
      <c r="D101" s="100">
        <v>22.9</v>
      </c>
      <c r="E101" s="100">
        <v>2.54</v>
      </c>
      <c r="F101" s="100">
        <v>0.16</v>
      </c>
      <c r="G101" s="100">
        <v>78.8</v>
      </c>
      <c r="H101" s="100">
        <v>34.700000000000003</v>
      </c>
      <c r="I101" s="100">
        <v>15.02</v>
      </c>
      <c r="J101" s="100">
        <v>0.2</v>
      </c>
      <c r="K101" s="100">
        <v>205.23</v>
      </c>
      <c r="L101" s="100">
        <v>11.9</v>
      </c>
      <c r="M101" s="100">
        <v>81.540000000000006</v>
      </c>
      <c r="N101" s="100">
        <v>30.4</v>
      </c>
      <c r="O101" s="100">
        <v>0</v>
      </c>
      <c r="P101" s="100">
        <v>0.88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2932</v>
      </c>
      <c r="B102" s="100">
        <v>15.69</v>
      </c>
      <c r="C102" s="100">
        <v>19.809999999999999</v>
      </c>
      <c r="D102" s="100">
        <v>22.93</v>
      </c>
      <c r="E102" s="100">
        <v>3.06</v>
      </c>
      <c r="F102" s="100">
        <v>0.24</v>
      </c>
      <c r="G102" s="100">
        <v>78.8</v>
      </c>
      <c r="H102" s="100">
        <v>34.700000000000003</v>
      </c>
      <c r="I102" s="100">
        <v>15.22</v>
      </c>
      <c r="J102" s="100">
        <v>0.24</v>
      </c>
      <c r="K102" s="100">
        <v>233.33</v>
      </c>
      <c r="L102" s="100">
        <v>11.53</v>
      </c>
      <c r="M102" s="100">
        <v>79.31</v>
      </c>
      <c r="N102" s="100">
        <v>30.5</v>
      </c>
      <c r="O102" s="100">
        <v>0</v>
      </c>
      <c r="P102" s="100">
        <v>0.9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2933</v>
      </c>
      <c r="B103" s="100">
        <v>15.96</v>
      </c>
      <c r="C103" s="100">
        <v>19.86</v>
      </c>
      <c r="D103" s="100">
        <v>23.18</v>
      </c>
      <c r="E103" s="100">
        <v>2.97</v>
      </c>
      <c r="F103" s="100">
        <v>0.37</v>
      </c>
      <c r="G103" s="100">
        <v>75.67</v>
      </c>
      <c r="H103" s="100">
        <v>35.64</v>
      </c>
      <c r="I103" s="100">
        <v>15.39</v>
      </c>
      <c r="J103" s="100">
        <v>0.21</v>
      </c>
      <c r="K103" s="100">
        <v>230.04</v>
      </c>
      <c r="L103" s="100">
        <v>11.33</v>
      </c>
      <c r="M103" s="100">
        <v>78.19</v>
      </c>
      <c r="N103" s="100">
        <v>30.4</v>
      </c>
      <c r="O103" s="100">
        <v>0</v>
      </c>
      <c r="P103" s="100">
        <v>0.93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2934</v>
      </c>
      <c r="B104" s="100">
        <v>16.649999999999999</v>
      </c>
      <c r="C104" s="100">
        <v>19.88</v>
      </c>
      <c r="D104" s="100">
        <v>23.74</v>
      </c>
      <c r="E104" s="100">
        <v>2.7</v>
      </c>
      <c r="F104" s="100">
        <v>0.25</v>
      </c>
      <c r="G104" s="100">
        <v>71.38</v>
      </c>
      <c r="H104" s="100">
        <v>36.36</v>
      </c>
      <c r="I104" s="100">
        <v>15.63</v>
      </c>
      <c r="J104" s="100">
        <v>0.14000000000000001</v>
      </c>
      <c r="K104" s="100">
        <v>203.04</v>
      </c>
      <c r="L104" s="100">
        <v>11.5</v>
      </c>
      <c r="M104" s="100">
        <v>77.44</v>
      </c>
      <c r="N104" s="100">
        <v>30.2</v>
      </c>
      <c r="O104" s="100">
        <v>0</v>
      </c>
      <c r="P104" s="100">
        <v>0.94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2.83</v>
      </c>
      <c r="C106" s="158">
        <f>MIN(C9:C104)</f>
        <v>19.399999999999999</v>
      </c>
      <c r="D106" s="158">
        <f t="shared" ref="D106:Q106" si="0">MIN(D9:D104)</f>
        <v>13.56</v>
      </c>
      <c r="E106" s="158">
        <f t="shared" si="0"/>
        <v>0.88</v>
      </c>
      <c r="F106" s="158">
        <f t="shared" si="0"/>
        <v>0</v>
      </c>
      <c r="G106" s="158">
        <f t="shared" si="0"/>
        <v>56.99</v>
      </c>
      <c r="H106" s="158">
        <f t="shared" si="0"/>
        <v>26.95</v>
      </c>
      <c r="I106" s="158">
        <f t="shared" si="0"/>
        <v>10.55</v>
      </c>
      <c r="J106" s="158">
        <f t="shared" si="0"/>
        <v>7.0000000000000007E-2</v>
      </c>
      <c r="K106" s="158">
        <f t="shared" si="0"/>
        <v>12.53</v>
      </c>
      <c r="L106" s="158">
        <f t="shared" si="0"/>
        <v>9.14</v>
      </c>
      <c r="M106" s="158">
        <f t="shared" si="0"/>
        <v>22.85</v>
      </c>
      <c r="N106" s="158">
        <f t="shared" si="0"/>
        <v>30</v>
      </c>
      <c r="O106" s="158">
        <f t="shared" si="0"/>
        <v>0</v>
      </c>
      <c r="P106" s="158">
        <f t="shared" si="0"/>
        <v>0.53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39.729999999999997</v>
      </c>
      <c r="C107" s="157">
        <f t="shared" ref="C107:Q107" si="1">MAX(C9:C104)</f>
        <v>24.41</v>
      </c>
      <c r="D107" s="157">
        <f t="shared" si="1"/>
        <v>43.7</v>
      </c>
      <c r="E107" s="157">
        <f t="shared" si="1"/>
        <v>5.0599999999999996</v>
      </c>
      <c r="F107" s="157">
        <f t="shared" si="1"/>
        <v>2.4</v>
      </c>
      <c r="G107" s="157">
        <f t="shared" si="1"/>
        <v>143.13999999999999</v>
      </c>
      <c r="H107" s="157">
        <f t="shared" si="1"/>
        <v>54.17</v>
      </c>
      <c r="I107" s="157">
        <f t="shared" si="1"/>
        <v>19.02</v>
      </c>
      <c r="J107" s="157">
        <f t="shared" si="1"/>
        <v>0.83</v>
      </c>
      <c r="K107" s="157">
        <f t="shared" si="1"/>
        <v>348.29</v>
      </c>
      <c r="L107" s="157">
        <f t="shared" si="1"/>
        <v>23.72</v>
      </c>
      <c r="M107" s="157">
        <f t="shared" si="1"/>
        <v>93.84</v>
      </c>
      <c r="N107" s="157">
        <f t="shared" si="1"/>
        <v>582.29999999999995</v>
      </c>
      <c r="O107" s="157">
        <f t="shared" si="1"/>
        <v>0</v>
      </c>
      <c r="P107" s="157">
        <f t="shared" si="1"/>
        <v>1.2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19.292291666666667</v>
      </c>
      <c r="C108" s="158">
        <f t="shared" ref="C108:Q108" si="2">AVERAGE(C9:C104)</f>
        <v>21.541666666666668</v>
      </c>
      <c r="D108" s="158">
        <f t="shared" si="2"/>
        <v>26.725625000000008</v>
      </c>
      <c r="E108" s="158">
        <f t="shared" si="2"/>
        <v>3.2340624999999998</v>
      </c>
      <c r="F108" s="158">
        <f t="shared" si="2"/>
        <v>0.52895833333333342</v>
      </c>
      <c r="G108" s="158">
        <f t="shared" si="2"/>
        <v>80.055833333333354</v>
      </c>
      <c r="H108" s="158">
        <f t="shared" si="2"/>
        <v>38.772083333333306</v>
      </c>
      <c r="I108" s="158">
        <f t="shared" si="2"/>
        <v>14.126562500000007</v>
      </c>
      <c r="J108" s="158">
        <f t="shared" si="2"/>
        <v>0.25572916666666662</v>
      </c>
      <c r="K108" s="158">
        <f t="shared" si="2"/>
        <v>161.30218750000003</v>
      </c>
      <c r="L108" s="158">
        <f t="shared" si="2"/>
        <v>15.635729166666666</v>
      </c>
      <c r="M108" s="158">
        <f t="shared" si="2"/>
        <v>62.804062499999993</v>
      </c>
      <c r="N108" s="158">
        <f t="shared" si="2"/>
        <v>125.83645833333333</v>
      </c>
      <c r="O108" s="158">
        <f t="shared" si="2"/>
        <v>0</v>
      </c>
      <c r="P108" s="158">
        <f t="shared" si="2"/>
        <v>0.86958333333333382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12.255734939346111</v>
      </c>
      <c r="C109" s="158">
        <f t="shared" ref="C109:Q109" si="3">STDEV(C9:C104)</f>
        <v>1.3770262900572274</v>
      </c>
      <c r="D109" s="158">
        <f t="shared" si="3"/>
        <v>9.8787384462528038</v>
      </c>
      <c r="E109" s="158">
        <f t="shared" si="3"/>
        <v>0.70908625876434928</v>
      </c>
      <c r="F109" s="158">
        <f t="shared" si="3"/>
        <v>0.50118486801760542</v>
      </c>
      <c r="G109" s="158">
        <f t="shared" si="3"/>
        <v>17.03800258040296</v>
      </c>
      <c r="H109" s="158">
        <f t="shared" si="3"/>
        <v>8.8948114878007143</v>
      </c>
      <c r="I109" s="158">
        <f t="shared" si="3"/>
        <v>2.1428799254740603</v>
      </c>
      <c r="J109" s="158">
        <f t="shared" si="3"/>
        <v>0.16668119454226132</v>
      </c>
      <c r="K109" s="158">
        <f t="shared" si="3"/>
        <v>75.652020131000441</v>
      </c>
      <c r="L109" s="158">
        <f t="shared" si="3"/>
        <v>5.1416752839786781</v>
      </c>
      <c r="M109" s="158">
        <f t="shared" si="3"/>
        <v>24.981420278115539</v>
      </c>
      <c r="N109" s="158">
        <f t="shared" si="3"/>
        <v>170.02698616754725</v>
      </c>
      <c r="O109" s="158">
        <f t="shared" si="3"/>
        <v>0</v>
      </c>
      <c r="P109" s="158">
        <f t="shared" si="3"/>
        <v>0.22442401910418766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topLeftCell="A94" workbookViewId="0">
      <selection activeCell="H18" sqref="H18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29/12/2025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>
      <c r="A9" s="163" t="s">
        <v>2935</v>
      </c>
      <c r="B9" s="100">
        <v>18.63</v>
      </c>
      <c r="C9" s="100">
        <v>20.03</v>
      </c>
      <c r="D9" s="100">
        <v>25.4</v>
      </c>
      <c r="E9" s="100">
        <v>2.84</v>
      </c>
      <c r="F9" s="100">
        <v>0.23</v>
      </c>
      <c r="G9" s="100">
        <v>71.38</v>
      </c>
      <c r="H9" s="100">
        <v>36.36</v>
      </c>
      <c r="I9" s="100">
        <v>16.04</v>
      </c>
      <c r="J9" s="100">
        <v>0.24</v>
      </c>
      <c r="K9" s="100">
        <v>146.63999999999999</v>
      </c>
      <c r="L9" s="100">
        <v>11.59</v>
      </c>
      <c r="M9" s="100">
        <v>77.52</v>
      </c>
      <c r="N9" s="100">
        <v>30.2</v>
      </c>
      <c r="O9" s="100">
        <v>0</v>
      </c>
      <c r="P9" s="100">
        <v>0.96</v>
      </c>
      <c r="Q9" s="100">
        <v>9.32</v>
      </c>
      <c r="R9" s="6"/>
      <c r="S9" s="6"/>
      <c r="T9" s="156"/>
      <c r="U9" s="6"/>
    </row>
    <row r="10" spans="1:21">
      <c r="A10" s="163" t="s">
        <v>2936</v>
      </c>
      <c r="B10" s="100">
        <v>19.73</v>
      </c>
      <c r="C10" s="100">
        <v>20.58</v>
      </c>
      <c r="D10" s="100">
        <v>26.57</v>
      </c>
      <c r="E10" s="100">
        <v>3.07</v>
      </c>
      <c r="F10" s="100">
        <v>0.27</v>
      </c>
      <c r="G10" s="100">
        <v>71.38</v>
      </c>
      <c r="H10" s="100">
        <v>36.36</v>
      </c>
      <c r="I10" s="100">
        <v>16.32</v>
      </c>
      <c r="J10" s="100">
        <v>0.23</v>
      </c>
      <c r="K10" s="100">
        <v>171.34</v>
      </c>
      <c r="L10" s="100">
        <v>11.73</v>
      </c>
      <c r="M10" s="100">
        <v>78.63</v>
      </c>
      <c r="N10" s="100">
        <v>30.1</v>
      </c>
      <c r="O10" s="100">
        <v>0</v>
      </c>
      <c r="P10" s="100">
        <v>0.95</v>
      </c>
      <c r="Q10" s="100">
        <v>9.32</v>
      </c>
      <c r="R10" s="6"/>
      <c r="S10" s="6"/>
      <c r="T10" s="156"/>
      <c r="U10" s="6"/>
    </row>
    <row r="11" spans="1:21">
      <c r="A11" s="163" t="s">
        <v>2937</v>
      </c>
      <c r="B11" s="100">
        <v>20.56</v>
      </c>
      <c r="C11" s="100">
        <v>20.85</v>
      </c>
      <c r="D11" s="100">
        <v>27.38</v>
      </c>
      <c r="E11" s="100">
        <v>2.84</v>
      </c>
      <c r="F11" s="100">
        <v>0.46</v>
      </c>
      <c r="G11" s="100">
        <v>76.569999999999993</v>
      </c>
      <c r="H11" s="100">
        <v>37.1</v>
      </c>
      <c r="I11" s="100">
        <v>16.48</v>
      </c>
      <c r="J11" s="100">
        <v>0.21</v>
      </c>
      <c r="K11" s="100">
        <v>208.25</v>
      </c>
      <c r="L11" s="100">
        <v>11.26</v>
      </c>
      <c r="M11" s="100">
        <v>86.41</v>
      </c>
      <c r="N11" s="100">
        <v>30.5</v>
      </c>
      <c r="O11" s="100">
        <v>0</v>
      </c>
      <c r="P11" s="100">
        <v>0.96</v>
      </c>
      <c r="Q11" s="100">
        <v>9.32</v>
      </c>
      <c r="R11" s="6"/>
      <c r="S11" s="6"/>
      <c r="T11" s="156"/>
      <c r="U11" s="6"/>
    </row>
    <row r="12" spans="1:21">
      <c r="A12" s="163" t="s">
        <v>2938</v>
      </c>
      <c r="B12" s="100">
        <v>20.71</v>
      </c>
      <c r="C12" s="100">
        <v>20.62</v>
      </c>
      <c r="D12" s="100">
        <v>27.38</v>
      </c>
      <c r="E12" s="100">
        <v>2.93</v>
      </c>
      <c r="F12" s="100">
        <v>0.15</v>
      </c>
      <c r="G12" s="100">
        <v>83.35</v>
      </c>
      <c r="H12" s="100">
        <v>38.619999999999997</v>
      </c>
      <c r="I12" s="100">
        <v>16.61</v>
      </c>
      <c r="J12" s="100">
        <v>0.13</v>
      </c>
      <c r="K12" s="100">
        <v>100.71</v>
      </c>
      <c r="L12" s="100">
        <v>10.94</v>
      </c>
      <c r="M12" s="100">
        <v>86.69</v>
      </c>
      <c r="N12" s="100">
        <v>30.6</v>
      </c>
      <c r="O12" s="100">
        <v>0</v>
      </c>
      <c r="P12" s="100">
        <v>0.95</v>
      </c>
      <c r="Q12" s="100">
        <v>9.32</v>
      </c>
      <c r="R12" s="6"/>
      <c r="S12" s="6"/>
      <c r="T12" s="156"/>
      <c r="U12" s="6"/>
    </row>
    <row r="13" spans="1:21">
      <c r="A13" s="163" t="s">
        <v>2939</v>
      </c>
      <c r="B13" s="100">
        <v>21.07</v>
      </c>
      <c r="C13" s="100">
        <v>20.5</v>
      </c>
      <c r="D13" s="100">
        <v>27.61</v>
      </c>
      <c r="E13" s="100">
        <v>3.13</v>
      </c>
      <c r="F13" s="100">
        <v>7.0000000000000007E-2</v>
      </c>
      <c r="G13" s="100">
        <v>83.35</v>
      </c>
      <c r="H13" s="100">
        <v>38.619999999999997</v>
      </c>
      <c r="I13" s="100">
        <v>16.670000000000002</v>
      </c>
      <c r="J13" s="100">
        <v>0.22</v>
      </c>
      <c r="K13" s="100">
        <v>57.14</v>
      </c>
      <c r="L13" s="100">
        <v>11.33</v>
      </c>
      <c r="M13" s="100">
        <v>79.06</v>
      </c>
      <c r="N13" s="100">
        <v>29.8</v>
      </c>
      <c r="O13" s="100">
        <v>0</v>
      </c>
      <c r="P13" s="100">
        <v>0.96</v>
      </c>
      <c r="Q13" s="100">
        <v>9.32</v>
      </c>
      <c r="R13" s="6"/>
      <c r="S13" s="6"/>
      <c r="T13" s="156"/>
      <c r="U13" s="6"/>
    </row>
    <row r="14" spans="1:21">
      <c r="A14" s="163" t="s">
        <v>2940</v>
      </c>
      <c r="B14" s="100">
        <v>22.64</v>
      </c>
      <c r="C14" s="100">
        <v>20.88</v>
      </c>
      <c r="D14" s="100">
        <v>29.07</v>
      </c>
      <c r="E14" s="100">
        <v>3.27</v>
      </c>
      <c r="F14" s="100">
        <v>0.22</v>
      </c>
      <c r="G14" s="100">
        <v>83.35</v>
      </c>
      <c r="H14" s="100">
        <v>38.619999999999997</v>
      </c>
      <c r="I14" s="100">
        <v>16.78</v>
      </c>
      <c r="J14" s="100">
        <v>0.27</v>
      </c>
      <c r="K14" s="100">
        <v>76.34</v>
      </c>
      <c r="L14" s="100">
        <v>11.97</v>
      </c>
      <c r="M14" s="100">
        <v>71.97</v>
      </c>
      <c r="N14" s="100">
        <v>29.8</v>
      </c>
      <c r="O14" s="100">
        <v>0</v>
      </c>
      <c r="P14" s="100">
        <v>0.99</v>
      </c>
      <c r="Q14" s="100">
        <v>9.32</v>
      </c>
      <c r="R14" s="6"/>
      <c r="S14" s="6"/>
      <c r="T14" s="156"/>
      <c r="U14" s="6"/>
    </row>
    <row r="15" spans="1:21">
      <c r="A15" s="163" t="s">
        <v>2941</v>
      </c>
      <c r="B15" s="100">
        <v>23.56</v>
      </c>
      <c r="C15" s="100">
        <v>21.26</v>
      </c>
      <c r="D15" s="100">
        <v>30</v>
      </c>
      <c r="E15" s="100">
        <v>2.97</v>
      </c>
      <c r="F15" s="100">
        <v>0.36</v>
      </c>
      <c r="G15" s="100">
        <v>80.23</v>
      </c>
      <c r="H15" s="100">
        <v>39.07</v>
      </c>
      <c r="I15" s="100">
        <v>16.989999999999998</v>
      </c>
      <c r="J15" s="100">
        <v>0.15</v>
      </c>
      <c r="K15" s="100">
        <v>141.51</v>
      </c>
      <c r="L15" s="100">
        <v>12</v>
      </c>
      <c r="M15" s="100">
        <v>68.709999999999994</v>
      </c>
      <c r="N15" s="100">
        <v>30.6</v>
      </c>
      <c r="O15" s="100">
        <v>0</v>
      </c>
      <c r="P15" s="100">
        <v>1.01</v>
      </c>
      <c r="Q15" s="100">
        <v>9.32</v>
      </c>
      <c r="R15" s="6"/>
      <c r="S15" s="6"/>
      <c r="T15" s="156"/>
      <c r="U15" s="6"/>
    </row>
    <row r="16" spans="1:21">
      <c r="A16" s="163" t="s">
        <v>2942</v>
      </c>
      <c r="B16" s="100">
        <v>23.5</v>
      </c>
      <c r="C16" s="100">
        <v>21.36</v>
      </c>
      <c r="D16" s="100">
        <v>30</v>
      </c>
      <c r="E16" s="100">
        <v>2.88</v>
      </c>
      <c r="F16" s="100">
        <v>0.28000000000000003</v>
      </c>
      <c r="G16" s="100">
        <v>75.95</v>
      </c>
      <c r="H16" s="100">
        <v>39.409999999999997</v>
      </c>
      <c r="I16" s="100">
        <v>17.28</v>
      </c>
      <c r="J16" s="100">
        <v>0.14000000000000001</v>
      </c>
      <c r="K16" s="100">
        <v>210.77</v>
      </c>
      <c r="L16" s="100">
        <v>11.45</v>
      </c>
      <c r="M16" s="100">
        <v>75.83</v>
      </c>
      <c r="N16" s="100">
        <v>30.6</v>
      </c>
      <c r="O16" s="100">
        <v>0</v>
      </c>
      <c r="P16" s="100">
        <v>1.02</v>
      </c>
      <c r="Q16" s="100">
        <v>9.32</v>
      </c>
      <c r="R16" s="6"/>
      <c r="S16" s="6"/>
      <c r="T16" s="156"/>
      <c r="U16" s="6"/>
    </row>
    <row r="17" spans="1:21">
      <c r="A17" s="163" t="s">
        <v>2943</v>
      </c>
      <c r="B17" s="100">
        <v>23.46</v>
      </c>
      <c r="C17" s="100">
        <v>21.38</v>
      </c>
      <c r="D17" s="100">
        <v>29.98</v>
      </c>
      <c r="E17" s="100">
        <v>2.41</v>
      </c>
      <c r="F17" s="100">
        <v>0.47</v>
      </c>
      <c r="G17" s="100">
        <v>75.95</v>
      </c>
      <c r="H17" s="100">
        <v>39.409999999999997</v>
      </c>
      <c r="I17" s="100">
        <v>17.600000000000001</v>
      </c>
      <c r="J17" s="100">
        <v>0.15</v>
      </c>
      <c r="K17" s="100">
        <v>206.9</v>
      </c>
      <c r="L17" s="100">
        <v>11.04</v>
      </c>
      <c r="M17" s="100">
        <v>80.58</v>
      </c>
      <c r="N17" s="100">
        <v>30.6</v>
      </c>
      <c r="O17" s="100">
        <v>0</v>
      </c>
      <c r="P17" s="100">
        <v>1.02</v>
      </c>
      <c r="Q17" s="100">
        <v>9.32</v>
      </c>
      <c r="R17" s="6"/>
      <c r="S17" s="6"/>
      <c r="T17" s="156"/>
      <c r="U17" s="6"/>
    </row>
    <row r="18" spans="1:21">
      <c r="A18" s="163" t="s">
        <v>2944</v>
      </c>
      <c r="B18" s="100">
        <v>23.43</v>
      </c>
      <c r="C18" s="100">
        <v>21.23</v>
      </c>
      <c r="D18" s="100">
        <v>29.88</v>
      </c>
      <c r="E18" s="100">
        <v>3.36</v>
      </c>
      <c r="F18" s="100">
        <v>0.43</v>
      </c>
      <c r="G18" s="100">
        <v>75.95</v>
      </c>
      <c r="H18" s="100">
        <v>39.409999999999997</v>
      </c>
      <c r="I18" s="100">
        <v>17.79</v>
      </c>
      <c r="J18" s="100">
        <v>0.13</v>
      </c>
      <c r="K18" s="100">
        <v>190.58</v>
      </c>
      <c r="L18" s="100">
        <v>10.6</v>
      </c>
      <c r="M18" s="100">
        <v>86.21</v>
      </c>
      <c r="N18" s="100">
        <v>30.6</v>
      </c>
      <c r="O18" s="100">
        <v>0</v>
      </c>
      <c r="P18" s="100">
        <v>1.04</v>
      </c>
      <c r="Q18" s="100">
        <v>9.32</v>
      </c>
      <c r="R18" s="6"/>
      <c r="S18" s="6"/>
      <c r="T18" s="156"/>
      <c r="U18" s="6"/>
    </row>
    <row r="19" spans="1:21">
      <c r="A19" s="163" t="s">
        <v>2945</v>
      </c>
      <c r="B19" s="100">
        <v>23.17</v>
      </c>
      <c r="C19" s="100">
        <v>20.98</v>
      </c>
      <c r="D19" s="100">
        <v>29.54</v>
      </c>
      <c r="E19" s="100">
        <v>1.06</v>
      </c>
      <c r="F19" s="100">
        <v>0.42</v>
      </c>
      <c r="G19" s="100">
        <v>77.58</v>
      </c>
      <c r="H19" s="100">
        <v>39.93</v>
      </c>
      <c r="I19" s="100">
        <v>16.3</v>
      </c>
      <c r="J19" s="100">
        <v>0.14000000000000001</v>
      </c>
      <c r="K19" s="100">
        <v>197.96</v>
      </c>
      <c r="L19" s="100">
        <v>10.31</v>
      </c>
      <c r="M19" s="100">
        <v>87.62</v>
      </c>
      <c r="N19" s="100">
        <v>30.5</v>
      </c>
      <c r="O19" s="100">
        <v>0</v>
      </c>
      <c r="P19" s="100">
        <v>1.04</v>
      </c>
      <c r="Q19" s="100">
        <v>9.32</v>
      </c>
      <c r="R19" s="6"/>
      <c r="S19" s="6"/>
      <c r="T19" s="156"/>
      <c r="U19" s="6"/>
    </row>
    <row r="20" spans="1:21">
      <c r="A20" s="163" t="s">
        <v>2946</v>
      </c>
      <c r="B20" s="100">
        <v>22.87</v>
      </c>
      <c r="C20" s="100">
        <v>20.58</v>
      </c>
      <c r="D20" s="100">
        <v>29.09</v>
      </c>
      <c r="E20" s="100">
        <v>2.98</v>
      </c>
      <c r="F20" s="100">
        <v>0.39</v>
      </c>
      <c r="G20" s="100">
        <v>79.819999999999993</v>
      </c>
      <c r="H20" s="100">
        <v>40.33</v>
      </c>
      <c r="I20" s="100">
        <v>14.64</v>
      </c>
      <c r="J20" s="100">
        <v>0.15</v>
      </c>
      <c r="K20" s="100">
        <v>209.14</v>
      </c>
      <c r="L20" s="100">
        <v>10.11</v>
      </c>
      <c r="M20" s="100">
        <v>89.2</v>
      </c>
      <c r="N20" s="100">
        <v>30.5</v>
      </c>
      <c r="O20" s="100">
        <v>0</v>
      </c>
      <c r="P20" s="100">
        <v>1.05</v>
      </c>
      <c r="Q20" s="100">
        <v>9.32</v>
      </c>
      <c r="R20" s="6"/>
      <c r="S20" s="6"/>
      <c r="T20" s="156"/>
      <c r="U20" s="6"/>
    </row>
    <row r="21" spans="1:21">
      <c r="A21" s="163" t="s">
        <v>2947</v>
      </c>
      <c r="B21" s="100">
        <v>22.45</v>
      </c>
      <c r="C21" s="100">
        <v>20.16</v>
      </c>
      <c r="D21" s="100">
        <v>28.54</v>
      </c>
      <c r="E21" s="100">
        <v>3.06</v>
      </c>
      <c r="F21" s="100">
        <v>0.33</v>
      </c>
      <c r="G21" s="100">
        <v>79.819999999999993</v>
      </c>
      <c r="H21" s="100">
        <v>40.33</v>
      </c>
      <c r="I21" s="100">
        <v>14.75</v>
      </c>
      <c r="J21" s="100">
        <v>7.0000000000000007E-2</v>
      </c>
      <c r="K21" s="100">
        <v>190.5</v>
      </c>
      <c r="L21" s="100">
        <v>9.7899999999999991</v>
      </c>
      <c r="M21" s="100">
        <v>89.73</v>
      </c>
      <c r="N21" s="100">
        <v>30.6</v>
      </c>
      <c r="O21" s="100">
        <v>0</v>
      </c>
      <c r="P21" s="100">
        <v>1.04</v>
      </c>
      <c r="Q21" s="100">
        <v>9.32</v>
      </c>
      <c r="R21" s="6"/>
      <c r="S21" s="6"/>
      <c r="T21" s="156"/>
      <c r="U21" s="6"/>
    </row>
    <row r="22" spans="1:21">
      <c r="A22" s="163" t="s">
        <v>2948</v>
      </c>
      <c r="B22" s="100">
        <v>22.08</v>
      </c>
      <c r="C22" s="100">
        <v>19.96</v>
      </c>
      <c r="D22" s="100">
        <v>28.13</v>
      </c>
      <c r="E22" s="100">
        <v>3.07</v>
      </c>
      <c r="F22" s="100">
        <v>0.35</v>
      </c>
      <c r="G22" s="100">
        <v>79.819999999999993</v>
      </c>
      <c r="H22" s="100">
        <v>40.33</v>
      </c>
      <c r="I22" s="100">
        <v>14.84</v>
      </c>
      <c r="J22" s="100">
        <v>0.1</v>
      </c>
      <c r="K22" s="100">
        <v>146.44999999999999</v>
      </c>
      <c r="L22" s="100">
        <v>9.58</v>
      </c>
      <c r="M22" s="100">
        <v>87.73</v>
      </c>
      <c r="N22" s="100">
        <v>30.3</v>
      </c>
      <c r="O22" s="100">
        <v>0</v>
      </c>
      <c r="P22" s="100">
        <v>1.05</v>
      </c>
      <c r="Q22" s="100">
        <v>9.32</v>
      </c>
      <c r="R22" s="6"/>
      <c r="S22" s="6"/>
      <c r="T22" s="156"/>
      <c r="U22" s="6"/>
    </row>
    <row r="23" spans="1:21">
      <c r="A23" s="163" t="s">
        <v>2949</v>
      </c>
      <c r="B23" s="100">
        <v>23.04</v>
      </c>
      <c r="C23" s="100">
        <v>20.170000000000002</v>
      </c>
      <c r="D23" s="100">
        <v>29.01</v>
      </c>
      <c r="E23" s="100">
        <v>3.3</v>
      </c>
      <c r="F23" s="100">
        <v>0.43</v>
      </c>
      <c r="G23" s="100">
        <v>75.23</v>
      </c>
      <c r="H23" s="100">
        <v>41.19</v>
      </c>
      <c r="I23" s="100">
        <v>14.89</v>
      </c>
      <c r="J23" s="100">
        <v>0.17</v>
      </c>
      <c r="K23" s="100">
        <v>211.97</v>
      </c>
      <c r="L23" s="100">
        <v>9.7100000000000009</v>
      </c>
      <c r="M23" s="100">
        <v>86.18</v>
      </c>
      <c r="N23" s="100">
        <v>30.2</v>
      </c>
      <c r="O23" s="100">
        <v>0</v>
      </c>
      <c r="P23" s="100">
        <v>1.04</v>
      </c>
      <c r="Q23" s="100">
        <v>9.32</v>
      </c>
      <c r="R23" s="6"/>
      <c r="S23" s="6"/>
      <c r="T23" s="156"/>
      <c r="U23" s="6"/>
    </row>
    <row r="24" spans="1:21">
      <c r="A24" s="163" t="s">
        <v>2950</v>
      </c>
      <c r="B24" s="100">
        <v>23.97</v>
      </c>
      <c r="C24" s="100">
        <v>20.21</v>
      </c>
      <c r="D24" s="100">
        <v>29.79</v>
      </c>
      <c r="E24" s="100">
        <v>3.13</v>
      </c>
      <c r="F24" s="100">
        <v>0.34</v>
      </c>
      <c r="G24" s="100">
        <v>68.959999999999994</v>
      </c>
      <c r="H24" s="100">
        <v>41.84</v>
      </c>
      <c r="I24" s="100">
        <v>14.93</v>
      </c>
      <c r="J24" s="100">
        <v>0.16</v>
      </c>
      <c r="K24" s="100">
        <v>227.74</v>
      </c>
      <c r="L24" s="100">
        <v>9.6999999999999993</v>
      </c>
      <c r="M24" s="100">
        <v>88.54</v>
      </c>
      <c r="N24" s="100">
        <v>30.3</v>
      </c>
      <c r="O24" s="100">
        <v>0</v>
      </c>
      <c r="P24" s="100">
        <v>1.03</v>
      </c>
      <c r="Q24" s="100">
        <v>9.32</v>
      </c>
      <c r="R24" s="6"/>
      <c r="S24" s="6"/>
      <c r="T24" s="156"/>
      <c r="U24" s="6"/>
    </row>
    <row r="25" spans="1:21">
      <c r="A25" s="163" t="s">
        <v>2951</v>
      </c>
      <c r="B25" s="100">
        <v>23.7</v>
      </c>
      <c r="C25" s="100">
        <v>19.920000000000002</v>
      </c>
      <c r="D25" s="100">
        <v>29.41</v>
      </c>
      <c r="E25" s="100">
        <v>3.35</v>
      </c>
      <c r="F25" s="100">
        <v>0.43</v>
      </c>
      <c r="G25" s="100">
        <v>68.959999999999994</v>
      </c>
      <c r="H25" s="100">
        <v>41.84</v>
      </c>
      <c r="I25" s="100">
        <v>14.95</v>
      </c>
      <c r="J25" s="100">
        <v>0.17</v>
      </c>
      <c r="K25" s="100">
        <v>240.01</v>
      </c>
      <c r="L25" s="100">
        <v>9.42</v>
      </c>
      <c r="M25" s="100">
        <v>89.09</v>
      </c>
      <c r="N25" s="100">
        <v>30.4</v>
      </c>
      <c r="O25" s="100">
        <v>0</v>
      </c>
      <c r="P25" s="100">
        <v>1.02</v>
      </c>
      <c r="Q25" s="100">
        <v>9.32</v>
      </c>
      <c r="R25" s="6"/>
      <c r="S25" s="6"/>
      <c r="T25" s="156"/>
      <c r="U25" s="6"/>
    </row>
    <row r="26" spans="1:21">
      <c r="A26" s="163" t="s">
        <v>2952</v>
      </c>
      <c r="B26" s="100">
        <v>23.07</v>
      </c>
      <c r="C26" s="100">
        <v>19.61</v>
      </c>
      <c r="D26" s="100">
        <v>28.74</v>
      </c>
      <c r="E26" s="100">
        <v>3.23</v>
      </c>
      <c r="F26" s="100">
        <v>0.43</v>
      </c>
      <c r="G26" s="100">
        <v>68.959999999999994</v>
      </c>
      <c r="H26" s="100">
        <v>41.84</v>
      </c>
      <c r="I26" s="100">
        <v>14.94</v>
      </c>
      <c r="J26" s="100">
        <v>0.08</v>
      </c>
      <c r="K26" s="100">
        <v>178.97</v>
      </c>
      <c r="L26" s="100">
        <v>9.23</v>
      </c>
      <c r="M26" s="100">
        <v>89.11</v>
      </c>
      <c r="N26" s="100">
        <v>30.4</v>
      </c>
      <c r="O26" s="100">
        <v>0</v>
      </c>
      <c r="P26" s="100">
        <v>1.01</v>
      </c>
      <c r="Q26" s="100">
        <v>9.32</v>
      </c>
      <c r="R26" s="6"/>
      <c r="S26" s="6"/>
      <c r="T26" s="156"/>
      <c r="U26" s="6"/>
    </row>
    <row r="27" spans="1:21">
      <c r="A27" s="163" t="s">
        <v>2953</v>
      </c>
      <c r="B27" s="100">
        <v>23.07</v>
      </c>
      <c r="C27" s="100">
        <v>19.54</v>
      </c>
      <c r="D27" s="100">
        <v>28.71</v>
      </c>
      <c r="E27" s="100">
        <v>2.99</v>
      </c>
      <c r="F27" s="100">
        <v>0.22</v>
      </c>
      <c r="G27" s="100">
        <v>66.89</v>
      </c>
      <c r="H27" s="100">
        <v>41.18</v>
      </c>
      <c r="I27" s="100">
        <v>14.9</v>
      </c>
      <c r="J27" s="100">
        <v>0.19</v>
      </c>
      <c r="K27" s="100">
        <v>162.71</v>
      </c>
      <c r="L27" s="100">
        <v>9.35</v>
      </c>
      <c r="M27" s="100">
        <v>89.11</v>
      </c>
      <c r="N27" s="100">
        <v>30.2</v>
      </c>
      <c r="O27" s="100">
        <v>0</v>
      </c>
      <c r="P27" s="100">
        <v>1.01</v>
      </c>
      <c r="Q27" s="100">
        <v>9.32</v>
      </c>
      <c r="R27" s="6"/>
      <c r="S27" s="6"/>
      <c r="T27" s="156"/>
      <c r="U27" s="6"/>
    </row>
    <row r="28" spans="1:21">
      <c r="A28" s="163" t="s">
        <v>2954</v>
      </c>
      <c r="B28" s="100">
        <v>23.61</v>
      </c>
      <c r="C28" s="100">
        <v>19.45</v>
      </c>
      <c r="D28" s="100">
        <v>29.1</v>
      </c>
      <c r="E28" s="100">
        <v>2.85</v>
      </c>
      <c r="F28" s="100">
        <v>0.2</v>
      </c>
      <c r="G28" s="100">
        <v>64.05</v>
      </c>
      <c r="H28" s="100">
        <v>40.69</v>
      </c>
      <c r="I28" s="100">
        <v>14.85</v>
      </c>
      <c r="J28" s="100">
        <v>0.14000000000000001</v>
      </c>
      <c r="K28" s="100">
        <v>195.98</v>
      </c>
      <c r="L28" s="100">
        <v>9.36</v>
      </c>
      <c r="M28" s="100">
        <v>90.43</v>
      </c>
      <c r="N28" s="100">
        <v>30.2</v>
      </c>
      <c r="O28" s="100">
        <v>0</v>
      </c>
      <c r="P28" s="100">
        <v>0.99</v>
      </c>
      <c r="Q28" s="100">
        <v>9.32</v>
      </c>
      <c r="R28" s="6"/>
      <c r="S28" s="6"/>
      <c r="T28" s="156"/>
      <c r="U28" s="6"/>
    </row>
    <row r="29" spans="1:21">
      <c r="A29" s="163" t="s">
        <v>2955</v>
      </c>
      <c r="B29" s="100">
        <v>23.34</v>
      </c>
      <c r="C29" s="100">
        <v>19.190000000000001</v>
      </c>
      <c r="D29" s="100">
        <v>28.74</v>
      </c>
      <c r="E29" s="100">
        <v>2.99</v>
      </c>
      <c r="F29" s="100">
        <v>0.26</v>
      </c>
      <c r="G29" s="100">
        <v>64.05</v>
      </c>
      <c r="H29" s="100">
        <v>40.69</v>
      </c>
      <c r="I29" s="100">
        <v>14.84</v>
      </c>
      <c r="J29" s="100">
        <v>7.0000000000000007E-2</v>
      </c>
      <c r="K29" s="100">
        <v>195.57</v>
      </c>
      <c r="L29" s="100">
        <v>9.16</v>
      </c>
      <c r="M29" s="100">
        <v>91.49</v>
      </c>
      <c r="N29" s="100">
        <v>30.5</v>
      </c>
      <c r="O29" s="100">
        <v>0</v>
      </c>
      <c r="P29" s="100">
        <v>0.98</v>
      </c>
      <c r="Q29" s="100">
        <v>9.32</v>
      </c>
      <c r="R29" s="6"/>
      <c r="S29" s="6"/>
      <c r="T29" s="156"/>
      <c r="U29" s="6"/>
    </row>
    <row r="30" spans="1:21">
      <c r="A30" s="163" t="s">
        <v>2956</v>
      </c>
      <c r="B30" s="100">
        <v>22.74</v>
      </c>
      <c r="C30" s="100">
        <v>18.84</v>
      </c>
      <c r="D30" s="100">
        <v>28.08</v>
      </c>
      <c r="E30" s="100">
        <v>2.82</v>
      </c>
      <c r="F30" s="100">
        <v>0.27</v>
      </c>
      <c r="G30" s="100">
        <v>64.05</v>
      </c>
      <c r="H30" s="100">
        <v>40.69</v>
      </c>
      <c r="I30" s="100">
        <v>14.83</v>
      </c>
      <c r="J30" s="100">
        <v>0.17</v>
      </c>
      <c r="K30" s="100">
        <v>209.15</v>
      </c>
      <c r="L30" s="100">
        <v>9.18</v>
      </c>
      <c r="M30" s="100">
        <v>91.63</v>
      </c>
      <c r="N30" s="100">
        <v>30.1</v>
      </c>
      <c r="O30" s="100">
        <v>0</v>
      </c>
      <c r="P30" s="100">
        <v>0.97</v>
      </c>
      <c r="Q30" s="100">
        <v>9.32</v>
      </c>
      <c r="R30" s="6"/>
      <c r="S30" s="6"/>
      <c r="T30" s="156"/>
      <c r="U30" s="6"/>
    </row>
    <row r="31" spans="1:21">
      <c r="A31" s="163" t="s">
        <v>2957</v>
      </c>
      <c r="B31" s="100">
        <v>22.32</v>
      </c>
      <c r="C31" s="100">
        <v>18.78</v>
      </c>
      <c r="D31" s="100">
        <v>27.71</v>
      </c>
      <c r="E31" s="100">
        <v>2.96</v>
      </c>
      <c r="F31" s="100">
        <v>0.23</v>
      </c>
      <c r="G31" s="100">
        <v>59.84</v>
      </c>
      <c r="H31" s="100">
        <v>39.869999999999997</v>
      </c>
      <c r="I31" s="100">
        <v>14.77</v>
      </c>
      <c r="J31" s="100">
        <v>0.22</v>
      </c>
      <c r="K31" s="100">
        <v>224.17</v>
      </c>
      <c r="L31" s="100">
        <v>9.1999999999999993</v>
      </c>
      <c r="M31" s="100">
        <v>91.11</v>
      </c>
      <c r="N31" s="100">
        <v>30.1</v>
      </c>
      <c r="O31" s="100">
        <v>0</v>
      </c>
      <c r="P31" s="100">
        <v>0.96</v>
      </c>
      <c r="Q31" s="100">
        <v>9.32</v>
      </c>
      <c r="R31" s="6"/>
      <c r="S31" s="6"/>
      <c r="T31" s="156"/>
      <c r="U31" s="6"/>
    </row>
    <row r="32" spans="1:21">
      <c r="A32" s="163" t="s">
        <v>2958</v>
      </c>
      <c r="B32" s="100">
        <v>21.57</v>
      </c>
      <c r="C32" s="100">
        <v>18.420000000000002</v>
      </c>
      <c r="D32" s="100">
        <v>26.92</v>
      </c>
      <c r="E32" s="100">
        <v>2.84</v>
      </c>
      <c r="F32" s="100">
        <v>0.23</v>
      </c>
      <c r="G32" s="100">
        <v>54.08</v>
      </c>
      <c r="H32" s="100">
        <v>39.24</v>
      </c>
      <c r="I32" s="100">
        <v>14.7</v>
      </c>
      <c r="J32" s="100">
        <v>0.14000000000000001</v>
      </c>
      <c r="K32" s="100">
        <v>222.04</v>
      </c>
      <c r="L32" s="100">
        <v>8.82</v>
      </c>
      <c r="M32" s="100">
        <v>91.66</v>
      </c>
      <c r="N32" s="100">
        <v>30.7</v>
      </c>
      <c r="O32" s="100">
        <v>0</v>
      </c>
      <c r="P32" s="100">
        <v>0.94</v>
      </c>
      <c r="Q32" s="100">
        <v>9.32</v>
      </c>
      <c r="R32" s="6"/>
      <c r="S32" s="6"/>
      <c r="T32" s="156"/>
      <c r="U32" s="6"/>
    </row>
    <row r="33" spans="1:21">
      <c r="A33" s="163" t="s">
        <v>2959</v>
      </c>
      <c r="B33" s="100">
        <v>20.67</v>
      </c>
      <c r="C33" s="100">
        <v>18.11</v>
      </c>
      <c r="D33" s="100">
        <v>26.04</v>
      </c>
      <c r="E33" s="100">
        <v>2.96</v>
      </c>
      <c r="F33" s="100">
        <v>0.26</v>
      </c>
      <c r="G33" s="100">
        <v>54.08</v>
      </c>
      <c r="H33" s="100">
        <v>39.24</v>
      </c>
      <c r="I33" s="100">
        <v>14.61</v>
      </c>
      <c r="J33" s="100">
        <v>0.11</v>
      </c>
      <c r="K33" s="100">
        <v>187.08</v>
      </c>
      <c r="L33" s="100">
        <v>8.6</v>
      </c>
      <c r="M33" s="100">
        <v>92.01</v>
      </c>
      <c r="N33" s="100">
        <v>30.4</v>
      </c>
      <c r="O33" s="100">
        <v>0</v>
      </c>
      <c r="P33" s="100">
        <v>0.94</v>
      </c>
      <c r="Q33" s="100">
        <v>9.32</v>
      </c>
      <c r="R33" s="6"/>
      <c r="S33" s="6"/>
      <c r="T33" s="156"/>
      <c r="U33" s="6"/>
    </row>
    <row r="34" spans="1:21">
      <c r="A34" s="163" t="s">
        <v>2960</v>
      </c>
      <c r="B34" s="100">
        <v>19.86</v>
      </c>
      <c r="C34" s="100">
        <v>17.760000000000002</v>
      </c>
      <c r="D34" s="100">
        <v>25.21</v>
      </c>
      <c r="E34" s="100">
        <v>2.69</v>
      </c>
      <c r="F34" s="100">
        <v>0.34</v>
      </c>
      <c r="G34" s="100">
        <v>54.08</v>
      </c>
      <c r="H34" s="100">
        <v>39.24</v>
      </c>
      <c r="I34" s="100">
        <v>14.55</v>
      </c>
      <c r="J34" s="100">
        <v>0.11</v>
      </c>
      <c r="K34" s="100">
        <v>191.79</v>
      </c>
      <c r="L34" s="100">
        <v>8.57</v>
      </c>
      <c r="M34" s="100">
        <v>92.78</v>
      </c>
      <c r="N34" s="100">
        <v>30.8</v>
      </c>
      <c r="O34" s="100">
        <v>0</v>
      </c>
      <c r="P34" s="100">
        <v>0.93</v>
      </c>
      <c r="Q34" s="100">
        <v>9.32</v>
      </c>
      <c r="R34" s="6"/>
      <c r="S34" s="6"/>
      <c r="T34" s="156"/>
      <c r="U34" s="6"/>
    </row>
    <row r="35" spans="1:21">
      <c r="A35" s="163" t="s">
        <v>2961</v>
      </c>
      <c r="B35" s="100">
        <v>19.22</v>
      </c>
      <c r="C35" s="100">
        <v>17.350000000000001</v>
      </c>
      <c r="D35" s="100">
        <v>24.47</v>
      </c>
      <c r="E35" s="100">
        <v>2.73</v>
      </c>
      <c r="F35" s="100">
        <v>0.2</v>
      </c>
      <c r="G35" s="100">
        <v>52.73</v>
      </c>
      <c r="H35" s="100">
        <v>38.83</v>
      </c>
      <c r="I35" s="100">
        <v>14.5</v>
      </c>
      <c r="J35" s="100">
        <v>0.13</v>
      </c>
      <c r="K35" s="100">
        <v>176.31</v>
      </c>
      <c r="L35" s="100">
        <v>8.52</v>
      </c>
      <c r="M35" s="100">
        <v>93.15</v>
      </c>
      <c r="N35" s="100">
        <v>33.1</v>
      </c>
      <c r="O35" s="100">
        <v>0</v>
      </c>
      <c r="P35" s="100">
        <v>0.93</v>
      </c>
      <c r="Q35" s="100">
        <v>9.32</v>
      </c>
      <c r="R35" s="6"/>
      <c r="S35" s="6"/>
      <c r="T35" s="156"/>
      <c r="U35" s="6"/>
    </row>
    <row r="36" spans="1:21">
      <c r="A36" s="163" t="s">
        <v>2962</v>
      </c>
      <c r="B36" s="100">
        <v>18.57</v>
      </c>
      <c r="C36" s="100">
        <v>16.95</v>
      </c>
      <c r="D36" s="100">
        <v>23.75</v>
      </c>
      <c r="E36" s="100">
        <v>2.54</v>
      </c>
      <c r="F36" s="100">
        <v>0.12</v>
      </c>
      <c r="G36" s="100">
        <v>50.88</v>
      </c>
      <c r="H36" s="100">
        <v>37.979999999999997</v>
      </c>
      <c r="I36" s="100">
        <v>14.52</v>
      </c>
      <c r="J36" s="100">
        <v>0.11</v>
      </c>
      <c r="K36" s="100">
        <v>161.30000000000001</v>
      </c>
      <c r="L36" s="100">
        <v>8.59</v>
      </c>
      <c r="M36" s="100">
        <v>93.29</v>
      </c>
      <c r="N36" s="100">
        <v>39.6</v>
      </c>
      <c r="O36" s="100">
        <v>0</v>
      </c>
      <c r="P36" s="100">
        <v>0.93</v>
      </c>
      <c r="Q36" s="100">
        <v>9.32</v>
      </c>
      <c r="R36" s="6"/>
      <c r="S36" s="6"/>
      <c r="T36" s="156"/>
      <c r="U36" s="6"/>
    </row>
    <row r="37" spans="1:21">
      <c r="A37" s="163" t="s">
        <v>2963</v>
      </c>
      <c r="B37" s="100">
        <v>17.95</v>
      </c>
      <c r="C37" s="100">
        <v>16.690000000000001</v>
      </c>
      <c r="D37" s="100">
        <v>23.11</v>
      </c>
      <c r="E37" s="100">
        <v>2.84</v>
      </c>
      <c r="F37" s="100">
        <v>0.21</v>
      </c>
      <c r="G37" s="100">
        <v>50.88</v>
      </c>
      <c r="H37" s="100">
        <v>37.979999999999997</v>
      </c>
      <c r="I37" s="100">
        <v>14.53</v>
      </c>
      <c r="J37" s="100">
        <v>0.06</v>
      </c>
      <c r="K37" s="100">
        <v>195.02</v>
      </c>
      <c r="L37" s="100">
        <v>8.64</v>
      </c>
      <c r="M37" s="100">
        <v>93.5</v>
      </c>
      <c r="N37" s="100">
        <v>48.5</v>
      </c>
      <c r="O37" s="100">
        <v>0</v>
      </c>
      <c r="P37" s="100">
        <v>0.91</v>
      </c>
      <c r="Q37" s="100">
        <v>9.32</v>
      </c>
      <c r="R37" s="6"/>
      <c r="S37" s="6"/>
      <c r="T37" s="156"/>
      <c r="U37" s="6"/>
    </row>
    <row r="38" spans="1:21">
      <c r="A38" s="163" t="s">
        <v>2964</v>
      </c>
      <c r="B38" s="100">
        <v>17.39</v>
      </c>
      <c r="C38" s="100">
        <v>16.38</v>
      </c>
      <c r="D38" s="100">
        <v>22.51</v>
      </c>
      <c r="E38" s="100">
        <v>2.64</v>
      </c>
      <c r="F38" s="100">
        <v>0.35</v>
      </c>
      <c r="G38" s="100">
        <v>50.88</v>
      </c>
      <c r="H38" s="100">
        <v>37.979999999999997</v>
      </c>
      <c r="I38" s="100">
        <v>14.5</v>
      </c>
      <c r="J38" s="100">
        <v>0.1</v>
      </c>
      <c r="K38" s="100">
        <v>212.54</v>
      </c>
      <c r="L38" s="100">
        <v>9.1300000000000008</v>
      </c>
      <c r="M38" s="100">
        <v>93.49</v>
      </c>
      <c r="N38" s="100">
        <v>58.3</v>
      </c>
      <c r="O38" s="100">
        <v>0</v>
      </c>
      <c r="P38" s="100">
        <v>0.91</v>
      </c>
      <c r="Q38" s="100">
        <v>9.32</v>
      </c>
      <c r="R38" s="6"/>
      <c r="S38" s="6"/>
      <c r="T38" s="156"/>
      <c r="U38" s="6"/>
    </row>
    <row r="39" spans="1:21">
      <c r="A39" s="163" t="s">
        <v>2965</v>
      </c>
      <c r="B39" s="100">
        <v>16.89</v>
      </c>
      <c r="C39" s="100">
        <v>16.39</v>
      </c>
      <c r="D39" s="100">
        <v>22.11</v>
      </c>
      <c r="E39" s="100">
        <v>2.7</v>
      </c>
      <c r="F39" s="100">
        <v>0.27</v>
      </c>
      <c r="G39" s="100">
        <v>49.87</v>
      </c>
      <c r="H39" s="100">
        <v>37.21</v>
      </c>
      <c r="I39" s="100">
        <v>14.49</v>
      </c>
      <c r="J39" s="100">
        <v>0.12</v>
      </c>
      <c r="K39" s="100">
        <v>216.11</v>
      </c>
      <c r="L39" s="100">
        <v>9.81</v>
      </c>
      <c r="M39" s="100">
        <v>91.94</v>
      </c>
      <c r="N39" s="100">
        <v>69.099999999999994</v>
      </c>
      <c r="O39" s="100">
        <v>0</v>
      </c>
      <c r="P39" s="100">
        <v>0.91</v>
      </c>
      <c r="Q39" s="100">
        <v>9.32</v>
      </c>
      <c r="R39" s="6"/>
      <c r="S39" s="6"/>
      <c r="T39" s="156"/>
      <c r="U39" s="6"/>
    </row>
    <row r="40" spans="1:21">
      <c r="A40" s="163" t="s">
        <v>2966</v>
      </c>
      <c r="B40" s="100">
        <v>16.350000000000001</v>
      </c>
      <c r="C40" s="100">
        <v>16.34</v>
      </c>
      <c r="D40" s="100">
        <v>21.65</v>
      </c>
      <c r="E40" s="100">
        <v>2.77</v>
      </c>
      <c r="F40" s="100">
        <v>0.42</v>
      </c>
      <c r="G40" s="100">
        <v>48.48</v>
      </c>
      <c r="H40" s="100">
        <v>36.65</v>
      </c>
      <c r="I40" s="100">
        <v>14.47</v>
      </c>
      <c r="J40" s="100">
        <v>0.12</v>
      </c>
      <c r="K40" s="100">
        <v>194.45</v>
      </c>
      <c r="L40" s="100">
        <v>10.75</v>
      </c>
      <c r="M40" s="100">
        <v>89.72</v>
      </c>
      <c r="N40" s="100">
        <v>79.900000000000006</v>
      </c>
      <c r="O40" s="100">
        <v>0</v>
      </c>
      <c r="P40" s="100">
        <v>0.9</v>
      </c>
      <c r="Q40" s="100">
        <v>9.32</v>
      </c>
      <c r="R40" s="6"/>
      <c r="S40" s="6"/>
      <c r="T40" s="156"/>
      <c r="U40" s="6"/>
    </row>
    <row r="41" spans="1:21">
      <c r="A41" s="163" t="s">
        <v>2967</v>
      </c>
      <c r="B41" s="100">
        <v>15.74</v>
      </c>
      <c r="C41" s="100">
        <v>16.48</v>
      </c>
      <c r="D41" s="100">
        <v>21.23</v>
      </c>
      <c r="E41" s="100">
        <v>2.79</v>
      </c>
      <c r="F41" s="100">
        <v>0.39</v>
      </c>
      <c r="G41" s="100">
        <v>48.48</v>
      </c>
      <c r="H41" s="100">
        <v>36.65</v>
      </c>
      <c r="I41" s="100">
        <v>14.4</v>
      </c>
      <c r="J41" s="100">
        <v>0.15</v>
      </c>
      <c r="K41" s="100">
        <v>166.5</v>
      </c>
      <c r="L41" s="100">
        <v>12.09</v>
      </c>
      <c r="M41" s="100">
        <v>84.76</v>
      </c>
      <c r="N41" s="100">
        <v>128.5</v>
      </c>
      <c r="O41" s="100">
        <v>0</v>
      </c>
      <c r="P41" s="100">
        <v>0.89</v>
      </c>
      <c r="Q41" s="100">
        <v>9.32</v>
      </c>
      <c r="R41" s="6"/>
      <c r="S41" s="6"/>
      <c r="T41" s="156"/>
      <c r="U41" s="6"/>
    </row>
    <row r="42" spans="1:21">
      <c r="A42" s="163" t="s">
        <v>2968</v>
      </c>
      <c r="B42" s="100">
        <v>15.28</v>
      </c>
      <c r="C42" s="100">
        <v>17.079999999999998</v>
      </c>
      <c r="D42" s="100">
        <v>21.17</v>
      </c>
      <c r="E42" s="100">
        <v>2.88</v>
      </c>
      <c r="F42" s="100">
        <v>0.28000000000000003</v>
      </c>
      <c r="G42" s="100">
        <v>48.48</v>
      </c>
      <c r="H42" s="100">
        <v>36.65</v>
      </c>
      <c r="I42" s="100">
        <v>14.29</v>
      </c>
      <c r="J42" s="100">
        <v>0.09</v>
      </c>
      <c r="K42" s="100">
        <v>68.59</v>
      </c>
      <c r="L42" s="100">
        <v>13.56</v>
      </c>
      <c r="M42" s="100">
        <v>73.59</v>
      </c>
      <c r="N42" s="100">
        <v>201.8</v>
      </c>
      <c r="O42" s="100">
        <v>0</v>
      </c>
      <c r="P42" s="100">
        <v>0.87</v>
      </c>
      <c r="Q42" s="100">
        <v>9.32</v>
      </c>
      <c r="R42" s="6"/>
      <c r="S42" s="6"/>
      <c r="T42" s="156"/>
      <c r="U42" s="6"/>
    </row>
    <row r="43" spans="1:21">
      <c r="A43" s="163" t="s">
        <v>2969</v>
      </c>
      <c r="B43" s="100">
        <v>14.94</v>
      </c>
      <c r="C43" s="100">
        <v>18.36</v>
      </c>
      <c r="D43" s="100">
        <v>21.58</v>
      </c>
      <c r="E43" s="100">
        <v>2.62</v>
      </c>
      <c r="F43" s="100">
        <v>0.41</v>
      </c>
      <c r="G43" s="100">
        <v>55.29</v>
      </c>
      <c r="H43" s="100">
        <v>38.119999999999997</v>
      </c>
      <c r="I43" s="100">
        <v>14.18</v>
      </c>
      <c r="J43" s="100">
        <v>0.51</v>
      </c>
      <c r="K43" s="100">
        <v>58.92</v>
      </c>
      <c r="L43" s="100">
        <v>14.73</v>
      </c>
      <c r="M43" s="100">
        <v>62.6</v>
      </c>
      <c r="N43" s="100">
        <v>236.2</v>
      </c>
      <c r="O43" s="100">
        <v>0</v>
      </c>
      <c r="P43" s="100">
        <v>0.87</v>
      </c>
      <c r="Q43" s="100">
        <v>9.32</v>
      </c>
      <c r="R43" s="6"/>
      <c r="S43" s="6"/>
      <c r="T43" s="156"/>
      <c r="U43" s="6"/>
    </row>
    <row r="44" spans="1:21">
      <c r="A44" s="163" t="s">
        <v>2970</v>
      </c>
      <c r="B44" s="100">
        <v>14.55</v>
      </c>
      <c r="C44" s="100">
        <v>18.89</v>
      </c>
      <c r="D44" s="100">
        <v>21.53</v>
      </c>
      <c r="E44" s="100">
        <v>2.88</v>
      </c>
      <c r="F44" s="100">
        <v>0.33</v>
      </c>
      <c r="G44" s="100">
        <v>64.61</v>
      </c>
      <c r="H44" s="100">
        <v>39.24</v>
      </c>
      <c r="I44" s="100">
        <v>14.07</v>
      </c>
      <c r="J44" s="100">
        <v>0.47</v>
      </c>
      <c r="K44" s="100">
        <v>48.93</v>
      </c>
      <c r="L44" s="100">
        <v>15.61</v>
      </c>
      <c r="M44" s="100">
        <v>59.9</v>
      </c>
      <c r="N44" s="100">
        <v>267.8</v>
      </c>
      <c r="O44" s="100">
        <v>0</v>
      </c>
      <c r="P44" s="100">
        <v>0.85</v>
      </c>
      <c r="Q44" s="100">
        <v>9.32</v>
      </c>
      <c r="R44" s="6"/>
      <c r="S44" s="6"/>
      <c r="T44" s="156"/>
      <c r="U44" s="6"/>
    </row>
    <row r="45" spans="1:21">
      <c r="A45" s="163" t="s">
        <v>2971</v>
      </c>
      <c r="B45" s="100">
        <v>14.06</v>
      </c>
      <c r="C45" s="100">
        <v>19.579999999999998</v>
      </c>
      <c r="D45" s="100">
        <v>21.51</v>
      </c>
      <c r="E45" s="100">
        <v>3.08</v>
      </c>
      <c r="F45" s="100">
        <v>0.31</v>
      </c>
      <c r="G45" s="100">
        <v>64.61</v>
      </c>
      <c r="H45" s="100">
        <v>39.24</v>
      </c>
      <c r="I45" s="100">
        <v>13.93</v>
      </c>
      <c r="J45" s="100">
        <v>0.52</v>
      </c>
      <c r="K45" s="100">
        <v>50.37</v>
      </c>
      <c r="L45" s="100">
        <v>16.53</v>
      </c>
      <c r="M45" s="100">
        <v>55.24</v>
      </c>
      <c r="N45" s="100">
        <v>225.5</v>
      </c>
      <c r="O45" s="100">
        <v>0</v>
      </c>
      <c r="P45" s="100">
        <v>0.85</v>
      </c>
      <c r="Q45" s="100">
        <v>9.32</v>
      </c>
      <c r="R45" s="6"/>
      <c r="S45" s="6"/>
      <c r="T45" s="156"/>
      <c r="U45" s="6"/>
    </row>
    <row r="46" spans="1:21">
      <c r="A46" s="163" t="s">
        <v>2972</v>
      </c>
      <c r="B46" s="100">
        <v>13.3</v>
      </c>
      <c r="C46" s="100">
        <v>20.04</v>
      </c>
      <c r="D46" s="100">
        <v>21.14</v>
      </c>
      <c r="E46" s="100">
        <v>3</v>
      </c>
      <c r="F46" s="100">
        <v>0.56999999999999995</v>
      </c>
      <c r="G46" s="100">
        <v>64.61</v>
      </c>
      <c r="H46" s="100">
        <v>39.24</v>
      </c>
      <c r="I46" s="100">
        <v>13.79</v>
      </c>
      <c r="J46" s="100">
        <v>0.56999999999999995</v>
      </c>
      <c r="K46" s="100">
        <v>57.13</v>
      </c>
      <c r="L46" s="100">
        <v>17.489999999999998</v>
      </c>
      <c r="M46" s="100">
        <v>50</v>
      </c>
      <c r="N46" s="100">
        <v>141.6</v>
      </c>
      <c r="O46" s="100">
        <v>0</v>
      </c>
      <c r="P46" s="100">
        <v>0.84</v>
      </c>
      <c r="Q46" s="100">
        <v>9.32</v>
      </c>
      <c r="R46" s="6"/>
      <c r="S46" s="6"/>
      <c r="T46" s="156"/>
      <c r="U46" s="6"/>
    </row>
    <row r="47" spans="1:21">
      <c r="A47" s="163" t="s">
        <v>2973</v>
      </c>
      <c r="B47" s="100">
        <v>12.46</v>
      </c>
      <c r="C47" s="100">
        <v>20.5</v>
      </c>
      <c r="D47" s="100">
        <v>20.7</v>
      </c>
      <c r="E47" s="100">
        <v>3.2</v>
      </c>
      <c r="F47" s="100">
        <v>0.56000000000000005</v>
      </c>
      <c r="G47" s="100">
        <v>61.33</v>
      </c>
      <c r="H47" s="100">
        <v>39.01</v>
      </c>
      <c r="I47" s="100">
        <v>13.61</v>
      </c>
      <c r="J47" s="100">
        <v>0.56000000000000005</v>
      </c>
      <c r="K47" s="100">
        <v>56.89</v>
      </c>
      <c r="L47" s="100">
        <v>17.88</v>
      </c>
      <c r="M47" s="100">
        <v>48.52</v>
      </c>
      <c r="N47" s="100">
        <v>147.1</v>
      </c>
      <c r="O47" s="100">
        <v>0</v>
      </c>
      <c r="P47" s="100">
        <v>0.82</v>
      </c>
      <c r="Q47" s="100">
        <v>9.32</v>
      </c>
      <c r="R47" s="6"/>
      <c r="S47" s="6"/>
      <c r="T47" s="156"/>
      <c r="U47" s="6"/>
    </row>
    <row r="48" spans="1:21">
      <c r="A48" s="163" t="s">
        <v>2974</v>
      </c>
      <c r="B48" s="100">
        <v>11.8</v>
      </c>
      <c r="C48" s="100">
        <v>20.92</v>
      </c>
      <c r="D48" s="100">
        <v>20.39</v>
      </c>
      <c r="E48" s="100">
        <v>3.1</v>
      </c>
      <c r="F48" s="100">
        <v>0.37</v>
      </c>
      <c r="G48" s="100">
        <v>56.83</v>
      </c>
      <c r="H48" s="100">
        <v>38.83</v>
      </c>
      <c r="I48" s="100">
        <v>13.33</v>
      </c>
      <c r="J48" s="100">
        <v>0.28999999999999998</v>
      </c>
      <c r="K48" s="100">
        <v>47.27</v>
      </c>
      <c r="L48" s="100">
        <v>18.88</v>
      </c>
      <c r="M48" s="100">
        <v>45.69</v>
      </c>
      <c r="N48" s="100">
        <v>154.4</v>
      </c>
      <c r="O48" s="100">
        <v>0</v>
      </c>
      <c r="P48" s="100">
        <v>0.81</v>
      </c>
      <c r="Q48" s="100">
        <v>9.32</v>
      </c>
      <c r="R48" s="6"/>
      <c r="S48" s="6"/>
      <c r="T48" s="156"/>
      <c r="U48" s="6"/>
    </row>
    <row r="49" spans="1:21">
      <c r="A49" s="163" t="s">
        <v>2975</v>
      </c>
      <c r="B49" s="100">
        <v>11.61</v>
      </c>
      <c r="C49" s="100">
        <v>21.24</v>
      </c>
      <c r="D49" s="100">
        <v>20.399999999999999</v>
      </c>
      <c r="E49" s="100">
        <v>1.48</v>
      </c>
      <c r="F49" s="100">
        <v>0.36</v>
      </c>
      <c r="G49" s="100">
        <v>56.83</v>
      </c>
      <c r="H49" s="100">
        <v>38.83</v>
      </c>
      <c r="I49" s="100">
        <v>13.03</v>
      </c>
      <c r="J49" s="100">
        <v>0.78</v>
      </c>
      <c r="K49" s="100">
        <v>40.97</v>
      </c>
      <c r="L49" s="100">
        <v>19.41</v>
      </c>
      <c r="M49" s="100">
        <v>42.73</v>
      </c>
      <c r="N49" s="100">
        <v>341.4</v>
      </c>
      <c r="O49" s="100">
        <v>0</v>
      </c>
      <c r="P49" s="100">
        <v>0.8</v>
      </c>
      <c r="Q49" s="100">
        <v>9.32</v>
      </c>
      <c r="R49" s="6"/>
      <c r="S49" s="6"/>
      <c r="T49" s="156"/>
      <c r="U49" s="6"/>
    </row>
    <row r="50" spans="1:21">
      <c r="A50" s="163" t="s">
        <v>2976</v>
      </c>
      <c r="B50" s="100">
        <v>12.2</v>
      </c>
      <c r="C50" s="100">
        <v>21.91</v>
      </c>
      <c r="D50" s="100">
        <v>21.22</v>
      </c>
      <c r="E50" s="100">
        <v>2.36</v>
      </c>
      <c r="F50" s="100">
        <v>0.32</v>
      </c>
      <c r="G50" s="100">
        <v>56.83</v>
      </c>
      <c r="H50" s="100">
        <v>38.83</v>
      </c>
      <c r="I50" s="100">
        <v>14.27</v>
      </c>
      <c r="J50" s="100">
        <v>0.63</v>
      </c>
      <c r="K50" s="100">
        <v>63.32</v>
      </c>
      <c r="L50" s="100">
        <v>19.8</v>
      </c>
      <c r="M50" s="100">
        <v>40.56</v>
      </c>
      <c r="N50" s="100">
        <v>467.3</v>
      </c>
      <c r="O50" s="100">
        <v>0</v>
      </c>
      <c r="P50" s="100">
        <v>0.78</v>
      </c>
      <c r="Q50" s="100">
        <v>9.32</v>
      </c>
      <c r="R50" s="6"/>
      <c r="S50" s="6"/>
      <c r="T50" s="156"/>
      <c r="U50" s="6"/>
    </row>
    <row r="51" spans="1:21">
      <c r="A51" s="163" t="s">
        <v>2977</v>
      </c>
      <c r="B51" s="100">
        <v>12.75</v>
      </c>
      <c r="C51" s="100">
        <v>22.56</v>
      </c>
      <c r="D51" s="100">
        <v>22.01</v>
      </c>
      <c r="E51" s="100">
        <v>2.38</v>
      </c>
      <c r="F51" s="100">
        <v>0.28999999999999998</v>
      </c>
      <c r="G51" s="100">
        <v>58.28</v>
      </c>
      <c r="H51" s="100">
        <v>37.99</v>
      </c>
      <c r="I51" s="100">
        <v>15.67</v>
      </c>
      <c r="J51" s="100">
        <v>0.98</v>
      </c>
      <c r="K51" s="100">
        <v>35.81</v>
      </c>
      <c r="L51" s="100">
        <v>19.93</v>
      </c>
      <c r="M51" s="100">
        <v>40.1</v>
      </c>
      <c r="N51" s="100">
        <v>496.8</v>
      </c>
      <c r="O51" s="100">
        <v>0</v>
      </c>
      <c r="P51" s="100">
        <v>0.76</v>
      </c>
      <c r="Q51" s="100">
        <v>9.32</v>
      </c>
      <c r="R51" s="6"/>
      <c r="S51" s="6"/>
      <c r="T51" s="156"/>
      <c r="U51" s="6"/>
    </row>
    <row r="52" spans="1:21">
      <c r="A52" s="163" t="s">
        <v>2978</v>
      </c>
      <c r="B52" s="100">
        <v>12.97</v>
      </c>
      <c r="C52" s="100">
        <v>22.68</v>
      </c>
      <c r="D52" s="100">
        <v>22.26</v>
      </c>
      <c r="E52" s="100">
        <v>2.48</v>
      </c>
      <c r="F52" s="100">
        <v>0.4</v>
      </c>
      <c r="G52" s="100">
        <v>60.26</v>
      </c>
      <c r="H52" s="100">
        <v>37.369999999999997</v>
      </c>
      <c r="I52" s="100">
        <v>15.48</v>
      </c>
      <c r="J52" s="100">
        <v>0.76</v>
      </c>
      <c r="K52" s="100">
        <v>34.01</v>
      </c>
      <c r="L52" s="100">
        <v>20.63</v>
      </c>
      <c r="M52" s="100">
        <v>38.15</v>
      </c>
      <c r="N52" s="100">
        <v>519</v>
      </c>
      <c r="O52" s="100">
        <v>0</v>
      </c>
      <c r="P52" s="100">
        <v>0.76</v>
      </c>
      <c r="Q52" s="100">
        <v>9.32</v>
      </c>
      <c r="R52" s="6"/>
      <c r="S52" s="6"/>
      <c r="T52" s="156"/>
      <c r="U52" s="6"/>
    </row>
    <row r="53" spans="1:21">
      <c r="A53" s="163" t="s">
        <v>2979</v>
      </c>
      <c r="B53" s="100">
        <v>12.78</v>
      </c>
      <c r="C53" s="100">
        <v>22.84</v>
      </c>
      <c r="D53" s="100">
        <v>22.18</v>
      </c>
      <c r="E53" s="100">
        <v>2.29</v>
      </c>
      <c r="F53" s="100">
        <v>0.28999999999999998</v>
      </c>
      <c r="G53" s="100">
        <v>60.26</v>
      </c>
      <c r="H53" s="100">
        <v>37.369999999999997</v>
      </c>
      <c r="I53" s="100">
        <v>15.31</v>
      </c>
      <c r="J53" s="100">
        <v>0.59</v>
      </c>
      <c r="K53" s="100">
        <v>41.78</v>
      </c>
      <c r="L53" s="100">
        <v>20.78</v>
      </c>
      <c r="M53" s="100">
        <v>37.03</v>
      </c>
      <c r="N53" s="100">
        <v>487.9</v>
      </c>
      <c r="O53" s="100">
        <v>0</v>
      </c>
      <c r="P53" s="100">
        <v>0.74</v>
      </c>
      <c r="Q53" s="100">
        <v>9.32</v>
      </c>
      <c r="R53" s="6"/>
      <c r="S53" s="6"/>
      <c r="T53" s="156"/>
      <c r="U53" s="6"/>
    </row>
    <row r="54" spans="1:21">
      <c r="A54" s="163" t="s">
        <v>2980</v>
      </c>
      <c r="B54" s="100">
        <v>12.27</v>
      </c>
      <c r="C54" s="100">
        <v>22.75</v>
      </c>
      <c r="D54" s="100">
        <v>21.73</v>
      </c>
      <c r="E54" s="100">
        <v>2.2400000000000002</v>
      </c>
      <c r="F54" s="100">
        <v>0.44</v>
      </c>
      <c r="G54" s="100">
        <v>60.26</v>
      </c>
      <c r="H54" s="100">
        <v>37.369999999999997</v>
      </c>
      <c r="I54" s="100">
        <v>15.11</v>
      </c>
      <c r="J54" s="100">
        <v>0.62</v>
      </c>
      <c r="K54" s="100">
        <v>31.29</v>
      </c>
      <c r="L54" s="100">
        <v>21.53</v>
      </c>
      <c r="M54" s="100">
        <v>35.44</v>
      </c>
      <c r="N54" s="100">
        <v>551.4</v>
      </c>
      <c r="O54" s="100">
        <v>0</v>
      </c>
      <c r="P54" s="100">
        <v>0.73</v>
      </c>
      <c r="Q54" s="100">
        <v>9.32</v>
      </c>
      <c r="R54" s="6"/>
      <c r="S54" s="6"/>
      <c r="T54" s="156"/>
      <c r="U54" s="6"/>
    </row>
    <row r="55" spans="1:21">
      <c r="A55" s="163" t="s">
        <v>2981</v>
      </c>
      <c r="B55" s="100">
        <v>11.77</v>
      </c>
      <c r="C55" s="100">
        <v>22.69</v>
      </c>
      <c r="D55" s="100">
        <v>21.29</v>
      </c>
      <c r="E55" s="100">
        <v>2.09</v>
      </c>
      <c r="F55" s="100">
        <v>0.43</v>
      </c>
      <c r="G55" s="100">
        <v>59.92</v>
      </c>
      <c r="H55" s="100">
        <v>35.92</v>
      </c>
      <c r="I55" s="100">
        <v>14.89</v>
      </c>
      <c r="J55" s="100">
        <v>0.42</v>
      </c>
      <c r="K55" s="100">
        <v>338.66</v>
      </c>
      <c r="L55" s="100">
        <v>22.09</v>
      </c>
      <c r="M55" s="100">
        <v>33.74</v>
      </c>
      <c r="N55" s="100">
        <v>566.4</v>
      </c>
      <c r="O55" s="100">
        <v>0</v>
      </c>
      <c r="P55" s="100">
        <v>0.71</v>
      </c>
      <c r="Q55" s="100">
        <v>9.32</v>
      </c>
      <c r="R55" s="6"/>
      <c r="S55" s="6"/>
      <c r="T55" s="156"/>
      <c r="U55" s="6"/>
    </row>
    <row r="56" spans="1:21">
      <c r="A56" s="163" t="s">
        <v>2982</v>
      </c>
      <c r="B56" s="100">
        <v>11.08</v>
      </c>
      <c r="C56" s="100">
        <v>22.53</v>
      </c>
      <c r="D56" s="100">
        <v>20.66</v>
      </c>
      <c r="E56" s="100">
        <v>2.2000000000000002</v>
      </c>
      <c r="F56" s="100">
        <v>0.42</v>
      </c>
      <c r="G56" s="100">
        <v>59.45</v>
      </c>
      <c r="H56" s="100">
        <v>34.86</v>
      </c>
      <c r="I56" s="100">
        <v>14.68</v>
      </c>
      <c r="J56" s="100">
        <v>0.22</v>
      </c>
      <c r="K56" s="100">
        <v>269.95999999999998</v>
      </c>
      <c r="L56" s="100">
        <v>22.63</v>
      </c>
      <c r="M56" s="100">
        <v>31.71</v>
      </c>
      <c r="N56" s="100">
        <v>565.70000000000005</v>
      </c>
      <c r="O56" s="100">
        <v>0</v>
      </c>
      <c r="P56" s="100">
        <v>0.7</v>
      </c>
      <c r="Q56" s="100">
        <v>9.32</v>
      </c>
      <c r="R56" s="6"/>
      <c r="S56" s="6"/>
      <c r="T56" s="156"/>
      <c r="U56" s="6"/>
    </row>
    <row r="57" spans="1:21">
      <c r="A57" s="163" t="s">
        <v>2983</v>
      </c>
      <c r="B57" s="100">
        <v>10.18</v>
      </c>
      <c r="C57" s="100">
        <v>22.44</v>
      </c>
      <c r="D57" s="100">
        <v>19.89</v>
      </c>
      <c r="E57" s="100">
        <v>2.1800000000000002</v>
      </c>
      <c r="F57" s="100">
        <v>0.44</v>
      </c>
      <c r="G57" s="100">
        <v>59.45</v>
      </c>
      <c r="H57" s="100">
        <v>34.86</v>
      </c>
      <c r="I57" s="100">
        <v>14.46</v>
      </c>
      <c r="J57" s="100">
        <v>0.28999999999999998</v>
      </c>
      <c r="K57" s="100">
        <v>347.18</v>
      </c>
      <c r="L57" s="100">
        <v>22.89</v>
      </c>
      <c r="M57" s="100">
        <v>31.21</v>
      </c>
      <c r="N57" s="100">
        <v>572.79999999999995</v>
      </c>
      <c r="O57" s="100">
        <v>0</v>
      </c>
      <c r="P57" s="100">
        <v>0.69</v>
      </c>
      <c r="Q57" s="100">
        <v>9.32</v>
      </c>
      <c r="R57" s="6"/>
      <c r="S57" s="6"/>
      <c r="T57" s="156"/>
      <c r="U57" s="6"/>
    </row>
    <row r="58" spans="1:21">
      <c r="A58" s="163" t="s">
        <v>2984</v>
      </c>
      <c r="B58" s="100">
        <v>9.2799999999999994</v>
      </c>
      <c r="C58" s="100">
        <v>22.4</v>
      </c>
      <c r="D58" s="100">
        <v>19.149999999999999</v>
      </c>
      <c r="E58" s="100">
        <v>2.61</v>
      </c>
      <c r="F58" s="100">
        <v>0.56999999999999995</v>
      </c>
      <c r="G58" s="100">
        <v>59.45</v>
      </c>
      <c r="H58" s="100">
        <v>34.86</v>
      </c>
      <c r="I58" s="100">
        <v>14.28</v>
      </c>
      <c r="J58" s="100">
        <v>0.63</v>
      </c>
      <c r="K58" s="100">
        <v>350.77</v>
      </c>
      <c r="L58" s="100">
        <v>23.06</v>
      </c>
      <c r="M58" s="100">
        <v>30.21</v>
      </c>
      <c r="N58" s="100">
        <v>561.1</v>
      </c>
      <c r="O58" s="100">
        <v>0</v>
      </c>
      <c r="P58" s="100">
        <v>0.67</v>
      </c>
      <c r="Q58" s="100">
        <v>9.32</v>
      </c>
      <c r="R58" s="6"/>
      <c r="S58" s="6"/>
      <c r="T58" s="156"/>
      <c r="U58" s="6"/>
    </row>
    <row r="59" spans="1:21">
      <c r="A59" s="163" t="s">
        <v>2985</v>
      </c>
      <c r="B59" s="100">
        <v>8.43</v>
      </c>
      <c r="C59" s="100">
        <v>22.49</v>
      </c>
      <c r="D59" s="100">
        <v>18.510000000000002</v>
      </c>
      <c r="E59" s="100">
        <v>2.61</v>
      </c>
      <c r="F59" s="100">
        <v>0.47</v>
      </c>
      <c r="G59" s="100">
        <v>55.47</v>
      </c>
      <c r="H59" s="100">
        <v>32.700000000000003</v>
      </c>
      <c r="I59" s="100">
        <v>14.14</v>
      </c>
      <c r="J59" s="100">
        <v>0.34</v>
      </c>
      <c r="K59" s="100">
        <v>353.99</v>
      </c>
      <c r="L59" s="100">
        <v>23.45</v>
      </c>
      <c r="M59" s="100">
        <v>28.58</v>
      </c>
      <c r="N59" s="100">
        <v>549.4</v>
      </c>
      <c r="O59" s="100">
        <v>0</v>
      </c>
      <c r="P59" s="100">
        <v>0.66</v>
      </c>
      <c r="Q59" s="100">
        <v>9.32</v>
      </c>
      <c r="R59" s="6"/>
      <c r="S59" s="6"/>
      <c r="T59" s="156"/>
      <c r="U59" s="6"/>
    </row>
    <row r="60" spans="1:21">
      <c r="A60" s="163" t="s">
        <v>2986</v>
      </c>
      <c r="B60" s="100">
        <v>7.81</v>
      </c>
      <c r="C60" s="100">
        <v>22.24</v>
      </c>
      <c r="D60" s="100">
        <v>17.88</v>
      </c>
      <c r="E60" s="100">
        <v>2.4</v>
      </c>
      <c r="F60" s="100">
        <v>0.47</v>
      </c>
      <c r="G60" s="100">
        <v>50.03</v>
      </c>
      <c r="H60" s="100">
        <v>28.38</v>
      </c>
      <c r="I60" s="100">
        <v>13.71</v>
      </c>
      <c r="J60" s="100">
        <v>0.08</v>
      </c>
      <c r="K60" s="100">
        <v>316.57</v>
      </c>
      <c r="L60" s="100">
        <v>23.78</v>
      </c>
      <c r="M60" s="100">
        <v>28.1</v>
      </c>
      <c r="N60" s="100">
        <v>530</v>
      </c>
      <c r="O60" s="100">
        <v>0</v>
      </c>
      <c r="P60" s="100">
        <v>0.65</v>
      </c>
      <c r="Q60" s="100">
        <v>9.32</v>
      </c>
      <c r="R60" s="6"/>
      <c r="S60" s="6"/>
      <c r="T60" s="156"/>
      <c r="U60" s="6"/>
    </row>
    <row r="61" spans="1:21">
      <c r="A61" s="163" t="s">
        <v>2987</v>
      </c>
      <c r="B61" s="100">
        <v>7.06</v>
      </c>
      <c r="C61" s="100">
        <v>22.19</v>
      </c>
      <c r="D61" s="100">
        <v>17.25</v>
      </c>
      <c r="E61" s="100">
        <v>2.81</v>
      </c>
      <c r="F61" s="100">
        <v>0.64</v>
      </c>
      <c r="G61" s="100">
        <v>50.03</v>
      </c>
      <c r="H61" s="100">
        <v>28.38</v>
      </c>
      <c r="I61" s="100">
        <v>13.27</v>
      </c>
      <c r="J61" s="100">
        <v>0.44</v>
      </c>
      <c r="K61" s="100">
        <v>317.08999999999997</v>
      </c>
      <c r="L61" s="100">
        <v>23.83</v>
      </c>
      <c r="M61" s="100">
        <v>27.39</v>
      </c>
      <c r="N61" s="100">
        <v>474.5</v>
      </c>
      <c r="O61" s="100">
        <v>0</v>
      </c>
      <c r="P61" s="100">
        <v>0.64</v>
      </c>
      <c r="Q61" s="100">
        <v>9.32</v>
      </c>
      <c r="R61" s="6"/>
      <c r="S61" s="6"/>
      <c r="T61" s="156"/>
      <c r="U61" s="6"/>
    </row>
    <row r="62" spans="1:21">
      <c r="A62" s="163" t="s">
        <v>2988</v>
      </c>
      <c r="B62" s="100">
        <v>6.29</v>
      </c>
      <c r="C62" s="100">
        <v>22.08</v>
      </c>
      <c r="D62" s="100">
        <v>16.579999999999998</v>
      </c>
      <c r="E62" s="100">
        <v>2.74</v>
      </c>
      <c r="F62" s="100">
        <v>0.79</v>
      </c>
      <c r="G62" s="100">
        <v>50.03</v>
      </c>
      <c r="H62" s="100">
        <v>28.38</v>
      </c>
      <c r="I62" s="100">
        <v>13.1</v>
      </c>
      <c r="J62" s="100">
        <v>0.24</v>
      </c>
      <c r="K62" s="100">
        <v>62.02</v>
      </c>
      <c r="L62" s="100">
        <v>23.79</v>
      </c>
      <c r="M62" s="100">
        <v>27.58</v>
      </c>
      <c r="N62" s="100">
        <v>300.10000000000002</v>
      </c>
      <c r="O62" s="100">
        <v>0</v>
      </c>
      <c r="P62" s="100">
        <v>0.63</v>
      </c>
      <c r="Q62" s="100">
        <v>9.32</v>
      </c>
      <c r="R62" s="6"/>
      <c r="S62" s="6"/>
      <c r="T62" s="156"/>
      <c r="U62" s="6"/>
    </row>
    <row r="63" spans="1:21">
      <c r="A63" s="163" t="s">
        <v>2989</v>
      </c>
      <c r="B63" s="100">
        <v>5.62</v>
      </c>
      <c r="C63" s="100">
        <v>21.87</v>
      </c>
      <c r="D63" s="100">
        <v>15.93</v>
      </c>
      <c r="E63" s="100">
        <v>2.81</v>
      </c>
      <c r="F63" s="100">
        <v>0.91</v>
      </c>
      <c r="G63" s="100">
        <v>48.19</v>
      </c>
      <c r="H63" s="100">
        <v>27.4</v>
      </c>
      <c r="I63" s="100">
        <v>12.85</v>
      </c>
      <c r="J63" s="100">
        <v>0.3</v>
      </c>
      <c r="K63" s="100">
        <v>87.38</v>
      </c>
      <c r="L63" s="100">
        <v>23.72</v>
      </c>
      <c r="M63" s="100">
        <v>27.28</v>
      </c>
      <c r="N63" s="100">
        <v>159.30000000000001</v>
      </c>
      <c r="O63" s="100">
        <v>0</v>
      </c>
      <c r="P63" s="100">
        <v>0.62</v>
      </c>
      <c r="Q63" s="100">
        <v>9.32</v>
      </c>
      <c r="R63" s="6"/>
      <c r="S63" s="6"/>
      <c r="T63" s="156"/>
      <c r="U63" s="6"/>
    </row>
    <row r="64" spans="1:21">
      <c r="A64" s="163" t="s">
        <v>2990</v>
      </c>
      <c r="B64" s="100">
        <v>5.09</v>
      </c>
      <c r="C64" s="100">
        <v>21.66</v>
      </c>
      <c r="D64" s="100">
        <v>15.4</v>
      </c>
      <c r="E64" s="100">
        <v>3.55</v>
      </c>
      <c r="F64" s="100">
        <v>0.95</v>
      </c>
      <c r="G64" s="100">
        <v>45.66</v>
      </c>
      <c r="H64" s="100">
        <v>26.68</v>
      </c>
      <c r="I64" s="100">
        <v>12.68</v>
      </c>
      <c r="J64" s="100">
        <v>0.38</v>
      </c>
      <c r="K64" s="100">
        <v>1.45</v>
      </c>
      <c r="L64" s="100">
        <v>23.69</v>
      </c>
      <c r="M64" s="100">
        <v>28.3</v>
      </c>
      <c r="N64" s="100">
        <v>133.5</v>
      </c>
      <c r="O64" s="100">
        <v>0</v>
      </c>
      <c r="P64" s="100">
        <v>0.61</v>
      </c>
      <c r="Q64" s="100">
        <v>9.32</v>
      </c>
      <c r="R64" s="6"/>
      <c r="S64" s="6"/>
      <c r="T64" s="156"/>
      <c r="U64" s="6"/>
    </row>
    <row r="65" spans="1:21">
      <c r="A65" s="163" t="s">
        <v>2991</v>
      </c>
      <c r="B65" s="100">
        <v>4.7</v>
      </c>
      <c r="C65" s="100">
        <v>21.73</v>
      </c>
      <c r="D65" s="100">
        <v>15.12</v>
      </c>
      <c r="E65" s="100">
        <v>3.94</v>
      </c>
      <c r="F65" s="100">
        <v>0.88</v>
      </c>
      <c r="G65" s="100">
        <v>45.66</v>
      </c>
      <c r="H65" s="100">
        <v>26.68</v>
      </c>
      <c r="I65" s="100">
        <v>12.52</v>
      </c>
      <c r="J65" s="100">
        <v>0.52</v>
      </c>
      <c r="K65" s="100">
        <v>49.02</v>
      </c>
      <c r="L65" s="100">
        <v>23.93</v>
      </c>
      <c r="M65" s="100">
        <v>28.89</v>
      </c>
      <c r="N65" s="100">
        <v>124.5</v>
      </c>
      <c r="O65" s="100">
        <v>0</v>
      </c>
      <c r="P65" s="100">
        <v>0.59</v>
      </c>
      <c r="Q65" s="100">
        <v>9.32</v>
      </c>
      <c r="R65" s="6"/>
      <c r="S65" s="6"/>
      <c r="T65" s="156"/>
      <c r="U65" s="6"/>
    </row>
    <row r="66" spans="1:21">
      <c r="A66" s="163" t="s">
        <v>2992</v>
      </c>
      <c r="B66" s="100">
        <v>4.3600000000000003</v>
      </c>
      <c r="C66" s="100">
        <v>21.77</v>
      </c>
      <c r="D66" s="100">
        <v>14.87</v>
      </c>
      <c r="E66" s="100">
        <v>3.58</v>
      </c>
      <c r="F66" s="100">
        <v>1</v>
      </c>
      <c r="G66" s="100">
        <v>45.66</v>
      </c>
      <c r="H66" s="100">
        <v>26.68</v>
      </c>
      <c r="I66" s="100">
        <v>12.34</v>
      </c>
      <c r="J66" s="100">
        <v>0.1</v>
      </c>
      <c r="K66" s="100">
        <v>148.33000000000001</v>
      </c>
      <c r="L66" s="100">
        <v>23.76</v>
      </c>
      <c r="M66" s="100">
        <v>30.57</v>
      </c>
      <c r="N66" s="100">
        <v>119.1</v>
      </c>
      <c r="O66" s="100">
        <v>0</v>
      </c>
      <c r="P66" s="100">
        <v>0.62</v>
      </c>
      <c r="Q66" s="100">
        <v>9.32</v>
      </c>
      <c r="R66" s="6"/>
      <c r="S66" s="6"/>
      <c r="T66" s="156"/>
      <c r="U66" s="6"/>
    </row>
    <row r="67" spans="1:21">
      <c r="A67" s="163" t="s">
        <v>2993</v>
      </c>
      <c r="B67" s="100">
        <v>3.95</v>
      </c>
      <c r="C67" s="100">
        <v>21.68</v>
      </c>
      <c r="D67" s="100">
        <v>14.49</v>
      </c>
      <c r="E67" s="100">
        <v>3.56</v>
      </c>
      <c r="F67" s="100">
        <v>1.47</v>
      </c>
      <c r="G67" s="100">
        <v>53.39</v>
      </c>
      <c r="H67" s="100">
        <v>27.76</v>
      </c>
      <c r="I67" s="100">
        <v>12.26</v>
      </c>
      <c r="J67" s="100">
        <v>0.28000000000000003</v>
      </c>
      <c r="K67" s="100">
        <v>97.16</v>
      </c>
      <c r="L67" s="100">
        <v>23.94</v>
      </c>
      <c r="M67" s="100">
        <v>30.32</v>
      </c>
      <c r="N67" s="100">
        <v>119.3</v>
      </c>
      <c r="O67" s="100">
        <v>0</v>
      </c>
      <c r="P67" s="100">
        <v>0.62</v>
      </c>
      <c r="Q67" s="100">
        <v>9.32</v>
      </c>
      <c r="R67" s="6"/>
      <c r="S67" s="6"/>
      <c r="T67" s="156"/>
      <c r="U67" s="6"/>
    </row>
    <row r="68" spans="1:21">
      <c r="A68" s="163" t="s">
        <v>2994</v>
      </c>
      <c r="B68" s="100">
        <v>3.08</v>
      </c>
      <c r="C68" s="100">
        <v>22.55</v>
      </c>
      <c r="D68" s="100">
        <v>14.25</v>
      </c>
      <c r="E68" s="100">
        <v>9.09</v>
      </c>
      <c r="F68" s="100">
        <v>10.44</v>
      </c>
      <c r="G68" s="100">
        <v>63.96</v>
      </c>
      <c r="H68" s="100">
        <v>28.56</v>
      </c>
      <c r="I68" s="100">
        <v>12.23</v>
      </c>
      <c r="J68" s="100">
        <v>0.12</v>
      </c>
      <c r="K68" s="100">
        <v>240.58</v>
      </c>
      <c r="L68" s="100">
        <v>23.84</v>
      </c>
      <c r="M68" s="100">
        <v>30.39</v>
      </c>
      <c r="N68" s="100">
        <v>105.6</v>
      </c>
      <c r="O68" s="100">
        <v>0</v>
      </c>
      <c r="P68" s="100">
        <v>0.63</v>
      </c>
      <c r="Q68" s="100">
        <v>9.32</v>
      </c>
      <c r="R68" s="6"/>
      <c r="S68" s="6"/>
      <c r="T68" s="156"/>
      <c r="U68" s="6"/>
    </row>
    <row r="69" spans="1:21">
      <c r="A69" s="163" t="s">
        <v>2995</v>
      </c>
      <c r="B69" s="100">
        <v>2.42</v>
      </c>
      <c r="C69" s="100">
        <v>23.32</v>
      </c>
      <c r="D69" s="100">
        <v>14.12</v>
      </c>
      <c r="E69" s="100">
        <v>6.06</v>
      </c>
      <c r="F69" s="100">
        <v>7.33</v>
      </c>
      <c r="G69" s="100">
        <v>63.96</v>
      </c>
      <c r="H69" s="100">
        <v>28.56</v>
      </c>
      <c r="I69" s="100">
        <v>12.12</v>
      </c>
      <c r="J69" s="100">
        <v>0.28000000000000003</v>
      </c>
      <c r="K69" s="100">
        <v>2.19</v>
      </c>
      <c r="L69" s="100">
        <v>23.92</v>
      </c>
      <c r="M69" s="100">
        <v>29.84</v>
      </c>
      <c r="N69" s="100">
        <v>96.7</v>
      </c>
      <c r="O69" s="100">
        <v>0</v>
      </c>
      <c r="P69" s="100">
        <v>0.63</v>
      </c>
      <c r="Q69" s="100">
        <v>9.32</v>
      </c>
      <c r="R69" s="6"/>
      <c r="S69" s="6"/>
      <c r="T69" s="156"/>
      <c r="U69" s="6"/>
    </row>
    <row r="70" spans="1:21">
      <c r="A70" s="163" t="s">
        <v>2996</v>
      </c>
      <c r="B70" s="100">
        <v>2.4</v>
      </c>
      <c r="C70" s="100">
        <v>23.88</v>
      </c>
      <c r="D70" s="100">
        <v>14.4</v>
      </c>
      <c r="E70" s="100">
        <v>5.72</v>
      </c>
      <c r="F70" s="100">
        <v>5.18</v>
      </c>
      <c r="G70" s="100">
        <v>63.96</v>
      </c>
      <c r="H70" s="100">
        <v>28.56</v>
      </c>
      <c r="I70" s="100">
        <v>12.05</v>
      </c>
      <c r="J70" s="100">
        <v>0.31</v>
      </c>
      <c r="K70" s="100">
        <v>18.43</v>
      </c>
      <c r="L70" s="100">
        <v>24.01</v>
      </c>
      <c r="M70" s="100">
        <v>28.97</v>
      </c>
      <c r="N70" s="100">
        <v>84.4</v>
      </c>
      <c r="O70" s="100">
        <v>0</v>
      </c>
      <c r="P70" s="100">
        <v>0.65</v>
      </c>
      <c r="Q70" s="100">
        <v>9.32</v>
      </c>
      <c r="R70" s="6"/>
      <c r="S70" s="6"/>
      <c r="T70" s="156"/>
      <c r="U70" s="6"/>
    </row>
    <row r="71" spans="1:21">
      <c r="A71" s="163" t="s">
        <v>2997</v>
      </c>
      <c r="B71" s="100">
        <v>2.6</v>
      </c>
      <c r="C71" s="100">
        <v>24.81</v>
      </c>
      <c r="D71" s="100">
        <v>15.05</v>
      </c>
      <c r="E71" s="100">
        <v>5.64</v>
      </c>
      <c r="F71" s="100">
        <v>4.24</v>
      </c>
      <c r="G71" s="100">
        <v>71.52</v>
      </c>
      <c r="H71" s="100">
        <v>30.71</v>
      </c>
      <c r="I71" s="100">
        <v>12.07</v>
      </c>
      <c r="J71" s="100">
        <v>0.61</v>
      </c>
      <c r="K71" s="100">
        <v>23.85</v>
      </c>
      <c r="L71" s="100">
        <v>23.92</v>
      </c>
      <c r="M71" s="100">
        <v>28.16</v>
      </c>
      <c r="N71" s="100">
        <v>78.599999999999994</v>
      </c>
      <c r="O71" s="100">
        <v>0</v>
      </c>
      <c r="P71" s="100">
        <v>0.66</v>
      </c>
      <c r="Q71" s="100">
        <v>9.32</v>
      </c>
      <c r="R71" s="6"/>
      <c r="S71" s="6"/>
      <c r="T71" s="156"/>
      <c r="U71" s="6"/>
    </row>
    <row r="72" spans="1:21">
      <c r="A72" s="163" t="s">
        <v>2998</v>
      </c>
      <c r="B72" s="100">
        <v>2.72</v>
      </c>
      <c r="C72" s="100">
        <v>25.61</v>
      </c>
      <c r="D72" s="100">
        <v>15.56</v>
      </c>
      <c r="E72" s="100">
        <v>5.51</v>
      </c>
      <c r="F72" s="100">
        <v>3.7</v>
      </c>
      <c r="G72" s="100">
        <v>81.87</v>
      </c>
      <c r="H72" s="100">
        <v>32.299999999999997</v>
      </c>
      <c r="I72" s="100">
        <v>12.01</v>
      </c>
      <c r="J72" s="100">
        <v>0.66</v>
      </c>
      <c r="K72" s="100">
        <v>26.06</v>
      </c>
      <c r="L72" s="100">
        <v>23.76</v>
      </c>
      <c r="M72" s="100">
        <v>27.85</v>
      </c>
      <c r="N72" s="100">
        <v>69.2</v>
      </c>
      <c r="O72" s="100">
        <v>0</v>
      </c>
      <c r="P72" s="100">
        <v>0.66</v>
      </c>
      <c r="Q72" s="100">
        <v>9.32</v>
      </c>
      <c r="R72" s="6"/>
      <c r="S72" s="6"/>
      <c r="T72" s="156"/>
      <c r="U72" s="6"/>
    </row>
    <row r="73" spans="1:21">
      <c r="A73" s="163" t="s">
        <v>2999</v>
      </c>
      <c r="B73" s="100">
        <v>2.78</v>
      </c>
      <c r="C73" s="100">
        <v>26.16</v>
      </c>
      <c r="D73" s="100">
        <v>15.89</v>
      </c>
      <c r="E73" s="100">
        <v>3.95</v>
      </c>
      <c r="F73" s="100">
        <v>3.38</v>
      </c>
      <c r="G73" s="100">
        <v>81.87</v>
      </c>
      <c r="H73" s="100">
        <v>32.299999999999997</v>
      </c>
      <c r="I73" s="100">
        <v>11.94</v>
      </c>
      <c r="J73" s="100">
        <v>0.3</v>
      </c>
      <c r="K73" s="100">
        <v>0.38</v>
      </c>
      <c r="L73" s="100">
        <v>23.51</v>
      </c>
      <c r="M73" s="100">
        <v>28.37</v>
      </c>
      <c r="N73" s="100">
        <v>62.4</v>
      </c>
      <c r="O73" s="100">
        <v>0</v>
      </c>
      <c r="P73" s="100">
        <v>0.67</v>
      </c>
      <c r="Q73" s="100">
        <v>9.32</v>
      </c>
      <c r="R73" s="6"/>
      <c r="S73" s="6"/>
      <c r="T73" s="156"/>
      <c r="U73" s="6"/>
    </row>
    <row r="74" spans="1:21">
      <c r="A74" s="163" t="s">
        <v>3000</v>
      </c>
      <c r="B74" s="100">
        <v>2.87</v>
      </c>
      <c r="C74" s="100">
        <v>26.44</v>
      </c>
      <c r="D74" s="100">
        <v>16.11</v>
      </c>
      <c r="E74" s="100">
        <v>2.97</v>
      </c>
      <c r="F74" s="100">
        <v>2.74</v>
      </c>
      <c r="G74" s="100">
        <v>81.87</v>
      </c>
      <c r="H74" s="100">
        <v>32.299999999999997</v>
      </c>
      <c r="I74" s="100">
        <v>11.82</v>
      </c>
      <c r="J74" s="100">
        <v>0.36</v>
      </c>
      <c r="K74" s="100">
        <v>30.62</v>
      </c>
      <c r="L74" s="100">
        <v>23.13</v>
      </c>
      <c r="M74" s="100">
        <v>29.83</v>
      </c>
      <c r="N74" s="100">
        <v>60</v>
      </c>
      <c r="O74" s="100">
        <v>0</v>
      </c>
      <c r="P74" s="100">
        <v>0.66</v>
      </c>
      <c r="Q74" s="100">
        <v>9.32</v>
      </c>
      <c r="R74" s="6"/>
      <c r="S74" s="6"/>
      <c r="T74" s="156"/>
      <c r="U74" s="6"/>
    </row>
    <row r="75" spans="1:21">
      <c r="A75" s="163" t="s">
        <v>3001</v>
      </c>
      <c r="B75" s="100">
        <v>3.15</v>
      </c>
      <c r="C75" s="100">
        <v>26.45</v>
      </c>
      <c r="D75" s="100">
        <v>16.34</v>
      </c>
      <c r="E75" s="100">
        <v>2.89</v>
      </c>
      <c r="F75" s="100">
        <v>1.91</v>
      </c>
      <c r="G75" s="100">
        <v>81.44</v>
      </c>
      <c r="H75" s="100">
        <v>32.299999999999997</v>
      </c>
      <c r="I75" s="100">
        <v>11.7</v>
      </c>
      <c r="J75" s="100">
        <v>0.27</v>
      </c>
      <c r="K75" s="100">
        <v>43.28</v>
      </c>
      <c r="L75" s="100">
        <v>22.84</v>
      </c>
      <c r="M75" s="100">
        <v>31.62</v>
      </c>
      <c r="N75" s="100">
        <v>51.5</v>
      </c>
      <c r="O75" s="100">
        <v>0</v>
      </c>
      <c r="P75" s="100">
        <v>0.67</v>
      </c>
      <c r="Q75" s="100">
        <v>9.32</v>
      </c>
      <c r="R75" s="6"/>
      <c r="S75" s="6"/>
      <c r="T75" s="156"/>
      <c r="U75" s="6"/>
    </row>
    <row r="76" spans="1:21">
      <c r="A76" s="163" t="s">
        <v>3002</v>
      </c>
      <c r="B76" s="100">
        <v>3.44</v>
      </c>
      <c r="C76" s="100">
        <v>27.4</v>
      </c>
      <c r="D76" s="100">
        <v>17.07</v>
      </c>
      <c r="E76" s="100">
        <v>3.23</v>
      </c>
      <c r="F76" s="100">
        <v>1.59</v>
      </c>
      <c r="G76" s="100">
        <v>80.84</v>
      </c>
      <c r="H76" s="100">
        <v>32.29</v>
      </c>
      <c r="I76" s="100">
        <v>11.64</v>
      </c>
      <c r="J76" s="100">
        <v>0.12</v>
      </c>
      <c r="K76" s="100">
        <v>134.41</v>
      </c>
      <c r="L76" s="100">
        <v>21.93</v>
      </c>
      <c r="M76" s="100">
        <v>37.020000000000003</v>
      </c>
      <c r="N76" s="100">
        <v>43</v>
      </c>
      <c r="O76" s="100">
        <v>0</v>
      </c>
      <c r="P76" s="100">
        <v>0.68</v>
      </c>
      <c r="Q76" s="100">
        <v>9.32</v>
      </c>
      <c r="R76" s="6"/>
      <c r="S76" s="6"/>
      <c r="T76" s="156"/>
      <c r="U76" s="6"/>
    </row>
    <row r="77" spans="1:21">
      <c r="A77" s="163" t="s">
        <v>3003</v>
      </c>
      <c r="B77" s="100">
        <v>3.37</v>
      </c>
      <c r="C77" s="100">
        <v>28.7</v>
      </c>
      <c r="D77" s="100">
        <v>17.7</v>
      </c>
      <c r="E77" s="100">
        <v>2.8</v>
      </c>
      <c r="F77" s="100">
        <v>2.12</v>
      </c>
      <c r="G77" s="100">
        <v>80.84</v>
      </c>
      <c r="H77" s="100">
        <v>32.29</v>
      </c>
      <c r="I77" s="100">
        <v>10.45</v>
      </c>
      <c r="J77" s="100">
        <v>0.11</v>
      </c>
      <c r="K77" s="100">
        <v>153.11000000000001</v>
      </c>
      <c r="L77" s="100">
        <v>20.8</v>
      </c>
      <c r="M77" s="100">
        <v>40.729999999999997</v>
      </c>
      <c r="N77" s="100">
        <v>36.200000000000003</v>
      </c>
      <c r="O77" s="100">
        <v>0</v>
      </c>
      <c r="P77" s="100">
        <v>0.67</v>
      </c>
      <c r="Q77" s="100">
        <v>9.32</v>
      </c>
      <c r="R77" s="6"/>
      <c r="S77" s="6"/>
      <c r="T77" s="156"/>
      <c r="U77" s="6"/>
    </row>
    <row r="78" spans="1:21">
      <c r="A78" s="163" t="s">
        <v>3004</v>
      </c>
      <c r="B78" s="100">
        <v>3.4</v>
      </c>
      <c r="C78" s="100">
        <v>29.24</v>
      </c>
      <c r="D78" s="100">
        <v>18</v>
      </c>
      <c r="E78" s="100">
        <v>2.23</v>
      </c>
      <c r="F78" s="100">
        <v>1.26</v>
      </c>
      <c r="G78" s="100">
        <v>80.84</v>
      </c>
      <c r="H78" s="100">
        <v>32.29</v>
      </c>
      <c r="I78" s="100">
        <v>9.15</v>
      </c>
      <c r="J78" s="100">
        <v>0.12</v>
      </c>
      <c r="K78" s="100">
        <v>116.04</v>
      </c>
      <c r="L78" s="100">
        <v>20.36</v>
      </c>
      <c r="M78" s="100">
        <v>40.9</v>
      </c>
      <c r="N78" s="100">
        <v>30.5</v>
      </c>
      <c r="O78" s="100">
        <v>0</v>
      </c>
      <c r="P78" s="100">
        <v>0.68</v>
      </c>
      <c r="Q78" s="100">
        <v>9.32</v>
      </c>
      <c r="R78" s="6"/>
      <c r="S78" s="6"/>
      <c r="T78" s="156"/>
      <c r="U78" s="6"/>
    </row>
    <row r="79" spans="1:21">
      <c r="A79" s="163" t="s">
        <v>3005</v>
      </c>
      <c r="B79" s="100">
        <v>3.88</v>
      </c>
      <c r="C79" s="100">
        <v>29.07</v>
      </c>
      <c r="D79" s="100">
        <v>18.3</v>
      </c>
      <c r="E79" s="100">
        <v>2.1800000000000002</v>
      </c>
      <c r="F79" s="100">
        <v>0.72</v>
      </c>
      <c r="G79" s="100">
        <v>83.26</v>
      </c>
      <c r="H79" s="100">
        <v>32.92</v>
      </c>
      <c r="I79" s="100">
        <v>9.14</v>
      </c>
      <c r="J79" s="100">
        <v>0.21</v>
      </c>
      <c r="K79" s="100">
        <v>76.260000000000005</v>
      </c>
      <c r="L79" s="100">
        <v>19.989999999999998</v>
      </c>
      <c r="M79" s="100">
        <v>40.64</v>
      </c>
      <c r="N79" s="100">
        <v>27.8</v>
      </c>
      <c r="O79" s="100">
        <v>0</v>
      </c>
      <c r="P79" s="100">
        <v>0.69</v>
      </c>
      <c r="Q79" s="100">
        <v>9.32</v>
      </c>
      <c r="R79" s="6"/>
      <c r="S79" s="6"/>
      <c r="T79" s="156"/>
      <c r="U79" s="6"/>
    </row>
    <row r="80" spans="1:21">
      <c r="A80" s="163" t="s">
        <v>3006</v>
      </c>
      <c r="B80" s="100">
        <v>4.5</v>
      </c>
      <c r="C80" s="100">
        <v>28.59</v>
      </c>
      <c r="D80" s="100">
        <v>18.54</v>
      </c>
      <c r="E80" s="100">
        <v>2.46</v>
      </c>
      <c r="F80" s="100">
        <v>0.42</v>
      </c>
      <c r="G80" s="100">
        <v>86.57</v>
      </c>
      <c r="H80" s="100">
        <v>33.42</v>
      </c>
      <c r="I80" s="100">
        <v>9.2200000000000006</v>
      </c>
      <c r="J80" s="100">
        <v>0.16</v>
      </c>
      <c r="K80" s="100">
        <v>130.99</v>
      </c>
      <c r="L80" s="100">
        <v>19.36</v>
      </c>
      <c r="M80" s="100">
        <v>44.03</v>
      </c>
      <c r="N80" s="100">
        <v>27.7</v>
      </c>
      <c r="O80" s="100">
        <v>0</v>
      </c>
      <c r="P80" s="100">
        <v>0.7</v>
      </c>
      <c r="Q80" s="100">
        <v>9.32</v>
      </c>
      <c r="R80" s="6"/>
      <c r="S80" s="6"/>
      <c r="T80" s="156"/>
      <c r="U80" s="6"/>
    </row>
    <row r="81" spans="1:21">
      <c r="A81" s="163" t="s">
        <v>3007</v>
      </c>
      <c r="B81" s="100">
        <v>5.19</v>
      </c>
      <c r="C81" s="100">
        <v>28.28</v>
      </c>
      <c r="D81" s="100">
        <v>18.940000000000001</v>
      </c>
      <c r="E81" s="100">
        <v>2.08</v>
      </c>
      <c r="F81" s="100">
        <v>0.14000000000000001</v>
      </c>
      <c r="G81" s="100">
        <v>86.57</v>
      </c>
      <c r="H81" s="100">
        <v>33.42</v>
      </c>
      <c r="I81" s="100">
        <v>9.35</v>
      </c>
      <c r="J81" s="100">
        <v>0.34</v>
      </c>
      <c r="K81" s="100">
        <v>162.21</v>
      </c>
      <c r="L81" s="100">
        <v>18.420000000000002</v>
      </c>
      <c r="M81" s="100">
        <v>48.79</v>
      </c>
      <c r="N81" s="100">
        <v>27.7</v>
      </c>
      <c r="O81" s="100">
        <v>0</v>
      </c>
      <c r="P81" s="100">
        <v>0.72</v>
      </c>
      <c r="Q81" s="100">
        <v>9.32</v>
      </c>
      <c r="R81" s="6"/>
      <c r="S81" s="6"/>
      <c r="T81" s="156"/>
      <c r="U81" s="6"/>
    </row>
    <row r="82" spans="1:21">
      <c r="A82" s="163" t="s">
        <v>3008</v>
      </c>
      <c r="B82" s="100">
        <v>5.79</v>
      </c>
      <c r="C82" s="100">
        <v>27.92</v>
      </c>
      <c r="D82" s="100">
        <v>19.23</v>
      </c>
      <c r="E82" s="100">
        <v>2.87</v>
      </c>
      <c r="F82" s="100">
        <v>0.1</v>
      </c>
      <c r="G82" s="100">
        <v>86.57</v>
      </c>
      <c r="H82" s="100">
        <v>33.42</v>
      </c>
      <c r="I82" s="100">
        <v>9.5399999999999991</v>
      </c>
      <c r="J82" s="100">
        <v>0.3</v>
      </c>
      <c r="K82" s="100">
        <v>164.72</v>
      </c>
      <c r="L82" s="100">
        <v>17.66</v>
      </c>
      <c r="M82" s="100">
        <v>52.34</v>
      </c>
      <c r="N82" s="100">
        <v>27.6</v>
      </c>
      <c r="O82" s="100">
        <v>0</v>
      </c>
      <c r="P82" s="100">
        <v>0.73</v>
      </c>
      <c r="Q82" s="100">
        <v>9.32</v>
      </c>
      <c r="R82" s="6"/>
      <c r="S82" s="6"/>
      <c r="T82" s="156"/>
      <c r="U82" s="6"/>
    </row>
    <row r="83" spans="1:21">
      <c r="A83" s="163" t="s">
        <v>3009</v>
      </c>
      <c r="B83" s="100">
        <v>6.3</v>
      </c>
      <c r="C83" s="100">
        <v>27.54</v>
      </c>
      <c r="D83" s="100">
        <v>19.440000000000001</v>
      </c>
      <c r="E83" s="100">
        <v>3.08</v>
      </c>
      <c r="F83" s="100">
        <v>0.2</v>
      </c>
      <c r="G83" s="100">
        <v>114.69</v>
      </c>
      <c r="H83" s="100">
        <v>34.36</v>
      </c>
      <c r="I83" s="100">
        <v>9.82</v>
      </c>
      <c r="J83" s="100">
        <v>0.23</v>
      </c>
      <c r="K83" s="100">
        <v>177.99</v>
      </c>
      <c r="L83" s="100">
        <v>16.93</v>
      </c>
      <c r="M83" s="100">
        <v>59.99</v>
      </c>
      <c r="N83" s="100">
        <v>27.6</v>
      </c>
      <c r="O83" s="100">
        <v>0</v>
      </c>
      <c r="P83" s="100">
        <v>0.74</v>
      </c>
      <c r="Q83" s="100">
        <v>9.32</v>
      </c>
      <c r="R83" s="6"/>
      <c r="S83" s="6"/>
      <c r="T83" s="156"/>
      <c r="U83" s="6"/>
    </row>
    <row r="84" spans="1:21">
      <c r="A84" s="163" t="s">
        <v>3010</v>
      </c>
      <c r="B84" s="100">
        <v>6.57</v>
      </c>
      <c r="C84" s="100">
        <v>26.81</v>
      </c>
      <c r="D84" s="100">
        <v>19.27</v>
      </c>
      <c r="E84" s="100">
        <v>3.07</v>
      </c>
      <c r="F84" s="100">
        <v>0.17</v>
      </c>
      <c r="G84" s="100">
        <v>153.16999999999999</v>
      </c>
      <c r="H84" s="100">
        <v>36.33</v>
      </c>
      <c r="I84" s="100">
        <v>10.050000000000001</v>
      </c>
      <c r="J84" s="100">
        <v>0.21</v>
      </c>
      <c r="K84" s="100">
        <v>171.98</v>
      </c>
      <c r="L84" s="100">
        <v>16.010000000000002</v>
      </c>
      <c r="M84" s="100">
        <v>69.09</v>
      </c>
      <c r="N84" s="100">
        <v>27.5</v>
      </c>
      <c r="O84" s="100">
        <v>0</v>
      </c>
      <c r="P84" s="100">
        <v>0.74</v>
      </c>
      <c r="Q84" s="100">
        <v>9.32</v>
      </c>
      <c r="R84" s="6"/>
      <c r="S84" s="6"/>
      <c r="T84" s="156"/>
      <c r="U84" s="6"/>
    </row>
    <row r="85" spans="1:21">
      <c r="A85" s="163" t="s">
        <v>3011</v>
      </c>
      <c r="B85" s="100">
        <v>6.72</v>
      </c>
      <c r="C85" s="100">
        <v>26.08</v>
      </c>
      <c r="D85" s="100">
        <v>19.010000000000002</v>
      </c>
      <c r="E85" s="100">
        <v>2.98</v>
      </c>
      <c r="F85" s="100">
        <v>0.18</v>
      </c>
      <c r="G85" s="100">
        <v>153.16999999999999</v>
      </c>
      <c r="H85" s="100">
        <v>36.33</v>
      </c>
      <c r="I85" s="100">
        <v>10.210000000000001</v>
      </c>
      <c r="J85" s="100">
        <v>0.23</v>
      </c>
      <c r="K85" s="100">
        <v>156.88</v>
      </c>
      <c r="L85" s="100">
        <v>15.57</v>
      </c>
      <c r="M85" s="100">
        <v>70.73</v>
      </c>
      <c r="N85" s="100">
        <v>27.3</v>
      </c>
      <c r="O85" s="100">
        <v>0</v>
      </c>
      <c r="P85" s="100">
        <v>0.75</v>
      </c>
      <c r="Q85" s="100">
        <v>9.32</v>
      </c>
      <c r="R85" s="6"/>
      <c r="S85" s="6"/>
      <c r="T85" s="156"/>
      <c r="U85" s="6"/>
    </row>
    <row r="86" spans="1:21">
      <c r="A86" s="163" t="s">
        <v>3012</v>
      </c>
      <c r="B86" s="100">
        <v>6.89</v>
      </c>
      <c r="C86" s="100">
        <v>25.5</v>
      </c>
      <c r="D86" s="100">
        <v>18.850000000000001</v>
      </c>
      <c r="E86" s="100">
        <v>3.3</v>
      </c>
      <c r="F86" s="100">
        <v>0.16</v>
      </c>
      <c r="G86" s="100">
        <v>153.16999999999999</v>
      </c>
      <c r="H86" s="100">
        <v>36.33</v>
      </c>
      <c r="I86" s="100">
        <v>11.65</v>
      </c>
      <c r="J86" s="100">
        <v>0.24</v>
      </c>
      <c r="K86" s="100">
        <v>165.17</v>
      </c>
      <c r="L86" s="100">
        <v>15.11</v>
      </c>
      <c r="M86" s="100">
        <v>70.31</v>
      </c>
      <c r="N86" s="100">
        <v>27.2</v>
      </c>
      <c r="O86" s="100">
        <v>0</v>
      </c>
      <c r="P86" s="100">
        <v>0.75</v>
      </c>
      <c r="Q86" s="100">
        <v>9.32</v>
      </c>
      <c r="R86" s="6"/>
      <c r="S86" s="6"/>
      <c r="T86" s="156"/>
      <c r="U86" s="6"/>
    </row>
    <row r="87" spans="1:21">
      <c r="A87" s="163" t="s">
        <v>3013</v>
      </c>
      <c r="B87" s="100">
        <v>7.06</v>
      </c>
      <c r="C87" s="100">
        <v>24.8</v>
      </c>
      <c r="D87" s="100">
        <v>18.62</v>
      </c>
      <c r="E87" s="100">
        <v>2.96</v>
      </c>
      <c r="F87" s="100">
        <v>0.28000000000000003</v>
      </c>
      <c r="G87" s="100">
        <v>132.87</v>
      </c>
      <c r="H87" s="100">
        <v>35.29</v>
      </c>
      <c r="I87" s="100">
        <v>11.93</v>
      </c>
      <c r="J87" s="100">
        <v>0.18</v>
      </c>
      <c r="K87" s="100">
        <v>169.7</v>
      </c>
      <c r="L87" s="100">
        <v>14.84</v>
      </c>
      <c r="M87" s="100">
        <v>74.739999999999995</v>
      </c>
      <c r="N87" s="100">
        <v>27</v>
      </c>
      <c r="O87" s="100">
        <v>0</v>
      </c>
      <c r="P87" s="100">
        <v>0.77</v>
      </c>
      <c r="Q87" s="100">
        <v>9.32</v>
      </c>
      <c r="R87" s="6"/>
      <c r="S87" s="6"/>
      <c r="T87" s="156"/>
      <c r="U87" s="6"/>
    </row>
    <row r="88" spans="1:21">
      <c r="A88" s="163" t="s">
        <v>3014</v>
      </c>
      <c r="B88" s="100">
        <v>7.31</v>
      </c>
      <c r="C88" s="100">
        <v>23.99</v>
      </c>
      <c r="D88" s="100">
        <v>18.399999999999999</v>
      </c>
      <c r="E88" s="100">
        <v>2.85</v>
      </c>
      <c r="F88" s="100">
        <v>0.17</v>
      </c>
      <c r="G88" s="100">
        <v>105.1</v>
      </c>
      <c r="H88" s="100">
        <v>34.47</v>
      </c>
      <c r="I88" s="100">
        <v>12.06</v>
      </c>
      <c r="J88" s="100">
        <v>0.09</v>
      </c>
      <c r="K88" s="100">
        <v>190.1</v>
      </c>
      <c r="L88" s="100">
        <v>14.37</v>
      </c>
      <c r="M88" s="100">
        <v>71.78</v>
      </c>
      <c r="N88" s="100">
        <v>27.2</v>
      </c>
      <c r="O88" s="100">
        <v>0</v>
      </c>
      <c r="P88" s="100">
        <v>0.77</v>
      </c>
      <c r="Q88" s="100">
        <v>9.32</v>
      </c>
      <c r="R88" s="6"/>
      <c r="S88" s="6"/>
      <c r="T88" s="156"/>
      <c r="U88" s="6"/>
    </row>
    <row r="89" spans="1:21">
      <c r="A89" s="163" t="s">
        <v>3015</v>
      </c>
      <c r="B89" s="100">
        <v>7.64</v>
      </c>
      <c r="C89" s="100">
        <v>23.57</v>
      </c>
      <c r="D89" s="100">
        <v>18.440000000000001</v>
      </c>
      <c r="E89" s="100">
        <v>2.79</v>
      </c>
      <c r="F89" s="100">
        <v>0.25</v>
      </c>
      <c r="G89" s="100">
        <v>105.1</v>
      </c>
      <c r="H89" s="100">
        <v>34.47</v>
      </c>
      <c r="I89" s="100">
        <v>13.69</v>
      </c>
      <c r="J89" s="100">
        <v>0.21</v>
      </c>
      <c r="K89" s="100">
        <v>165.45</v>
      </c>
      <c r="L89" s="100">
        <v>14.38</v>
      </c>
      <c r="M89" s="100">
        <v>68.14</v>
      </c>
      <c r="N89" s="100">
        <v>26.9</v>
      </c>
      <c r="O89" s="100">
        <v>0</v>
      </c>
      <c r="P89" s="100">
        <v>0.78</v>
      </c>
      <c r="Q89" s="100">
        <v>9.32</v>
      </c>
      <c r="R89" s="6"/>
      <c r="S89" s="6"/>
      <c r="T89" s="156"/>
      <c r="U89" s="6"/>
    </row>
    <row r="90" spans="1:21">
      <c r="A90" s="163" t="s">
        <v>3016</v>
      </c>
      <c r="B90" s="100">
        <v>8.4</v>
      </c>
      <c r="C90" s="100">
        <v>23.47</v>
      </c>
      <c r="D90" s="100">
        <v>19</v>
      </c>
      <c r="E90" s="100">
        <v>2.86</v>
      </c>
      <c r="F90" s="100">
        <v>0.04</v>
      </c>
      <c r="G90" s="100">
        <v>105.1</v>
      </c>
      <c r="H90" s="100">
        <v>34.47</v>
      </c>
      <c r="I90" s="100">
        <v>13.81</v>
      </c>
      <c r="J90" s="100">
        <v>0.19</v>
      </c>
      <c r="K90" s="100">
        <v>178.7</v>
      </c>
      <c r="L90" s="100">
        <v>14.09</v>
      </c>
      <c r="M90" s="100">
        <v>71.25</v>
      </c>
      <c r="N90" s="100">
        <v>27.1</v>
      </c>
      <c r="O90" s="100">
        <v>0</v>
      </c>
      <c r="P90" s="100">
        <v>0.79</v>
      </c>
      <c r="Q90" s="100">
        <v>9.32</v>
      </c>
      <c r="R90" s="6"/>
      <c r="S90" s="6"/>
      <c r="T90" s="156"/>
      <c r="U90" s="6"/>
    </row>
    <row r="91" spans="1:21">
      <c r="A91" s="163" t="s">
        <v>3017</v>
      </c>
      <c r="B91" s="100">
        <v>9.5399999999999991</v>
      </c>
      <c r="C91" s="100">
        <v>23.35</v>
      </c>
      <c r="D91" s="100">
        <v>19.850000000000001</v>
      </c>
      <c r="E91" s="100">
        <v>3.08</v>
      </c>
      <c r="F91" s="100">
        <v>7.0000000000000007E-2</v>
      </c>
      <c r="G91" s="100">
        <v>103.37</v>
      </c>
      <c r="H91" s="100">
        <v>36.08</v>
      </c>
      <c r="I91" s="100">
        <v>13.97</v>
      </c>
      <c r="J91" s="100">
        <v>0.19</v>
      </c>
      <c r="K91" s="100">
        <v>179.1</v>
      </c>
      <c r="L91" s="100">
        <v>13.79</v>
      </c>
      <c r="M91" s="100">
        <v>79.78</v>
      </c>
      <c r="N91" s="100">
        <v>27.2</v>
      </c>
      <c r="O91" s="100">
        <v>0</v>
      </c>
      <c r="P91" s="100">
        <v>0.81</v>
      </c>
      <c r="Q91" s="100">
        <v>9.32</v>
      </c>
      <c r="R91" s="6"/>
      <c r="S91" s="6"/>
      <c r="T91" s="156"/>
      <c r="U91" s="6"/>
    </row>
    <row r="92" spans="1:21">
      <c r="A92" s="163" t="s">
        <v>3018</v>
      </c>
      <c r="B92" s="100">
        <v>10.15</v>
      </c>
      <c r="C92" s="100">
        <v>23.03</v>
      </c>
      <c r="D92" s="100">
        <v>20.170000000000002</v>
      </c>
      <c r="E92" s="100">
        <v>2.86</v>
      </c>
      <c r="F92" s="100">
        <v>0.23</v>
      </c>
      <c r="G92" s="100">
        <v>101</v>
      </c>
      <c r="H92" s="100">
        <v>37.31</v>
      </c>
      <c r="I92" s="100">
        <v>14.2</v>
      </c>
      <c r="J92" s="100">
        <v>0.15</v>
      </c>
      <c r="K92" s="100">
        <v>153.6</v>
      </c>
      <c r="L92" s="100">
        <v>13.3</v>
      </c>
      <c r="M92" s="100">
        <v>82.34</v>
      </c>
      <c r="N92" s="100">
        <v>27.3</v>
      </c>
      <c r="O92" s="100">
        <v>0</v>
      </c>
      <c r="P92" s="100">
        <v>0.82</v>
      </c>
      <c r="Q92" s="100">
        <v>9.32</v>
      </c>
      <c r="R92" s="6"/>
      <c r="S92" s="6"/>
      <c r="T92" s="156"/>
      <c r="U92" s="6"/>
    </row>
    <row r="93" spans="1:21">
      <c r="A93" s="163" t="s">
        <v>3019</v>
      </c>
      <c r="B93" s="100">
        <v>10.52</v>
      </c>
      <c r="C93" s="100">
        <v>22.7</v>
      </c>
      <c r="D93" s="100">
        <v>20.3</v>
      </c>
      <c r="E93" s="100">
        <v>3.11</v>
      </c>
      <c r="F93" s="100">
        <v>0.12</v>
      </c>
      <c r="G93" s="100">
        <v>101</v>
      </c>
      <c r="H93" s="100">
        <v>37.31</v>
      </c>
      <c r="I93" s="100">
        <v>14.41</v>
      </c>
      <c r="J93" s="100">
        <v>0.25</v>
      </c>
      <c r="K93" s="100">
        <v>160.63</v>
      </c>
      <c r="L93" s="100">
        <v>13.31</v>
      </c>
      <c r="M93" s="100">
        <v>79.81</v>
      </c>
      <c r="N93" s="100">
        <v>27.1</v>
      </c>
      <c r="O93" s="100">
        <v>0</v>
      </c>
      <c r="P93" s="100">
        <v>0.83</v>
      </c>
      <c r="Q93" s="100">
        <v>9.32</v>
      </c>
      <c r="R93" s="6"/>
      <c r="S93" s="6"/>
      <c r="T93" s="156"/>
      <c r="U93" s="6"/>
    </row>
    <row r="94" spans="1:21">
      <c r="A94" s="163" t="s">
        <v>3020</v>
      </c>
      <c r="B94" s="100">
        <v>10.58</v>
      </c>
      <c r="C94" s="100">
        <v>22.43</v>
      </c>
      <c r="D94" s="100">
        <v>20.21</v>
      </c>
      <c r="E94" s="100">
        <v>2.93</v>
      </c>
      <c r="F94" s="100">
        <v>0</v>
      </c>
      <c r="G94" s="100">
        <v>101</v>
      </c>
      <c r="H94" s="100">
        <v>37.31</v>
      </c>
      <c r="I94" s="100">
        <v>14.61</v>
      </c>
      <c r="J94" s="100">
        <v>0.19</v>
      </c>
      <c r="K94" s="100">
        <v>198.03</v>
      </c>
      <c r="L94" s="100">
        <v>13.26</v>
      </c>
      <c r="M94" s="100">
        <v>82.16</v>
      </c>
      <c r="N94" s="100">
        <v>26.9</v>
      </c>
      <c r="O94" s="100">
        <v>0</v>
      </c>
      <c r="P94" s="100">
        <v>0.83</v>
      </c>
      <c r="Q94" s="100">
        <v>9.32</v>
      </c>
      <c r="R94" s="6"/>
      <c r="S94" s="6"/>
      <c r="T94" s="156"/>
      <c r="U94" s="6"/>
    </row>
    <row r="95" spans="1:21">
      <c r="A95" s="163" t="s">
        <v>3021</v>
      </c>
      <c r="B95" s="100">
        <v>10.89</v>
      </c>
      <c r="C95" s="100">
        <v>22.07</v>
      </c>
      <c r="D95" s="100">
        <v>20.27</v>
      </c>
      <c r="E95" s="100">
        <v>1.1399999999999999</v>
      </c>
      <c r="F95" s="100">
        <v>0.04</v>
      </c>
      <c r="G95" s="100">
        <v>98.01</v>
      </c>
      <c r="H95" s="100">
        <v>39.020000000000003</v>
      </c>
      <c r="I95" s="100">
        <v>14.77</v>
      </c>
      <c r="J95" s="100">
        <v>0.18</v>
      </c>
      <c r="K95" s="100">
        <v>233.49</v>
      </c>
      <c r="L95" s="100">
        <v>12.87</v>
      </c>
      <c r="M95" s="100">
        <v>85.84</v>
      </c>
      <c r="N95" s="100">
        <v>27.3</v>
      </c>
      <c r="O95" s="100">
        <v>0</v>
      </c>
      <c r="P95" s="100">
        <v>0.84</v>
      </c>
      <c r="Q95" s="100">
        <v>9.32</v>
      </c>
      <c r="R95" s="6"/>
      <c r="S95" s="6"/>
      <c r="T95" s="156"/>
      <c r="U95" s="6"/>
    </row>
    <row r="96" spans="1:21">
      <c r="A96" s="163" t="s">
        <v>3022</v>
      </c>
      <c r="B96" s="100">
        <v>11.68</v>
      </c>
      <c r="C96" s="100">
        <v>21.9</v>
      </c>
      <c r="D96" s="100">
        <v>20.81</v>
      </c>
      <c r="E96" s="100">
        <v>2.82</v>
      </c>
      <c r="F96" s="100">
        <v>0.03</v>
      </c>
      <c r="G96" s="100">
        <v>93.93</v>
      </c>
      <c r="H96" s="100">
        <v>40.36</v>
      </c>
      <c r="I96" s="100">
        <v>14.86</v>
      </c>
      <c r="J96" s="100">
        <v>0.15</v>
      </c>
      <c r="K96" s="100">
        <v>211.43</v>
      </c>
      <c r="L96" s="100">
        <v>12.53</v>
      </c>
      <c r="M96" s="100">
        <v>86.04</v>
      </c>
      <c r="N96" s="100">
        <v>27.2</v>
      </c>
      <c r="O96" s="100">
        <v>0</v>
      </c>
      <c r="P96" s="100">
        <v>0.87</v>
      </c>
      <c r="Q96" s="100">
        <v>9.32</v>
      </c>
      <c r="R96" s="6"/>
      <c r="S96" s="6"/>
      <c r="T96" s="156"/>
      <c r="U96" s="6"/>
    </row>
    <row r="97" spans="1:21">
      <c r="A97" s="163" t="s">
        <v>3023</v>
      </c>
      <c r="B97" s="100">
        <v>12.66</v>
      </c>
      <c r="C97" s="100">
        <v>21.88</v>
      </c>
      <c r="D97" s="100">
        <v>21.58</v>
      </c>
      <c r="E97" s="100">
        <v>2.81</v>
      </c>
      <c r="F97" s="100">
        <v>7.0000000000000007E-2</v>
      </c>
      <c r="G97" s="100">
        <v>93.93</v>
      </c>
      <c r="H97" s="100">
        <v>40.36</v>
      </c>
      <c r="I97" s="100">
        <v>15</v>
      </c>
      <c r="J97" s="100">
        <v>0.16</v>
      </c>
      <c r="K97" s="100">
        <v>211.31</v>
      </c>
      <c r="L97" s="100">
        <v>12.45</v>
      </c>
      <c r="M97" s="100">
        <v>85.05</v>
      </c>
      <c r="N97" s="100">
        <v>27</v>
      </c>
      <c r="O97" s="100">
        <v>0</v>
      </c>
      <c r="P97" s="100">
        <v>0.88</v>
      </c>
      <c r="Q97" s="100">
        <v>9.32</v>
      </c>
      <c r="R97" s="6"/>
      <c r="S97" s="6"/>
      <c r="T97" s="156"/>
      <c r="U97" s="6"/>
    </row>
    <row r="98" spans="1:21">
      <c r="A98" s="163" t="s">
        <v>3024</v>
      </c>
      <c r="B98" s="100">
        <v>13.34</v>
      </c>
      <c r="C98" s="100">
        <v>21.52</v>
      </c>
      <c r="D98" s="100">
        <v>21.94</v>
      </c>
      <c r="E98" s="100">
        <v>2.97</v>
      </c>
      <c r="F98" s="100">
        <v>0.04</v>
      </c>
      <c r="G98" s="100">
        <v>93.93</v>
      </c>
      <c r="H98" s="100">
        <v>40.36</v>
      </c>
      <c r="I98" s="100">
        <v>15.17</v>
      </c>
      <c r="J98" s="100">
        <v>0.18</v>
      </c>
      <c r="K98" s="100">
        <v>209.78</v>
      </c>
      <c r="L98" s="100">
        <v>12.29</v>
      </c>
      <c r="M98" s="100">
        <v>87.2</v>
      </c>
      <c r="N98" s="100">
        <v>27.1</v>
      </c>
      <c r="O98" s="100">
        <v>0</v>
      </c>
      <c r="P98" s="100">
        <v>0.9</v>
      </c>
      <c r="Q98" s="100">
        <v>9.32</v>
      </c>
      <c r="R98" s="6"/>
      <c r="S98" s="6"/>
      <c r="T98" s="156"/>
      <c r="U98" s="6"/>
    </row>
    <row r="99" spans="1:21">
      <c r="A99" s="163" t="s">
        <v>3025</v>
      </c>
      <c r="B99" s="100">
        <v>13.64</v>
      </c>
      <c r="C99" s="100">
        <v>21.29</v>
      </c>
      <c r="D99" s="100">
        <v>22.06</v>
      </c>
      <c r="E99" s="100">
        <v>2.93</v>
      </c>
      <c r="F99" s="100">
        <v>0.04</v>
      </c>
      <c r="G99" s="100">
        <v>94.96</v>
      </c>
      <c r="H99" s="100">
        <v>39.32</v>
      </c>
      <c r="I99" s="100">
        <v>15.34</v>
      </c>
      <c r="J99" s="100">
        <v>0.21</v>
      </c>
      <c r="K99" s="100">
        <v>211.76</v>
      </c>
      <c r="L99" s="100">
        <v>12.02</v>
      </c>
      <c r="M99" s="100">
        <v>88.23</v>
      </c>
      <c r="N99" s="100">
        <v>27.2</v>
      </c>
      <c r="O99" s="100">
        <v>0</v>
      </c>
      <c r="P99" s="100">
        <v>0.91</v>
      </c>
      <c r="Q99" s="100">
        <v>9.32</v>
      </c>
      <c r="R99" s="6"/>
      <c r="S99" s="6"/>
      <c r="T99" s="156"/>
      <c r="U99" s="6"/>
    </row>
    <row r="100" spans="1:21">
      <c r="A100" s="163" t="s">
        <v>3026</v>
      </c>
      <c r="B100" s="100">
        <v>13.83</v>
      </c>
      <c r="C100" s="100">
        <v>21.08</v>
      </c>
      <c r="D100" s="100">
        <v>22.1</v>
      </c>
      <c r="E100" s="100">
        <v>2.97</v>
      </c>
      <c r="F100" s="100">
        <v>0.19</v>
      </c>
      <c r="G100" s="100">
        <v>96.37</v>
      </c>
      <c r="H100" s="100">
        <v>38.51</v>
      </c>
      <c r="I100" s="100">
        <v>15.5</v>
      </c>
      <c r="J100" s="100">
        <v>0.13</v>
      </c>
      <c r="K100" s="100">
        <v>221.52</v>
      </c>
      <c r="L100" s="100">
        <v>11.83</v>
      </c>
      <c r="M100" s="100">
        <v>88.68</v>
      </c>
      <c r="N100" s="100">
        <v>27.1</v>
      </c>
      <c r="O100" s="100">
        <v>0</v>
      </c>
      <c r="P100" s="100">
        <v>0.91</v>
      </c>
      <c r="Q100" s="100">
        <v>9.32</v>
      </c>
      <c r="R100" s="6"/>
      <c r="S100" s="6"/>
      <c r="T100" s="156"/>
      <c r="U100" s="6"/>
    </row>
    <row r="101" spans="1:21">
      <c r="A101" s="163" t="s">
        <v>3027</v>
      </c>
      <c r="B101" s="100">
        <v>13.83</v>
      </c>
      <c r="C101" s="100">
        <v>20.83</v>
      </c>
      <c r="D101" s="100">
        <v>21.97</v>
      </c>
      <c r="E101" s="100">
        <v>2.8</v>
      </c>
      <c r="F101" s="100">
        <v>0.27</v>
      </c>
      <c r="G101" s="100">
        <v>96.37</v>
      </c>
      <c r="H101" s="100">
        <v>38.51</v>
      </c>
      <c r="I101" s="100">
        <v>15.58</v>
      </c>
      <c r="J101" s="100">
        <v>0.16</v>
      </c>
      <c r="K101" s="100">
        <v>210.45</v>
      </c>
      <c r="L101" s="100">
        <v>11.84</v>
      </c>
      <c r="M101" s="100">
        <v>87.12</v>
      </c>
      <c r="N101" s="100">
        <v>27.1</v>
      </c>
      <c r="O101" s="100">
        <v>0</v>
      </c>
      <c r="P101" s="100">
        <v>0.91</v>
      </c>
      <c r="Q101" s="100">
        <v>9.32</v>
      </c>
      <c r="R101" s="6"/>
      <c r="S101" s="6"/>
      <c r="T101" s="156"/>
      <c r="U101" s="6"/>
    </row>
    <row r="102" spans="1:21">
      <c r="A102" s="163" t="s">
        <v>3028</v>
      </c>
      <c r="B102" s="100">
        <v>13.69</v>
      </c>
      <c r="C102" s="100">
        <v>20.63</v>
      </c>
      <c r="D102" s="100">
        <v>21.76</v>
      </c>
      <c r="E102" s="100">
        <v>3.13</v>
      </c>
      <c r="F102" s="100">
        <v>0.09</v>
      </c>
      <c r="G102" s="100">
        <v>96.37</v>
      </c>
      <c r="H102" s="100">
        <v>38.51</v>
      </c>
      <c r="I102" s="100">
        <v>15.62</v>
      </c>
      <c r="J102" s="100">
        <v>0.18</v>
      </c>
      <c r="K102" s="100">
        <v>221.81</v>
      </c>
      <c r="L102" s="100">
        <v>11.68</v>
      </c>
      <c r="M102" s="100">
        <v>87.66</v>
      </c>
      <c r="N102" s="100">
        <v>27.2</v>
      </c>
      <c r="O102" s="100">
        <v>0</v>
      </c>
      <c r="P102" s="100">
        <v>0.92</v>
      </c>
      <c r="Q102" s="100">
        <v>9.32</v>
      </c>
      <c r="R102" s="6"/>
      <c r="S102" s="6"/>
      <c r="T102" s="156"/>
      <c r="U102" s="6"/>
    </row>
    <row r="103" spans="1:21">
      <c r="A103" s="163" t="s">
        <v>3029</v>
      </c>
      <c r="B103" s="100">
        <v>13.5</v>
      </c>
      <c r="C103" s="100">
        <v>20.37</v>
      </c>
      <c r="D103" s="100">
        <v>21.47</v>
      </c>
      <c r="E103" s="100">
        <v>3.03</v>
      </c>
      <c r="F103" s="100">
        <v>0.06</v>
      </c>
      <c r="G103" s="100">
        <v>91.2</v>
      </c>
      <c r="H103" s="100">
        <v>39.07</v>
      </c>
      <c r="I103" s="100">
        <v>15.68</v>
      </c>
      <c r="J103" s="100">
        <v>0.14000000000000001</v>
      </c>
      <c r="K103" s="100">
        <v>220.92</v>
      </c>
      <c r="L103" s="100">
        <v>11.36</v>
      </c>
      <c r="M103" s="100">
        <v>88.04</v>
      </c>
      <c r="N103" s="100">
        <v>27.3</v>
      </c>
      <c r="O103" s="100">
        <v>0</v>
      </c>
      <c r="P103" s="100">
        <v>0.91</v>
      </c>
      <c r="Q103" s="100">
        <v>9.32</v>
      </c>
      <c r="R103" s="6"/>
      <c r="S103" s="6"/>
      <c r="T103" s="156"/>
      <c r="U103" s="6"/>
    </row>
    <row r="104" spans="1:21">
      <c r="A104" s="163" t="s">
        <v>3030</v>
      </c>
      <c r="B104" s="100">
        <v>13.4</v>
      </c>
      <c r="C104" s="100">
        <v>19.95</v>
      </c>
      <c r="D104" s="100">
        <v>21.17</v>
      </c>
      <c r="E104" s="100">
        <v>2.65</v>
      </c>
      <c r="F104" s="100">
        <v>0.38</v>
      </c>
      <c r="G104" s="100">
        <v>84.11</v>
      </c>
      <c r="H104" s="100">
        <v>39.520000000000003</v>
      </c>
      <c r="I104" s="100">
        <v>15.75</v>
      </c>
      <c r="J104" s="100">
        <v>0.12</v>
      </c>
      <c r="K104" s="100">
        <v>211.97</v>
      </c>
      <c r="L104" s="100">
        <v>11.28</v>
      </c>
      <c r="M104" s="100">
        <v>88.66</v>
      </c>
      <c r="N104" s="100">
        <v>27</v>
      </c>
      <c r="O104" s="100">
        <v>0</v>
      </c>
      <c r="P104" s="100">
        <v>0.92</v>
      </c>
      <c r="Q104" s="100">
        <v>9.32</v>
      </c>
      <c r="R104" s="6"/>
      <c r="S104" s="6"/>
      <c r="T104" s="156"/>
      <c r="U104" s="6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7" t="s">
        <v>48</v>
      </c>
      <c r="B106" s="158">
        <f>MIN(B9:B104)</f>
        <v>2.4</v>
      </c>
      <c r="C106" s="158">
        <f>MIN(C9:C104)</f>
        <v>16.34</v>
      </c>
      <c r="D106" s="158">
        <f t="shared" ref="D106:Q106" si="0">MIN(D9:D104)</f>
        <v>14.12</v>
      </c>
      <c r="E106" s="158">
        <f t="shared" si="0"/>
        <v>1.06</v>
      </c>
      <c r="F106" s="158">
        <f t="shared" si="0"/>
        <v>0</v>
      </c>
      <c r="G106" s="158">
        <f t="shared" si="0"/>
        <v>45.66</v>
      </c>
      <c r="H106" s="158">
        <f t="shared" si="0"/>
        <v>26.68</v>
      </c>
      <c r="I106" s="158">
        <f t="shared" si="0"/>
        <v>9.14</v>
      </c>
      <c r="J106" s="158">
        <f t="shared" si="0"/>
        <v>0.06</v>
      </c>
      <c r="K106" s="158">
        <f t="shared" si="0"/>
        <v>0.38</v>
      </c>
      <c r="L106" s="158">
        <f t="shared" si="0"/>
        <v>8.52</v>
      </c>
      <c r="M106" s="158">
        <f t="shared" si="0"/>
        <v>27.28</v>
      </c>
      <c r="N106" s="158">
        <f t="shared" si="0"/>
        <v>26.9</v>
      </c>
      <c r="O106" s="158">
        <f t="shared" si="0"/>
        <v>0</v>
      </c>
      <c r="P106" s="158">
        <f t="shared" si="0"/>
        <v>0.59</v>
      </c>
      <c r="Q106" s="158">
        <f t="shared" si="0"/>
        <v>9.32</v>
      </c>
      <c r="R106" s="158"/>
      <c r="S106" s="158"/>
      <c r="T106" s="158"/>
      <c r="U106" s="158"/>
    </row>
    <row r="107" spans="1:21">
      <c r="A107" s="157" t="s">
        <v>49</v>
      </c>
      <c r="B107" s="157">
        <f>MAX(B9:B104)</f>
        <v>23.97</v>
      </c>
      <c r="C107" s="157">
        <f t="shared" ref="C107:Q107" si="1">MAX(C9:C104)</f>
        <v>29.24</v>
      </c>
      <c r="D107" s="157">
        <f t="shared" si="1"/>
        <v>30</v>
      </c>
      <c r="E107" s="157">
        <f t="shared" si="1"/>
        <v>9.09</v>
      </c>
      <c r="F107" s="157">
        <f t="shared" si="1"/>
        <v>10.44</v>
      </c>
      <c r="G107" s="157">
        <f t="shared" si="1"/>
        <v>153.16999999999999</v>
      </c>
      <c r="H107" s="157">
        <f t="shared" si="1"/>
        <v>41.84</v>
      </c>
      <c r="I107" s="157">
        <f t="shared" si="1"/>
        <v>17.79</v>
      </c>
      <c r="J107" s="157">
        <f t="shared" si="1"/>
        <v>0.98</v>
      </c>
      <c r="K107" s="157">
        <f t="shared" si="1"/>
        <v>353.99</v>
      </c>
      <c r="L107" s="157">
        <f t="shared" si="1"/>
        <v>24.01</v>
      </c>
      <c r="M107" s="157">
        <f t="shared" si="1"/>
        <v>93.5</v>
      </c>
      <c r="N107" s="157">
        <f t="shared" si="1"/>
        <v>572.79999999999995</v>
      </c>
      <c r="O107" s="157">
        <f t="shared" si="1"/>
        <v>0</v>
      </c>
      <c r="P107" s="157">
        <f t="shared" si="1"/>
        <v>1.05</v>
      </c>
      <c r="Q107" s="157">
        <f t="shared" si="1"/>
        <v>9.32</v>
      </c>
      <c r="R107" s="157"/>
      <c r="S107" s="157"/>
      <c r="T107" s="157"/>
      <c r="U107" s="157"/>
    </row>
    <row r="108" spans="1:21">
      <c r="A108" s="157" t="s">
        <v>50</v>
      </c>
      <c r="B108" s="158">
        <f>AVERAGE(B9:B104)</f>
        <v>12.992187500000005</v>
      </c>
      <c r="C108" s="158">
        <f t="shared" ref="C108:Q108" si="2">AVERAGE(C9:C104)</f>
        <v>21.846666666666664</v>
      </c>
      <c r="D108" s="158">
        <f t="shared" si="2"/>
        <v>21.8321875</v>
      </c>
      <c r="E108" s="158">
        <f t="shared" si="2"/>
        <v>3.0089583333333345</v>
      </c>
      <c r="F108" s="158">
        <f t="shared" si="2"/>
        <v>0.75781250000000033</v>
      </c>
      <c r="G108" s="158">
        <f t="shared" si="2"/>
        <v>75.048541666666679</v>
      </c>
      <c r="H108" s="158">
        <f t="shared" si="2"/>
        <v>36.308333333333344</v>
      </c>
      <c r="I108" s="158">
        <f t="shared" si="2"/>
        <v>13.933541666666663</v>
      </c>
      <c r="J108" s="158">
        <f t="shared" si="2"/>
        <v>0.25729166666666675</v>
      </c>
      <c r="K108" s="158">
        <f t="shared" si="2"/>
        <v>155.76458333333338</v>
      </c>
      <c r="L108" s="158">
        <f t="shared" si="2"/>
        <v>15.577187499999992</v>
      </c>
      <c r="M108" s="158">
        <f t="shared" si="2"/>
        <v>64.316979166666655</v>
      </c>
      <c r="N108" s="158">
        <f t="shared" si="2"/>
        <v>121.74166666666672</v>
      </c>
      <c r="O108" s="158">
        <f t="shared" si="2"/>
        <v>0</v>
      </c>
      <c r="P108" s="158">
        <f t="shared" si="2"/>
        <v>0.82895833333333313</v>
      </c>
      <c r="Q108" s="158">
        <f t="shared" si="2"/>
        <v>9.320000000000018</v>
      </c>
      <c r="R108" s="158"/>
      <c r="S108" s="158"/>
      <c r="T108" s="158"/>
      <c r="U108" s="158"/>
    </row>
    <row r="109" spans="1:21">
      <c r="A109" s="157" t="s">
        <v>51</v>
      </c>
      <c r="B109" s="158">
        <f>STDEV(B9:B104)</f>
        <v>6.9982954621107396</v>
      </c>
      <c r="C109" s="158">
        <f t="shared" ref="C109:Q109" si="3">STDEV(C9:C104)</f>
        <v>3.050310654297272</v>
      </c>
      <c r="D109" s="158">
        <f t="shared" si="3"/>
        <v>4.5970702805671593</v>
      </c>
      <c r="E109" s="158">
        <f t="shared" si="3"/>
        <v>0.97040575253931682</v>
      </c>
      <c r="F109" s="158">
        <f t="shared" si="3"/>
        <v>1.4940296644169739</v>
      </c>
      <c r="G109" s="158">
        <f t="shared" si="3"/>
        <v>23.137258491067008</v>
      </c>
      <c r="H109" s="158">
        <f t="shared" si="3"/>
        <v>4.0304333492139142</v>
      </c>
      <c r="I109" s="158">
        <f t="shared" si="3"/>
        <v>1.9656679481683272</v>
      </c>
      <c r="J109" s="158">
        <f t="shared" si="3"/>
        <v>0.18434223987873433</v>
      </c>
      <c r="K109" s="158">
        <f t="shared" si="3"/>
        <v>84.709790833069874</v>
      </c>
      <c r="L109" s="158">
        <f t="shared" si="3"/>
        <v>5.4612390541505453</v>
      </c>
      <c r="M109" s="158">
        <f t="shared" si="3"/>
        <v>24.833794170117734</v>
      </c>
      <c r="N109" s="158">
        <f t="shared" si="3"/>
        <v>167.20636267588091</v>
      </c>
      <c r="O109" s="158">
        <f t="shared" si="3"/>
        <v>0</v>
      </c>
      <c r="P109" s="158">
        <f t="shared" si="3"/>
        <v>0.13570462635457853</v>
      </c>
      <c r="Q109" s="158">
        <f t="shared" si="3"/>
        <v>1.7856816112883485E-14</v>
      </c>
      <c r="R109" s="158"/>
      <c r="S109" s="158"/>
      <c r="T109" s="158"/>
      <c r="U109" s="158"/>
    </row>
    <row r="110" spans="1:21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0"/>
      <c r="O113" s="160"/>
      <c r="P113" s="160"/>
      <c r="Q113" s="160"/>
      <c r="R113" s="160"/>
      <c r="S113" s="160"/>
      <c r="T113" s="160"/>
      <c r="U113" s="160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5" t="s">
        <v>56</v>
      </c>
      <c r="C115" s="165"/>
      <c r="D115" s="16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17"/>
  <sheetViews>
    <sheetView zoomScale="85" zoomScaleNormal="85" workbookViewId="0">
      <pane ySplit="1" topLeftCell="A92" activePane="bottomLeft" state="frozen"/>
      <selection pane="bottomLeft" activeCell="M14" sqref="M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30/12/2025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3031</v>
      </c>
      <c r="B9" s="100">
        <v>13.35</v>
      </c>
      <c r="C9" s="100">
        <v>18.79</v>
      </c>
      <c r="D9" s="100">
        <v>20.53</v>
      </c>
      <c r="E9" s="100">
        <v>2.71</v>
      </c>
      <c r="F9" s="100">
        <v>0.32</v>
      </c>
      <c r="G9" s="100">
        <v>84.11</v>
      </c>
      <c r="H9" s="100">
        <v>39.520000000000003</v>
      </c>
      <c r="I9" s="100">
        <v>15.79</v>
      </c>
      <c r="J9" s="100">
        <v>0.15</v>
      </c>
      <c r="K9" s="100">
        <v>194.33</v>
      </c>
      <c r="L9" s="100">
        <v>11.4</v>
      </c>
      <c r="M9" s="100">
        <v>89.87</v>
      </c>
      <c r="N9" s="100">
        <v>27</v>
      </c>
      <c r="O9" s="100">
        <v>0</v>
      </c>
      <c r="P9" s="100">
        <v>0.93</v>
      </c>
      <c r="Q9" s="100">
        <v>9.32</v>
      </c>
      <c r="R9" s="6"/>
      <c r="S9" s="6"/>
      <c r="T9" s="156"/>
      <c r="U9" s="6"/>
    </row>
    <row r="10" spans="1:21" customFormat="1">
      <c r="A10" s="163" t="s">
        <v>3032</v>
      </c>
      <c r="B10" s="100">
        <v>13.25</v>
      </c>
      <c r="C10" s="100">
        <v>19.29</v>
      </c>
      <c r="D10" s="100">
        <v>20.7</v>
      </c>
      <c r="E10" s="100">
        <v>2.66</v>
      </c>
      <c r="F10" s="100">
        <v>0.14000000000000001</v>
      </c>
      <c r="G10" s="100">
        <v>84.11</v>
      </c>
      <c r="H10" s="100">
        <v>39.520000000000003</v>
      </c>
      <c r="I10" s="100">
        <v>14.39</v>
      </c>
      <c r="J10" s="100">
        <v>0.15</v>
      </c>
      <c r="K10" s="100">
        <v>151.61000000000001</v>
      </c>
      <c r="L10" s="100">
        <v>11.27</v>
      </c>
      <c r="M10" s="100">
        <v>90.2</v>
      </c>
      <c r="N10" s="100">
        <v>27.2</v>
      </c>
      <c r="O10" s="100">
        <v>0</v>
      </c>
      <c r="P10" s="100">
        <v>0.93</v>
      </c>
      <c r="Q10" s="100">
        <v>9.32</v>
      </c>
      <c r="R10" s="6"/>
      <c r="S10" s="6"/>
      <c r="T10" s="156"/>
      <c r="U10" s="6"/>
    </row>
    <row r="11" spans="1:21" customFormat="1">
      <c r="A11" s="163" t="s">
        <v>3033</v>
      </c>
      <c r="B11" s="100">
        <v>13.17</v>
      </c>
      <c r="C11" s="100">
        <v>19.2</v>
      </c>
      <c r="D11" s="100">
        <v>20.59</v>
      </c>
      <c r="E11" s="100">
        <v>2.79</v>
      </c>
      <c r="F11" s="100">
        <v>0.3</v>
      </c>
      <c r="G11" s="100">
        <v>77.95</v>
      </c>
      <c r="H11" s="100">
        <v>41.17</v>
      </c>
      <c r="I11" s="100">
        <v>12.91</v>
      </c>
      <c r="J11" s="100">
        <v>0.16</v>
      </c>
      <c r="K11" s="100">
        <v>176.8</v>
      </c>
      <c r="L11" s="100">
        <v>11.31</v>
      </c>
      <c r="M11" s="100">
        <v>89.16</v>
      </c>
      <c r="N11" s="100">
        <v>26.8</v>
      </c>
      <c r="O11" s="100">
        <v>0</v>
      </c>
      <c r="P11" s="100">
        <v>0.95</v>
      </c>
      <c r="Q11" s="100">
        <v>9.32</v>
      </c>
      <c r="R11" s="6"/>
      <c r="S11" s="6"/>
      <c r="T11" s="156"/>
      <c r="U11" s="6"/>
    </row>
    <row r="12" spans="1:21" customFormat="1">
      <c r="A12" s="163" t="s">
        <v>3034</v>
      </c>
      <c r="B12" s="100">
        <v>13.22</v>
      </c>
      <c r="C12" s="100">
        <v>18.940000000000001</v>
      </c>
      <c r="D12" s="100">
        <v>20.5</v>
      </c>
      <c r="E12" s="100">
        <v>3.11</v>
      </c>
      <c r="F12" s="100">
        <v>0.35</v>
      </c>
      <c r="G12" s="100">
        <v>69.510000000000005</v>
      </c>
      <c r="H12" s="100">
        <v>41.64</v>
      </c>
      <c r="I12" s="100">
        <v>13.09</v>
      </c>
      <c r="J12" s="100">
        <v>0.18</v>
      </c>
      <c r="K12" s="100">
        <v>177.77</v>
      </c>
      <c r="L12" s="100">
        <v>11.34</v>
      </c>
      <c r="M12" s="100">
        <v>89.17</v>
      </c>
      <c r="N12" s="100">
        <v>26.9</v>
      </c>
      <c r="O12" s="100">
        <v>0</v>
      </c>
      <c r="P12" s="100">
        <v>0.96</v>
      </c>
      <c r="Q12" s="100">
        <v>9.32</v>
      </c>
      <c r="R12" s="6"/>
      <c r="S12" s="6"/>
      <c r="T12" s="156"/>
      <c r="U12" s="6"/>
    </row>
    <row r="13" spans="1:21" customFormat="1">
      <c r="A13" s="163" t="s">
        <v>3035</v>
      </c>
      <c r="B13" s="100">
        <v>13.3</v>
      </c>
      <c r="C13" s="100">
        <v>18.79</v>
      </c>
      <c r="D13" s="100">
        <v>20.48</v>
      </c>
      <c r="E13" s="100">
        <v>2.84</v>
      </c>
      <c r="F13" s="100">
        <v>0.32</v>
      </c>
      <c r="G13" s="100">
        <v>69.510000000000005</v>
      </c>
      <c r="H13" s="100">
        <v>41.64</v>
      </c>
      <c r="I13" s="100">
        <v>13.31</v>
      </c>
      <c r="J13" s="100">
        <v>0.14000000000000001</v>
      </c>
      <c r="K13" s="100">
        <v>201.21</v>
      </c>
      <c r="L13" s="100">
        <v>11.12</v>
      </c>
      <c r="M13" s="100">
        <v>90.29</v>
      </c>
      <c r="N13" s="100">
        <v>27.1</v>
      </c>
      <c r="O13" s="100">
        <v>0</v>
      </c>
      <c r="P13" s="100">
        <v>0.97</v>
      </c>
      <c r="Q13" s="100">
        <v>9.32</v>
      </c>
      <c r="R13" s="6"/>
      <c r="S13" s="6"/>
      <c r="T13" s="156"/>
      <c r="U13" s="6"/>
    </row>
    <row r="14" spans="1:21" customFormat="1">
      <c r="A14" s="163" t="s">
        <v>3036</v>
      </c>
      <c r="B14" s="100">
        <v>13.24</v>
      </c>
      <c r="C14" s="100">
        <v>18.72</v>
      </c>
      <c r="D14" s="100">
        <v>20.39</v>
      </c>
      <c r="E14" s="100">
        <v>2.99</v>
      </c>
      <c r="F14" s="100">
        <v>0.31</v>
      </c>
      <c r="G14" s="100">
        <v>69.510000000000005</v>
      </c>
      <c r="H14" s="100">
        <v>41.64</v>
      </c>
      <c r="I14" s="100">
        <v>13.53</v>
      </c>
      <c r="J14" s="100">
        <v>0.05</v>
      </c>
      <c r="K14" s="100">
        <v>37.81</v>
      </c>
      <c r="L14" s="100">
        <v>11</v>
      </c>
      <c r="M14" s="100">
        <v>90.04</v>
      </c>
      <c r="N14" s="100">
        <v>27.1</v>
      </c>
      <c r="O14" s="100">
        <v>0</v>
      </c>
      <c r="P14" s="100">
        <v>0.98</v>
      </c>
      <c r="Q14" s="100">
        <v>9.32</v>
      </c>
      <c r="R14" s="6"/>
      <c r="S14" s="6"/>
      <c r="T14" s="156"/>
      <c r="U14" s="6"/>
    </row>
    <row r="15" spans="1:21" customFormat="1">
      <c r="A15" s="163" t="s">
        <v>3037</v>
      </c>
      <c r="B15" s="100">
        <v>13.72</v>
      </c>
      <c r="C15" s="100">
        <v>18.79</v>
      </c>
      <c r="D15" s="100">
        <v>20.82</v>
      </c>
      <c r="E15" s="100">
        <v>3.06</v>
      </c>
      <c r="F15" s="100">
        <v>0.35</v>
      </c>
      <c r="G15" s="100">
        <v>63.43</v>
      </c>
      <c r="H15" s="100">
        <v>42.76</v>
      </c>
      <c r="I15" s="100">
        <v>13.67</v>
      </c>
      <c r="J15" s="100">
        <v>0.39</v>
      </c>
      <c r="K15" s="100">
        <v>49.06</v>
      </c>
      <c r="L15" s="100">
        <v>11.19</v>
      </c>
      <c r="M15" s="100">
        <v>85.46</v>
      </c>
      <c r="N15" s="100">
        <v>26.2</v>
      </c>
      <c r="O15" s="100">
        <v>0</v>
      </c>
      <c r="P15" s="100">
        <v>1</v>
      </c>
      <c r="Q15" s="100">
        <v>9.32</v>
      </c>
      <c r="R15" s="6"/>
      <c r="S15" s="6"/>
      <c r="T15" s="156"/>
      <c r="U15" s="6"/>
    </row>
    <row r="16" spans="1:21" customFormat="1">
      <c r="A16" s="163" t="s">
        <v>3038</v>
      </c>
      <c r="B16" s="100">
        <v>15.21</v>
      </c>
      <c r="C16" s="100">
        <v>19.190000000000001</v>
      </c>
      <c r="D16" s="100">
        <v>22.22</v>
      </c>
      <c r="E16" s="100">
        <v>2.98</v>
      </c>
      <c r="F16" s="100">
        <v>0.25</v>
      </c>
      <c r="G16" s="100">
        <v>55.1</v>
      </c>
      <c r="H16" s="100">
        <v>43.63</v>
      </c>
      <c r="I16" s="100">
        <v>13.77</v>
      </c>
      <c r="J16" s="100">
        <v>0.55000000000000004</v>
      </c>
      <c r="K16" s="100">
        <v>38.090000000000003</v>
      </c>
      <c r="L16" s="100">
        <v>11.83</v>
      </c>
      <c r="M16" s="100">
        <v>80.05</v>
      </c>
      <c r="N16" s="100">
        <v>26.2</v>
      </c>
      <c r="O16" s="100">
        <v>0</v>
      </c>
      <c r="P16" s="100">
        <v>1.02</v>
      </c>
      <c r="Q16" s="100">
        <v>9.32</v>
      </c>
      <c r="R16" s="6"/>
      <c r="S16" s="6"/>
      <c r="T16" s="156"/>
      <c r="U16" s="6"/>
    </row>
    <row r="17" spans="1:21" customFormat="1">
      <c r="A17" s="163" t="s">
        <v>3039</v>
      </c>
      <c r="B17" s="100">
        <v>16.5</v>
      </c>
      <c r="C17" s="100">
        <v>19.75</v>
      </c>
      <c r="D17" s="100">
        <v>23.55</v>
      </c>
      <c r="E17" s="100">
        <v>3.16</v>
      </c>
      <c r="F17" s="100">
        <v>0.25</v>
      </c>
      <c r="G17" s="100">
        <v>55.1</v>
      </c>
      <c r="H17" s="100">
        <v>43.63</v>
      </c>
      <c r="I17" s="100">
        <v>13.99</v>
      </c>
      <c r="J17" s="100">
        <v>7.0000000000000007E-2</v>
      </c>
      <c r="K17" s="100">
        <v>86.08</v>
      </c>
      <c r="L17" s="100">
        <v>11.69</v>
      </c>
      <c r="M17" s="100">
        <v>80.83</v>
      </c>
      <c r="N17" s="100">
        <v>27.1</v>
      </c>
      <c r="O17" s="100">
        <v>0</v>
      </c>
      <c r="P17" s="100">
        <v>1.04</v>
      </c>
      <c r="Q17" s="100">
        <v>9.32</v>
      </c>
      <c r="R17" s="6"/>
      <c r="S17" s="6"/>
      <c r="T17" s="156"/>
      <c r="U17" s="6"/>
    </row>
    <row r="18" spans="1:21" customFormat="1">
      <c r="A18" s="163" t="s">
        <v>3040</v>
      </c>
      <c r="B18" s="100">
        <v>18.170000000000002</v>
      </c>
      <c r="C18" s="100">
        <v>20.239999999999998</v>
      </c>
      <c r="D18" s="100">
        <v>25.15</v>
      </c>
      <c r="E18" s="100">
        <v>3.89</v>
      </c>
      <c r="F18" s="100">
        <v>0.19</v>
      </c>
      <c r="G18" s="100">
        <v>55.1</v>
      </c>
      <c r="H18" s="100">
        <v>43.63</v>
      </c>
      <c r="I18" s="100">
        <v>14.34</v>
      </c>
      <c r="J18" s="100">
        <v>0.16</v>
      </c>
      <c r="K18" s="100">
        <v>222.2</v>
      </c>
      <c r="L18" s="100">
        <v>11.34</v>
      </c>
      <c r="M18" s="100">
        <v>83.03</v>
      </c>
      <c r="N18" s="100">
        <v>27.1</v>
      </c>
      <c r="O18" s="100">
        <v>0</v>
      </c>
      <c r="P18" s="100">
        <v>1.07</v>
      </c>
      <c r="Q18" s="100">
        <v>9.32</v>
      </c>
      <c r="R18" s="6"/>
      <c r="S18" s="6"/>
      <c r="T18" s="156"/>
      <c r="U18" s="6"/>
    </row>
    <row r="19" spans="1:21" customFormat="1">
      <c r="A19" s="163" t="s">
        <v>3041</v>
      </c>
      <c r="B19" s="100">
        <v>19.86</v>
      </c>
      <c r="C19" s="100">
        <v>20.58</v>
      </c>
      <c r="D19" s="100">
        <v>26.68</v>
      </c>
      <c r="E19" s="100">
        <v>4</v>
      </c>
      <c r="F19" s="100">
        <v>0.42</v>
      </c>
      <c r="G19" s="100">
        <v>73.78</v>
      </c>
      <c r="H19" s="100">
        <v>45.09</v>
      </c>
      <c r="I19" s="100">
        <v>14.63</v>
      </c>
      <c r="J19" s="100">
        <v>0.19</v>
      </c>
      <c r="K19" s="100">
        <v>199.09</v>
      </c>
      <c r="L19" s="100">
        <v>11.06</v>
      </c>
      <c r="M19" s="100">
        <v>85</v>
      </c>
      <c r="N19" s="100">
        <v>27.1</v>
      </c>
      <c r="O19" s="100">
        <v>0</v>
      </c>
      <c r="P19" s="100">
        <v>1.1000000000000001</v>
      </c>
      <c r="Q19" s="100">
        <v>9.32</v>
      </c>
      <c r="R19" s="6"/>
      <c r="S19" s="6"/>
      <c r="T19" s="156"/>
      <c r="U19" s="6"/>
    </row>
    <row r="20" spans="1:21" customFormat="1">
      <c r="A20" s="163" t="s">
        <v>3042</v>
      </c>
      <c r="B20" s="100">
        <v>20.91</v>
      </c>
      <c r="C20" s="100">
        <v>20.61</v>
      </c>
      <c r="D20" s="100">
        <v>27.54</v>
      </c>
      <c r="E20" s="100">
        <v>4.25</v>
      </c>
      <c r="F20" s="100">
        <v>0.33</v>
      </c>
      <c r="G20" s="100">
        <v>99.35</v>
      </c>
      <c r="H20" s="100">
        <v>46.24</v>
      </c>
      <c r="I20" s="100">
        <v>14.93</v>
      </c>
      <c r="J20" s="100">
        <v>0.19</v>
      </c>
      <c r="K20" s="100">
        <v>171.38</v>
      </c>
      <c r="L20" s="100">
        <v>10.68</v>
      </c>
      <c r="M20" s="100">
        <v>87.83</v>
      </c>
      <c r="N20" s="100">
        <v>27.2</v>
      </c>
      <c r="O20" s="100">
        <v>0</v>
      </c>
      <c r="P20" s="100">
        <v>1.1299999999999999</v>
      </c>
      <c r="Q20" s="100">
        <v>9.32</v>
      </c>
      <c r="R20" s="6"/>
      <c r="S20" s="6"/>
      <c r="T20" s="156"/>
      <c r="U20" s="6"/>
    </row>
    <row r="21" spans="1:21" customFormat="1">
      <c r="A21" s="163" t="s">
        <v>3043</v>
      </c>
      <c r="B21" s="100">
        <v>21.49</v>
      </c>
      <c r="C21" s="100">
        <v>20.48</v>
      </c>
      <c r="D21" s="100">
        <v>27.93</v>
      </c>
      <c r="E21" s="100">
        <v>4.0999999999999996</v>
      </c>
      <c r="F21" s="100">
        <v>0.12</v>
      </c>
      <c r="G21" s="100">
        <v>99.35</v>
      </c>
      <c r="H21" s="100">
        <v>46.24</v>
      </c>
      <c r="I21" s="100">
        <v>15.25</v>
      </c>
      <c r="J21" s="100">
        <v>0.14000000000000001</v>
      </c>
      <c r="K21" s="100">
        <v>155.86000000000001</v>
      </c>
      <c r="L21" s="100">
        <v>10.37</v>
      </c>
      <c r="M21" s="100">
        <v>89.08</v>
      </c>
      <c r="N21" s="100">
        <v>27.1</v>
      </c>
      <c r="O21" s="100">
        <v>0</v>
      </c>
      <c r="P21" s="100">
        <v>1.1499999999999999</v>
      </c>
      <c r="Q21" s="100">
        <v>9.32</v>
      </c>
      <c r="R21" s="6"/>
      <c r="S21" s="6"/>
      <c r="T21" s="156"/>
      <c r="U21" s="6"/>
    </row>
    <row r="22" spans="1:21" customFormat="1">
      <c r="A22" s="163" t="s">
        <v>3044</v>
      </c>
      <c r="B22" s="100">
        <v>21.99</v>
      </c>
      <c r="C22" s="100">
        <v>20.309999999999999</v>
      </c>
      <c r="D22" s="100">
        <v>28.25</v>
      </c>
      <c r="E22" s="100">
        <v>4.0999999999999996</v>
      </c>
      <c r="F22" s="100">
        <v>0.21</v>
      </c>
      <c r="G22" s="100">
        <v>99.35</v>
      </c>
      <c r="H22" s="100">
        <v>46.24</v>
      </c>
      <c r="I22" s="100">
        <v>15.61</v>
      </c>
      <c r="J22" s="100">
        <v>0.15</v>
      </c>
      <c r="K22" s="100">
        <v>142.1</v>
      </c>
      <c r="L22" s="100">
        <v>10.32</v>
      </c>
      <c r="M22" s="100">
        <v>90.14</v>
      </c>
      <c r="N22" s="100">
        <v>27</v>
      </c>
      <c r="O22" s="100">
        <v>0</v>
      </c>
      <c r="P22" s="100">
        <v>1.17</v>
      </c>
      <c r="Q22" s="100">
        <v>9.32</v>
      </c>
      <c r="R22" s="6"/>
      <c r="S22" s="6"/>
      <c r="T22" s="156"/>
      <c r="U22" s="6"/>
    </row>
    <row r="23" spans="1:21" customFormat="1">
      <c r="A23" s="163" t="s">
        <v>3045</v>
      </c>
      <c r="B23" s="100">
        <v>22.52</v>
      </c>
      <c r="C23" s="100">
        <v>20.02</v>
      </c>
      <c r="D23" s="100">
        <v>28.52</v>
      </c>
      <c r="E23" s="100">
        <v>4.05</v>
      </c>
      <c r="F23" s="100">
        <v>0.22</v>
      </c>
      <c r="G23" s="100">
        <v>98.76</v>
      </c>
      <c r="H23" s="100">
        <v>48.17</v>
      </c>
      <c r="I23" s="100">
        <v>16</v>
      </c>
      <c r="J23" s="100">
        <v>0.15</v>
      </c>
      <c r="K23" s="100">
        <v>145.13999999999999</v>
      </c>
      <c r="L23" s="100">
        <v>10.26</v>
      </c>
      <c r="M23" s="100">
        <v>90.29</v>
      </c>
      <c r="N23" s="100">
        <v>27</v>
      </c>
      <c r="O23" s="100">
        <v>0</v>
      </c>
      <c r="P23" s="100">
        <v>1.2</v>
      </c>
      <c r="Q23" s="100">
        <v>9.32</v>
      </c>
      <c r="R23" s="6"/>
      <c r="S23" s="6"/>
      <c r="T23" s="156"/>
      <c r="U23" s="6"/>
    </row>
    <row r="24" spans="1:21" customFormat="1">
      <c r="A24" s="163" t="s">
        <v>3046</v>
      </c>
      <c r="B24" s="100">
        <v>23.11</v>
      </c>
      <c r="C24" s="100">
        <v>19.71</v>
      </c>
      <c r="D24" s="100">
        <v>28.83</v>
      </c>
      <c r="E24" s="100">
        <v>4.18</v>
      </c>
      <c r="F24" s="100">
        <v>0.27</v>
      </c>
      <c r="G24" s="100">
        <v>97.95</v>
      </c>
      <c r="H24" s="100">
        <v>49.69</v>
      </c>
      <c r="I24" s="100">
        <v>16.36</v>
      </c>
      <c r="J24" s="100">
        <v>0.14000000000000001</v>
      </c>
      <c r="K24" s="100">
        <v>198.35</v>
      </c>
      <c r="L24" s="100">
        <v>10.25</v>
      </c>
      <c r="M24" s="100">
        <v>90.64</v>
      </c>
      <c r="N24" s="100">
        <v>26.8</v>
      </c>
      <c r="O24" s="100">
        <v>0</v>
      </c>
      <c r="P24" s="100">
        <v>1.23</v>
      </c>
      <c r="Q24" s="100">
        <v>9.32</v>
      </c>
      <c r="R24" s="6"/>
      <c r="S24" s="6"/>
      <c r="T24" s="156"/>
      <c r="U24" s="6"/>
    </row>
    <row r="25" spans="1:21" customFormat="1">
      <c r="A25" s="163" t="s">
        <v>3047</v>
      </c>
      <c r="B25" s="100">
        <v>23.58</v>
      </c>
      <c r="C25" s="100">
        <v>19.489999999999998</v>
      </c>
      <c r="D25" s="100">
        <v>29.09</v>
      </c>
      <c r="E25" s="100">
        <v>4</v>
      </c>
      <c r="F25" s="100">
        <v>0.28999999999999998</v>
      </c>
      <c r="G25" s="100">
        <v>97.95</v>
      </c>
      <c r="H25" s="100">
        <v>49.69</v>
      </c>
      <c r="I25" s="100">
        <v>16.7</v>
      </c>
      <c r="J25" s="100">
        <v>0.14000000000000001</v>
      </c>
      <c r="K25" s="100">
        <v>183.19</v>
      </c>
      <c r="L25" s="100">
        <v>10.029999999999999</v>
      </c>
      <c r="M25" s="100">
        <v>91.69</v>
      </c>
      <c r="N25" s="100">
        <v>27.1</v>
      </c>
      <c r="O25" s="100">
        <v>0</v>
      </c>
      <c r="P25" s="100">
        <v>1.25</v>
      </c>
      <c r="Q25" s="100">
        <v>9.32</v>
      </c>
      <c r="R25" s="6"/>
      <c r="S25" s="6"/>
      <c r="T25" s="156"/>
      <c r="U25" s="6"/>
    </row>
    <row r="26" spans="1:21" customFormat="1">
      <c r="A26" s="163" t="s">
        <v>3048</v>
      </c>
      <c r="B26" s="100">
        <v>23.78</v>
      </c>
      <c r="C26" s="100">
        <v>19.2</v>
      </c>
      <c r="D26" s="100">
        <v>29.1</v>
      </c>
      <c r="E26" s="100">
        <v>3.86</v>
      </c>
      <c r="F26" s="100">
        <v>0.21</v>
      </c>
      <c r="G26" s="100">
        <v>97.95</v>
      </c>
      <c r="H26" s="100">
        <v>49.69</v>
      </c>
      <c r="I26" s="100">
        <v>16.989999999999998</v>
      </c>
      <c r="J26" s="100">
        <v>0.15</v>
      </c>
      <c r="K26" s="100">
        <v>185.32</v>
      </c>
      <c r="L26" s="100">
        <v>9.85</v>
      </c>
      <c r="M26" s="100">
        <v>92.49</v>
      </c>
      <c r="N26" s="100">
        <v>27</v>
      </c>
      <c r="O26" s="100">
        <v>0</v>
      </c>
      <c r="P26" s="100">
        <v>1.26</v>
      </c>
      <c r="Q26" s="100">
        <v>9.32</v>
      </c>
      <c r="R26" s="6"/>
      <c r="S26" s="6"/>
      <c r="T26" s="156"/>
      <c r="U26" s="6"/>
    </row>
    <row r="27" spans="1:21" customFormat="1">
      <c r="A27" s="163" t="s">
        <v>3049</v>
      </c>
      <c r="B27" s="100">
        <v>23.78</v>
      </c>
      <c r="C27" s="100">
        <v>19</v>
      </c>
      <c r="D27" s="100">
        <v>29</v>
      </c>
      <c r="E27" s="100">
        <v>3.89</v>
      </c>
      <c r="F27" s="100">
        <v>0.33</v>
      </c>
      <c r="G27" s="100">
        <v>95.9</v>
      </c>
      <c r="H27" s="100">
        <v>50.21</v>
      </c>
      <c r="I27" s="100">
        <v>17.2</v>
      </c>
      <c r="J27" s="100">
        <v>0.14000000000000001</v>
      </c>
      <c r="K27" s="100">
        <v>225.03</v>
      </c>
      <c r="L27" s="100">
        <v>9.65</v>
      </c>
      <c r="M27" s="100">
        <v>92.67</v>
      </c>
      <c r="N27" s="100">
        <v>27.1</v>
      </c>
      <c r="O27" s="100">
        <v>0</v>
      </c>
      <c r="P27" s="100">
        <v>1.26</v>
      </c>
      <c r="Q27" s="100">
        <v>9.32</v>
      </c>
      <c r="R27" s="6"/>
      <c r="S27" s="6"/>
      <c r="T27" s="156"/>
      <c r="U27" s="6"/>
    </row>
    <row r="28" spans="1:21" customFormat="1">
      <c r="A28" s="163" t="s">
        <v>3050</v>
      </c>
      <c r="B28" s="100">
        <v>23.92</v>
      </c>
      <c r="C28" s="100">
        <v>18.77</v>
      </c>
      <c r="D28" s="100">
        <v>28.99</v>
      </c>
      <c r="E28" s="100">
        <v>4.28</v>
      </c>
      <c r="F28" s="100">
        <v>0.42</v>
      </c>
      <c r="G28" s="100">
        <v>93.1</v>
      </c>
      <c r="H28" s="100">
        <v>50.62</v>
      </c>
      <c r="I28" s="100">
        <v>17.32</v>
      </c>
      <c r="J28" s="100">
        <v>0.11</v>
      </c>
      <c r="K28" s="100">
        <v>190.67</v>
      </c>
      <c r="L28" s="100">
        <v>9.44</v>
      </c>
      <c r="M28" s="100">
        <v>92.61</v>
      </c>
      <c r="N28" s="100">
        <v>27.1</v>
      </c>
      <c r="O28" s="100">
        <v>0</v>
      </c>
      <c r="P28" s="100">
        <v>1.27</v>
      </c>
      <c r="Q28" s="100">
        <v>9.32</v>
      </c>
      <c r="R28" s="6"/>
      <c r="S28" s="6"/>
      <c r="T28" s="156"/>
      <c r="U28" s="6"/>
    </row>
    <row r="29" spans="1:21" customFormat="1">
      <c r="A29" s="163" t="s">
        <v>3051</v>
      </c>
      <c r="B29" s="100">
        <v>24.29</v>
      </c>
      <c r="C29" s="100">
        <v>18.62</v>
      </c>
      <c r="D29" s="100">
        <v>29.21</v>
      </c>
      <c r="E29" s="100">
        <v>4.03</v>
      </c>
      <c r="F29" s="100">
        <v>0.49</v>
      </c>
      <c r="G29" s="100">
        <v>93.1</v>
      </c>
      <c r="H29" s="100">
        <v>50.62</v>
      </c>
      <c r="I29" s="100">
        <v>17.36</v>
      </c>
      <c r="J29" s="100">
        <v>0.13</v>
      </c>
      <c r="K29" s="100">
        <v>199.99</v>
      </c>
      <c r="L29" s="100">
        <v>9.42</v>
      </c>
      <c r="M29" s="100">
        <v>92.71</v>
      </c>
      <c r="N29" s="100">
        <v>27</v>
      </c>
      <c r="O29" s="100">
        <v>0</v>
      </c>
      <c r="P29" s="100">
        <v>1.27</v>
      </c>
      <c r="Q29" s="100">
        <v>9.32</v>
      </c>
      <c r="R29" s="6"/>
      <c r="S29" s="6"/>
      <c r="T29" s="156"/>
      <c r="U29" s="6"/>
    </row>
    <row r="30" spans="1:21" customFormat="1">
      <c r="A30" s="163" t="s">
        <v>3052</v>
      </c>
      <c r="B30" s="100">
        <v>24.59</v>
      </c>
      <c r="C30" s="100">
        <v>18.54</v>
      </c>
      <c r="D30" s="100">
        <v>29.4</v>
      </c>
      <c r="E30" s="100">
        <v>4</v>
      </c>
      <c r="F30" s="100">
        <v>0.23</v>
      </c>
      <c r="G30" s="100">
        <v>93.1</v>
      </c>
      <c r="H30" s="100">
        <v>50.62</v>
      </c>
      <c r="I30" s="100">
        <v>17.37</v>
      </c>
      <c r="J30" s="100">
        <v>0.15</v>
      </c>
      <c r="K30" s="100">
        <v>154.96</v>
      </c>
      <c r="L30" s="100">
        <v>9.41</v>
      </c>
      <c r="M30" s="100">
        <v>92.58</v>
      </c>
      <c r="N30" s="100">
        <v>26.9</v>
      </c>
      <c r="O30" s="100">
        <v>0</v>
      </c>
      <c r="P30" s="100">
        <v>1.28</v>
      </c>
      <c r="Q30" s="100">
        <v>9.32</v>
      </c>
      <c r="R30" s="6"/>
      <c r="S30" s="6"/>
      <c r="T30" s="156"/>
      <c r="U30" s="6"/>
    </row>
    <row r="31" spans="1:21" customFormat="1">
      <c r="A31" s="163" t="s">
        <v>3053</v>
      </c>
      <c r="B31" s="100">
        <v>25.19</v>
      </c>
      <c r="C31" s="100">
        <v>18.850000000000001</v>
      </c>
      <c r="D31" s="100">
        <v>30.05</v>
      </c>
      <c r="E31" s="100">
        <v>3.85</v>
      </c>
      <c r="F31" s="100">
        <v>0.5</v>
      </c>
      <c r="G31" s="100">
        <v>89.45</v>
      </c>
      <c r="H31" s="100">
        <v>50.13</v>
      </c>
      <c r="I31" s="100">
        <v>17.38</v>
      </c>
      <c r="J31" s="100">
        <v>0.15</v>
      </c>
      <c r="K31" s="100">
        <v>176.64</v>
      </c>
      <c r="L31" s="100">
        <v>9.48</v>
      </c>
      <c r="M31" s="100">
        <v>92.6</v>
      </c>
      <c r="N31" s="100">
        <v>26.8</v>
      </c>
      <c r="O31" s="100">
        <v>0</v>
      </c>
      <c r="P31" s="100">
        <v>1.29</v>
      </c>
      <c r="Q31" s="100">
        <v>9.32</v>
      </c>
      <c r="R31" s="6"/>
      <c r="S31" s="6"/>
      <c r="T31" s="156"/>
      <c r="U31" s="6"/>
    </row>
    <row r="32" spans="1:21" customFormat="1">
      <c r="A32" s="163" t="s">
        <v>3054</v>
      </c>
      <c r="B32" s="100">
        <v>25.55</v>
      </c>
      <c r="C32" s="100">
        <v>18.649999999999999</v>
      </c>
      <c r="D32" s="100">
        <v>30.24</v>
      </c>
      <c r="E32" s="100">
        <v>3.89</v>
      </c>
      <c r="F32" s="100">
        <v>0.4</v>
      </c>
      <c r="G32" s="100">
        <v>84.45</v>
      </c>
      <c r="H32" s="100">
        <v>50.01</v>
      </c>
      <c r="I32" s="100">
        <v>17.350000000000001</v>
      </c>
      <c r="J32" s="100">
        <v>0.16</v>
      </c>
      <c r="K32" s="100">
        <v>209.7</v>
      </c>
      <c r="L32" s="100">
        <v>9.3699999999999992</v>
      </c>
      <c r="M32" s="100">
        <v>93.32</v>
      </c>
      <c r="N32" s="100">
        <v>27.2</v>
      </c>
      <c r="O32" s="100">
        <v>0</v>
      </c>
      <c r="P32" s="100">
        <v>1.29</v>
      </c>
      <c r="Q32" s="100">
        <v>9.32</v>
      </c>
      <c r="R32" s="6"/>
      <c r="S32" s="6"/>
      <c r="T32" s="156"/>
      <c r="U32" s="6"/>
    </row>
    <row r="33" spans="1:21" customFormat="1">
      <c r="A33" s="163" t="s">
        <v>3055</v>
      </c>
      <c r="B33" s="100">
        <v>25.5</v>
      </c>
      <c r="C33" s="100">
        <v>18.32</v>
      </c>
      <c r="D33" s="100">
        <v>30.02</v>
      </c>
      <c r="E33" s="100">
        <v>3.73</v>
      </c>
      <c r="F33" s="100">
        <v>0.22</v>
      </c>
      <c r="G33" s="100">
        <v>84.45</v>
      </c>
      <c r="H33" s="100">
        <v>50.01</v>
      </c>
      <c r="I33" s="100">
        <v>17.329999999999998</v>
      </c>
      <c r="J33" s="100">
        <v>0.15</v>
      </c>
      <c r="K33" s="100">
        <v>189.73</v>
      </c>
      <c r="L33" s="100">
        <v>9.08</v>
      </c>
      <c r="M33" s="100">
        <v>93.7</v>
      </c>
      <c r="N33" s="100">
        <v>27.3</v>
      </c>
      <c r="O33" s="100">
        <v>0</v>
      </c>
      <c r="P33" s="100">
        <v>1.28</v>
      </c>
      <c r="Q33" s="100">
        <v>9.32</v>
      </c>
      <c r="R33" s="6"/>
      <c r="S33" s="6"/>
      <c r="T33" s="156"/>
      <c r="U33" s="6"/>
    </row>
    <row r="34" spans="1:21" customFormat="1">
      <c r="A34" s="163" t="s">
        <v>3056</v>
      </c>
      <c r="B34" s="100">
        <v>25.3</v>
      </c>
      <c r="C34" s="100">
        <v>17.93</v>
      </c>
      <c r="D34" s="100">
        <v>29.65</v>
      </c>
      <c r="E34" s="100">
        <v>3.97</v>
      </c>
      <c r="F34" s="100">
        <v>0.25</v>
      </c>
      <c r="G34" s="100">
        <v>84.45</v>
      </c>
      <c r="H34" s="100">
        <v>50.01</v>
      </c>
      <c r="I34" s="100">
        <v>17.3</v>
      </c>
      <c r="J34" s="100">
        <v>0.16</v>
      </c>
      <c r="K34" s="100">
        <v>199.82</v>
      </c>
      <c r="L34" s="100">
        <v>8.9</v>
      </c>
      <c r="M34" s="100">
        <v>93.85</v>
      </c>
      <c r="N34" s="100">
        <v>27.8</v>
      </c>
      <c r="O34" s="100">
        <v>0</v>
      </c>
      <c r="P34" s="100">
        <v>1.28</v>
      </c>
      <c r="Q34" s="100">
        <v>9.32</v>
      </c>
      <c r="R34" s="6"/>
      <c r="S34" s="6"/>
      <c r="T34" s="156"/>
      <c r="U34" s="6"/>
    </row>
    <row r="35" spans="1:21" customFormat="1">
      <c r="A35" s="163" t="s">
        <v>3057</v>
      </c>
      <c r="B35" s="100">
        <v>25.01</v>
      </c>
      <c r="C35" s="100">
        <v>17.760000000000002</v>
      </c>
      <c r="D35" s="100">
        <v>29.33</v>
      </c>
      <c r="E35" s="100">
        <v>3.94</v>
      </c>
      <c r="F35" s="100">
        <v>0.28999999999999998</v>
      </c>
      <c r="G35" s="100">
        <v>80.3</v>
      </c>
      <c r="H35" s="100">
        <v>49.27</v>
      </c>
      <c r="I35" s="100">
        <v>17.23</v>
      </c>
      <c r="J35" s="100">
        <v>0.13</v>
      </c>
      <c r="K35" s="100">
        <v>195.23</v>
      </c>
      <c r="L35" s="100">
        <v>8.74</v>
      </c>
      <c r="M35" s="100">
        <v>93.85</v>
      </c>
      <c r="N35" s="100">
        <v>29.9</v>
      </c>
      <c r="O35" s="100">
        <v>0</v>
      </c>
      <c r="P35" s="100">
        <v>1.28</v>
      </c>
      <c r="Q35" s="100">
        <v>9.32</v>
      </c>
      <c r="R35" s="6"/>
      <c r="S35" s="6"/>
      <c r="T35" s="156"/>
      <c r="U35" s="6"/>
    </row>
    <row r="36" spans="1:21" customFormat="1">
      <c r="A36" s="163" t="s">
        <v>3058</v>
      </c>
      <c r="B36" s="100">
        <v>24.62</v>
      </c>
      <c r="C36" s="100">
        <v>17.64</v>
      </c>
      <c r="D36" s="100">
        <v>28.96</v>
      </c>
      <c r="E36" s="100">
        <v>3.87</v>
      </c>
      <c r="F36" s="100">
        <v>0.43</v>
      </c>
      <c r="G36" s="100">
        <v>74.62</v>
      </c>
      <c r="H36" s="100">
        <v>49.07</v>
      </c>
      <c r="I36" s="100">
        <v>17.2</v>
      </c>
      <c r="J36" s="100">
        <v>0.12</v>
      </c>
      <c r="K36" s="100">
        <v>220.82</v>
      </c>
      <c r="L36" s="100">
        <v>8.81</v>
      </c>
      <c r="M36" s="100">
        <v>93.9</v>
      </c>
      <c r="N36" s="100">
        <v>36</v>
      </c>
      <c r="O36" s="100">
        <v>0</v>
      </c>
      <c r="P36" s="100">
        <v>1.26</v>
      </c>
      <c r="Q36" s="100">
        <v>9.32</v>
      </c>
      <c r="R36" s="6"/>
      <c r="S36" s="6"/>
      <c r="T36" s="156"/>
      <c r="U36" s="6"/>
    </row>
    <row r="37" spans="1:21" customFormat="1">
      <c r="A37" s="163" t="s">
        <v>3059</v>
      </c>
      <c r="B37" s="100">
        <v>24.12</v>
      </c>
      <c r="C37" s="100">
        <v>17.45</v>
      </c>
      <c r="D37" s="100">
        <v>28.46</v>
      </c>
      <c r="E37" s="100">
        <v>3.89</v>
      </c>
      <c r="F37" s="100">
        <v>0.37</v>
      </c>
      <c r="G37" s="100">
        <v>74.62</v>
      </c>
      <c r="H37" s="100">
        <v>49.07</v>
      </c>
      <c r="I37" s="100">
        <v>17.170000000000002</v>
      </c>
      <c r="J37" s="100">
        <v>0.13</v>
      </c>
      <c r="K37" s="100">
        <v>150.62</v>
      </c>
      <c r="L37" s="100">
        <v>8.93</v>
      </c>
      <c r="M37" s="100">
        <v>93.9</v>
      </c>
      <c r="N37" s="100">
        <v>44.3</v>
      </c>
      <c r="O37" s="100">
        <v>0</v>
      </c>
      <c r="P37" s="100">
        <v>1.25</v>
      </c>
      <c r="Q37" s="100">
        <v>9.32</v>
      </c>
      <c r="R37" s="6"/>
      <c r="S37" s="6"/>
      <c r="T37" s="156"/>
      <c r="U37" s="6"/>
    </row>
    <row r="38" spans="1:21" customFormat="1">
      <c r="A38" s="163" t="s">
        <v>3060</v>
      </c>
      <c r="B38" s="100">
        <v>23.61</v>
      </c>
      <c r="C38" s="100">
        <v>17.3</v>
      </c>
      <c r="D38" s="100">
        <v>27.97</v>
      </c>
      <c r="E38" s="100">
        <v>3.61</v>
      </c>
      <c r="F38" s="100">
        <v>0.32</v>
      </c>
      <c r="G38" s="100">
        <v>74.62</v>
      </c>
      <c r="H38" s="100">
        <v>49.07</v>
      </c>
      <c r="I38" s="100">
        <v>17.079999999999998</v>
      </c>
      <c r="J38" s="100">
        <v>0.17</v>
      </c>
      <c r="K38" s="100">
        <v>184.73</v>
      </c>
      <c r="L38" s="100">
        <v>9.4</v>
      </c>
      <c r="M38" s="100">
        <v>93.9</v>
      </c>
      <c r="N38" s="100">
        <v>53.8</v>
      </c>
      <c r="O38" s="100">
        <v>0</v>
      </c>
      <c r="P38" s="100">
        <v>1.25</v>
      </c>
      <c r="Q38" s="100">
        <v>9.32</v>
      </c>
      <c r="R38" s="6"/>
      <c r="S38" s="6"/>
      <c r="T38" s="156"/>
      <c r="U38" s="6"/>
    </row>
    <row r="39" spans="1:21" customFormat="1">
      <c r="A39" s="163" t="s">
        <v>3061</v>
      </c>
      <c r="B39" s="100">
        <v>23.18</v>
      </c>
      <c r="C39" s="100">
        <v>17.309999999999999</v>
      </c>
      <c r="D39" s="100">
        <v>27.63</v>
      </c>
      <c r="E39" s="100">
        <v>3.96</v>
      </c>
      <c r="F39" s="100">
        <v>0.21</v>
      </c>
      <c r="G39" s="100">
        <v>68.13</v>
      </c>
      <c r="H39" s="100">
        <v>47.3</v>
      </c>
      <c r="I39" s="100">
        <v>16.97</v>
      </c>
      <c r="J39" s="100">
        <v>0.14000000000000001</v>
      </c>
      <c r="K39" s="100">
        <v>160.51</v>
      </c>
      <c r="L39" s="100">
        <v>9.73</v>
      </c>
      <c r="M39" s="100">
        <v>93.87</v>
      </c>
      <c r="N39" s="100">
        <v>64.2</v>
      </c>
      <c r="O39" s="100">
        <v>0</v>
      </c>
      <c r="P39" s="100">
        <v>1.24</v>
      </c>
      <c r="Q39" s="100">
        <v>9.32</v>
      </c>
      <c r="R39" s="6"/>
      <c r="S39" s="6"/>
      <c r="T39" s="156"/>
      <c r="U39" s="6"/>
    </row>
    <row r="40" spans="1:21" customFormat="1">
      <c r="A40" s="163" t="s">
        <v>3062</v>
      </c>
      <c r="B40" s="100">
        <v>22.67</v>
      </c>
      <c r="C40" s="100">
        <v>17.46</v>
      </c>
      <c r="D40" s="100">
        <v>27.3</v>
      </c>
      <c r="E40" s="100">
        <v>3.41</v>
      </c>
      <c r="F40" s="100">
        <v>0.2</v>
      </c>
      <c r="G40" s="100">
        <v>59.24</v>
      </c>
      <c r="H40" s="100">
        <v>45.92</v>
      </c>
      <c r="I40" s="100">
        <v>16.89</v>
      </c>
      <c r="J40" s="100">
        <v>0.25</v>
      </c>
      <c r="K40" s="100">
        <v>164.42</v>
      </c>
      <c r="L40" s="100">
        <v>10.49</v>
      </c>
      <c r="M40" s="100">
        <v>92.39</v>
      </c>
      <c r="N40" s="100">
        <v>73.5</v>
      </c>
      <c r="O40" s="100">
        <v>0</v>
      </c>
      <c r="P40" s="100">
        <v>1.23</v>
      </c>
      <c r="Q40" s="100">
        <v>9.32</v>
      </c>
      <c r="R40" s="6"/>
      <c r="S40" s="6"/>
      <c r="T40" s="156"/>
      <c r="U40" s="6"/>
    </row>
    <row r="41" spans="1:21" customFormat="1">
      <c r="A41" s="163" t="s">
        <v>3063</v>
      </c>
      <c r="B41" s="100">
        <v>22.08</v>
      </c>
      <c r="C41" s="100">
        <v>17.95</v>
      </c>
      <c r="D41" s="100">
        <v>27.08</v>
      </c>
      <c r="E41" s="100">
        <v>3.8</v>
      </c>
      <c r="F41" s="100">
        <v>0.17</v>
      </c>
      <c r="G41" s="100">
        <v>59.24</v>
      </c>
      <c r="H41" s="100">
        <v>45.92</v>
      </c>
      <c r="I41" s="100">
        <v>16.8</v>
      </c>
      <c r="J41" s="100">
        <v>0.04</v>
      </c>
      <c r="K41" s="100">
        <v>190.85</v>
      </c>
      <c r="L41" s="100">
        <v>11.52</v>
      </c>
      <c r="M41" s="100">
        <v>83.87</v>
      </c>
      <c r="N41" s="100">
        <v>124.9</v>
      </c>
      <c r="O41" s="100">
        <v>0</v>
      </c>
      <c r="P41" s="100">
        <v>1.21</v>
      </c>
      <c r="Q41" s="100">
        <v>9.32</v>
      </c>
      <c r="R41" s="6"/>
      <c r="S41" s="6"/>
      <c r="T41" s="156"/>
      <c r="U41" s="6"/>
    </row>
    <row r="42" spans="1:21" customFormat="1">
      <c r="A42" s="163" t="s">
        <v>3064</v>
      </c>
      <c r="B42" s="100">
        <v>21.35</v>
      </c>
      <c r="C42" s="100">
        <v>18.440000000000001</v>
      </c>
      <c r="D42" s="100">
        <v>26.76</v>
      </c>
      <c r="E42" s="100">
        <v>3.66</v>
      </c>
      <c r="F42" s="100">
        <v>0.14000000000000001</v>
      </c>
      <c r="G42" s="100">
        <v>59.24</v>
      </c>
      <c r="H42" s="100">
        <v>45.92</v>
      </c>
      <c r="I42" s="100">
        <v>16.72</v>
      </c>
      <c r="J42" s="100">
        <v>0.14000000000000001</v>
      </c>
      <c r="K42" s="100">
        <v>165.26</v>
      </c>
      <c r="L42" s="100">
        <v>13.4</v>
      </c>
      <c r="M42" s="100">
        <v>67.97</v>
      </c>
      <c r="N42" s="100">
        <v>210.4</v>
      </c>
      <c r="O42" s="100">
        <v>0</v>
      </c>
      <c r="P42" s="100">
        <v>1.2</v>
      </c>
      <c r="Q42" s="100">
        <v>9.32</v>
      </c>
      <c r="R42" s="6"/>
      <c r="S42" s="6"/>
      <c r="T42" s="156"/>
      <c r="U42" s="6"/>
    </row>
    <row r="43" spans="1:21" customFormat="1">
      <c r="A43" s="163" t="s">
        <v>3065</v>
      </c>
      <c r="B43" s="100">
        <v>20.54</v>
      </c>
      <c r="C43" s="100">
        <v>19.059999999999999</v>
      </c>
      <c r="D43" s="100">
        <v>26.43</v>
      </c>
      <c r="E43" s="100">
        <v>3.68</v>
      </c>
      <c r="F43" s="100">
        <v>0.37</v>
      </c>
      <c r="G43" s="100">
        <v>64.14</v>
      </c>
      <c r="H43" s="100">
        <v>45.56</v>
      </c>
      <c r="I43" s="100">
        <v>16.66</v>
      </c>
      <c r="J43" s="100">
        <v>0.08</v>
      </c>
      <c r="K43" s="100">
        <v>171.61</v>
      </c>
      <c r="L43" s="100">
        <v>14.77</v>
      </c>
      <c r="M43" s="100">
        <v>58.35</v>
      </c>
      <c r="N43" s="100">
        <v>247.1</v>
      </c>
      <c r="O43" s="100">
        <v>0</v>
      </c>
      <c r="P43" s="100">
        <v>1.18</v>
      </c>
      <c r="Q43" s="100">
        <v>9.32</v>
      </c>
      <c r="R43" s="6"/>
      <c r="S43" s="6"/>
      <c r="T43" s="156"/>
      <c r="U43" s="6"/>
    </row>
    <row r="44" spans="1:21" customFormat="1">
      <c r="A44" s="163" t="s">
        <v>3066</v>
      </c>
      <c r="B44" s="100">
        <v>19.61</v>
      </c>
      <c r="C44" s="100">
        <v>19.16</v>
      </c>
      <c r="D44" s="100">
        <v>25.74</v>
      </c>
      <c r="E44" s="100">
        <v>3.92</v>
      </c>
      <c r="F44" s="100">
        <v>0.48</v>
      </c>
      <c r="G44" s="100">
        <v>70.84</v>
      </c>
      <c r="H44" s="100">
        <v>45.29</v>
      </c>
      <c r="I44" s="100">
        <v>16.53</v>
      </c>
      <c r="J44" s="100">
        <v>0.16</v>
      </c>
      <c r="K44" s="100">
        <v>107.38</v>
      </c>
      <c r="L44" s="100">
        <v>16.32</v>
      </c>
      <c r="M44" s="100">
        <v>51.85</v>
      </c>
      <c r="N44" s="100">
        <v>276.60000000000002</v>
      </c>
      <c r="O44" s="100">
        <v>0</v>
      </c>
      <c r="P44" s="100">
        <v>1.1599999999999999</v>
      </c>
      <c r="Q44" s="100">
        <v>9.32</v>
      </c>
      <c r="R44" s="6"/>
      <c r="S44" s="6"/>
      <c r="T44" s="156"/>
      <c r="U44" s="6"/>
    </row>
    <row r="45" spans="1:21" customFormat="1">
      <c r="A45" s="163" t="s">
        <v>3067</v>
      </c>
      <c r="B45" s="100">
        <v>18.52</v>
      </c>
      <c r="C45" s="100">
        <v>19.64</v>
      </c>
      <c r="D45" s="100">
        <v>25.11</v>
      </c>
      <c r="E45" s="100">
        <v>3.9</v>
      </c>
      <c r="F45" s="100">
        <v>0.64</v>
      </c>
      <c r="G45" s="100">
        <v>70.84</v>
      </c>
      <c r="H45" s="100">
        <v>45.29</v>
      </c>
      <c r="I45" s="100">
        <v>16.39</v>
      </c>
      <c r="J45" s="100">
        <v>0.18</v>
      </c>
      <c r="K45" s="100">
        <v>144.51</v>
      </c>
      <c r="L45" s="100">
        <v>17.78</v>
      </c>
      <c r="M45" s="100">
        <v>46.1</v>
      </c>
      <c r="N45" s="100">
        <v>227.9</v>
      </c>
      <c r="O45" s="100">
        <v>0</v>
      </c>
      <c r="P45" s="100">
        <v>1.1399999999999999</v>
      </c>
      <c r="Q45" s="100">
        <v>9.32</v>
      </c>
      <c r="R45" s="6"/>
      <c r="S45" s="6"/>
      <c r="T45" s="156"/>
      <c r="U45" s="6"/>
    </row>
    <row r="46" spans="1:21" customFormat="1">
      <c r="A46" s="163" t="s">
        <v>3068</v>
      </c>
      <c r="B46" s="100">
        <v>17.45</v>
      </c>
      <c r="C46" s="100">
        <v>20.12</v>
      </c>
      <c r="D46" s="100">
        <v>24.51</v>
      </c>
      <c r="E46" s="100">
        <v>3.76</v>
      </c>
      <c r="F46" s="100">
        <v>0.35</v>
      </c>
      <c r="G46" s="100">
        <v>70.84</v>
      </c>
      <c r="H46" s="100">
        <v>45.29</v>
      </c>
      <c r="I46" s="100">
        <v>16.239999999999998</v>
      </c>
      <c r="J46" s="100">
        <v>0.28000000000000003</v>
      </c>
      <c r="K46" s="100">
        <v>55.93</v>
      </c>
      <c r="L46" s="100">
        <v>18.28</v>
      </c>
      <c r="M46" s="100">
        <v>44.15</v>
      </c>
      <c r="N46" s="100">
        <v>129.5</v>
      </c>
      <c r="O46" s="100">
        <v>0</v>
      </c>
      <c r="P46" s="100">
        <v>1.1100000000000001</v>
      </c>
      <c r="Q46" s="100">
        <v>9.32</v>
      </c>
      <c r="R46" s="6"/>
      <c r="S46" s="6"/>
      <c r="T46" s="156"/>
      <c r="U46" s="6"/>
    </row>
    <row r="47" spans="1:21" customFormat="1">
      <c r="A47" s="163" t="s">
        <v>3069</v>
      </c>
      <c r="B47" s="100">
        <v>17.010000000000002</v>
      </c>
      <c r="C47" s="100">
        <v>20.43</v>
      </c>
      <c r="D47" s="100">
        <v>24.31</v>
      </c>
      <c r="E47" s="100">
        <v>4.2699999999999996</v>
      </c>
      <c r="F47" s="100">
        <v>0.37</v>
      </c>
      <c r="G47" s="100">
        <v>70.17</v>
      </c>
      <c r="H47" s="100">
        <v>45.1</v>
      </c>
      <c r="I47" s="100">
        <v>16.010000000000002</v>
      </c>
      <c r="J47" s="100">
        <v>0.43</v>
      </c>
      <c r="K47" s="100">
        <v>57.11</v>
      </c>
      <c r="L47" s="100">
        <v>18.62</v>
      </c>
      <c r="M47" s="100">
        <v>42.37</v>
      </c>
      <c r="N47" s="100">
        <v>135.1</v>
      </c>
      <c r="O47" s="100">
        <v>0</v>
      </c>
      <c r="P47" s="100">
        <v>1.1000000000000001</v>
      </c>
      <c r="Q47" s="100">
        <v>9.32</v>
      </c>
      <c r="R47" s="6"/>
      <c r="S47" s="6"/>
      <c r="T47" s="156"/>
      <c r="U47" s="6"/>
    </row>
    <row r="48" spans="1:21" customFormat="1">
      <c r="A48" s="163" t="s">
        <v>3070</v>
      </c>
      <c r="B48" s="100">
        <v>16.649999999999999</v>
      </c>
      <c r="C48" s="100">
        <v>21.01</v>
      </c>
      <c r="D48" s="100">
        <v>24.33</v>
      </c>
      <c r="E48" s="100">
        <v>3.96</v>
      </c>
      <c r="F48" s="100">
        <v>0.28999999999999998</v>
      </c>
      <c r="G48" s="100">
        <v>69.25</v>
      </c>
      <c r="H48" s="100">
        <v>44.95</v>
      </c>
      <c r="I48" s="100">
        <v>15.76</v>
      </c>
      <c r="J48" s="100">
        <v>0.59</v>
      </c>
      <c r="K48" s="100">
        <v>39.25</v>
      </c>
      <c r="L48" s="100">
        <v>19.13</v>
      </c>
      <c r="M48" s="100">
        <v>40.98</v>
      </c>
      <c r="N48" s="100">
        <v>141.6</v>
      </c>
      <c r="O48" s="100">
        <v>0</v>
      </c>
      <c r="P48" s="100">
        <v>1.08</v>
      </c>
      <c r="Q48" s="100">
        <v>9.32</v>
      </c>
      <c r="R48" s="6"/>
      <c r="S48" s="6"/>
      <c r="T48" s="156"/>
      <c r="U48" s="6"/>
    </row>
    <row r="49" spans="1:21" customFormat="1">
      <c r="A49" s="163" t="s">
        <v>3071</v>
      </c>
      <c r="B49" s="100">
        <v>15.85</v>
      </c>
      <c r="C49" s="100">
        <v>21.58</v>
      </c>
      <c r="D49" s="100">
        <v>23.98</v>
      </c>
      <c r="E49" s="100">
        <v>2.34</v>
      </c>
      <c r="F49" s="100">
        <v>0.49</v>
      </c>
      <c r="G49" s="100">
        <v>69.25</v>
      </c>
      <c r="H49" s="100">
        <v>44.95</v>
      </c>
      <c r="I49" s="100">
        <v>15.55</v>
      </c>
      <c r="J49" s="100">
        <v>0.3</v>
      </c>
      <c r="K49" s="100">
        <v>45.77</v>
      </c>
      <c r="L49" s="100">
        <v>20.059999999999999</v>
      </c>
      <c r="M49" s="100">
        <v>37.950000000000003</v>
      </c>
      <c r="N49" s="100">
        <v>335.3</v>
      </c>
      <c r="O49" s="100">
        <v>0</v>
      </c>
      <c r="P49" s="100">
        <v>1.07</v>
      </c>
      <c r="Q49" s="100">
        <v>9.32</v>
      </c>
      <c r="R49" s="6"/>
      <c r="S49" s="6"/>
      <c r="T49" s="156"/>
      <c r="U49" s="6"/>
    </row>
    <row r="50" spans="1:21" customFormat="1">
      <c r="A50" s="163" t="s">
        <v>3072</v>
      </c>
      <c r="B50" s="100">
        <v>14.52</v>
      </c>
      <c r="C50" s="100">
        <v>22.46</v>
      </c>
      <c r="D50" s="100">
        <v>23.37</v>
      </c>
      <c r="E50" s="100">
        <v>3.72</v>
      </c>
      <c r="F50" s="100">
        <v>0.62</v>
      </c>
      <c r="G50" s="100">
        <v>69.25</v>
      </c>
      <c r="H50" s="100">
        <v>44.95</v>
      </c>
      <c r="I50" s="100">
        <v>15.41</v>
      </c>
      <c r="J50" s="100">
        <v>0.56000000000000005</v>
      </c>
      <c r="K50" s="100">
        <v>43.28</v>
      </c>
      <c r="L50" s="100">
        <v>20.76</v>
      </c>
      <c r="M50" s="100">
        <v>35.520000000000003</v>
      </c>
      <c r="N50" s="100">
        <v>453.2</v>
      </c>
      <c r="O50" s="100">
        <v>0</v>
      </c>
      <c r="P50" s="100">
        <v>1.04</v>
      </c>
      <c r="Q50" s="100">
        <v>9.32</v>
      </c>
      <c r="R50" s="6"/>
      <c r="S50" s="6"/>
      <c r="T50" s="156"/>
      <c r="U50" s="6"/>
    </row>
    <row r="51" spans="1:21" customFormat="1">
      <c r="A51" s="163" t="s">
        <v>3073</v>
      </c>
      <c r="B51" s="100">
        <v>12.74</v>
      </c>
      <c r="C51" s="100">
        <v>23.92</v>
      </c>
      <c r="D51" s="100">
        <v>22.72</v>
      </c>
      <c r="E51" s="100">
        <v>3.48</v>
      </c>
      <c r="F51" s="100">
        <v>0.68</v>
      </c>
      <c r="G51" s="100">
        <v>71.94</v>
      </c>
      <c r="H51" s="100">
        <v>42.39</v>
      </c>
      <c r="I51" s="100">
        <v>15.24</v>
      </c>
      <c r="J51" s="100">
        <v>0.18</v>
      </c>
      <c r="K51" s="100">
        <v>164</v>
      </c>
      <c r="L51" s="100">
        <v>21.81</v>
      </c>
      <c r="M51" s="100">
        <v>33.130000000000003</v>
      </c>
      <c r="N51" s="100">
        <v>475.2</v>
      </c>
      <c r="O51" s="100">
        <v>0</v>
      </c>
      <c r="P51" s="100">
        <v>1.01</v>
      </c>
      <c r="Q51" s="100">
        <v>9.32</v>
      </c>
      <c r="R51" s="6"/>
      <c r="S51" s="6"/>
      <c r="T51" s="156"/>
      <c r="U51" s="6"/>
    </row>
    <row r="52" spans="1:21" customFormat="1">
      <c r="A52" s="163" t="s">
        <v>3074</v>
      </c>
      <c r="B52" s="100">
        <v>10.69</v>
      </c>
      <c r="C52" s="100">
        <v>25.01</v>
      </c>
      <c r="D52" s="100">
        <v>21.64</v>
      </c>
      <c r="E52" s="100">
        <v>3.66</v>
      </c>
      <c r="F52" s="100">
        <v>0.98</v>
      </c>
      <c r="G52" s="100">
        <v>75.63</v>
      </c>
      <c r="H52" s="100">
        <v>40.380000000000003</v>
      </c>
      <c r="I52" s="100">
        <v>14.95</v>
      </c>
      <c r="J52" s="100">
        <v>0.4</v>
      </c>
      <c r="K52" s="100">
        <v>110.03</v>
      </c>
      <c r="L52" s="100">
        <v>22.66</v>
      </c>
      <c r="M52" s="100">
        <v>30.04</v>
      </c>
      <c r="N52" s="100">
        <v>499</v>
      </c>
      <c r="O52" s="100">
        <v>0</v>
      </c>
      <c r="P52" s="100">
        <v>0.99</v>
      </c>
      <c r="Q52" s="100">
        <v>9.32</v>
      </c>
      <c r="R52" s="6"/>
      <c r="S52" s="6"/>
      <c r="T52" s="156"/>
      <c r="U52" s="6"/>
    </row>
    <row r="53" spans="1:21" customFormat="1">
      <c r="A53" s="163" t="s">
        <v>3075</v>
      </c>
      <c r="B53" s="100">
        <v>8.76</v>
      </c>
      <c r="C53" s="100">
        <v>25.85</v>
      </c>
      <c r="D53" s="100">
        <v>20.53</v>
      </c>
      <c r="E53" s="100">
        <v>4.03</v>
      </c>
      <c r="F53" s="100">
        <v>0.89</v>
      </c>
      <c r="G53" s="100">
        <v>75.63</v>
      </c>
      <c r="H53" s="100">
        <v>40.380000000000003</v>
      </c>
      <c r="I53" s="100">
        <v>14.61</v>
      </c>
      <c r="J53" s="100">
        <v>0.3</v>
      </c>
      <c r="K53" s="100">
        <v>357.28</v>
      </c>
      <c r="L53" s="100">
        <v>22.83</v>
      </c>
      <c r="M53" s="100">
        <v>29.88</v>
      </c>
      <c r="N53" s="100">
        <v>471.8</v>
      </c>
      <c r="O53" s="100">
        <v>0</v>
      </c>
      <c r="P53" s="100">
        <v>0.96</v>
      </c>
      <c r="Q53" s="100">
        <v>9.32</v>
      </c>
      <c r="R53" s="6"/>
      <c r="S53" s="6"/>
      <c r="T53" s="156"/>
      <c r="U53" s="6"/>
    </row>
    <row r="54" spans="1:21" customFormat="1">
      <c r="A54" s="163" t="s">
        <v>3076</v>
      </c>
      <c r="B54" s="100">
        <v>7.12</v>
      </c>
      <c r="C54" s="100">
        <v>26.35</v>
      </c>
      <c r="D54" s="100">
        <v>19.48</v>
      </c>
      <c r="E54" s="100">
        <v>3.8</v>
      </c>
      <c r="F54" s="100">
        <v>1.1299999999999999</v>
      </c>
      <c r="G54" s="100">
        <v>75.63</v>
      </c>
      <c r="H54" s="100">
        <v>40.380000000000003</v>
      </c>
      <c r="I54" s="100">
        <v>14.26</v>
      </c>
      <c r="J54" s="100">
        <v>0.35</v>
      </c>
      <c r="K54" s="100">
        <v>104.03</v>
      </c>
      <c r="L54" s="100">
        <v>23.49</v>
      </c>
      <c r="M54" s="100">
        <v>27.46</v>
      </c>
      <c r="N54" s="100">
        <v>530.5</v>
      </c>
      <c r="O54" s="100">
        <v>0</v>
      </c>
      <c r="P54" s="100">
        <v>0.94</v>
      </c>
      <c r="Q54" s="100">
        <v>9.32</v>
      </c>
      <c r="R54" s="6"/>
      <c r="S54" s="6"/>
      <c r="T54" s="156"/>
      <c r="U54" s="6"/>
    </row>
    <row r="55" spans="1:21" customFormat="1">
      <c r="A55" s="163" t="s">
        <v>3077</v>
      </c>
      <c r="B55" s="100">
        <v>5.63</v>
      </c>
      <c r="C55" s="100">
        <v>26.44</v>
      </c>
      <c r="D55" s="100">
        <v>18.329999999999998</v>
      </c>
      <c r="E55" s="100">
        <v>3.59</v>
      </c>
      <c r="F55" s="100">
        <v>1.47</v>
      </c>
      <c r="G55" s="100">
        <v>69.819999999999993</v>
      </c>
      <c r="H55" s="100">
        <v>38.799999999999997</v>
      </c>
      <c r="I55" s="100">
        <v>15.51</v>
      </c>
      <c r="J55" s="100">
        <v>0.41</v>
      </c>
      <c r="K55" s="100">
        <v>56.75</v>
      </c>
      <c r="L55" s="100">
        <v>23.63</v>
      </c>
      <c r="M55" s="100">
        <v>27.21</v>
      </c>
      <c r="N55" s="100">
        <v>531.1</v>
      </c>
      <c r="O55" s="100">
        <v>0</v>
      </c>
      <c r="P55" s="100">
        <v>0.92</v>
      </c>
      <c r="Q55" s="100">
        <v>9.32</v>
      </c>
      <c r="R55" s="6"/>
      <c r="S55" s="6"/>
      <c r="T55" s="156"/>
      <c r="U55" s="6"/>
    </row>
    <row r="56" spans="1:21" customFormat="1">
      <c r="A56" s="163" t="s">
        <v>3078</v>
      </c>
      <c r="B56" s="100">
        <v>4.54</v>
      </c>
      <c r="C56" s="100">
        <v>26.28</v>
      </c>
      <c r="D56" s="100">
        <v>17.37</v>
      </c>
      <c r="E56" s="100">
        <v>3.67</v>
      </c>
      <c r="F56" s="100">
        <v>1.59</v>
      </c>
      <c r="G56" s="100">
        <v>61.87</v>
      </c>
      <c r="H56" s="100">
        <v>37.56</v>
      </c>
      <c r="I56" s="100">
        <v>16.989999999999998</v>
      </c>
      <c r="J56" s="100">
        <v>0.37</v>
      </c>
      <c r="K56" s="100">
        <v>305.57</v>
      </c>
      <c r="L56" s="100">
        <v>24</v>
      </c>
      <c r="M56" s="100">
        <v>26.7</v>
      </c>
      <c r="N56" s="100">
        <v>549.1</v>
      </c>
      <c r="O56" s="100">
        <v>0</v>
      </c>
      <c r="P56" s="100">
        <v>0.89</v>
      </c>
      <c r="Q56" s="100">
        <v>9.32</v>
      </c>
      <c r="R56" s="6"/>
      <c r="S56" s="6"/>
      <c r="T56" s="156"/>
      <c r="U56" s="6"/>
    </row>
    <row r="57" spans="1:21" customFormat="1">
      <c r="A57" s="163" t="s">
        <v>3079</v>
      </c>
      <c r="B57" s="100">
        <v>3.8</v>
      </c>
      <c r="C57" s="100">
        <v>25.78</v>
      </c>
      <c r="D57" s="100">
        <v>16.510000000000002</v>
      </c>
      <c r="E57" s="100">
        <v>3.41</v>
      </c>
      <c r="F57" s="100">
        <v>1.77</v>
      </c>
      <c r="G57" s="100">
        <v>61.87</v>
      </c>
      <c r="H57" s="100">
        <v>37.56</v>
      </c>
      <c r="I57" s="100">
        <v>16.739999999999998</v>
      </c>
      <c r="J57" s="100">
        <v>0.49</v>
      </c>
      <c r="K57" s="100">
        <v>342.36</v>
      </c>
      <c r="L57" s="100">
        <v>24.08</v>
      </c>
      <c r="M57" s="100">
        <v>25.56</v>
      </c>
      <c r="N57" s="100">
        <v>547</v>
      </c>
      <c r="O57" s="100">
        <v>0</v>
      </c>
      <c r="P57" s="100">
        <v>0.88</v>
      </c>
      <c r="Q57" s="100">
        <v>9.32</v>
      </c>
      <c r="R57" s="6"/>
      <c r="S57" s="6"/>
      <c r="T57" s="156"/>
      <c r="U57" s="6"/>
    </row>
    <row r="58" spans="1:21" customFormat="1">
      <c r="A58" s="163" t="s">
        <v>3080</v>
      </c>
      <c r="B58" s="100">
        <v>3.3</v>
      </c>
      <c r="C58" s="100">
        <v>25.23</v>
      </c>
      <c r="D58" s="100">
        <v>15.83</v>
      </c>
      <c r="E58" s="100">
        <v>3.62</v>
      </c>
      <c r="F58" s="100">
        <v>2.09</v>
      </c>
      <c r="G58" s="100">
        <v>61.87</v>
      </c>
      <c r="H58" s="100">
        <v>37.56</v>
      </c>
      <c r="I58" s="100">
        <v>16.47</v>
      </c>
      <c r="J58" s="100">
        <v>0.61</v>
      </c>
      <c r="K58" s="100">
        <v>311.5</v>
      </c>
      <c r="L58" s="100">
        <v>24.35</v>
      </c>
      <c r="M58" s="100">
        <v>23.29</v>
      </c>
      <c r="N58" s="100">
        <v>547.4</v>
      </c>
      <c r="O58" s="100">
        <v>0</v>
      </c>
      <c r="P58" s="100">
        <v>0.85</v>
      </c>
      <c r="Q58" s="100">
        <v>9.32</v>
      </c>
      <c r="R58" s="6"/>
      <c r="S58" s="6"/>
      <c r="T58" s="156"/>
      <c r="U58" s="6"/>
    </row>
    <row r="59" spans="1:21" customFormat="1">
      <c r="A59" s="163" t="s">
        <v>3081</v>
      </c>
      <c r="B59" s="100">
        <v>2.98</v>
      </c>
      <c r="C59" s="100">
        <v>24.38</v>
      </c>
      <c r="D59" s="100">
        <v>15.13</v>
      </c>
      <c r="E59" s="100">
        <v>3.81</v>
      </c>
      <c r="F59" s="100">
        <v>2.48</v>
      </c>
      <c r="G59" s="100">
        <v>58.23</v>
      </c>
      <c r="H59" s="100">
        <v>35.76</v>
      </c>
      <c r="I59" s="100">
        <v>16.190000000000001</v>
      </c>
      <c r="J59" s="100">
        <v>0.15</v>
      </c>
      <c r="K59" s="100">
        <v>240.76</v>
      </c>
      <c r="L59" s="100">
        <v>24.7</v>
      </c>
      <c r="M59" s="100">
        <v>22.26</v>
      </c>
      <c r="N59" s="100">
        <v>558.5</v>
      </c>
      <c r="O59" s="100">
        <v>0</v>
      </c>
      <c r="P59" s="100">
        <v>0.82</v>
      </c>
      <c r="Q59" s="100">
        <v>9.32</v>
      </c>
      <c r="R59" s="6"/>
      <c r="S59" s="6"/>
      <c r="T59" s="156"/>
      <c r="U59" s="6"/>
    </row>
    <row r="60" spans="1:21" customFormat="1">
      <c r="A60" s="163" t="s">
        <v>3082</v>
      </c>
      <c r="B60" s="100">
        <v>2.72</v>
      </c>
      <c r="C60" s="100">
        <v>23.31</v>
      </c>
      <c r="D60" s="100">
        <v>14.36</v>
      </c>
      <c r="E60" s="100">
        <v>3.7</v>
      </c>
      <c r="F60" s="100">
        <v>2.7</v>
      </c>
      <c r="G60" s="100">
        <v>53.26</v>
      </c>
      <c r="H60" s="100">
        <v>32.299999999999997</v>
      </c>
      <c r="I60" s="100">
        <v>15.86</v>
      </c>
      <c r="J60" s="100">
        <v>0.37</v>
      </c>
      <c r="K60" s="100">
        <v>321.45</v>
      </c>
      <c r="L60" s="100">
        <v>24.86</v>
      </c>
      <c r="M60" s="100">
        <v>21.5</v>
      </c>
      <c r="N60" s="100">
        <v>553.9</v>
      </c>
      <c r="O60" s="100">
        <v>0</v>
      </c>
      <c r="P60" s="100">
        <v>0.8</v>
      </c>
      <c r="Q60" s="100">
        <v>9.32</v>
      </c>
      <c r="R60" s="6"/>
      <c r="S60" s="6"/>
      <c r="T60" s="156"/>
      <c r="U60" s="6"/>
    </row>
    <row r="61" spans="1:21" customFormat="1">
      <c r="A61" s="163" t="s">
        <v>3083</v>
      </c>
      <c r="B61" s="100">
        <v>2.57</v>
      </c>
      <c r="C61" s="100">
        <v>22.44</v>
      </c>
      <c r="D61" s="100">
        <v>13.79</v>
      </c>
      <c r="E61" s="100">
        <v>3.44</v>
      </c>
      <c r="F61" s="100">
        <v>3.09</v>
      </c>
      <c r="G61" s="100">
        <v>53.26</v>
      </c>
      <c r="H61" s="100">
        <v>32.299999999999997</v>
      </c>
      <c r="I61" s="100">
        <v>15.52</v>
      </c>
      <c r="J61" s="100">
        <v>0.26</v>
      </c>
      <c r="K61" s="100">
        <v>3.07</v>
      </c>
      <c r="L61" s="100">
        <v>25.02</v>
      </c>
      <c r="M61" s="100">
        <v>19.78</v>
      </c>
      <c r="N61" s="100">
        <v>501.1</v>
      </c>
      <c r="O61" s="100">
        <v>0</v>
      </c>
      <c r="P61" s="100">
        <v>0.78</v>
      </c>
      <c r="Q61" s="100">
        <v>9.32</v>
      </c>
      <c r="R61" s="6"/>
      <c r="S61" s="6"/>
      <c r="T61" s="156"/>
      <c r="U61" s="6"/>
    </row>
    <row r="62" spans="1:21" customFormat="1">
      <c r="A62" s="163" t="s">
        <v>3084</v>
      </c>
      <c r="B62" s="100">
        <v>2.5099999999999998</v>
      </c>
      <c r="C62" s="100">
        <v>21.7</v>
      </c>
      <c r="D62" s="100">
        <v>13.34</v>
      </c>
      <c r="E62" s="100">
        <v>3.46</v>
      </c>
      <c r="F62" s="100">
        <v>3.17</v>
      </c>
      <c r="G62" s="100">
        <v>53.26</v>
      </c>
      <c r="H62" s="100">
        <v>32.299999999999997</v>
      </c>
      <c r="I62" s="100">
        <v>15.21</v>
      </c>
      <c r="J62" s="100">
        <v>0.26</v>
      </c>
      <c r="K62" s="100">
        <v>295.68</v>
      </c>
      <c r="L62" s="100">
        <v>24.78</v>
      </c>
      <c r="M62" s="100">
        <v>18.93</v>
      </c>
      <c r="N62" s="100">
        <v>303.3</v>
      </c>
      <c r="O62" s="100">
        <v>0</v>
      </c>
      <c r="P62" s="100">
        <v>0.76</v>
      </c>
      <c r="Q62" s="100">
        <v>9.32</v>
      </c>
      <c r="R62" s="6"/>
      <c r="S62" s="6"/>
      <c r="T62" s="156"/>
      <c r="U62" s="6"/>
    </row>
    <row r="63" spans="1:21" customFormat="1">
      <c r="A63" s="163" t="s">
        <v>3085</v>
      </c>
      <c r="B63" s="100">
        <v>2.4700000000000002</v>
      </c>
      <c r="C63" s="100">
        <v>20.97</v>
      </c>
      <c r="D63" s="100">
        <v>12.93</v>
      </c>
      <c r="E63" s="100">
        <v>3.39</v>
      </c>
      <c r="F63" s="100">
        <v>3.27</v>
      </c>
      <c r="G63" s="100">
        <v>47.73</v>
      </c>
      <c r="H63" s="100">
        <v>28.23</v>
      </c>
      <c r="I63" s="100">
        <v>14.9</v>
      </c>
      <c r="J63" s="100">
        <v>0.38</v>
      </c>
      <c r="K63" s="100">
        <v>228.69</v>
      </c>
      <c r="L63" s="100">
        <v>24.07</v>
      </c>
      <c r="M63" s="100">
        <v>20</v>
      </c>
      <c r="N63" s="100">
        <v>134.30000000000001</v>
      </c>
      <c r="O63" s="100">
        <v>0</v>
      </c>
      <c r="P63" s="100">
        <v>0.74</v>
      </c>
      <c r="Q63" s="100">
        <v>9.32</v>
      </c>
      <c r="R63" s="6"/>
      <c r="S63" s="6"/>
      <c r="T63" s="156"/>
      <c r="U63" s="6"/>
    </row>
    <row r="64" spans="1:21" customFormat="1">
      <c r="A64" s="163" t="s">
        <v>3086</v>
      </c>
      <c r="B64" s="100">
        <v>2.42</v>
      </c>
      <c r="C64" s="100">
        <v>20.170000000000002</v>
      </c>
      <c r="D64" s="100">
        <v>12.48</v>
      </c>
      <c r="E64" s="100">
        <v>3.4</v>
      </c>
      <c r="F64" s="100">
        <v>3.49</v>
      </c>
      <c r="G64" s="100">
        <v>40.18</v>
      </c>
      <c r="H64" s="100">
        <v>25.05</v>
      </c>
      <c r="I64" s="100">
        <v>14.56</v>
      </c>
      <c r="J64" s="100">
        <v>0.16</v>
      </c>
      <c r="K64" s="100">
        <v>49.79</v>
      </c>
      <c r="L64" s="100">
        <v>24.67</v>
      </c>
      <c r="M64" s="100">
        <v>17.47</v>
      </c>
      <c r="N64" s="100">
        <v>106.8</v>
      </c>
      <c r="O64" s="100">
        <v>0</v>
      </c>
      <c r="P64" s="100">
        <v>0.71</v>
      </c>
      <c r="Q64" s="100">
        <v>9.32</v>
      </c>
      <c r="R64" s="6"/>
      <c r="S64" s="6"/>
      <c r="T64" s="156"/>
      <c r="U64" s="6"/>
    </row>
    <row r="65" spans="1:21" customFormat="1">
      <c r="A65" s="163" t="s">
        <v>3087</v>
      </c>
      <c r="B65" s="100">
        <v>2.39</v>
      </c>
      <c r="C65" s="100">
        <v>19.75</v>
      </c>
      <c r="D65" s="100">
        <v>12.23</v>
      </c>
      <c r="E65" s="100">
        <v>3.69</v>
      </c>
      <c r="F65" s="100">
        <v>3.48</v>
      </c>
      <c r="G65" s="100">
        <v>40.18</v>
      </c>
      <c r="H65" s="100">
        <v>25.05</v>
      </c>
      <c r="I65" s="100">
        <v>14.23</v>
      </c>
      <c r="J65" s="100">
        <v>0.26</v>
      </c>
      <c r="K65" s="100">
        <v>69.900000000000006</v>
      </c>
      <c r="L65" s="100">
        <v>24.77</v>
      </c>
      <c r="M65" s="100">
        <v>18.97</v>
      </c>
      <c r="N65" s="100">
        <v>103.6</v>
      </c>
      <c r="O65" s="100">
        <v>0</v>
      </c>
      <c r="P65" s="100">
        <v>0.68</v>
      </c>
      <c r="Q65" s="100">
        <v>9.32</v>
      </c>
      <c r="R65" s="6"/>
      <c r="S65" s="6"/>
      <c r="T65" s="156"/>
      <c r="U65" s="6"/>
    </row>
    <row r="66" spans="1:21" customFormat="1">
      <c r="A66" s="163" t="s">
        <v>3088</v>
      </c>
      <c r="B66" s="100">
        <v>2.34</v>
      </c>
      <c r="C66" s="100">
        <v>19.41</v>
      </c>
      <c r="D66" s="100">
        <v>12.01</v>
      </c>
      <c r="E66" s="100">
        <v>3.87</v>
      </c>
      <c r="F66" s="100">
        <v>3.56</v>
      </c>
      <c r="G66" s="100">
        <v>40.18</v>
      </c>
      <c r="H66" s="100">
        <v>25.05</v>
      </c>
      <c r="I66" s="100">
        <v>13.9</v>
      </c>
      <c r="J66" s="100">
        <v>0.23</v>
      </c>
      <c r="K66" s="100">
        <v>180.62</v>
      </c>
      <c r="L66" s="100">
        <v>24.58</v>
      </c>
      <c r="M66" s="100">
        <v>22.51</v>
      </c>
      <c r="N66" s="100">
        <v>104.6</v>
      </c>
      <c r="O66" s="100">
        <v>0</v>
      </c>
      <c r="P66" s="100">
        <v>0.69</v>
      </c>
      <c r="Q66" s="100">
        <v>9.32</v>
      </c>
      <c r="R66" s="6"/>
      <c r="S66" s="6"/>
      <c r="T66" s="156"/>
      <c r="U66" s="6"/>
    </row>
    <row r="67" spans="1:21" customFormat="1">
      <c r="A67" s="163" t="s">
        <v>3089</v>
      </c>
      <c r="B67" s="100">
        <v>2.2999999999999998</v>
      </c>
      <c r="C67" s="100">
        <v>19.04</v>
      </c>
      <c r="D67" s="100">
        <v>11.79</v>
      </c>
      <c r="E67" s="100">
        <v>3.73</v>
      </c>
      <c r="F67" s="100">
        <v>3.75</v>
      </c>
      <c r="G67" s="100">
        <v>41.1</v>
      </c>
      <c r="H67" s="100">
        <v>25.16</v>
      </c>
      <c r="I67" s="100">
        <v>13.63</v>
      </c>
      <c r="J67" s="100">
        <v>0.31</v>
      </c>
      <c r="K67" s="100">
        <v>237.15</v>
      </c>
      <c r="L67" s="100">
        <v>24.65</v>
      </c>
      <c r="M67" s="100">
        <v>22.45</v>
      </c>
      <c r="N67" s="100">
        <v>112.5</v>
      </c>
      <c r="O67" s="100">
        <v>0</v>
      </c>
      <c r="P67" s="100">
        <v>0.68</v>
      </c>
      <c r="Q67" s="100">
        <v>9.32</v>
      </c>
      <c r="R67" s="6"/>
      <c r="S67" s="6"/>
      <c r="T67" s="156"/>
      <c r="U67" s="6"/>
    </row>
    <row r="68" spans="1:21" customFormat="1">
      <c r="A68" s="163" t="s">
        <v>3090</v>
      </c>
      <c r="B68" s="100">
        <v>2.27</v>
      </c>
      <c r="C68" s="100">
        <v>18.72</v>
      </c>
      <c r="D68" s="100">
        <v>11.6</v>
      </c>
      <c r="E68" s="100">
        <v>3.67</v>
      </c>
      <c r="F68" s="100">
        <v>3.96</v>
      </c>
      <c r="G68" s="100">
        <v>42.36</v>
      </c>
      <c r="H68" s="100">
        <v>25.24</v>
      </c>
      <c r="I68" s="100">
        <v>13.46</v>
      </c>
      <c r="J68" s="100">
        <v>0.26</v>
      </c>
      <c r="K68" s="100">
        <v>206.76</v>
      </c>
      <c r="L68" s="100">
        <v>24.6</v>
      </c>
      <c r="M68" s="100">
        <v>21.63</v>
      </c>
      <c r="N68" s="100">
        <v>94.5</v>
      </c>
      <c r="O68" s="100">
        <v>0</v>
      </c>
      <c r="P68" s="100">
        <v>0.67</v>
      </c>
      <c r="Q68" s="100">
        <v>9.32</v>
      </c>
      <c r="R68" s="6"/>
      <c r="S68" s="6"/>
      <c r="T68" s="156"/>
      <c r="U68" s="6"/>
    </row>
    <row r="69" spans="1:21" customFormat="1">
      <c r="A69" s="163" t="s">
        <v>3091</v>
      </c>
      <c r="B69" s="100">
        <v>2.2400000000000002</v>
      </c>
      <c r="C69" s="100">
        <v>18.350000000000001</v>
      </c>
      <c r="D69" s="100">
        <v>11.39</v>
      </c>
      <c r="E69" s="100">
        <v>3.99</v>
      </c>
      <c r="F69" s="100">
        <v>4.3099999999999996</v>
      </c>
      <c r="G69" s="100">
        <v>42.36</v>
      </c>
      <c r="H69" s="100">
        <v>25.24</v>
      </c>
      <c r="I69" s="100">
        <v>13.26</v>
      </c>
      <c r="J69" s="100">
        <v>0.28000000000000003</v>
      </c>
      <c r="K69" s="100">
        <v>158.58000000000001</v>
      </c>
      <c r="L69" s="100">
        <v>24.55</v>
      </c>
      <c r="M69" s="100">
        <v>21.6</v>
      </c>
      <c r="N69" s="100">
        <v>91.9</v>
      </c>
      <c r="O69" s="100">
        <v>0</v>
      </c>
      <c r="P69" s="100">
        <v>0.65</v>
      </c>
      <c r="Q69" s="100">
        <v>9.32</v>
      </c>
      <c r="R69" s="6"/>
      <c r="S69" s="6"/>
      <c r="T69" s="156"/>
      <c r="U69" s="6"/>
    </row>
    <row r="70" spans="1:21" customFormat="1">
      <c r="A70" s="163" t="s">
        <v>3092</v>
      </c>
      <c r="B70" s="100">
        <v>2.25</v>
      </c>
      <c r="C70" s="100">
        <v>18.03</v>
      </c>
      <c r="D70" s="100">
        <v>11.23</v>
      </c>
      <c r="E70" s="100">
        <v>3.92</v>
      </c>
      <c r="F70" s="100">
        <v>3.89</v>
      </c>
      <c r="G70" s="100">
        <v>42.36</v>
      </c>
      <c r="H70" s="100">
        <v>25.24</v>
      </c>
      <c r="I70" s="100">
        <v>13.07</v>
      </c>
      <c r="J70" s="100">
        <v>0.22</v>
      </c>
      <c r="K70" s="100">
        <v>221.23</v>
      </c>
      <c r="L70" s="100">
        <v>24.14</v>
      </c>
      <c r="M70" s="100">
        <v>23.98</v>
      </c>
      <c r="N70" s="100">
        <v>77.7</v>
      </c>
      <c r="O70" s="100">
        <v>0</v>
      </c>
      <c r="P70" s="100">
        <v>0.66</v>
      </c>
      <c r="Q70" s="100">
        <v>9.32</v>
      </c>
      <c r="R70" s="6"/>
      <c r="S70" s="6"/>
      <c r="T70" s="156"/>
      <c r="U70" s="6"/>
    </row>
    <row r="71" spans="1:21" customFormat="1">
      <c r="A71" s="163" t="s">
        <v>3093</v>
      </c>
      <c r="B71" s="100">
        <v>2.33</v>
      </c>
      <c r="C71" s="100">
        <v>17.75</v>
      </c>
      <c r="D71" s="100">
        <v>11.14</v>
      </c>
      <c r="E71" s="100">
        <v>3.9</v>
      </c>
      <c r="F71" s="100">
        <v>2.65</v>
      </c>
      <c r="G71" s="100">
        <v>43.49</v>
      </c>
      <c r="H71" s="100">
        <v>23.53</v>
      </c>
      <c r="I71" s="100">
        <v>12.88</v>
      </c>
      <c r="J71" s="100">
        <v>0.19</v>
      </c>
      <c r="K71" s="100">
        <v>215.73</v>
      </c>
      <c r="L71" s="100">
        <v>24.05</v>
      </c>
      <c r="M71" s="100">
        <v>22.29</v>
      </c>
      <c r="N71" s="100">
        <v>75.400000000000006</v>
      </c>
      <c r="O71" s="100">
        <v>0</v>
      </c>
      <c r="P71" s="100">
        <v>0.64</v>
      </c>
      <c r="Q71" s="100">
        <v>9.32</v>
      </c>
      <c r="R71" s="6"/>
      <c r="S71" s="6"/>
      <c r="T71" s="156"/>
      <c r="U71" s="6"/>
    </row>
    <row r="72" spans="1:21" customFormat="1">
      <c r="A72" s="163" t="s">
        <v>3094</v>
      </c>
      <c r="B72" s="100">
        <v>2.44</v>
      </c>
      <c r="C72" s="100">
        <v>17.260000000000002</v>
      </c>
      <c r="D72" s="100">
        <v>10.97</v>
      </c>
      <c r="E72" s="100">
        <v>3.53</v>
      </c>
      <c r="F72" s="100">
        <v>2.12</v>
      </c>
      <c r="G72" s="100">
        <v>45.04</v>
      </c>
      <c r="H72" s="100">
        <v>22.19</v>
      </c>
      <c r="I72" s="100">
        <v>12.49</v>
      </c>
      <c r="J72" s="100">
        <v>0.14000000000000001</v>
      </c>
      <c r="K72" s="100">
        <v>209.05</v>
      </c>
      <c r="L72" s="100">
        <v>23.58</v>
      </c>
      <c r="M72" s="100">
        <v>23.06</v>
      </c>
      <c r="N72" s="100">
        <v>63.4</v>
      </c>
      <c r="O72" s="100">
        <v>0</v>
      </c>
      <c r="P72" s="100">
        <v>0.63</v>
      </c>
      <c r="Q72" s="100">
        <v>9.32</v>
      </c>
      <c r="R72" s="6"/>
      <c r="S72" s="6"/>
      <c r="T72" s="156"/>
      <c r="U72" s="6"/>
    </row>
    <row r="73" spans="1:21" customFormat="1">
      <c r="A73" s="163" t="s">
        <v>3095</v>
      </c>
      <c r="B73" s="100">
        <v>2.4900000000000002</v>
      </c>
      <c r="C73" s="100">
        <v>16.77</v>
      </c>
      <c r="D73" s="100">
        <v>10.76</v>
      </c>
      <c r="E73" s="100">
        <v>3.7</v>
      </c>
      <c r="F73" s="100">
        <v>1.89</v>
      </c>
      <c r="G73" s="100">
        <v>45.04</v>
      </c>
      <c r="H73" s="100">
        <v>22.19</v>
      </c>
      <c r="I73" s="100">
        <v>12.39</v>
      </c>
      <c r="J73" s="100">
        <v>0.15</v>
      </c>
      <c r="K73" s="100">
        <v>179.95</v>
      </c>
      <c r="L73" s="100">
        <v>23.31</v>
      </c>
      <c r="M73" s="100">
        <v>25.25</v>
      </c>
      <c r="N73" s="100">
        <v>59.1</v>
      </c>
      <c r="O73" s="100">
        <v>0</v>
      </c>
      <c r="P73" s="100">
        <v>0.62</v>
      </c>
      <c r="Q73" s="100">
        <v>9.32</v>
      </c>
      <c r="R73" s="6"/>
      <c r="S73" s="6"/>
      <c r="T73" s="156"/>
      <c r="U73" s="6"/>
    </row>
    <row r="74" spans="1:21" customFormat="1">
      <c r="A74" s="163" t="s">
        <v>3096</v>
      </c>
      <c r="B74" s="100">
        <v>2.56</v>
      </c>
      <c r="C74" s="100">
        <v>16.28</v>
      </c>
      <c r="D74" s="100">
        <v>10.56</v>
      </c>
      <c r="E74" s="100">
        <v>3.84</v>
      </c>
      <c r="F74" s="100">
        <v>1.68</v>
      </c>
      <c r="G74" s="100">
        <v>45.04</v>
      </c>
      <c r="H74" s="100">
        <v>22.19</v>
      </c>
      <c r="I74" s="100">
        <v>12.37</v>
      </c>
      <c r="J74" s="100">
        <v>0.16</v>
      </c>
      <c r="K74" s="100">
        <v>165.26</v>
      </c>
      <c r="L74" s="100">
        <v>22.77</v>
      </c>
      <c r="M74" s="100">
        <v>26.74</v>
      </c>
      <c r="N74" s="100">
        <v>54.7</v>
      </c>
      <c r="O74" s="100">
        <v>0</v>
      </c>
      <c r="P74" s="100">
        <v>0.61</v>
      </c>
      <c r="Q74" s="100">
        <v>9.32</v>
      </c>
      <c r="R74" s="6"/>
      <c r="S74" s="6"/>
      <c r="T74" s="156"/>
      <c r="U74" s="6"/>
    </row>
    <row r="75" spans="1:21" customFormat="1">
      <c r="A75" s="163" t="s">
        <v>3097</v>
      </c>
      <c r="B75" s="100">
        <v>2.6</v>
      </c>
      <c r="C75" s="100">
        <v>15.96</v>
      </c>
      <c r="D75" s="100">
        <v>10.42</v>
      </c>
      <c r="E75" s="100">
        <v>1.7</v>
      </c>
      <c r="F75" s="100">
        <v>1.42</v>
      </c>
      <c r="G75" s="100">
        <v>46.49</v>
      </c>
      <c r="H75" s="100">
        <v>23.41</v>
      </c>
      <c r="I75" s="100">
        <v>12.03</v>
      </c>
      <c r="J75" s="100">
        <v>0.21</v>
      </c>
      <c r="K75" s="100">
        <v>163.41999999999999</v>
      </c>
      <c r="L75" s="100">
        <v>22.27</v>
      </c>
      <c r="M75" s="100">
        <v>29.23</v>
      </c>
      <c r="N75" s="100">
        <v>51.4</v>
      </c>
      <c r="O75" s="100">
        <v>0</v>
      </c>
      <c r="P75" s="100">
        <v>0.61</v>
      </c>
      <c r="Q75" s="100">
        <v>9.32</v>
      </c>
      <c r="R75" s="6"/>
      <c r="S75" s="6"/>
      <c r="T75" s="156"/>
      <c r="U75" s="6"/>
    </row>
    <row r="76" spans="1:21" customFormat="1">
      <c r="A76" s="163" t="s">
        <v>3098</v>
      </c>
      <c r="B76" s="100">
        <v>2.68</v>
      </c>
      <c r="C76" s="100">
        <v>15.73</v>
      </c>
      <c r="D76" s="100">
        <v>10.37</v>
      </c>
      <c r="E76" s="100">
        <v>3.6</v>
      </c>
      <c r="F76" s="100">
        <v>1.35</v>
      </c>
      <c r="G76" s="100">
        <v>48.47</v>
      </c>
      <c r="H76" s="100">
        <v>24.34</v>
      </c>
      <c r="I76" s="100">
        <v>11.86</v>
      </c>
      <c r="J76" s="100">
        <v>0.3</v>
      </c>
      <c r="K76" s="100">
        <v>165.92</v>
      </c>
      <c r="L76" s="100">
        <v>21.8</v>
      </c>
      <c r="M76" s="100">
        <v>29.39</v>
      </c>
      <c r="N76" s="100">
        <v>40.1</v>
      </c>
      <c r="O76" s="100">
        <v>0</v>
      </c>
      <c r="P76" s="100">
        <v>0.6</v>
      </c>
      <c r="Q76" s="100">
        <v>9.32</v>
      </c>
      <c r="R76" s="6"/>
      <c r="S76" s="6"/>
      <c r="T76" s="156"/>
      <c r="U76" s="6"/>
    </row>
    <row r="77" spans="1:21" customFormat="1">
      <c r="A77" s="163" t="s">
        <v>3099</v>
      </c>
      <c r="B77" s="100">
        <v>2.72</v>
      </c>
      <c r="C77" s="100">
        <v>15.55</v>
      </c>
      <c r="D77" s="100">
        <v>10.31</v>
      </c>
      <c r="E77" s="100">
        <v>3.64</v>
      </c>
      <c r="F77" s="100">
        <v>1.66</v>
      </c>
      <c r="G77" s="100">
        <v>48.47</v>
      </c>
      <c r="H77" s="100">
        <v>24.34</v>
      </c>
      <c r="I77" s="100">
        <v>11.7</v>
      </c>
      <c r="J77" s="100">
        <v>0.22</v>
      </c>
      <c r="K77" s="100">
        <v>175.85</v>
      </c>
      <c r="L77" s="100">
        <v>20.81</v>
      </c>
      <c r="M77" s="100">
        <v>34.479999999999997</v>
      </c>
      <c r="N77" s="100">
        <v>33.299999999999997</v>
      </c>
      <c r="O77" s="100">
        <v>0</v>
      </c>
      <c r="P77" s="100">
        <v>0.59</v>
      </c>
      <c r="Q77" s="100">
        <v>9.32</v>
      </c>
      <c r="R77" s="6"/>
      <c r="S77" s="6"/>
      <c r="T77" s="156"/>
      <c r="U77" s="6"/>
    </row>
    <row r="78" spans="1:21" customFormat="1">
      <c r="A78" s="163" t="s">
        <v>3100</v>
      </c>
      <c r="B78" s="100">
        <v>2.76</v>
      </c>
      <c r="C78" s="100">
        <v>15.5</v>
      </c>
      <c r="D78" s="100">
        <v>10.31</v>
      </c>
      <c r="E78" s="100">
        <v>3.74</v>
      </c>
      <c r="F78" s="100">
        <v>1.49</v>
      </c>
      <c r="G78" s="100">
        <v>48.47</v>
      </c>
      <c r="H78" s="100">
        <v>24.34</v>
      </c>
      <c r="I78" s="100">
        <v>11.65</v>
      </c>
      <c r="J78" s="100">
        <v>0.25</v>
      </c>
      <c r="K78" s="100">
        <v>155.88</v>
      </c>
      <c r="L78" s="100">
        <v>19.82</v>
      </c>
      <c r="M78" s="100">
        <v>39.93</v>
      </c>
      <c r="N78" s="100">
        <v>27.6</v>
      </c>
      <c r="O78" s="100">
        <v>0</v>
      </c>
      <c r="P78" s="100">
        <v>0.57999999999999996</v>
      </c>
      <c r="Q78" s="100">
        <v>9.32</v>
      </c>
      <c r="R78" s="6"/>
      <c r="S78" s="6"/>
      <c r="T78" s="156"/>
      <c r="U78" s="6"/>
    </row>
    <row r="79" spans="1:21" customFormat="1">
      <c r="A79" s="163" t="s">
        <v>3101</v>
      </c>
      <c r="B79" s="100">
        <v>2.82</v>
      </c>
      <c r="C79" s="100">
        <v>15.43</v>
      </c>
      <c r="D79" s="100">
        <v>10.32</v>
      </c>
      <c r="E79" s="100">
        <v>3.81</v>
      </c>
      <c r="F79" s="100">
        <v>1.2</v>
      </c>
      <c r="G79" s="100">
        <v>50.19</v>
      </c>
      <c r="H79" s="100">
        <v>26.43</v>
      </c>
      <c r="I79" s="100">
        <v>11.66</v>
      </c>
      <c r="J79" s="100">
        <v>0.27</v>
      </c>
      <c r="K79" s="100">
        <v>156.93</v>
      </c>
      <c r="L79" s="100">
        <v>18.899999999999999</v>
      </c>
      <c r="M79" s="100">
        <v>40.770000000000003</v>
      </c>
      <c r="N79" s="100">
        <v>24.8</v>
      </c>
      <c r="O79" s="100">
        <v>0</v>
      </c>
      <c r="P79" s="100">
        <v>0.59</v>
      </c>
      <c r="Q79" s="100">
        <v>9.32</v>
      </c>
      <c r="R79" s="6"/>
      <c r="S79" s="6"/>
      <c r="T79" s="156"/>
      <c r="U79" s="6"/>
    </row>
    <row r="80" spans="1:21" customFormat="1">
      <c r="A80" s="163" t="s">
        <v>3102</v>
      </c>
      <c r="B80" s="100">
        <v>3.17</v>
      </c>
      <c r="C80" s="100">
        <v>15.76</v>
      </c>
      <c r="D80" s="100">
        <v>10.77</v>
      </c>
      <c r="E80" s="100">
        <v>3.65</v>
      </c>
      <c r="F80" s="100">
        <v>0.82</v>
      </c>
      <c r="G80" s="100">
        <v>52.53</v>
      </c>
      <c r="H80" s="100">
        <v>28.03</v>
      </c>
      <c r="I80" s="100">
        <v>11.86</v>
      </c>
      <c r="J80" s="100">
        <v>0.2</v>
      </c>
      <c r="K80" s="100">
        <v>137.54</v>
      </c>
      <c r="L80" s="100">
        <v>18.64</v>
      </c>
      <c r="M80" s="100">
        <v>40.61</v>
      </c>
      <c r="N80" s="100">
        <v>23.8</v>
      </c>
      <c r="O80" s="100">
        <v>0</v>
      </c>
      <c r="P80" s="100">
        <v>0.61</v>
      </c>
      <c r="Q80" s="100">
        <v>9.32</v>
      </c>
      <c r="R80" s="6"/>
      <c r="S80" s="6"/>
      <c r="T80" s="156"/>
      <c r="U80" s="6"/>
    </row>
    <row r="81" spans="1:21" customFormat="1">
      <c r="A81" s="163" t="s">
        <v>3103</v>
      </c>
      <c r="B81" s="100">
        <v>4.46</v>
      </c>
      <c r="C81" s="100">
        <v>17.14</v>
      </c>
      <c r="D81" s="100">
        <v>12.53</v>
      </c>
      <c r="E81" s="100">
        <v>2.98</v>
      </c>
      <c r="F81" s="100">
        <v>0.36</v>
      </c>
      <c r="G81" s="100">
        <v>52.53</v>
      </c>
      <c r="H81" s="100">
        <v>28.03</v>
      </c>
      <c r="I81" s="100">
        <v>12.38</v>
      </c>
      <c r="J81" s="100">
        <v>0.18</v>
      </c>
      <c r="K81" s="100">
        <v>180.57</v>
      </c>
      <c r="L81" s="100">
        <v>18.27</v>
      </c>
      <c r="M81" s="100">
        <v>45.67</v>
      </c>
      <c r="N81" s="100">
        <v>23.7</v>
      </c>
      <c r="O81" s="100">
        <v>0</v>
      </c>
      <c r="P81" s="100">
        <v>0.63</v>
      </c>
      <c r="Q81" s="100">
        <v>9.32</v>
      </c>
      <c r="R81" s="6"/>
      <c r="S81" s="6"/>
      <c r="T81" s="156"/>
      <c r="U81" s="6"/>
    </row>
    <row r="82" spans="1:21" customFormat="1">
      <c r="A82" s="163" t="s">
        <v>3104</v>
      </c>
      <c r="B82" s="100">
        <v>5.77</v>
      </c>
      <c r="C82" s="100">
        <v>18.45</v>
      </c>
      <c r="D82" s="100">
        <v>14.26</v>
      </c>
      <c r="E82" s="100">
        <v>3.98</v>
      </c>
      <c r="F82" s="100">
        <v>0.24</v>
      </c>
      <c r="G82" s="100">
        <v>52.53</v>
      </c>
      <c r="H82" s="100">
        <v>28.03</v>
      </c>
      <c r="I82" s="100">
        <v>13.17</v>
      </c>
      <c r="J82" s="100">
        <v>0.23</v>
      </c>
      <c r="K82" s="100">
        <v>159.94</v>
      </c>
      <c r="L82" s="100">
        <v>17.420000000000002</v>
      </c>
      <c r="M82" s="100">
        <v>51.97</v>
      </c>
      <c r="N82" s="100">
        <v>23.3</v>
      </c>
      <c r="O82" s="100">
        <v>0</v>
      </c>
      <c r="P82" s="100">
        <v>0.65</v>
      </c>
      <c r="Q82" s="100">
        <v>9.32</v>
      </c>
      <c r="R82" s="6"/>
      <c r="S82" s="6"/>
      <c r="T82" s="156"/>
      <c r="U82" s="6"/>
    </row>
    <row r="83" spans="1:21" customFormat="1">
      <c r="A83" s="163" t="s">
        <v>3105</v>
      </c>
      <c r="B83" s="100">
        <v>6.49</v>
      </c>
      <c r="C83" s="100">
        <v>19.38</v>
      </c>
      <c r="D83" s="100">
        <v>15.33</v>
      </c>
      <c r="E83" s="100">
        <v>3.92</v>
      </c>
      <c r="F83" s="100">
        <v>0.17</v>
      </c>
      <c r="G83" s="100">
        <v>62.18</v>
      </c>
      <c r="H83" s="100">
        <v>28.36</v>
      </c>
      <c r="I83" s="100">
        <v>14.12</v>
      </c>
      <c r="J83" s="100">
        <v>0.19</v>
      </c>
      <c r="K83" s="100">
        <v>169.77</v>
      </c>
      <c r="L83" s="100">
        <v>16.920000000000002</v>
      </c>
      <c r="M83" s="100">
        <v>53.11</v>
      </c>
      <c r="N83" s="100">
        <v>23.2</v>
      </c>
      <c r="O83" s="100">
        <v>0</v>
      </c>
      <c r="P83" s="100">
        <v>0.67</v>
      </c>
      <c r="Q83" s="100">
        <v>9.32</v>
      </c>
      <c r="R83" s="6"/>
      <c r="S83" s="6"/>
      <c r="T83" s="156"/>
      <c r="U83" s="6"/>
    </row>
    <row r="84" spans="1:21" customFormat="1">
      <c r="A84" s="163" t="s">
        <v>3106</v>
      </c>
      <c r="B84" s="100">
        <v>6.88</v>
      </c>
      <c r="C84" s="100">
        <v>20.02</v>
      </c>
      <c r="D84" s="100">
        <v>15.98</v>
      </c>
      <c r="E84" s="100">
        <v>3.73</v>
      </c>
      <c r="F84" s="100">
        <v>0.28999999999999998</v>
      </c>
      <c r="G84" s="100">
        <v>75.37</v>
      </c>
      <c r="H84" s="100">
        <v>29.06</v>
      </c>
      <c r="I84" s="100">
        <v>14.91</v>
      </c>
      <c r="J84" s="100">
        <v>0.37</v>
      </c>
      <c r="K84" s="100">
        <v>163.54</v>
      </c>
      <c r="L84" s="100">
        <v>16.559999999999999</v>
      </c>
      <c r="M84" s="100">
        <v>53.62</v>
      </c>
      <c r="N84" s="100">
        <v>23.2</v>
      </c>
      <c r="O84" s="100">
        <v>0</v>
      </c>
      <c r="P84" s="100">
        <v>0.69</v>
      </c>
      <c r="Q84" s="100">
        <v>9.32</v>
      </c>
      <c r="R84" s="6"/>
      <c r="S84" s="6"/>
      <c r="T84" s="156"/>
      <c r="U84" s="6"/>
    </row>
    <row r="85" spans="1:21" customFormat="1">
      <c r="A85" s="163" t="s">
        <v>3107</v>
      </c>
      <c r="B85" s="100">
        <v>7.2</v>
      </c>
      <c r="C85" s="100">
        <v>20.56</v>
      </c>
      <c r="D85" s="100">
        <v>16.510000000000002</v>
      </c>
      <c r="E85" s="100">
        <v>3.87</v>
      </c>
      <c r="F85" s="100">
        <v>7.0000000000000007E-2</v>
      </c>
      <c r="G85" s="100">
        <v>75.37</v>
      </c>
      <c r="H85" s="100">
        <v>29.06</v>
      </c>
      <c r="I85" s="100">
        <v>15.5</v>
      </c>
      <c r="J85" s="100">
        <v>0.23</v>
      </c>
      <c r="K85" s="100">
        <v>165.76</v>
      </c>
      <c r="L85" s="100">
        <v>15.81</v>
      </c>
      <c r="M85" s="100">
        <v>62.19</v>
      </c>
      <c r="N85" s="100">
        <v>23.2</v>
      </c>
      <c r="O85" s="100">
        <v>0</v>
      </c>
      <c r="P85" s="100">
        <v>0.7</v>
      </c>
      <c r="Q85" s="100">
        <v>9.32</v>
      </c>
      <c r="R85" s="6"/>
      <c r="S85" s="6"/>
      <c r="T85" s="156"/>
      <c r="U85" s="6"/>
    </row>
    <row r="86" spans="1:21" customFormat="1">
      <c r="A86" s="163" t="s">
        <v>3108</v>
      </c>
      <c r="B86" s="100">
        <v>7.35</v>
      </c>
      <c r="C86" s="100">
        <v>20.9</v>
      </c>
      <c r="D86" s="100">
        <v>16.809999999999999</v>
      </c>
      <c r="E86" s="100">
        <v>4.1900000000000004</v>
      </c>
      <c r="F86" s="100">
        <v>0.18</v>
      </c>
      <c r="G86" s="100">
        <v>75.37</v>
      </c>
      <c r="H86" s="100">
        <v>29.06</v>
      </c>
      <c r="I86" s="100">
        <v>16.11</v>
      </c>
      <c r="J86" s="100">
        <v>0.22</v>
      </c>
      <c r="K86" s="100">
        <v>188.48</v>
      </c>
      <c r="L86" s="100">
        <v>15.29</v>
      </c>
      <c r="M86" s="100">
        <v>61.74</v>
      </c>
      <c r="N86" s="100">
        <v>23</v>
      </c>
      <c r="O86" s="100">
        <v>0</v>
      </c>
      <c r="P86" s="100">
        <v>0.74</v>
      </c>
      <c r="Q86" s="100">
        <v>9.32</v>
      </c>
      <c r="R86" s="6"/>
      <c r="S86" s="6"/>
      <c r="T86" s="156"/>
      <c r="U86" s="6"/>
    </row>
    <row r="87" spans="1:21" customFormat="1">
      <c r="A87" s="163" t="s">
        <v>3109</v>
      </c>
      <c r="B87" s="100">
        <v>7.45</v>
      </c>
      <c r="C87" s="100">
        <v>21.1</v>
      </c>
      <c r="D87" s="100">
        <v>17</v>
      </c>
      <c r="E87" s="100">
        <v>3.95</v>
      </c>
      <c r="F87" s="100">
        <v>0.4</v>
      </c>
      <c r="G87" s="100">
        <v>74.349999999999994</v>
      </c>
      <c r="H87" s="100">
        <v>29.79</v>
      </c>
      <c r="I87" s="100">
        <v>16.72</v>
      </c>
      <c r="J87" s="100">
        <v>0.15</v>
      </c>
      <c r="K87" s="100">
        <v>139.65</v>
      </c>
      <c r="L87" s="100">
        <v>14.68</v>
      </c>
      <c r="M87" s="100">
        <v>65.58</v>
      </c>
      <c r="N87" s="100">
        <v>23</v>
      </c>
      <c r="O87" s="100">
        <v>0</v>
      </c>
      <c r="P87" s="100">
        <v>0.76</v>
      </c>
      <c r="Q87" s="100">
        <v>9.32</v>
      </c>
      <c r="R87" s="6"/>
      <c r="S87" s="6"/>
      <c r="T87" s="156"/>
      <c r="U87" s="6"/>
    </row>
    <row r="88" spans="1:21" customFormat="1">
      <c r="A88" s="163" t="s">
        <v>3110</v>
      </c>
      <c r="B88" s="100">
        <v>7.52</v>
      </c>
      <c r="C88" s="100">
        <v>21.09</v>
      </c>
      <c r="D88" s="100">
        <v>17.04</v>
      </c>
      <c r="E88" s="100">
        <v>3.59</v>
      </c>
      <c r="F88" s="100">
        <v>0.3</v>
      </c>
      <c r="G88" s="100">
        <v>72.94</v>
      </c>
      <c r="H88" s="100">
        <v>30.35</v>
      </c>
      <c r="I88" s="100">
        <v>17.149999999999999</v>
      </c>
      <c r="J88" s="100">
        <v>0.19</v>
      </c>
      <c r="K88" s="100">
        <v>159.77000000000001</v>
      </c>
      <c r="L88" s="100">
        <v>14.47</v>
      </c>
      <c r="M88" s="100">
        <v>62.7</v>
      </c>
      <c r="N88" s="100">
        <v>22.6</v>
      </c>
      <c r="O88" s="100">
        <v>0</v>
      </c>
      <c r="P88" s="100">
        <v>0.77</v>
      </c>
      <c r="Q88" s="100">
        <v>9.32</v>
      </c>
      <c r="R88" s="6"/>
      <c r="S88" s="6"/>
      <c r="T88" s="156"/>
      <c r="U88" s="6"/>
    </row>
    <row r="89" spans="1:21" customFormat="1">
      <c r="A89" s="163" t="s">
        <v>3111</v>
      </c>
      <c r="B89" s="100">
        <v>7.5</v>
      </c>
      <c r="C89" s="100">
        <v>20.89</v>
      </c>
      <c r="D89" s="100">
        <v>16.93</v>
      </c>
      <c r="E89" s="100">
        <v>3.64</v>
      </c>
      <c r="F89" s="100">
        <v>0.28000000000000003</v>
      </c>
      <c r="G89" s="100">
        <v>72.94</v>
      </c>
      <c r="H89" s="100">
        <v>30.35</v>
      </c>
      <c r="I89" s="100">
        <v>17.399999999999999</v>
      </c>
      <c r="J89" s="100">
        <v>0.19</v>
      </c>
      <c r="K89" s="100">
        <v>199.51</v>
      </c>
      <c r="L89" s="100">
        <v>14.31</v>
      </c>
      <c r="M89" s="100">
        <v>71.819999999999993</v>
      </c>
      <c r="N89" s="100">
        <v>22.6</v>
      </c>
      <c r="O89" s="100">
        <v>0</v>
      </c>
      <c r="P89" s="100">
        <v>0.78</v>
      </c>
      <c r="Q89" s="100">
        <v>9.32</v>
      </c>
      <c r="R89" s="6"/>
      <c r="S89" s="6"/>
      <c r="T89" s="156"/>
      <c r="U89" s="6"/>
    </row>
    <row r="90" spans="1:21" customFormat="1">
      <c r="A90" s="163" t="s">
        <v>3112</v>
      </c>
      <c r="B90" s="100">
        <v>7.39</v>
      </c>
      <c r="C90" s="100">
        <v>20.64</v>
      </c>
      <c r="D90" s="100">
        <v>16.7</v>
      </c>
      <c r="E90" s="100">
        <v>3.95</v>
      </c>
      <c r="F90" s="100">
        <v>0.22</v>
      </c>
      <c r="G90" s="100">
        <v>72.94</v>
      </c>
      <c r="H90" s="100">
        <v>30.35</v>
      </c>
      <c r="I90" s="100">
        <v>17.62</v>
      </c>
      <c r="J90" s="100">
        <v>0.2</v>
      </c>
      <c r="K90" s="100">
        <v>183.95</v>
      </c>
      <c r="L90" s="100">
        <v>13.98</v>
      </c>
      <c r="M90" s="100">
        <v>75.39</v>
      </c>
      <c r="N90" s="100">
        <v>22.6</v>
      </c>
      <c r="O90" s="100">
        <v>0</v>
      </c>
      <c r="P90" s="100">
        <v>0.8</v>
      </c>
      <c r="Q90" s="100">
        <v>9.32</v>
      </c>
      <c r="R90" s="6"/>
      <c r="S90" s="6"/>
      <c r="T90" s="156"/>
      <c r="U90" s="6"/>
    </row>
    <row r="91" spans="1:21" customFormat="1">
      <c r="A91" s="163" t="s">
        <v>3113</v>
      </c>
      <c r="B91" s="100">
        <v>7.3</v>
      </c>
      <c r="C91" s="100">
        <v>20.29</v>
      </c>
      <c r="D91" s="100">
        <v>16.46</v>
      </c>
      <c r="E91" s="100">
        <v>4</v>
      </c>
      <c r="F91" s="100">
        <v>0.28999999999999998</v>
      </c>
      <c r="G91" s="100">
        <v>73.069999999999993</v>
      </c>
      <c r="H91" s="100">
        <v>31.06</v>
      </c>
      <c r="I91" s="100">
        <v>17.84</v>
      </c>
      <c r="J91" s="100">
        <v>0.18</v>
      </c>
      <c r="K91" s="100">
        <v>176.44</v>
      </c>
      <c r="L91" s="100">
        <v>13.69</v>
      </c>
      <c r="M91" s="100">
        <v>77.37</v>
      </c>
      <c r="N91" s="100">
        <v>22.4</v>
      </c>
      <c r="O91" s="100">
        <v>0</v>
      </c>
      <c r="P91" s="100">
        <v>0.82</v>
      </c>
      <c r="Q91" s="100">
        <v>9.32</v>
      </c>
      <c r="R91" s="6"/>
      <c r="S91" s="6"/>
      <c r="T91" s="156"/>
      <c r="U91" s="6"/>
    </row>
    <row r="92" spans="1:21" customFormat="1">
      <c r="A92" s="163" t="s">
        <v>3114</v>
      </c>
      <c r="B92" s="100">
        <v>7.24</v>
      </c>
      <c r="C92" s="100">
        <v>19.93</v>
      </c>
      <c r="D92" s="100">
        <v>16.22</v>
      </c>
      <c r="E92" s="100">
        <v>3.84</v>
      </c>
      <c r="F92" s="100">
        <v>0.2</v>
      </c>
      <c r="G92" s="100">
        <v>73.239999999999995</v>
      </c>
      <c r="H92" s="100">
        <v>31.6</v>
      </c>
      <c r="I92" s="100">
        <v>17.97</v>
      </c>
      <c r="J92" s="100">
        <v>0.22</v>
      </c>
      <c r="K92" s="100">
        <v>164.4</v>
      </c>
      <c r="L92" s="100">
        <v>13.65</v>
      </c>
      <c r="M92" s="100">
        <v>78.260000000000005</v>
      </c>
      <c r="N92" s="100">
        <v>22.2</v>
      </c>
      <c r="O92" s="100">
        <v>0</v>
      </c>
      <c r="P92" s="100">
        <v>0.83</v>
      </c>
      <c r="Q92" s="100">
        <v>9.32</v>
      </c>
      <c r="R92" s="6"/>
      <c r="S92" s="6"/>
      <c r="T92" s="156"/>
      <c r="U92" s="6"/>
    </row>
    <row r="93" spans="1:21" customFormat="1">
      <c r="A93" s="163" t="s">
        <v>3115</v>
      </c>
      <c r="B93" s="100">
        <v>7.23</v>
      </c>
      <c r="C93" s="100">
        <v>19.510000000000002</v>
      </c>
      <c r="D93" s="100">
        <v>15.99</v>
      </c>
      <c r="E93" s="100">
        <v>3.84</v>
      </c>
      <c r="F93" s="100">
        <v>0.17</v>
      </c>
      <c r="G93" s="100">
        <v>73.239999999999995</v>
      </c>
      <c r="H93" s="100">
        <v>31.6</v>
      </c>
      <c r="I93" s="100">
        <v>16.39</v>
      </c>
      <c r="J93" s="100">
        <v>0.2</v>
      </c>
      <c r="K93" s="100">
        <v>184.23</v>
      </c>
      <c r="L93" s="100">
        <v>13.57</v>
      </c>
      <c r="M93" s="100">
        <v>80.010000000000005</v>
      </c>
      <c r="N93" s="100">
        <v>22.2</v>
      </c>
      <c r="O93" s="100">
        <v>0</v>
      </c>
      <c r="P93" s="100">
        <v>0.84</v>
      </c>
      <c r="Q93" s="100">
        <v>9.32</v>
      </c>
      <c r="R93" s="6"/>
      <c r="S93" s="6"/>
      <c r="T93" s="156"/>
      <c r="U93" s="6"/>
    </row>
    <row r="94" spans="1:21" customFormat="1">
      <c r="A94" s="163" t="s">
        <v>3116</v>
      </c>
      <c r="B94" s="100">
        <v>7.2</v>
      </c>
      <c r="C94" s="100">
        <v>19.29</v>
      </c>
      <c r="D94" s="100">
        <v>15.85</v>
      </c>
      <c r="E94" s="100">
        <v>4.01</v>
      </c>
      <c r="F94" s="100">
        <v>0.21</v>
      </c>
      <c r="G94" s="100">
        <v>73.239999999999995</v>
      </c>
      <c r="H94" s="100">
        <v>31.6</v>
      </c>
      <c r="I94" s="100">
        <v>14.66</v>
      </c>
      <c r="J94" s="100">
        <v>0.15</v>
      </c>
      <c r="K94" s="100">
        <v>178.13</v>
      </c>
      <c r="L94" s="100">
        <v>13.37</v>
      </c>
      <c r="M94" s="100">
        <v>75.98</v>
      </c>
      <c r="N94" s="100">
        <v>22.4</v>
      </c>
      <c r="O94" s="100">
        <v>0</v>
      </c>
      <c r="P94" s="100">
        <v>0.85</v>
      </c>
      <c r="Q94" s="100">
        <v>9.32</v>
      </c>
      <c r="R94" s="6"/>
      <c r="S94" s="6"/>
      <c r="T94" s="156"/>
      <c r="U94" s="6"/>
    </row>
    <row r="95" spans="1:21" customFormat="1">
      <c r="A95" s="163" t="s">
        <v>3117</v>
      </c>
      <c r="B95" s="100">
        <v>7.13</v>
      </c>
      <c r="C95" s="100">
        <v>19.18</v>
      </c>
      <c r="D95" s="100">
        <v>15.74</v>
      </c>
      <c r="E95" s="100">
        <v>3.64</v>
      </c>
      <c r="F95" s="100">
        <v>0.47</v>
      </c>
      <c r="G95" s="100">
        <v>72.33</v>
      </c>
      <c r="H95" s="100">
        <v>32.81</v>
      </c>
      <c r="I95" s="100">
        <v>14.81</v>
      </c>
      <c r="J95" s="100">
        <v>0.27</v>
      </c>
      <c r="K95" s="100">
        <v>155.46</v>
      </c>
      <c r="L95" s="100">
        <v>13.57</v>
      </c>
      <c r="M95" s="100">
        <v>76.12</v>
      </c>
      <c r="N95" s="100">
        <v>22.1</v>
      </c>
      <c r="O95" s="100">
        <v>0</v>
      </c>
      <c r="P95" s="100">
        <v>0.86</v>
      </c>
      <c r="Q95" s="100">
        <v>9.32</v>
      </c>
      <c r="R95" s="6"/>
      <c r="S95" s="6"/>
      <c r="T95" s="156"/>
      <c r="U95" s="6"/>
    </row>
    <row r="96" spans="1:21" customFormat="1">
      <c r="A96" s="163" t="s">
        <v>3118</v>
      </c>
      <c r="B96" s="100">
        <v>7.06</v>
      </c>
      <c r="C96" s="100">
        <v>18.93</v>
      </c>
      <c r="D96" s="100">
        <v>15.56</v>
      </c>
      <c r="E96" s="100">
        <v>3.53</v>
      </c>
      <c r="F96" s="100">
        <v>0.34</v>
      </c>
      <c r="G96" s="100">
        <v>71.09</v>
      </c>
      <c r="H96" s="100">
        <v>33.75</v>
      </c>
      <c r="I96" s="100">
        <v>15</v>
      </c>
      <c r="J96" s="100">
        <v>0.18</v>
      </c>
      <c r="K96" s="100">
        <v>210.28</v>
      </c>
      <c r="L96" s="100">
        <v>13.36</v>
      </c>
      <c r="M96" s="100">
        <v>78.44</v>
      </c>
      <c r="N96" s="100">
        <v>22.2</v>
      </c>
      <c r="O96" s="100">
        <v>0</v>
      </c>
      <c r="P96" s="100">
        <v>0.87</v>
      </c>
      <c r="Q96" s="100">
        <v>9.32</v>
      </c>
      <c r="R96" s="6"/>
      <c r="S96" s="6"/>
      <c r="T96" s="156"/>
      <c r="U96" s="6"/>
    </row>
    <row r="97" spans="1:28" customFormat="1">
      <c r="A97" s="163" t="s">
        <v>3119</v>
      </c>
      <c r="B97" s="100">
        <v>7.03</v>
      </c>
      <c r="C97" s="100">
        <v>18.739999999999998</v>
      </c>
      <c r="D97" s="100">
        <v>15.43</v>
      </c>
      <c r="E97" s="100">
        <v>3.62</v>
      </c>
      <c r="F97" s="100">
        <v>0.31</v>
      </c>
      <c r="G97" s="100">
        <v>71.09</v>
      </c>
      <c r="H97" s="100">
        <v>33.75</v>
      </c>
      <c r="I97" s="100">
        <v>15.24</v>
      </c>
      <c r="J97" s="100">
        <v>0.18</v>
      </c>
      <c r="K97" s="100">
        <v>189.83</v>
      </c>
      <c r="L97" s="100">
        <v>13.11</v>
      </c>
      <c r="M97" s="100">
        <v>79.099999999999994</v>
      </c>
      <c r="N97" s="100">
        <v>22.2</v>
      </c>
      <c r="O97" s="100">
        <v>0</v>
      </c>
      <c r="P97" s="100">
        <v>0.88</v>
      </c>
      <c r="Q97" s="100">
        <v>9.32</v>
      </c>
      <c r="R97" s="6"/>
      <c r="S97" s="6"/>
      <c r="T97" s="156"/>
      <c r="U97" s="6"/>
    </row>
    <row r="98" spans="1:28" customFormat="1">
      <c r="A98" s="163" t="s">
        <v>3120</v>
      </c>
      <c r="B98" s="100">
        <v>6.95</v>
      </c>
      <c r="C98" s="100">
        <v>18.600000000000001</v>
      </c>
      <c r="D98" s="100">
        <v>15.29</v>
      </c>
      <c r="E98" s="100">
        <v>4.0199999999999996</v>
      </c>
      <c r="F98" s="100">
        <v>0.27</v>
      </c>
      <c r="G98" s="100">
        <v>71.09</v>
      </c>
      <c r="H98" s="100">
        <v>33.75</v>
      </c>
      <c r="I98" s="100">
        <v>15.46</v>
      </c>
      <c r="J98" s="100">
        <v>0.18</v>
      </c>
      <c r="K98" s="100">
        <v>212.47</v>
      </c>
      <c r="L98" s="100">
        <v>12.89</v>
      </c>
      <c r="M98" s="100">
        <v>79.180000000000007</v>
      </c>
      <c r="N98" s="100">
        <v>22.3</v>
      </c>
      <c r="O98" s="100">
        <v>0</v>
      </c>
      <c r="P98" s="100">
        <v>0.89</v>
      </c>
      <c r="Q98" s="100">
        <v>9.32</v>
      </c>
      <c r="R98" s="6"/>
      <c r="S98" s="6"/>
      <c r="T98" s="156"/>
      <c r="U98" s="6"/>
    </row>
    <row r="99" spans="1:28" customFormat="1">
      <c r="A99" s="163" t="s">
        <v>3121</v>
      </c>
      <c r="B99" s="100">
        <v>6.9</v>
      </c>
      <c r="C99" s="100">
        <v>18.440000000000001</v>
      </c>
      <c r="D99" s="100">
        <v>15.17</v>
      </c>
      <c r="E99" s="100">
        <v>3.76</v>
      </c>
      <c r="F99" s="100">
        <v>0.45</v>
      </c>
      <c r="G99" s="100">
        <v>71.77</v>
      </c>
      <c r="H99" s="100">
        <v>33.86</v>
      </c>
      <c r="I99" s="100">
        <v>15.56</v>
      </c>
      <c r="J99" s="100">
        <v>0.2</v>
      </c>
      <c r="K99" s="100">
        <v>166.86</v>
      </c>
      <c r="L99" s="100">
        <v>12.73</v>
      </c>
      <c r="M99" s="100">
        <v>81.819999999999993</v>
      </c>
      <c r="N99" s="100">
        <v>22.3</v>
      </c>
      <c r="O99" s="100">
        <v>0</v>
      </c>
      <c r="P99" s="100">
        <v>0.89</v>
      </c>
      <c r="Q99" s="100">
        <v>9.32</v>
      </c>
      <c r="R99" s="6"/>
      <c r="S99" s="6"/>
      <c r="T99" s="156"/>
      <c r="U99" s="6"/>
    </row>
    <row r="100" spans="1:28" customFormat="1">
      <c r="A100" s="163" t="s">
        <v>3122</v>
      </c>
      <c r="B100" s="100">
        <v>6.92</v>
      </c>
      <c r="C100" s="100">
        <v>18.260000000000002</v>
      </c>
      <c r="D100" s="100">
        <v>15.09</v>
      </c>
      <c r="E100" s="100">
        <v>3.68</v>
      </c>
      <c r="F100" s="100">
        <v>0.45</v>
      </c>
      <c r="G100" s="100">
        <v>72.66</v>
      </c>
      <c r="H100" s="100">
        <v>33.950000000000003</v>
      </c>
      <c r="I100" s="100">
        <v>15.61</v>
      </c>
      <c r="J100" s="100">
        <v>0.2</v>
      </c>
      <c r="K100" s="100">
        <v>200.4</v>
      </c>
      <c r="L100" s="100">
        <v>12.6</v>
      </c>
      <c r="M100" s="100">
        <v>80.28</v>
      </c>
      <c r="N100" s="100">
        <v>22.2</v>
      </c>
      <c r="O100" s="100">
        <v>0</v>
      </c>
      <c r="P100" s="100">
        <v>0.9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3123</v>
      </c>
      <c r="B101" s="100">
        <v>6.98</v>
      </c>
      <c r="C101" s="100">
        <v>18.29</v>
      </c>
      <c r="D101" s="100">
        <v>15.16</v>
      </c>
      <c r="E101" s="100">
        <v>3.95</v>
      </c>
      <c r="F101" s="100">
        <v>0.54</v>
      </c>
      <c r="G101" s="100">
        <v>72.66</v>
      </c>
      <c r="H101" s="100">
        <v>33.950000000000003</v>
      </c>
      <c r="I101" s="100">
        <v>15.74</v>
      </c>
      <c r="J101" s="100">
        <v>0.23</v>
      </c>
      <c r="K101" s="100">
        <v>182.97</v>
      </c>
      <c r="L101" s="100">
        <v>12.39</v>
      </c>
      <c r="M101" s="100">
        <v>74.95</v>
      </c>
      <c r="N101" s="100">
        <v>22.4</v>
      </c>
      <c r="O101" s="100">
        <v>0</v>
      </c>
      <c r="P101" s="100">
        <v>0.91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3124</v>
      </c>
      <c r="B102" s="100">
        <v>7.22</v>
      </c>
      <c r="C102" s="100">
        <v>18.52</v>
      </c>
      <c r="D102" s="100">
        <v>15.46</v>
      </c>
      <c r="E102" s="100">
        <v>3.79</v>
      </c>
      <c r="F102" s="100">
        <v>0.33</v>
      </c>
      <c r="G102" s="100">
        <v>72.66</v>
      </c>
      <c r="H102" s="100">
        <v>33.950000000000003</v>
      </c>
      <c r="I102" s="100">
        <v>15.84</v>
      </c>
      <c r="J102" s="100">
        <v>0.23</v>
      </c>
      <c r="K102" s="100">
        <v>176.81</v>
      </c>
      <c r="L102" s="100">
        <v>12.38</v>
      </c>
      <c r="M102" s="100">
        <v>80.3</v>
      </c>
      <c r="N102" s="100">
        <v>22.3</v>
      </c>
      <c r="O102" s="100">
        <v>0</v>
      </c>
      <c r="P102" s="100">
        <v>0.92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3125</v>
      </c>
      <c r="B103" s="100">
        <v>7.22</v>
      </c>
      <c r="C103" s="100">
        <v>18.5</v>
      </c>
      <c r="D103" s="100">
        <v>15.45</v>
      </c>
      <c r="E103" s="100">
        <v>3.96</v>
      </c>
      <c r="F103" s="100">
        <v>0.23</v>
      </c>
      <c r="G103" s="100">
        <v>69.959999999999994</v>
      </c>
      <c r="H103" s="100">
        <v>35.950000000000003</v>
      </c>
      <c r="I103" s="100">
        <v>15.85</v>
      </c>
      <c r="J103" s="100">
        <v>0.21</v>
      </c>
      <c r="K103" s="100">
        <v>168.93</v>
      </c>
      <c r="L103" s="100">
        <v>12.1</v>
      </c>
      <c r="M103" s="100">
        <v>80.77</v>
      </c>
      <c r="N103" s="100">
        <v>22.2</v>
      </c>
      <c r="O103" s="100">
        <v>0</v>
      </c>
      <c r="P103" s="100">
        <v>0.93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3126</v>
      </c>
      <c r="B104" s="100">
        <v>7.13</v>
      </c>
      <c r="C104" s="100">
        <v>18.43</v>
      </c>
      <c r="D104" s="100">
        <v>15.35</v>
      </c>
      <c r="E104" s="100">
        <v>3.66</v>
      </c>
      <c r="F104" s="100">
        <v>0.23</v>
      </c>
      <c r="G104" s="100">
        <v>66.42</v>
      </c>
      <c r="H104" s="100">
        <v>37.47</v>
      </c>
      <c r="I104" s="100">
        <v>15.87</v>
      </c>
      <c r="J104" s="100">
        <v>0.18</v>
      </c>
      <c r="K104" s="100">
        <v>183.31</v>
      </c>
      <c r="L104" s="100">
        <v>12.26</v>
      </c>
      <c r="M104" s="100">
        <v>83.44</v>
      </c>
      <c r="N104" s="100">
        <v>22.1</v>
      </c>
      <c r="O104" s="100">
        <v>0</v>
      </c>
      <c r="P104" s="100">
        <v>0.93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2.2400000000000002</v>
      </c>
      <c r="C106" s="158">
        <f>MIN(C9:C104)</f>
        <v>15.43</v>
      </c>
      <c r="D106" s="158">
        <f t="shared" ref="D106:Q106" si="0">MIN(D9:D104)</f>
        <v>10.31</v>
      </c>
      <c r="E106" s="158">
        <f t="shared" si="0"/>
        <v>1.7</v>
      </c>
      <c r="F106" s="158">
        <f t="shared" si="0"/>
        <v>7.0000000000000007E-2</v>
      </c>
      <c r="G106" s="158">
        <f t="shared" si="0"/>
        <v>40.18</v>
      </c>
      <c r="H106" s="158">
        <f t="shared" si="0"/>
        <v>22.19</v>
      </c>
      <c r="I106" s="158">
        <f t="shared" si="0"/>
        <v>11.65</v>
      </c>
      <c r="J106" s="158">
        <f t="shared" si="0"/>
        <v>0.04</v>
      </c>
      <c r="K106" s="158">
        <f t="shared" si="0"/>
        <v>3.07</v>
      </c>
      <c r="L106" s="158">
        <f t="shared" si="0"/>
        <v>8.74</v>
      </c>
      <c r="M106" s="158">
        <f t="shared" si="0"/>
        <v>17.47</v>
      </c>
      <c r="N106" s="158">
        <f t="shared" si="0"/>
        <v>22.1</v>
      </c>
      <c r="O106" s="158">
        <f t="shared" si="0"/>
        <v>0</v>
      </c>
      <c r="P106" s="158">
        <f t="shared" si="0"/>
        <v>0.57999999999999996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25.55</v>
      </c>
      <c r="C107" s="157">
        <f t="shared" ref="C107:Q107" si="1">MAX(C9:C104)</f>
        <v>26.44</v>
      </c>
      <c r="D107" s="157">
        <f t="shared" si="1"/>
        <v>30.24</v>
      </c>
      <c r="E107" s="157">
        <f t="shared" si="1"/>
        <v>4.28</v>
      </c>
      <c r="F107" s="157">
        <f t="shared" si="1"/>
        <v>4.3099999999999996</v>
      </c>
      <c r="G107" s="157">
        <f t="shared" si="1"/>
        <v>99.35</v>
      </c>
      <c r="H107" s="157">
        <f t="shared" si="1"/>
        <v>50.62</v>
      </c>
      <c r="I107" s="157">
        <f t="shared" si="1"/>
        <v>17.97</v>
      </c>
      <c r="J107" s="157">
        <f t="shared" si="1"/>
        <v>0.61</v>
      </c>
      <c r="K107" s="157">
        <f t="shared" si="1"/>
        <v>357.28</v>
      </c>
      <c r="L107" s="157">
        <f t="shared" si="1"/>
        <v>25.02</v>
      </c>
      <c r="M107" s="157">
        <f t="shared" si="1"/>
        <v>93.9</v>
      </c>
      <c r="N107" s="157">
        <f t="shared" si="1"/>
        <v>558.5</v>
      </c>
      <c r="O107" s="157">
        <f t="shared" si="1"/>
        <v>0</v>
      </c>
      <c r="P107" s="157">
        <f t="shared" si="1"/>
        <v>1.29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11.723020833333338</v>
      </c>
      <c r="C108" s="158">
        <f t="shared" ref="C108:Q108" si="2">AVERAGE(C9:C104)</f>
        <v>19.622395833333339</v>
      </c>
      <c r="D108" s="158">
        <f t="shared" si="2"/>
        <v>19.652395833333326</v>
      </c>
      <c r="E108" s="158">
        <f t="shared" si="2"/>
        <v>3.6833333333333313</v>
      </c>
      <c r="F108" s="158">
        <f t="shared" si="2"/>
        <v>0.92145833333333371</v>
      </c>
      <c r="G108" s="158">
        <f t="shared" si="2"/>
        <v>68.160937499999974</v>
      </c>
      <c r="H108" s="158">
        <f t="shared" si="2"/>
        <v>37.493645833333339</v>
      </c>
      <c r="I108" s="158">
        <f t="shared" si="2"/>
        <v>15.258854166666666</v>
      </c>
      <c r="J108" s="158">
        <f t="shared" si="2"/>
        <v>0.22291666666666665</v>
      </c>
      <c r="K108" s="158">
        <f t="shared" si="2"/>
        <v>169.91041666666666</v>
      </c>
      <c r="L108" s="158">
        <f t="shared" si="2"/>
        <v>15.993437499999997</v>
      </c>
      <c r="M108" s="158">
        <f t="shared" si="2"/>
        <v>61.418020833333308</v>
      </c>
      <c r="N108" s="158">
        <f t="shared" si="2"/>
        <v>116.4041666666667</v>
      </c>
      <c r="O108" s="158">
        <f t="shared" si="2"/>
        <v>0</v>
      </c>
      <c r="P108" s="158">
        <f t="shared" si="2"/>
        <v>0.93781250000000016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8.1983784172996916</v>
      </c>
      <c r="C109" s="158">
        <f t="shared" ref="C109:Q109" si="3">STDEV(C9:C104)</f>
        <v>2.4367786089497274</v>
      </c>
      <c r="D109" s="158">
        <f t="shared" si="3"/>
        <v>6.5442279500884881</v>
      </c>
      <c r="E109" s="158">
        <f t="shared" si="3"/>
        <v>0.41886982443783316</v>
      </c>
      <c r="F109" s="158">
        <f t="shared" si="3"/>
        <v>1.0972587653993076</v>
      </c>
      <c r="G109" s="158">
        <f t="shared" si="3"/>
        <v>15.934512565208545</v>
      </c>
      <c r="H109" s="158">
        <f t="shared" si="3"/>
        <v>9.0363940315978848</v>
      </c>
      <c r="I109" s="158">
        <f t="shared" si="3"/>
        <v>1.7056505903623678</v>
      </c>
      <c r="J109" s="158">
        <f t="shared" si="3"/>
        <v>0.1121457385131806</v>
      </c>
      <c r="K109" s="158">
        <f t="shared" si="3"/>
        <v>65.020105196966355</v>
      </c>
      <c r="L109" s="158">
        <f t="shared" si="3"/>
        <v>5.6358142041253618</v>
      </c>
      <c r="M109" s="158">
        <f t="shared" si="3"/>
        <v>27.907058553246038</v>
      </c>
      <c r="N109" s="158">
        <f t="shared" si="3"/>
        <v>165.53008434892243</v>
      </c>
      <c r="O109" s="158">
        <f t="shared" si="3"/>
        <v>0</v>
      </c>
      <c r="P109" s="158">
        <f t="shared" si="3"/>
        <v>0.22396993747987051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117"/>
  <sheetViews>
    <sheetView zoomScale="85" zoomScaleNormal="85" workbookViewId="0">
      <pane ySplit="8" topLeftCell="A102" activePane="bottomLeft" state="frozen"/>
      <selection pane="bottomLeft" activeCell="E10" sqref="E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31/12/2025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3127</v>
      </c>
      <c r="B9" s="100">
        <v>6.78</v>
      </c>
      <c r="C9" s="100">
        <v>17.95</v>
      </c>
      <c r="D9" s="100">
        <v>14.81</v>
      </c>
      <c r="E9" s="100">
        <v>3.7</v>
      </c>
      <c r="F9" s="100">
        <v>0.21</v>
      </c>
      <c r="G9" s="100">
        <v>66.42</v>
      </c>
      <c r="H9" s="100">
        <v>37.47</v>
      </c>
      <c r="I9" s="100">
        <v>18.170000000000002</v>
      </c>
      <c r="J9" s="100">
        <v>0.14000000000000001</v>
      </c>
      <c r="K9" s="100">
        <v>198.51</v>
      </c>
      <c r="L9" s="100">
        <v>11.9</v>
      </c>
      <c r="M9" s="100">
        <v>83.51</v>
      </c>
      <c r="N9" s="100">
        <v>22.2</v>
      </c>
      <c r="O9" s="100">
        <v>0</v>
      </c>
      <c r="P9" s="100">
        <v>0.94</v>
      </c>
      <c r="Q9" s="100">
        <v>9.32</v>
      </c>
      <c r="R9" s="6"/>
      <c r="S9" s="6"/>
      <c r="T9" s="156"/>
      <c r="U9" s="6"/>
    </row>
    <row r="10" spans="1:21" customFormat="1">
      <c r="A10" s="163" t="s">
        <v>3128</v>
      </c>
      <c r="B10" s="100">
        <v>6.82</v>
      </c>
      <c r="C10" s="100">
        <v>17.89</v>
      </c>
      <c r="D10" s="100">
        <v>14.82</v>
      </c>
      <c r="E10" s="100">
        <v>3.67</v>
      </c>
      <c r="F10" s="100">
        <v>0.28999999999999998</v>
      </c>
      <c r="G10" s="100">
        <v>66.42</v>
      </c>
      <c r="H10" s="100">
        <v>37.47</v>
      </c>
      <c r="I10" s="100">
        <v>18.420000000000002</v>
      </c>
      <c r="J10" s="100">
        <v>0.1</v>
      </c>
      <c r="K10" s="100">
        <v>187.91</v>
      </c>
      <c r="L10" s="100">
        <v>11.6</v>
      </c>
      <c r="M10" s="100">
        <v>84.09</v>
      </c>
      <c r="N10" s="100">
        <v>22.2</v>
      </c>
      <c r="O10" s="100">
        <v>0</v>
      </c>
      <c r="P10" s="100">
        <v>0.94</v>
      </c>
      <c r="Q10" s="100">
        <v>9.32</v>
      </c>
      <c r="R10" s="6"/>
      <c r="S10" s="6"/>
      <c r="T10" s="156"/>
      <c r="U10" s="6"/>
    </row>
    <row r="11" spans="1:21" customFormat="1">
      <c r="A11" s="163" t="s">
        <v>3129</v>
      </c>
      <c r="B11" s="100">
        <v>6.75</v>
      </c>
      <c r="C11" s="100">
        <v>17.77</v>
      </c>
      <c r="D11" s="100">
        <v>14.69</v>
      </c>
      <c r="E11" s="100">
        <v>3.72</v>
      </c>
      <c r="F11" s="100">
        <v>0.39</v>
      </c>
      <c r="G11" s="100">
        <v>65.14</v>
      </c>
      <c r="H11" s="100">
        <v>38.26</v>
      </c>
      <c r="I11" s="100">
        <v>15.96</v>
      </c>
      <c r="J11" s="100">
        <v>0.18</v>
      </c>
      <c r="K11" s="100">
        <v>151.69999999999999</v>
      </c>
      <c r="L11" s="100">
        <v>11.48</v>
      </c>
      <c r="M11" s="100">
        <v>85.42</v>
      </c>
      <c r="N11" s="100">
        <v>22.1</v>
      </c>
      <c r="O11" s="100">
        <v>0</v>
      </c>
      <c r="P11" s="100">
        <v>0.94</v>
      </c>
      <c r="Q11" s="100">
        <v>9.32</v>
      </c>
      <c r="R11" s="6"/>
      <c r="S11" s="6"/>
      <c r="T11" s="156"/>
      <c r="U11" s="6"/>
    </row>
    <row r="12" spans="1:21" customFormat="1">
      <c r="A12" s="163" t="s">
        <v>3130</v>
      </c>
      <c r="B12" s="100">
        <v>6.68</v>
      </c>
      <c r="C12" s="100">
        <v>17.52</v>
      </c>
      <c r="D12" s="100">
        <v>14.51</v>
      </c>
      <c r="E12" s="100">
        <v>3.53</v>
      </c>
      <c r="F12" s="100">
        <v>0.38</v>
      </c>
      <c r="G12" s="100">
        <v>63.45</v>
      </c>
      <c r="H12" s="100">
        <v>39.9</v>
      </c>
      <c r="I12" s="100">
        <v>15.9</v>
      </c>
      <c r="J12" s="100">
        <v>0.16</v>
      </c>
      <c r="K12" s="100">
        <v>212.24</v>
      </c>
      <c r="L12" s="100">
        <v>11.48</v>
      </c>
      <c r="M12" s="100">
        <v>86.69</v>
      </c>
      <c r="N12" s="100">
        <v>21.9</v>
      </c>
      <c r="O12" s="100">
        <v>0</v>
      </c>
      <c r="P12" s="100">
        <v>0.93</v>
      </c>
      <c r="Q12" s="100">
        <v>9.32</v>
      </c>
      <c r="R12" s="6"/>
      <c r="S12" s="6"/>
      <c r="T12" s="156"/>
      <c r="U12" s="6"/>
    </row>
    <row r="13" spans="1:21" customFormat="1">
      <c r="A13" s="163" t="s">
        <v>3131</v>
      </c>
      <c r="B13" s="100">
        <v>6.64</v>
      </c>
      <c r="C13" s="100">
        <v>17.28</v>
      </c>
      <c r="D13" s="100">
        <v>14.35</v>
      </c>
      <c r="E13" s="100">
        <v>3.6</v>
      </c>
      <c r="F13" s="100">
        <v>0.37</v>
      </c>
      <c r="G13" s="100">
        <v>63.45</v>
      </c>
      <c r="H13" s="100">
        <v>39.9</v>
      </c>
      <c r="I13" s="100">
        <v>15.79</v>
      </c>
      <c r="J13" s="100">
        <v>0.13</v>
      </c>
      <c r="K13" s="100">
        <v>176.25</v>
      </c>
      <c r="L13" s="100">
        <v>11.24</v>
      </c>
      <c r="M13" s="100">
        <v>86.23</v>
      </c>
      <c r="N13" s="100">
        <v>22.3</v>
      </c>
      <c r="O13" s="100">
        <v>0</v>
      </c>
      <c r="P13" s="100">
        <v>0.93</v>
      </c>
      <c r="Q13" s="100">
        <v>9.32</v>
      </c>
      <c r="R13" s="6"/>
      <c r="S13" s="6"/>
      <c r="T13" s="156"/>
      <c r="U13" s="6"/>
    </row>
    <row r="14" spans="1:21" customFormat="1">
      <c r="A14" s="163" t="s">
        <v>3132</v>
      </c>
      <c r="B14" s="100">
        <v>6.65</v>
      </c>
      <c r="C14" s="100">
        <v>17.100000000000001</v>
      </c>
      <c r="D14" s="100">
        <v>14.27</v>
      </c>
      <c r="E14" s="100">
        <v>3.71</v>
      </c>
      <c r="F14" s="100">
        <v>0.32</v>
      </c>
      <c r="G14" s="100">
        <v>63.45</v>
      </c>
      <c r="H14" s="100">
        <v>39.9</v>
      </c>
      <c r="I14" s="100">
        <v>15.74</v>
      </c>
      <c r="J14" s="100">
        <v>0.14000000000000001</v>
      </c>
      <c r="K14" s="100">
        <v>177.46</v>
      </c>
      <c r="L14" s="100">
        <v>10.99</v>
      </c>
      <c r="M14" s="100">
        <v>87.44</v>
      </c>
      <c r="N14" s="100">
        <v>22.2</v>
      </c>
      <c r="O14" s="100">
        <v>0</v>
      </c>
      <c r="P14" s="100">
        <v>0.94</v>
      </c>
      <c r="Q14" s="100">
        <v>9.32</v>
      </c>
      <c r="R14" s="6"/>
      <c r="S14" s="6"/>
      <c r="T14" s="156"/>
      <c r="U14" s="6"/>
    </row>
    <row r="15" spans="1:21" customFormat="1">
      <c r="A15" s="163" t="s">
        <v>3133</v>
      </c>
      <c r="B15" s="100">
        <v>6.72</v>
      </c>
      <c r="C15" s="100">
        <v>17</v>
      </c>
      <c r="D15" s="100">
        <v>14.27</v>
      </c>
      <c r="E15" s="100">
        <v>3.33</v>
      </c>
      <c r="F15" s="100">
        <v>0.2</v>
      </c>
      <c r="G15" s="100">
        <v>60.89</v>
      </c>
      <c r="H15" s="100">
        <v>39.200000000000003</v>
      </c>
      <c r="I15" s="100">
        <v>15.64</v>
      </c>
      <c r="J15" s="100">
        <v>0.09</v>
      </c>
      <c r="K15" s="100">
        <v>153.37</v>
      </c>
      <c r="L15" s="100">
        <v>10.87</v>
      </c>
      <c r="M15" s="100">
        <v>87.61</v>
      </c>
      <c r="N15" s="100">
        <v>22.2</v>
      </c>
      <c r="O15" s="100">
        <v>0</v>
      </c>
      <c r="P15" s="100">
        <v>0.94</v>
      </c>
      <c r="Q15" s="100">
        <v>9.32</v>
      </c>
      <c r="R15" s="6"/>
      <c r="S15" s="6"/>
      <c r="T15" s="156"/>
      <c r="U15" s="6"/>
    </row>
    <row r="16" spans="1:21" customFormat="1">
      <c r="A16" s="163" t="s">
        <v>3134</v>
      </c>
      <c r="B16" s="100">
        <v>6.81</v>
      </c>
      <c r="C16" s="100">
        <v>16.760000000000002</v>
      </c>
      <c r="D16" s="100">
        <v>14.22</v>
      </c>
      <c r="E16" s="100">
        <v>3.57</v>
      </c>
      <c r="F16" s="100">
        <v>0.21</v>
      </c>
      <c r="G16" s="100">
        <v>57.39</v>
      </c>
      <c r="H16" s="100">
        <v>38.65</v>
      </c>
      <c r="I16" s="100">
        <v>15.46</v>
      </c>
      <c r="J16" s="100">
        <v>0.11</v>
      </c>
      <c r="K16" s="100">
        <v>152.91</v>
      </c>
      <c r="L16" s="100">
        <v>10.62</v>
      </c>
      <c r="M16" s="100">
        <v>87.32</v>
      </c>
      <c r="N16" s="100">
        <v>22.2</v>
      </c>
      <c r="O16" s="100">
        <v>0</v>
      </c>
      <c r="P16" s="100">
        <v>0.94</v>
      </c>
      <c r="Q16" s="100">
        <v>9.32</v>
      </c>
      <c r="R16" s="6"/>
      <c r="S16" s="6"/>
      <c r="T16" s="156"/>
      <c r="U16" s="6"/>
    </row>
    <row r="17" spans="1:21" customFormat="1">
      <c r="A17" s="163" t="s">
        <v>3135</v>
      </c>
      <c r="B17" s="100">
        <v>6.86</v>
      </c>
      <c r="C17" s="100">
        <v>16.559999999999999</v>
      </c>
      <c r="D17" s="100">
        <v>14.15</v>
      </c>
      <c r="E17" s="100">
        <v>2.5499999999999998</v>
      </c>
      <c r="F17" s="100">
        <v>0.2</v>
      </c>
      <c r="G17" s="100">
        <v>57.39</v>
      </c>
      <c r="H17" s="100">
        <v>38.65</v>
      </c>
      <c r="I17" s="100">
        <v>15.38</v>
      </c>
      <c r="J17" s="100">
        <v>0.09</v>
      </c>
      <c r="K17" s="100">
        <v>144.05000000000001</v>
      </c>
      <c r="L17" s="100">
        <v>10.52</v>
      </c>
      <c r="M17" s="100">
        <v>88.68</v>
      </c>
      <c r="N17" s="100">
        <v>22.1</v>
      </c>
      <c r="O17" s="100">
        <v>0</v>
      </c>
      <c r="P17" s="100">
        <v>0.93</v>
      </c>
      <c r="Q17" s="100">
        <v>9.32</v>
      </c>
      <c r="R17" s="6"/>
      <c r="S17" s="6"/>
      <c r="T17" s="156"/>
      <c r="U17" s="6"/>
    </row>
    <row r="18" spans="1:21" customFormat="1">
      <c r="A18" s="163" t="s">
        <v>3136</v>
      </c>
      <c r="B18" s="100">
        <v>6.89</v>
      </c>
      <c r="C18" s="100">
        <v>16.37</v>
      </c>
      <c r="D18" s="100">
        <v>14.07</v>
      </c>
      <c r="E18" s="100">
        <v>3.42</v>
      </c>
      <c r="F18" s="100">
        <v>0.36</v>
      </c>
      <c r="G18" s="100">
        <v>57.39</v>
      </c>
      <c r="H18" s="100">
        <v>38.65</v>
      </c>
      <c r="I18" s="100">
        <v>15.31</v>
      </c>
      <c r="J18" s="100">
        <v>0.09</v>
      </c>
      <c r="K18" s="100">
        <v>168</v>
      </c>
      <c r="L18" s="100">
        <v>10.48</v>
      </c>
      <c r="M18" s="100">
        <v>90.17</v>
      </c>
      <c r="N18" s="100">
        <v>22.1</v>
      </c>
      <c r="O18" s="100">
        <v>0</v>
      </c>
      <c r="P18" s="100">
        <v>0.92</v>
      </c>
      <c r="Q18" s="100">
        <v>9.32</v>
      </c>
      <c r="R18" s="6"/>
      <c r="S18" s="6"/>
      <c r="T18" s="156"/>
      <c r="U18" s="6"/>
    </row>
    <row r="19" spans="1:21" customFormat="1">
      <c r="A19" s="163" t="s">
        <v>3137</v>
      </c>
      <c r="B19" s="100">
        <v>6.88</v>
      </c>
      <c r="C19" s="100">
        <v>16.239999999999998</v>
      </c>
      <c r="D19" s="100">
        <v>14</v>
      </c>
      <c r="E19" s="100">
        <v>3.7</v>
      </c>
      <c r="F19" s="100">
        <v>0.39</v>
      </c>
      <c r="G19" s="100">
        <v>54.36</v>
      </c>
      <c r="H19" s="100">
        <v>38.18</v>
      </c>
      <c r="I19" s="100">
        <v>15.21</v>
      </c>
      <c r="J19" s="100">
        <v>0.12</v>
      </c>
      <c r="K19" s="100">
        <v>168.4</v>
      </c>
      <c r="L19" s="100">
        <v>10.32</v>
      </c>
      <c r="M19" s="100">
        <v>89.81</v>
      </c>
      <c r="N19" s="100">
        <v>22</v>
      </c>
      <c r="O19" s="100">
        <v>0</v>
      </c>
      <c r="P19" s="100">
        <v>0.92</v>
      </c>
      <c r="Q19" s="100">
        <v>9.32</v>
      </c>
      <c r="R19" s="6"/>
      <c r="S19" s="6"/>
      <c r="T19" s="156"/>
      <c r="U19" s="6"/>
    </row>
    <row r="20" spans="1:21" customFormat="1">
      <c r="A20" s="163" t="s">
        <v>3138</v>
      </c>
      <c r="B20" s="100">
        <v>6.93</v>
      </c>
      <c r="C20" s="100">
        <v>16.03</v>
      </c>
      <c r="D20" s="100">
        <v>13.93</v>
      </c>
      <c r="E20" s="100">
        <v>3.51</v>
      </c>
      <c r="F20" s="100">
        <v>0.26</v>
      </c>
      <c r="G20" s="100">
        <v>50.21</v>
      </c>
      <c r="H20" s="100">
        <v>37.81</v>
      </c>
      <c r="I20" s="100">
        <v>15.11</v>
      </c>
      <c r="J20" s="100">
        <v>0.18</v>
      </c>
      <c r="K20" s="100">
        <v>201.23</v>
      </c>
      <c r="L20" s="100">
        <v>10.37</v>
      </c>
      <c r="M20" s="100">
        <v>90.67</v>
      </c>
      <c r="N20" s="100">
        <v>22</v>
      </c>
      <c r="O20" s="100">
        <v>0</v>
      </c>
      <c r="P20" s="100">
        <v>0.91</v>
      </c>
      <c r="Q20" s="100">
        <v>9.32</v>
      </c>
      <c r="R20" s="6"/>
      <c r="S20" s="6"/>
      <c r="T20" s="156"/>
      <c r="U20" s="6"/>
    </row>
    <row r="21" spans="1:21" customFormat="1">
      <c r="A21" s="163" t="s">
        <v>3139</v>
      </c>
      <c r="B21" s="100">
        <v>6.97</v>
      </c>
      <c r="C21" s="100">
        <v>15.89</v>
      </c>
      <c r="D21" s="100">
        <v>13.89</v>
      </c>
      <c r="E21" s="100">
        <v>3.28</v>
      </c>
      <c r="F21" s="100">
        <v>0.35</v>
      </c>
      <c r="G21" s="100">
        <v>50.21</v>
      </c>
      <c r="H21" s="100">
        <v>37.81</v>
      </c>
      <c r="I21" s="100">
        <v>15</v>
      </c>
      <c r="J21" s="100">
        <v>0.09</v>
      </c>
      <c r="K21" s="100">
        <v>222.88</v>
      </c>
      <c r="L21" s="100">
        <v>10.050000000000001</v>
      </c>
      <c r="M21" s="100">
        <v>90.08</v>
      </c>
      <c r="N21" s="100">
        <v>22.2</v>
      </c>
      <c r="O21" s="100">
        <v>0</v>
      </c>
      <c r="P21" s="100">
        <v>0.9</v>
      </c>
      <c r="Q21" s="100">
        <v>9.32</v>
      </c>
      <c r="R21" s="6"/>
      <c r="S21" s="6"/>
      <c r="T21" s="156"/>
      <c r="U21" s="6"/>
    </row>
    <row r="22" spans="1:21" customFormat="1">
      <c r="A22" s="163" t="s">
        <v>3140</v>
      </c>
      <c r="B22" s="100">
        <v>6.91</v>
      </c>
      <c r="C22" s="100">
        <v>15.8</v>
      </c>
      <c r="D22" s="100">
        <v>13.8</v>
      </c>
      <c r="E22" s="100">
        <v>2.91</v>
      </c>
      <c r="F22" s="100">
        <v>0.21</v>
      </c>
      <c r="G22" s="100">
        <v>50.21</v>
      </c>
      <c r="H22" s="100">
        <v>37.81</v>
      </c>
      <c r="I22" s="100">
        <v>14.9</v>
      </c>
      <c r="J22" s="100">
        <v>0.1</v>
      </c>
      <c r="K22" s="100">
        <v>158.94</v>
      </c>
      <c r="L22" s="100">
        <v>9.98</v>
      </c>
      <c r="M22" s="100">
        <v>89.99</v>
      </c>
      <c r="N22" s="100">
        <v>22</v>
      </c>
      <c r="O22" s="100">
        <v>0</v>
      </c>
      <c r="P22" s="100">
        <v>0.89</v>
      </c>
      <c r="Q22" s="100">
        <v>9.32</v>
      </c>
      <c r="R22" s="6"/>
      <c r="S22" s="6"/>
      <c r="T22" s="156"/>
      <c r="U22" s="6"/>
    </row>
    <row r="23" spans="1:21" customFormat="1">
      <c r="A23" s="163" t="s">
        <v>3141</v>
      </c>
      <c r="B23" s="100">
        <v>6.86</v>
      </c>
      <c r="C23" s="100">
        <v>15.67</v>
      </c>
      <c r="D23" s="100">
        <v>13.69</v>
      </c>
      <c r="E23" s="100">
        <v>3.41</v>
      </c>
      <c r="F23" s="100">
        <v>0.3</v>
      </c>
      <c r="G23" s="100">
        <v>50.48</v>
      </c>
      <c r="H23" s="100">
        <v>37.07</v>
      </c>
      <c r="I23" s="100">
        <v>14.77</v>
      </c>
      <c r="J23" s="100">
        <v>0.13</v>
      </c>
      <c r="K23" s="100">
        <v>137.36000000000001</v>
      </c>
      <c r="L23" s="100">
        <v>10.02</v>
      </c>
      <c r="M23" s="100">
        <v>89.98</v>
      </c>
      <c r="N23" s="100">
        <v>22.1</v>
      </c>
      <c r="O23" s="100">
        <v>0</v>
      </c>
      <c r="P23" s="100">
        <v>0.89</v>
      </c>
      <c r="Q23" s="100">
        <v>9.32</v>
      </c>
      <c r="R23" s="6"/>
      <c r="S23" s="6"/>
      <c r="T23" s="156"/>
      <c r="U23" s="6"/>
    </row>
    <row r="24" spans="1:21" customFormat="1">
      <c r="A24" s="163" t="s">
        <v>3142</v>
      </c>
      <c r="B24" s="100">
        <v>6.79</v>
      </c>
      <c r="C24" s="100">
        <v>15.6</v>
      </c>
      <c r="D24" s="100">
        <v>13.6</v>
      </c>
      <c r="E24" s="100">
        <v>3.12</v>
      </c>
      <c r="F24" s="100">
        <v>0.35</v>
      </c>
      <c r="G24" s="100">
        <v>50.84</v>
      </c>
      <c r="H24" s="100">
        <v>36.5</v>
      </c>
      <c r="I24" s="100">
        <v>14.62</v>
      </c>
      <c r="J24" s="100">
        <v>0.15</v>
      </c>
      <c r="K24" s="100">
        <v>168.19</v>
      </c>
      <c r="L24" s="100">
        <v>10.07</v>
      </c>
      <c r="M24" s="100">
        <v>88.58</v>
      </c>
      <c r="N24" s="100">
        <v>21.9</v>
      </c>
      <c r="O24" s="100">
        <v>0</v>
      </c>
      <c r="P24" s="100">
        <v>0.88</v>
      </c>
      <c r="Q24" s="100">
        <v>9.32</v>
      </c>
      <c r="R24" s="6"/>
      <c r="S24" s="6"/>
      <c r="T24" s="156"/>
      <c r="U24" s="6"/>
    </row>
    <row r="25" spans="1:21" customFormat="1">
      <c r="A25" s="163" t="s">
        <v>3143</v>
      </c>
      <c r="B25" s="100">
        <v>6.68</v>
      </c>
      <c r="C25" s="100">
        <v>15.75</v>
      </c>
      <c r="D25" s="100">
        <v>13.59</v>
      </c>
      <c r="E25" s="100">
        <v>3.16</v>
      </c>
      <c r="F25" s="100">
        <v>0.32</v>
      </c>
      <c r="G25" s="100">
        <v>50.84</v>
      </c>
      <c r="H25" s="100">
        <v>36.5</v>
      </c>
      <c r="I25" s="100">
        <v>14.48</v>
      </c>
      <c r="J25" s="100">
        <v>0.12</v>
      </c>
      <c r="K25" s="100">
        <v>165.79</v>
      </c>
      <c r="L25" s="100">
        <v>10.17</v>
      </c>
      <c r="M25" s="100">
        <v>88.45</v>
      </c>
      <c r="N25" s="100">
        <v>22</v>
      </c>
      <c r="O25" s="100">
        <v>0</v>
      </c>
      <c r="P25" s="100">
        <v>0.88</v>
      </c>
      <c r="Q25" s="100">
        <v>9.32</v>
      </c>
      <c r="R25" s="6"/>
      <c r="S25" s="6"/>
      <c r="T25" s="156"/>
      <c r="U25" s="6"/>
    </row>
    <row r="26" spans="1:21" customFormat="1">
      <c r="A26" s="163" t="s">
        <v>3144</v>
      </c>
      <c r="B26" s="100">
        <v>6.6</v>
      </c>
      <c r="C26" s="100">
        <v>15.72</v>
      </c>
      <c r="D26" s="100">
        <v>13.5</v>
      </c>
      <c r="E26" s="100">
        <v>3.27</v>
      </c>
      <c r="F26" s="100">
        <v>0.28000000000000003</v>
      </c>
      <c r="G26" s="100">
        <v>50.84</v>
      </c>
      <c r="H26" s="100">
        <v>36.5</v>
      </c>
      <c r="I26" s="100">
        <v>14.38</v>
      </c>
      <c r="J26" s="100">
        <v>0.14000000000000001</v>
      </c>
      <c r="K26" s="100">
        <v>184.61</v>
      </c>
      <c r="L26" s="100">
        <v>10.06</v>
      </c>
      <c r="M26" s="100">
        <v>90.85</v>
      </c>
      <c r="N26" s="100">
        <v>22</v>
      </c>
      <c r="O26" s="100">
        <v>0</v>
      </c>
      <c r="P26" s="100">
        <v>0.87</v>
      </c>
      <c r="Q26" s="100">
        <v>9.32</v>
      </c>
      <c r="R26" s="6"/>
      <c r="S26" s="6"/>
      <c r="T26" s="156"/>
      <c r="U26" s="6"/>
    </row>
    <row r="27" spans="1:21" customFormat="1">
      <c r="A27" s="163" t="s">
        <v>3145</v>
      </c>
      <c r="B27" s="100">
        <v>6.56</v>
      </c>
      <c r="C27" s="100">
        <v>15.57</v>
      </c>
      <c r="D27" s="100">
        <v>13.4</v>
      </c>
      <c r="E27" s="100">
        <v>3.3</v>
      </c>
      <c r="F27" s="100">
        <v>0.38</v>
      </c>
      <c r="G27" s="100">
        <v>49.93</v>
      </c>
      <c r="H27" s="100">
        <v>36.58</v>
      </c>
      <c r="I27" s="100">
        <v>14.38</v>
      </c>
      <c r="J27" s="100">
        <v>0.19</v>
      </c>
      <c r="K27" s="100">
        <v>203.7</v>
      </c>
      <c r="L27" s="100">
        <v>9.94</v>
      </c>
      <c r="M27" s="100">
        <v>92.71</v>
      </c>
      <c r="N27" s="100">
        <v>22.1</v>
      </c>
      <c r="O27" s="100">
        <v>0</v>
      </c>
      <c r="P27" s="100">
        <v>0.86</v>
      </c>
      <c r="Q27" s="100">
        <v>9.32</v>
      </c>
      <c r="R27" s="6"/>
      <c r="S27" s="6"/>
      <c r="T27" s="156"/>
      <c r="U27" s="6"/>
    </row>
    <row r="28" spans="1:21" customFormat="1">
      <c r="A28" s="163" t="s">
        <v>3146</v>
      </c>
      <c r="B28" s="100">
        <v>6.49</v>
      </c>
      <c r="C28" s="100">
        <v>15.5</v>
      </c>
      <c r="D28" s="100">
        <v>13.3</v>
      </c>
      <c r="E28" s="100">
        <v>2.8</v>
      </c>
      <c r="F28" s="100">
        <v>0.38</v>
      </c>
      <c r="G28" s="100">
        <v>48.68</v>
      </c>
      <c r="H28" s="100">
        <v>36.630000000000003</v>
      </c>
      <c r="I28" s="100">
        <v>14.35</v>
      </c>
      <c r="J28" s="100">
        <v>0.17</v>
      </c>
      <c r="K28" s="100">
        <v>208.36</v>
      </c>
      <c r="L28" s="100">
        <v>9.67</v>
      </c>
      <c r="M28" s="100">
        <v>93.31</v>
      </c>
      <c r="N28" s="100">
        <v>22.5</v>
      </c>
      <c r="O28" s="100">
        <v>0</v>
      </c>
      <c r="P28" s="100">
        <v>0.86</v>
      </c>
      <c r="Q28" s="100">
        <v>9.32</v>
      </c>
      <c r="R28" s="6"/>
      <c r="S28" s="6"/>
      <c r="T28" s="156"/>
      <c r="U28" s="6"/>
    </row>
    <row r="29" spans="1:21" customFormat="1">
      <c r="A29" s="163" t="s">
        <v>3147</v>
      </c>
      <c r="B29" s="100">
        <v>6.45</v>
      </c>
      <c r="C29" s="100">
        <v>15.46</v>
      </c>
      <c r="D29" s="100">
        <v>13.25</v>
      </c>
      <c r="E29" s="100">
        <v>3.39</v>
      </c>
      <c r="F29" s="100">
        <v>0.32</v>
      </c>
      <c r="G29" s="100">
        <v>48.68</v>
      </c>
      <c r="H29" s="100">
        <v>36.630000000000003</v>
      </c>
      <c r="I29" s="100">
        <v>14.28</v>
      </c>
      <c r="J29" s="100">
        <v>0.2</v>
      </c>
      <c r="K29" s="100">
        <v>201.8</v>
      </c>
      <c r="L29" s="100">
        <v>9.57</v>
      </c>
      <c r="M29" s="100">
        <v>93.67</v>
      </c>
      <c r="N29" s="100">
        <v>22</v>
      </c>
      <c r="O29" s="100">
        <v>0</v>
      </c>
      <c r="P29" s="100">
        <v>0.86</v>
      </c>
      <c r="Q29" s="100">
        <v>9.32</v>
      </c>
      <c r="R29" s="6"/>
      <c r="S29" s="6"/>
      <c r="T29" s="156"/>
      <c r="U29" s="6"/>
    </row>
    <row r="30" spans="1:21" customFormat="1">
      <c r="A30" s="163" t="s">
        <v>3148</v>
      </c>
      <c r="B30" s="100">
        <v>6.36</v>
      </c>
      <c r="C30" s="100">
        <v>15.46</v>
      </c>
      <c r="D30" s="100">
        <v>13.18</v>
      </c>
      <c r="E30" s="100">
        <v>3.19</v>
      </c>
      <c r="F30" s="100">
        <v>0.34</v>
      </c>
      <c r="G30" s="100">
        <v>48.68</v>
      </c>
      <c r="H30" s="100">
        <v>36.630000000000003</v>
      </c>
      <c r="I30" s="100">
        <v>14.22</v>
      </c>
      <c r="J30" s="100">
        <v>0.17</v>
      </c>
      <c r="K30" s="100">
        <v>195.38</v>
      </c>
      <c r="L30" s="100">
        <v>9.61</v>
      </c>
      <c r="M30" s="100">
        <v>93.67</v>
      </c>
      <c r="N30" s="100">
        <v>22.1</v>
      </c>
      <c r="O30" s="100">
        <v>0</v>
      </c>
      <c r="P30" s="100">
        <v>0.85</v>
      </c>
      <c r="Q30" s="100">
        <v>9.32</v>
      </c>
      <c r="R30" s="6"/>
      <c r="S30" s="6"/>
      <c r="T30" s="156"/>
      <c r="U30" s="6"/>
    </row>
    <row r="31" spans="1:21" customFormat="1">
      <c r="A31" s="163" t="s">
        <v>3149</v>
      </c>
      <c r="B31" s="100">
        <v>6.3</v>
      </c>
      <c r="C31" s="100">
        <v>15.38</v>
      </c>
      <c r="D31" s="100">
        <v>13.09</v>
      </c>
      <c r="E31" s="100">
        <v>3.22</v>
      </c>
      <c r="F31" s="100">
        <v>0.51</v>
      </c>
      <c r="G31" s="100">
        <v>48.25</v>
      </c>
      <c r="H31" s="100">
        <v>36.53</v>
      </c>
      <c r="I31" s="100">
        <v>14.16</v>
      </c>
      <c r="J31" s="100">
        <v>0.11</v>
      </c>
      <c r="K31" s="100">
        <v>123.38</v>
      </c>
      <c r="L31" s="100">
        <v>9.3800000000000008</v>
      </c>
      <c r="M31" s="100">
        <v>92.76</v>
      </c>
      <c r="N31" s="100">
        <v>22.4</v>
      </c>
      <c r="O31" s="100">
        <v>0</v>
      </c>
      <c r="P31" s="100">
        <v>0.84</v>
      </c>
      <c r="Q31" s="100">
        <v>9.32</v>
      </c>
      <c r="R31" s="6"/>
      <c r="S31" s="6"/>
      <c r="T31" s="156"/>
      <c r="U31" s="6"/>
    </row>
    <row r="32" spans="1:21" customFormat="1">
      <c r="A32" s="163" t="s">
        <v>3150</v>
      </c>
      <c r="B32" s="100">
        <v>6.2</v>
      </c>
      <c r="C32" s="100">
        <v>15.3</v>
      </c>
      <c r="D32" s="100">
        <v>12.97</v>
      </c>
      <c r="E32" s="100">
        <v>3.04</v>
      </c>
      <c r="F32" s="100">
        <v>0.46</v>
      </c>
      <c r="G32" s="100">
        <v>47.67</v>
      </c>
      <c r="H32" s="100">
        <v>36.44</v>
      </c>
      <c r="I32" s="100">
        <v>14.09</v>
      </c>
      <c r="J32" s="100">
        <v>0.13</v>
      </c>
      <c r="K32" s="100">
        <v>204.74</v>
      </c>
      <c r="L32" s="100">
        <v>9.31</v>
      </c>
      <c r="M32" s="100">
        <v>92.81</v>
      </c>
      <c r="N32" s="100">
        <v>22</v>
      </c>
      <c r="O32" s="100">
        <v>0</v>
      </c>
      <c r="P32" s="100">
        <v>0.84</v>
      </c>
      <c r="Q32" s="100">
        <v>9.32</v>
      </c>
      <c r="R32" s="6"/>
      <c r="S32" s="6"/>
      <c r="T32" s="156"/>
      <c r="U32" s="6"/>
    </row>
    <row r="33" spans="1:21" customFormat="1">
      <c r="A33" s="163" t="s">
        <v>3151</v>
      </c>
      <c r="B33" s="100">
        <v>6.08</v>
      </c>
      <c r="C33" s="100">
        <v>15.25</v>
      </c>
      <c r="D33" s="100">
        <v>12.84</v>
      </c>
      <c r="E33" s="100">
        <v>3.04</v>
      </c>
      <c r="F33" s="100">
        <v>0.3</v>
      </c>
      <c r="G33" s="100">
        <v>47.67</v>
      </c>
      <c r="H33" s="100">
        <v>36.44</v>
      </c>
      <c r="I33" s="100">
        <v>16</v>
      </c>
      <c r="J33" s="100">
        <v>0.13</v>
      </c>
      <c r="K33" s="100">
        <v>155.13</v>
      </c>
      <c r="L33" s="100">
        <v>9.31</v>
      </c>
      <c r="M33" s="100">
        <v>93.15</v>
      </c>
      <c r="N33" s="100">
        <v>22.2</v>
      </c>
      <c r="O33" s="100">
        <v>0</v>
      </c>
      <c r="P33" s="100">
        <v>0.82</v>
      </c>
      <c r="Q33" s="100">
        <v>9.32</v>
      </c>
      <c r="R33" s="6"/>
      <c r="S33" s="6"/>
      <c r="T33" s="156"/>
      <c r="U33" s="6"/>
    </row>
    <row r="34" spans="1:21" customFormat="1">
      <c r="A34" s="163" t="s">
        <v>3152</v>
      </c>
      <c r="B34" s="100">
        <v>5.99</v>
      </c>
      <c r="C34" s="100">
        <v>15.06</v>
      </c>
      <c r="D34" s="100">
        <v>12.67</v>
      </c>
      <c r="E34" s="100">
        <v>2.97</v>
      </c>
      <c r="F34" s="100">
        <v>0.42</v>
      </c>
      <c r="G34" s="100">
        <v>47.67</v>
      </c>
      <c r="H34" s="100">
        <v>36.44</v>
      </c>
      <c r="I34" s="100">
        <v>18.05</v>
      </c>
      <c r="J34" s="100">
        <v>0.14000000000000001</v>
      </c>
      <c r="K34" s="100">
        <v>157.13999999999999</v>
      </c>
      <c r="L34" s="100">
        <v>9.26</v>
      </c>
      <c r="M34" s="100">
        <v>92.99</v>
      </c>
      <c r="N34" s="100">
        <v>22.5</v>
      </c>
      <c r="O34" s="100">
        <v>0</v>
      </c>
      <c r="P34" s="100">
        <v>0.81</v>
      </c>
      <c r="Q34" s="100">
        <v>9.32</v>
      </c>
      <c r="R34" s="6"/>
      <c r="S34" s="6"/>
      <c r="T34" s="156"/>
      <c r="U34" s="6"/>
    </row>
    <row r="35" spans="1:21" customFormat="1">
      <c r="A35" s="163" t="s">
        <v>3153</v>
      </c>
      <c r="B35" s="100">
        <v>5.92</v>
      </c>
      <c r="C35" s="100">
        <v>15</v>
      </c>
      <c r="D35" s="100">
        <v>12.58</v>
      </c>
      <c r="E35" s="100">
        <v>2.91</v>
      </c>
      <c r="F35" s="100">
        <v>0.35</v>
      </c>
      <c r="G35" s="100">
        <v>47.03</v>
      </c>
      <c r="H35" s="100">
        <v>36.17</v>
      </c>
      <c r="I35" s="100">
        <v>15.96</v>
      </c>
      <c r="J35" s="100">
        <v>0.18</v>
      </c>
      <c r="K35" s="100">
        <v>175.09</v>
      </c>
      <c r="L35" s="100">
        <v>9.42</v>
      </c>
      <c r="M35" s="100">
        <v>93.62</v>
      </c>
      <c r="N35" s="100">
        <v>24.2</v>
      </c>
      <c r="O35" s="100">
        <v>0</v>
      </c>
      <c r="P35" s="100">
        <v>0.81</v>
      </c>
      <c r="Q35" s="100">
        <v>9.32</v>
      </c>
      <c r="R35" s="6"/>
      <c r="S35" s="6"/>
      <c r="T35" s="156"/>
      <c r="U35" s="6"/>
    </row>
    <row r="36" spans="1:21" customFormat="1">
      <c r="A36" s="163" t="s">
        <v>3154</v>
      </c>
      <c r="B36" s="100">
        <v>5.88</v>
      </c>
      <c r="C36" s="100">
        <v>14.96</v>
      </c>
      <c r="D36" s="100">
        <v>12.53</v>
      </c>
      <c r="E36" s="100">
        <v>3.15</v>
      </c>
      <c r="F36" s="100">
        <v>0.34</v>
      </c>
      <c r="G36" s="100">
        <v>46.15</v>
      </c>
      <c r="H36" s="100">
        <v>35.619999999999997</v>
      </c>
      <c r="I36" s="100">
        <v>15.66</v>
      </c>
      <c r="J36" s="100">
        <v>0.17</v>
      </c>
      <c r="K36" s="100">
        <v>141.91999999999999</v>
      </c>
      <c r="L36" s="100">
        <v>9.3699999999999992</v>
      </c>
      <c r="M36" s="100">
        <v>93.65</v>
      </c>
      <c r="N36" s="100">
        <v>30.7</v>
      </c>
      <c r="O36" s="100">
        <v>0</v>
      </c>
      <c r="P36" s="100">
        <v>0.8</v>
      </c>
      <c r="Q36" s="100">
        <v>9.32</v>
      </c>
      <c r="R36" s="6"/>
      <c r="S36" s="6"/>
      <c r="T36" s="156"/>
      <c r="U36" s="6"/>
    </row>
    <row r="37" spans="1:21" customFormat="1">
      <c r="A37" s="163" t="s">
        <v>3155</v>
      </c>
      <c r="B37" s="100">
        <v>5.89</v>
      </c>
      <c r="C37" s="100">
        <v>14.92</v>
      </c>
      <c r="D37" s="100">
        <v>12.52</v>
      </c>
      <c r="E37" s="100">
        <v>3</v>
      </c>
      <c r="F37" s="100">
        <v>0.28999999999999998</v>
      </c>
      <c r="G37" s="100">
        <v>46.15</v>
      </c>
      <c r="H37" s="100">
        <v>35.619999999999997</v>
      </c>
      <c r="I37" s="100">
        <v>17.66</v>
      </c>
      <c r="J37" s="100">
        <v>0.15</v>
      </c>
      <c r="K37" s="100">
        <v>116.85</v>
      </c>
      <c r="L37" s="100">
        <v>9.31</v>
      </c>
      <c r="M37" s="100">
        <v>92.56</v>
      </c>
      <c r="N37" s="100">
        <v>38.4</v>
      </c>
      <c r="O37" s="100">
        <v>0</v>
      </c>
      <c r="P37" s="100">
        <v>0.81</v>
      </c>
      <c r="Q37" s="100">
        <v>9.32</v>
      </c>
      <c r="R37" s="6"/>
      <c r="S37" s="6"/>
      <c r="T37" s="156"/>
      <c r="U37" s="6"/>
    </row>
    <row r="38" spans="1:21" customFormat="1">
      <c r="A38" s="163" t="s">
        <v>3156</v>
      </c>
      <c r="B38" s="100">
        <v>5.86</v>
      </c>
      <c r="C38" s="100">
        <v>14.92</v>
      </c>
      <c r="D38" s="100">
        <v>12.49</v>
      </c>
      <c r="E38" s="100">
        <v>3.48</v>
      </c>
      <c r="F38" s="100">
        <v>0.31</v>
      </c>
      <c r="G38" s="100">
        <v>46.15</v>
      </c>
      <c r="H38" s="100">
        <v>35.619999999999997</v>
      </c>
      <c r="I38" s="100">
        <v>17.579999999999998</v>
      </c>
      <c r="J38" s="100">
        <v>0.14000000000000001</v>
      </c>
      <c r="K38" s="100">
        <v>143.33000000000001</v>
      </c>
      <c r="L38" s="100">
        <v>9.7100000000000009</v>
      </c>
      <c r="M38" s="100">
        <v>92.3</v>
      </c>
      <c r="N38" s="100">
        <v>46.9</v>
      </c>
      <c r="O38" s="100">
        <v>0</v>
      </c>
      <c r="P38" s="100">
        <v>0.81</v>
      </c>
      <c r="Q38" s="100">
        <v>9.32</v>
      </c>
      <c r="R38" s="6"/>
      <c r="S38" s="6"/>
      <c r="T38" s="156"/>
      <c r="U38" s="6"/>
    </row>
    <row r="39" spans="1:21" customFormat="1">
      <c r="A39" s="163" t="s">
        <v>3157</v>
      </c>
      <c r="B39" s="100">
        <v>5.85</v>
      </c>
      <c r="C39" s="100">
        <v>14.91</v>
      </c>
      <c r="D39" s="100">
        <v>12.48</v>
      </c>
      <c r="E39" s="100">
        <v>2.88</v>
      </c>
      <c r="F39" s="100">
        <v>0.39</v>
      </c>
      <c r="G39" s="100">
        <v>45.13</v>
      </c>
      <c r="H39" s="100">
        <v>34.97</v>
      </c>
      <c r="I39" s="100">
        <v>17.5</v>
      </c>
      <c r="J39" s="100">
        <v>7.0000000000000007E-2</v>
      </c>
      <c r="K39" s="100">
        <v>203.62</v>
      </c>
      <c r="L39" s="100">
        <v>10.27</v>
      </c>
      <c r="M39" s="100">
        <v>90.49</v>
      </c>
      <c r="N39" s="100">
        <v>55.9</v>
      </c>
      <c r="O39" s="100">
        <v>0</v>
      </c>
      <c r="P39" s="100">
        <v>0.82</v>
      </c>
      <c r="Q39" s="100">
        <v>9.32</v>
      </c>
      <c r="R39" s="6"/>
      <c r="S39" s="6"/>
      <c r="T39" s="156"/>
      <c r="U39" s="6"/>
    </row>
    <row r="40" spans="1:21" customFormat="1">
      <c r="A40" s="163" t="s">
        <v>3158</v>
      </c>
      <c r="B40" s="100">
        <v>5.83</v>
      </c>
      <c r="C40" s="100">
        <v>14.99</v>
      </c>
      <c r="D40" s="100">
        <v>12.51</v>
      </c>
      <c r="E40" s="100">
        <v>3.21</v>
      </c>
      <c r="F40" s="100">
        <v>0.35</v>
      </c>
      <c r="G40" s="100">
        <v>43.73</v>
      </c>
      <c r="H40" s="100">
        <v>34.46</v>
      </c>
      <c r="I40" s="100">
        <v>17.47</v>
      </c>
      <c r="J40" s="100">
        <v>0.15</v>
      </c>
      <c r="K40" s="100">
        <v>210.54</v>
      </c>
      <c r="L40" s="100">
        <v>11.41</v>
      </c>
      <c r="M40" s="100">
        <v>83.45</v>
      </c>
      <c r="N40" s="100">
        <v>64.099999999999994</v>
      </c>
      <c r="O40" s="100">
        <v>0</v>
      </c>
      <c r="P40" s="100">
        <v>0.84</v>
      </c>
      <c r="Q40" s="100">
        <v>9.32</v>
      </c>
      <c r="R40" s="6"/>
      <c r="S40" s="6"/>
      <c r="T40" s="156"/>
      <c r="U40" s="6"/>
    </row>
    <row r="41" spans="1:21" customFormat="1">
      <c r="A41" s="163" t="s">
        <v>3159</v>
      </c>
      <c r="B41" s="100">
        <v>5.65</v>
      </c>
      <c r="C41" s="100">
        <v>15.42</v>
      </c>
      <c r="D41" s="100">
        <v>12.59</v>
      </c>
      <c r="E41" s="100">
        <v>3.35</v>
      </c>
      <c r="F41" s="100">
        <v>0.6</v>
      </c>
      <c r="G41" s="100">
        <v>43.73</v>
      </c>
      <c r="H41" s="100">
        <v>34.46</v>
      </c>
      <c r="I41" s="100">
        <v>17.61</v>
      </c>
      <c r="J41" s="100">
        <v>0.2</v>
      </c>
      <c r="K41" s="100">
        <v>217.45</v>
      </c>
      <c r="L41" s="100">
        <v>12.54</v>
      </c>
      <c r="M41" s="100">
        <v>77.22</v>
      </c>
      <c r="N41" s="100">
        <v>115.4</v>
      </c>
      <c r="O41" s="100">
        <v>0</v>
      </c>
      <c r="P41" s="100">
        <v>0.85</v>
      </c>
      <c r="Q41" s="100">
        <v>9.32</v>
      </c>
      <c r="R41" s="6"/>
      <c r="S41" s="6"/>
      <c r="T41" s="156"/>
      <c r="U41" s="6"/>
    </row>
    <row r="42" spans="1:21" customFormat="1">
      <c r="A42" s="163" t="s">
        <v>3160</v>
      </c>
      <c r="B42" s="100">
        <v>5.4</v>
      </c>
      <c r="C42" s="100">
        <v>16.010000000000002</v>
      </c>
      <c r="D42" s="100">
        <v>12.7</v>
      </c>
      <c r="E42" s="100">
        <v>3.15</v>
      </c>
      <c r="F42" s="100">
        <v>0.45</v>
      </c>
      <c r="G42" s="100">
        <v>43.73</v>
      </c>
      <c r="H42" s="100">
        <v>34.46</v>
      </c>
      <c r="I42" s="100">
        <v>17.96</v>
      </c>
      <c r="J42" s="100">
        <v>0.27</v>
      </c>
      <c r="K42" s="100">
        <v>242.13</v>
      </c>
      <c r="L42" s="100">
        <v>13.64</v>
      </c>
      <c r="M42" s="100">
        <v>72.47</v>
      </c>
      <c r="N42" s="100">
        <v>211.9</v>
      </c>
      <c r="O42" s="100">
        <v>0</v>
      </c>
      <c r="P42" s="100">
        <v>0.86</v>
      </c>
      <c r="Q42" s="100">
        <v>9.32</v>
      </c>
      <c r="R42" s="6"/>
      <c r="S42" s="6"/>
      <c r="T42" s="156"/>
      <c r="U42" s="6"/>
    </row>
    <row r="43" spans="1:21" customFormat="1">
      <c r="A43" s="163" t="s">
        <v>3161</v>
      </c>
      <c r="B43" s="100">
        <v>5.0999999999999996</v>
      </c>
      <c r="C43" s="100">
        <v>16.95</v>
      </c>
      <c r="D43" s="100">
        <v>12.94</v>
      </c>
      <c r="E43" s="100">
        <v>3.43</v>
      </c>
      <c r="F43" s="100">
        <v>0.5</v>
      </c>
      <c r="G43" s="100">
        <v>46.85</v>
      </c>
      <c r="H43" s="100">
        <v>37.75</v>
      </c>
      <c r="I43" s="100">
        <v>18.29</v>
      </c>
      <c r="J43" s="100">
        <v>0.22</v>
      </c>
      <c r="K43" s="100">
        <v>221.95</v>
      </c>
      <c r="L43" s="100">
        <v>14.99</v>
      </c>
      <c r="M43" s="100">
        <v>64.72</v>
      </c>
      <c r="N43" s="100">
        <v>244.2</v>
      </c>
      <c r="O43" s="100">
        <v>0</v>
      </c>
      <c r="P43" s="100">
        <v>0.87</v>
      </c>
      <c r="Q43" s="100">
        <v>9.32</v>
      </c>
      <c r="R43" s="6"/>
      <c r="S43" s="6"/>
      <c r="T43" s="156"/>
      <c r="U43" s="6"/>
    </row>
    <row r="44" spans="1:21" customFormat="1">
      <c r="A44" s="163" t="s">
        <v>3162</v>
      </c>
      <c r="B44" s="100">
        <v>4.79</v>
      </c>
      <c r="C44" s="100">
        <v>17.41</v>
      </c>
      <c r="D44" s="100">
        <v>12.94</v>
      </c>
      <c r="E44" s="100">
        <v>3.26</v>
      </c>
      <c r="F44" s="100">
        <v>0.63</v>
      </c>
      <c r="G44" s="100">
        <v>51.13</v>
      </c>
      <c r="H44" s="100">
        <v>40.33</v>
      </c>
      <c r="I44" s="100">
        <v>18.399999999999999</v>
      </c>
      <c r="J44" s="100">
        <v>0.2</v>
      </c>
      <c r="K44" s="100">
        <v>160.06</v>
      </c>
      <c r="L44" s="100">
        <v>16.38</v>
      </c>
      <c r="M44" s="100">
        <v>59.55</v>
      </c>
      <c r="N44" s="100">
        <v>271</v>
      </c>
      <c r="O44" s="100">
        <v>0</v>
      </c>
      <c r="P44" s="100">
        <v>0.86</v>
      </c>
      <c r="Q44" s="100">
        <v>9.32</v>
      </c>
      <c r="R44" s="6"/>
      <c r="S44" s="6"/>
      <c r="T44" s="156"/>
      <c r="U44" s="6"/>
    </row>
    <row r="45" spans="1:21" customFormat="1">
      <c r="A45" s="163" t="s">
        <v>3163</v>
      </c>
      <c r="B45" s="100">
        <v>4.41</v>
      </c>
      <c r="C45" s="100">
        <v>17.55</v>
      </c>
      <c r="D45" s="100">
        <v>12.71</v>
      </c>
      <c r="E45" s="100">
        <v>3.23</v>
      </c>
      <c r="F45" s="100">
        <v>0.84</v>
      </c>
      <c r="G45" s="100">
        <v>51.13</v>
      </c>
      <c r="H45" s="100">
        <v>40.33</v>
      </c>
      <c r="I45" s="100">
        <v>18.38</v>
      </c>
      <c r="J45" s="100">
        <v>0.2</v>
      </c>
      <c r="K45" s="100">
        <v>244.2</v>
      </c>
      <c r="L45" s="100">
        <v>17.27</v>
      </c>
      <c r="M45" s="100">
        <v>56.49</v>
      </c>
      <c r="N45" s="100">
        <v>231.2</v>
      </c>
      <c r="O45" s="100">
        <v>0</v>
      </c>
      <c r="P45" s="100">
        <v>0.86</v>
      </c>
      <c r="Q45" s="100">
        <v>9.32</v>
      </c>
      <c r="R45" s="6"/>
      <c r="S45" s="6"/>
      <c r="T45" s="156"/>
      <c r="U45" s="6"/>
    </row>
    <row r="46" spans="1:21" customFormat="1">
      <c r="A46" s="163" t="s">
        <v>3164</v>
      </c>
      <c r="B46" s="100">
        <v>4.04</v>
      </c>
      <c r="C46" s="100">
        <v>17.61</v>
      </c>
      <c r="D46" s="100">
        <v>12.44</v>
      </c>
      <c r="E46" s="100">
        <v>3.74</v>
      </c>
      <c r="F46" s="100">
        <v>1.08</v>
      </c>
      <c r="G46" s="100">
        <v>51.13</v>
      </c>
      <c r="H46" s="100">
        <v>40.33</v>
      </c>
      <c r="I46" s="100">
        <v>18.309999999999999</v>
      </c>
      <c r="J46" s="100">
        <v>0.21</v>
      </c>
      <c r="K46" s="100">
        <v>264.89</v>
      </c>
      <c r="L46" s="100">
        <v>18.07</v>
      </c>
      <c r="M46" s="100">
        <v>52.62</v>
      </c>
      <c r="N46" s="100">
        <v>121.2</v>
      </c>
      <c r="O46" s="100">
        <v>0</v>
      </c>
      <c r="P46" s="100">
        <v>0.86</v>
      </c>
      <c r="Q46" s="100">
        <v>9.32</v>
      </c>
      <c r="R46" s="6"/>
      <c r="S46" s="6"/>
      <c r="T46" s="156"/>
      <c r="U46" s="6"/>
    </row>
    <row r="47" spans="1:21" customFormat="1">
      <c r="A47" s="163" t="s">
        <v>3165</v>
      </c>
      <c r="B47" s="100">
        <v>3.69</v>
      </c>
      <c r="C47" s="100">
        <v>17.690000000000001</v>
      </c>
      <c r="D47" s="100">
        <v>12.2</v>
      </c>
      <c r="E47" s="100">
        <v>3.37</v>
      </c>
      <c r="F47" s="100">
        <v>1.07</v>
      </c>
      <c r="G47" s="100">
        <v>51.28</v>
      </c>
      <c r="H47" s="100">
        <v>38.840000000000003</v>
      </c>
      <c r="I47" s="100">
        <v>18.29</v>
      </c>
      <c r="J47" s="100">
        <v>0.38</v>
      </c>
      <c r="K47" s="100">
        <v>246.9</v>
      </c>
      <c r="L47" s="100">
        <v>18.61</v>
      </c>
      <c r="M47" s="100">
        <v>49.12</v>
      </c>
      <c r="N47" s="100">
        <v>125.4</v>
      </c>
      <c r="O47" s="100">
        <v>0</v>
      </c>
      <c r="P47" s="100">
        <v>0.85</v>
      </c>
      <c r="Q47" s="100">
        <v>9.32</v>
      </c>
      <c r="R47" s="6"/>
      <c r="S47" s="6"/>
      <c r="T47" s="156"/>
      <c r="U47" s="6"/>
    </row>
    <row r="48" spans="1:21" customFormat="1">
      <c r="A48" s="163" t="s">
        <v>3166</v>
      </c>
      <c r="B48" s="100">
        <v>3.28</v>
      </c>
      <c r="C48" s="100">
        <v>17.670000000000002</v>
      </c>
      <c r="D48" s="100">
        <v>11.86</v>
      </c>
      <c r="E48" s="100">
        <v>3.36</v>
      </c>
      <c r="F48" s="100">
        <v>1.42</v>
      </c>
      <c r="G48" s="100">
        <v>51.49</v>
      </c>
      <c r="H48" s="100">
        <v>37.67</v>
      </c>
      <c r="I48" s="100">
        <v>18.260000000000002</v>
      </c>
      <c r="J48" s="100">
        <v>0.1</v>
      </c>
      <c r="K48" s="100">
        <v>269.36</v>
      </c>
      <c r="L48" s="100">
        <v>19.600000000000001</v>
      </c>
      <c r="M48" s="100">
        <v>46.2</v>
      </c>
      <c r="N48" s="100">
        <v>128.19999999999999</v>
      </c>
      <c r="O48" s="100">
        <v>0</v>
      </c>
      <c r="P48" s="100">
        <v>0.84</v>
      </c>
      <c r="Q48" s="100">
        <v>9.32</v>
      </c>
      <c r="R48" s="6"/>
      <c r="S48" s="6"/>
      <c r="T48" s="156"/>
      <c r="U48" s="6"/>
    </row>
    <row r="49" spans="1:21" customFormat="1">
      <c r="A49" s="163" t="s">
        <v>3167</v>
      </c>
      <c r="B49" s="100">
        <v>2.99</v>
      </c>
      <c r="C49" s="100">
        <v>17.71</v>
      </c>
      <c r="D49" s="100">
        <v>11.65</v>
      </c>
      <c r="E49" s="100">
        <v>2.97</v>
      </c>
      <c r="F49" s="100">
        <v>1.84</v>
      </c>
      <c r="G49" s="100">
        <v>51.49</v>
      </c>
      <c r="H49" s="100">
        <v>37.67</v>
      </c>
      <c r="I49" s="100">
        <v>18.27</v>
      </c>
      <c r="J49" s="100">
        <v>0.16</v>
      </c>
      <c r="K49" s="100">
        <v>216.95</v>
      </c>
      <c r="L49" s="100">
        <v>20.32</v>
      </c>
      <c r="M49" s="100">
        <v>45.02</v>
      </c>
      <c r="N49" s="100">
        <v>320.39999999999998</v>
      </c>
      <c r="O49" s="100">
        <v>0</v>
      </c>
      <c r="P49" s="100">
        <v>0.84</v>
      </c>
      <c r="Q49" s="100">
        <v>9.32</v>
      </c>
      <c r="R49" s="6"/>
      <c r="S49" s="6"/>
      <c r="T49" s="156"/>
      <c r="U49" s="6"/>
    </row>
    <row r="50" spans="1:21" customFormat="1">
      <c r="A50" s="163" t="s">
        <v>3168</v>
      </c>
      <c r="B50" s="100">
        <v>2.75</v>
      </c>
      <c r="C50" s="100">
        <v>17.72</v>
      </c>
      <c r="D50" s="100">
        <v>11.46</v>
      </c>
      <c r="E50" s="100">
        <v>4.1900000000000004</v>
      </c>
      <c r="F50" s="100">
        <v>2.2999999999999998</v>
      </c>
      <c r="G50" s="100">
        <v>51.49</v>
      </c>
      <c r="H50" s="100">
        <v>37.67</v>
      </c>
      <c r="I50" s="100">
        <v>18.600000000000001</v>
      </c>
      <c r="J50" s="100">
        <v>0.26</v>
      </c>
      <c r="K50" s="100">
        <v>222.25</v>
      </c>
      <c r="L50" s="100">
        <v>21.04</v>
      </c>
      <c r="M50" s="100">
        <v>42.28</v>
      </c>
      <c r="N50" s="100">
        <v>452.8</v>
      </c>
      <c r="O50" s="100">
        <v>0</v>
      </c>
      <c r="P50" s="100">
        <v>0.88</v>
      </c>
      <c r="Q50" s="100">
        <v>9.32</v>
      </c>
      <c r="R50" s="6"/>
      <c r="S50" s="6"/>
      <c r="T50" s="156"/>
      <c r="U50" s="6"/>
    </row>
    <row r="51" spans="1:21" customFormat="1">
      <c r="A51" s="163" t="s">
        <v>3169</v>
      </c>
      <c r="B51" s="100">
        <v>2.5299999999999998</v>
      </c>
      <c r="C51" s="100">
        <v>17.68</v>
      </c>
      <c r="D51" s="100">
        <v>11.27</v>
      </c>
      <c r="E51" s="100">
        <v>4.5999999999999996</v>
      </c>
      <c r="F51" s="100">
        <v>2.79</v>
      </c>
      <c r="G51" s="100">
        <v>54.92</v>
      </c>
      <c r="H51" s="100">
        <v>38.119999999999997</v>
      </c>
      <c r="I51" s="100">
        <v>19.829999999999998</v>
      </c>
      <c r="J51" s="100">
        <v>0.15</v>
      </c>
      <c r="K51" s="100">
        <v>224.36</v>
      </c>
      <c r="L51" s="100">
        <v>21.5</v>
      </c>
      <c r="M51" s="100">
        <v>38.32</v>
      </c>
      <c r="N51" s="100">
        <v>480.7</v>
      </c>
      <c r="O51" s="100">
        <v>0</v>
      </c>
      <c r="P51" s="100">
        <v>0.88</v>
      </c>
      <c r="Q51" s="100">
        <v>9.32</v>
      </c>
      <c r="R51" s="6"/>
      <c r="S51" s="6"/>
      <c r="T51" s="156"/>
      <c r="U51" s="6"/>
    </row>
    <row r="52" spans="1:21" customFormat="1">
      <c r="A52" s="163" t="s">
        <v>3170</v>
      </c>
      <c r="B52" s="100">
        <v>2.33</v>
      </c>
      <c r="C52" s="100">
        <v>17.53</v>
      </c>
      <c r="D52" s="100">
        <v>11.03</v>
      </c>
      <c r="E52" s="100">
        <v>4.45</v>
      </c>
      <c r="F52" s="100">
        <v>3.9</v>
      </c>
      <c r="G52" s="100">
        <v>59.61</v>
      </c>
      <c r="H52" s="100">
        <v>38.46</v>
      </c>
      <c r="I52" s="100">
        <v>21.51</v>
      </c>
      <c r="J52" s="100">
        <v>0.06</v>
      </c>
      <c r="K52" s="100">
        <v>352.91</v>
      </c>
      <c r="L52" s="100">
        <v>22.24</v>
      </c>
      <c r="M52" s="100">
        <v>35.53</v>
      </c>
      <c r="N52" s="100">
        <v>503.1</v>
      </c>
      <c r="O52" s="100">
        <v>0</v>
      </c>
      <c r="P52" s="100">
        <v>0.88</v>
      </c>
      <c r="Q52" s="100">
        <v>9.32</v>
      </c>
      <c r="R52" s="6"/>
      <c r="S52" s="6"/>
      <c r="T52" s="156"/>
      <c r="U52" s="6"/>
    </row>
    <row r="53" spans="1:21" customFormat="1">
      <c r="A53" s="163" t="s">
        <v>3171</v>
      </c>
      <c r="B53" s="100">
        <v>2.4500000000000002</v>
      </c>
      <c r="C53" s="100">
        <v>17.809999999999999</v>
      </c>
      <c r="D53" s="100">
        <v>11.27</v>
      </c>
      <c r="E53" s="100">
        <v>4.68</v>
      </c>
      <c r="F53" s="100">
        <v>2.73</v>
      </c>
      <c r="G53" s="100">
        <v>59.61</v>
      </c>
      <c r="H53" s="100">
        <v>38.46</v>
      </c>
      <c r="I53" s="100">
        <v>22.69</v>
      </c>
      <c r="J53" s="100">
        <v>0.49</v>
      </c>
      <c r="K53" s="100">
        <v>15.01</v>
      </c>
      <c r="L53" s="100">
        <v>22.77</v>
      </c>
      <c r="M53" s="100">
        <v>32.409999999999997</v>
      </c>
      <c r="N53" s="100">
        <v>475.6</v>
      </c>
      <c r="O53" s="100">
        <v>0</v>
      </c>
      <c r="P53" s="100">
        <v>0.89</v>
      </c>
      <c r="Q53" s="100">
        <v>9.32</v>
      </c>
      <c r="R53" s="6"/>
      <c r="S53" s="6"/>
      <c r="T53" s="156"/>
      <c r="U53" s="6"/>
    </row>
    <row r="54" spans="1:21" customFormat="1">
      <c r="A54" s="163" t="s">
        <v>3172</v>
      </c>
      <c r="B54" s="100">
        <v>2.7</v>
      </c>
      <c r="C54" s="100">
        <v>18.059999999999999</v>
      </c>
      <c r="D54" s="100">
        <v>11.61</v>
      </c>
      <c r="E54" s="100">
        <v>4.33</v>
      </c>
      <c r="F54" s="100">
        <v>1.89</v>
      </c>
      <c r="G54" s="100">
        <v>59.61</v>
      </c>
      <c r="H54" s="100">
        <v>38.46</v>
      </c>
      <c r="I54" s="100">
        <v>23.25</v>
      </c>
      <c r="J54" s="100">
        <v>0.25</v>
      </c>
      <c r="K54" s="100">
        <v>352.19</v>
      </c>
      <c r="L54" s="100">
        <v>23.22</v>
      </c>
      <c r="M54" s="100">
        <v>32.119999999999997</v>
      </c>
      <c r="N54" s="100">
        <v>514.70000000000005</v>
      </c>
      <c r="O54" s="100">
        <v>0</v>
      </c>
      <c r="P54" s="100">
        <v>0.88</v>
      </c>
      <c r="Q54" s="100">
        <v>9.32</v>
      </c>
      <c r="R54" s="6"/>
      <c r="S54" s="6"/>
      <c r="T54" s="156"/>
      <c r="U54" s="6"/>
    </row>
    <row r="55" spans="1:21" customFormat="1">
      <c r="A55" s="163" t="s">
        <v>3173</v>
      </c>
      <c r="B55" s="100">
        <v>2.88</v>
      </c>
      <c r="C55" s="100">
        <v>18.18</v>
      </c>
      <c r="D55" s="100">
        <v>11.81</v>
      </c>
      <c r="E55" s="100">
        <v>2.36</v>
      </c>
      <c r="F55" s="100">
        <v>1.64</v>
      </c>
      <c r="G55" s="100">
        <v>58.61</v>
      </c>
      <c r="H55" s="100">
        <v>35.35</v>
      </c>
      <c r="I55" s="100">
        <v>23.28</v>
      </c>
      <c r="J55" s="100">
        <v>0.26</v>
      </c>
      <c r="K55" s="100">
        <v>287.92</v>
      </c>
      <c r="L55" s="100">
        <v>23.85</v>
      </c>
      <c r="M55" s="100">
        <v>30.95</v>
      </c>
      <c r="N55" s="100">
        <v>513.29999999999995</v>
      </c>
      <c r="O55" s="100">
        <v>0</v>
      </c>
      <c r="P55" s="100">
        <v>0.87</v>
      </c>
      <c r="Q55" s="100">
        <v>9.32</v>
      </c>
      <c r="R55" s="6"/>
      <c r="S55" s="6"/>
      <c r="T55" s="156"/>
      <c r="U55" s="6"/>
    </row>
    <row r="56" spans="1:21" customFormat="1">
      <c r="A56" s="163" t="s">
        <v>3174</v>
      </c>
      <c r="B56" s="100">
        <v>2.98</v>
      </c>
      <c r="C56" s="100">
        <v>18.25</v>
      </c>
      <c r="D56" s="100">
        <v>11.92</v>
      </c>
      <c r="E56" s="100">
        <v>4.16</v>
      </c>
      <c r="F56" s="100">
        <v>1.5</v>
      </c>
      <c r="G56" s="100">
        <v>57.25</v>
      </c>
      <c r="H56" s="100">
        <v>32.97</v>
      </c>
      <c r="I56" s="100">
        <v>23.14</v>
      </c>
      <c r="J56" s="100">
        <v>0.54</v>
      </c>
      <c r="K56" s="100">
        <v>289</v>
      </c>
      <c r="L56" s="100">
        <v>23.99</v>
      </c>
      <c r="M56" s="100">
        <v>28.28</v>
      </c>
      <c r="N56" s="100">
        <v>531.79999999999995</v>
      </c>
      <c r="O56" s="100">
        <v>0</v>
      </c>
      <c r="P56" s="100">
        <v>0.86</v>
      </c>
      <c r="Q56" s="100">
        <v>9.32</v>
      </c>
      <c r="R56" s="6"/>
      <c r="S56" s="6"/>
      <c r="T56" s="156"/>
      <c r="U56" s="6"/>
    </row>
    <row r="57" spans="1:21" customFormat="1">
      <c r="A57" s="163" t="s">
        <v>3175</v>
      </c>
      <c r="B57" s="100">
        <v>2.93</v>
      </c>
      <c r="C57" s="100">
        <v>18.5</v>
      </c>
      <c r="D57" s="100">
        <v>12.02</v>
      </c>
      <c r="E57" s="100">
        <v>4.96</v>
      </c>
      <c r="F57" s="100">
        <v>1.79</v>
      </c>
      <c r="G57" s="100">
        <v>57.25</v>
      </c>
      <c r="H57" s="100">
        <v>32.97</v>
      </c>
      <c r="I57" s="100">
        <v>23</v>
      </c>
      <c r="J57" s="100">
        <v>0.64</v>
      </c>
      <c r="K57" s="100">
        <v>247.85</v>
      </c>
      <c r="L57" s="100">
        <v>24.24</v>
      </c>
      <c r="M57" s="100">
        <v>27.32</v>
      </c>
      <c r="N57" s="100">
        <v>554.6</v>
      </c>
      <c r="O57" s="100">
        <v>0</v>
      </c>
      <c r="P57" s="100">
        <v>0.86</v>
      </c>
      <c r="Q57" s="100">
        <v>9.32</v>
      </c>
      <c r="R57" s="6"/>
      <c r="S57" s="6"/>
      <c r="T57" s="156"/>
      <c r="U57" s="6"/>
    </row>
    <row r="58" spans="1:21" customFormat="1">
      <c r="A58" s="163" t="s">
        <v>3176</v>
      </c>
      <c r="B58" s="100">
        <v>2.85</v>
      </c>
      <c r="C58" s="100">
        <v>18.45</v>
      </c>
      <c r="D58" s="100">
        <v>11.92</v>
      </c>
      <c r="E58" s="100">
        <v>5.46</v>
      </c>
      <c r="F58" s="100">
        <v>2.35</v>
      </c>
      <c r="G58" s="100">
        <v>57.25</v>
      </c>
      <c r="H58" s="100">
        <v>32.97</v>
      </c>
      <c r="I58" s="100">
        <v>22.85</v>
      </c>
      <c r="J58" s="100">
        <v>0.56999999999999995</v>
      </c>
      <c r="K58" s="100">
        <v>264.82</v>
      </c>
      <c r="L58" s="100">
        <v>24.39</v>
      </c>
      <c r="M58" s="100">
        <v>27.51</v>
      </c>
      <c r="N58" s="100">
        <v>535.79999999999995</v>
      </c>
      <c r="O58" s="100">
        <v>0</v>
      </c>
      <c r="P58" s="100">
        <v>0.83</v>
      </c>
      <c r="Q58" s="100">
        <v>9.32</v>
      </c>
      <c r="R58" s="6"/>
      <c r="S58" s="6"/>
      <c r="T58" s="156"/>
      <c r="U58" s="6"/>
    </row>
    <row r="59" spans="1:21" customFormat="1">
      <c r="A59" s="163" t="s">
        <v>3177</v>
      </c>
      <c r="B59" s="100">
        <v>2.46</v>
      </c>
      <c r="C59" s="100">
        <v>18.809999999999999</v>
      </c>
      <c r="D59" s="100">
        <v>11.8</v>
      </c>
      <c r="E59" s="100">
        <v>5.65</v>
      </c>
      <c r="F59" s="100">
        <v>6.18</v>
      </c>
      <c r="G59" s="100">
        <v>52.99</v>
      </c>
      <c r="H59" s="100">
        <v>31.84</v>
      </c>
      <c r="I59" s="100">
        <v>22.6</v>
      </c>
      <c r="J59" s="100">
        <v>0.5</v>
      </c>
      <c r="K59" s="100">
        <v>304.24</v>
      </c>
      <c r="L59" s="100">
        <v>24.41</v>
      </c>
      <c r="M59" s="100">
        <v>26.91</v>
      </c>
      <c r="N59" s="100">
        <v>522.79999999999995</v>
      </c>
      <c r="O59" s="100">
        <v>0</v>
      </c>
      <c r="P59" s="100">
        <v>0.76</v>
      </c>
      <c r="Q59" s="100">
        <v>9.32</v>
      </c>
      <c r="R59" s="6"/>
      <c r="S59" s="6"/>
      <c r="T59" s="156"/>
      <c r="U59" s="6"/>
    </row>
    <row r="60" spans="1:21" customFormat="1">
      <c r="A60" s="163" t="s">
        <v>3178</v>
      </c>
      <c r="B60" s="100">
        <v>2.14</v>
      </c>
      <c r="C60" s="100">
        <v>18.79</v>
      </c>
      <c r="D60" s="100">
        <v>11.53</v>
      </c>
      <c r="E60" s="100">
        <v>5.35</v>
      </c>
      <c r="F60" s="100">
        <v>8.98</v>
      </c>
      <c r="G60" s="100">
        <v>47.16</v>
      </c>
      <c r="H60" s="100">
        <v>29.65</v>
      </c>
      <c r="I60" s="100">
        <v>21.74</v>
      </c>
      <c r="J60" s="100">
        <v>0.51</v>
      </c>
      <c r="K60" s="100">
        <v>275.66000000000003</v>
      </c>
      <c r="L60" s="100">
        <v>24.68</v>
      </c>
      <c r="M60" s="100">
        <v>26.64</v>
      </c>
      <c r="N60" s="100">
        <v>514.1</v>
      </c>
      <c r="O60" s="100">
        <v>0</v>
      </c>
      <c r="P60" s="100">
        <v>0.72</v>
      </c>
      <c r="Q60" s="100">
        <v>9.32</v>
      </c>
      <c r="R60" s="6"/>
      <c r="S60" s="6"/>
      <c r="T60" s="156"/>
      <c r="U60" s="6"/>
    </row>
    <row r="61" spans="1:21" customFormat="1">
      <c r="A61" s="163" t="s">
        <v>3179</v>
      </c>
      <c r="B61" s="100">
        <v>2.06</v>
      </c>
      <c r="C61" s="100">
        <v>18.27</v>
      </c>
      <c r="D61" s="100">
        <v>11.2</v>
      </c>
      <c r="E61" s="100">
        <v>5.0199999999999996</v>
      </c>
      <c r="F61" s="100">
        <v>9.77</v>
      </c>
      <c r="G61" s="100">
        <v>47.16</v>
      </c>
      <c r="H61" s="100">
        <v>29.65</v>
      </c>
      <c r="I61" s="100">
        <v>20.27</v>
      </c>
      <c r="J61" s="100">
        <v>0.36</v>
      </c>
      <c r="K61" s="100">
        <v>271.8</v>
      </c>
      <c r="L61" s="100">
        <v>24.6</v>
      </c>
      <c r="M61" s="100">
        <v>27.44</v>
      </c>
      <c r="N61" s="100">
        <v>490.7</v>
      </c>
      <c r="O61" s="100">
        <v>0</v>
      </c>
      <c r="P61" s="100">
        <v>0.68</v>
      </c>
      <c r="Q61" s="100">
        <v>9.32</v>
      </c>
      <c r="R61" s="6"/>
      <c r="S61" s="6"/>
      <c r="T61" s="156"/>
      <c r="U61" s="6"/>
    </row>
    <row r="62" spans="1:21" customFormat="1">
      <c r="A62" s="163" t="s">
        <v>3180</v>
      </c>
      <c r="B62" s="100">
        <v>2.1</v>
      </c>
      <c r="C62" s="100">
        <v>18.899999999999999</v>
      </c>
      <c r="D62" s="100">
        <v>11.56</v>
      </c>
      <c r="E62" s="100">
        <v>6.53</v>
      </c>
      <c r="F62" s="100">
        <v>11.49</v>
      </c>
      <c r="G62" s="100">
        <v>0</v>
      </c>
      <c r="H62" s="100">
        <v>0</v>
      </c>
      <c r="I62" s="100">
        <v>18.850000000000001</v>
      </c>
      <c r="J62" s="100">
        <v>0.41</v>
      </c>
      <c r="K62" s="100">
        <v>303.33</v>
      </c>
      <c r="L62" s="100">
        <v>24.32</v>
      </c>
      <c r="M62" s="100">
        <v>26.64</v>
      </c>
      <c r="N62" s="100">
        <v>317</v>
      </c>
      <c r="O62" s="100">
        <v>0</v>
      </c>
      <c r="P62" s="100">
        <v>0.65</v>
      </c>
      <c r="Q62" s="100">
        <v>9.32</v>
      </c>
      <c r="R62" s="6"/>
      <c r="S62" s="6"/>
      <c r="T62" s="156"/>
      <c r="U62" s="6"/>
    </row>
    <row r="63" spans="1:21" customFormat="1">
      <c r="A63" s="163" t="s">
        <v>3181</v>
      </c>
      <c r="B63" s="100">
        <v>2.11</v>
      </c>
      <c r="C63" s="100">
        <v>20.73</v>
      </c>
      <c r="D63" s="100">
        <v>12.52</v>
      </c>
      <c r="E63" s="100">
        <v>6.23</v>
      </c>
      <c r="F63" s="100">
        <v>13.92</v>
      </c>
      <c r="G63" s="100">
        <v>0</v>
      </c>
      <c r="H63" s="100">
        <v>0</v>
      </c>
      <c r="I63" s="100">
        <v>17.7</v>
      </c>
      <c r="J63" s="100">
        <v>0.54</v>
      </c>
      <c r="K63" s="100">
        <v>340.7</v>
      </c>
      <c r="L63" s="100">
        <v>24.18</v>
      </c>
      <c r="M63" s="100">
        <v>27.21</v>
      </c>
      <c r="N63" s="100">
        <v>180.5</v>
      </c>
      <c r="O63" s="100">
        <v>0</v>
      </c>
      <c r="P63" s="100">
        <v>0.64</v>
      </c>
      <c r="Q63" s="100">
        <v>9.32</v>
      </c>
      <c r="R63" s="6"/>
      <c r="S63" s="6"/>
      <c r="T63" s="156"/>
      <c r="U63" s="6"/>
    </row>
    <row r="64" spans="1:21" customFormat="1">
      <c r="A64" s="163" t="s">
        <v>3182</v>
      </c>
      <c r="B64" s="100">
        <v>2.1</v>
      </c>
      <c r="C64" s="100">
        <v>21.97</v>
      </c>
      <c r="D64" s="100">
        <v>13.17</v>
      </c>
      <c r="E64" s="100">
        <v>6.99</v>
      </c>
      <c r="F64" s="100">
        <v>14.1</v>
      </c>
      <c r="G64" s="100">
        <v>0</v>
      </c>
      <c r="H64" s="100">
        <v>0</v>
      </c>
      <c r="I64" s="100">
        <v>16.89</v>
      </c>
      <c r="J64" s="100">
        <v>0.35</v>
      </c>
      <c r="K64" s="100">
        <v>262.97000000000003</v>
      </c>
      <c r="L64" s="100">
        <v>24.08</v>
      </c>
      <c r="M64" s="100">
        <v>27.24</v>
      </c>
      <c r="N64" s="100">
        <v>146.6</v>
      </c>
      <c r="O64" s="100">
        <v>0</v>
      </c>
      <c r="P64" s="100">
        <v>0.66</v>
      </c>
      <c r="Q64" s="100">
        <v>9.32</v>
      </c>
      <c r="R64" s="6"/>
      <c r="S64" s="6"/>
      <c r="T64" s="156"/>
      <c r="U64" s="6"/>
    </row>
    <row r="65" spans="1:21" customFormat="1">
      <c r="A65" s="163" t="s">
        <v>3183</v>
      </c>
      <c r="B65" s="100">
        <v>2.0299999999999998</v>
      </c>
      <c r="C65" s="100">
        <v>21.7</v>
      </c>
      <c r="D65" s="100">
        <v>12.97</v>
      </c>
      <c r="E65" s="100">
        <v>7.69</v>
      </c>
      <c r="F65" s="100">
        <v>15.71</v>
      </c>
      <c r="G65" s="100">
        <v>0</v>
      </c>
      <c r="H65" s="100">
        <v>0</v>
      </c>
      <c r="I65" s="100">
        <v>16.57</v>
      </c>
      <c r="J65" s="100">
        <v>0.56000000000000005</v>
      </c>
      <c r="K65" s="100">
        <v>321.12</v>
      </c>
      <c r="L65" s="100">
        <v>24.1</v>
      </c>
      <c r="M65" s="100">
        <v>26.71</v>
      </c>
      <c r="N65" s="100">
        <v>136.19999999999999</v>
      </c>
      <c r="O65" s="100">
        <v>0</v>
      </c>
      <c r="P65" s="100">
        <v>0.68</v>
      </c>
      <c r="Q65" s="100">
        <v>9.32</v>
      </c>
      <c r="R65" s="6"/>
      <c r="S65" s="6"/>
      <c r="T65" s="156"/>
      <c r="U65" s="6"/>
    </row>
    <row r="66" spans="1:21" customFormat="1">
      <c r="A66" s="163" t="s">
        <v>3184</v>
      </c>
      <c r="B66" s="100">
        <v>2.04</v>
      </c>
      <c r="C66" s="100">
        <v>22.09</v>
      </c>
      <c r="D66" s="100">
        <v>13.18</v>
      </c>
      <c r="E66" s="100">
        <v>7.59</v>
      </c>
      <c r="F66" s="100">
        <v>13.99</v>
      </c>
      <c r="G66" s="100">
        <v>32.22</v>
      </c>
      <c r="H66" s="100">
        <v>25.43</v>
      </c>
      <c r="I66" s="100">
        <v>16.98</v>
      </c>
      <c r="J66" s="100">
        <v>0.36</v>
      </c>
      <c r="K66" s="100">
        <v>266.27999999999997</v>
      </c>
      <c r="L66" s="100">
        <v>24.24</v>
      </c>
      <c r="M66" s="100">
        <v>28</v>
      </c>
      <c r="N66" s="100">
        <v>133.6</v>
      </c>
      <c r="O66" s="100">
        <v>0</v>
      </c>
      <c r="P66" s="100">
        <v>0.72</v>
      </c>
      <c r="Q66" s="100">
        <v>9.32</v>
      </c>
      <c r="R66" s="6"/>
      <c r="S66" s="6"/>
      <c r="T66" s="156"/>
      <c r="U66" s="6"/>
    </row>
    <row r="67" spans="1:21" customFormat="1">
      <c r="A67" s="163" t="s">
        <v>3185</v>
      </c>
      <c r="B67" s="100">
        <v>1.92</v>
      </c>
      <c r="C67" s="100">
        <v>21.38</v>
      </c>
      <c r="D67" s="100">
        <v>12.71</v>
      </c>
      <c r="E67" s="100">
        <v>6.83</v>
      </c>
      <c r="F67" s="100">
        <v>13.74</v>
      </c>
      <c r="G67" s="100">
        <v>43.28</v>
      </c>
      <c r="H67" s="100">
        <v>25.43</v>
      </c>
      <c r="I67" s="100">
        <v>17.670000000000002</v>
      </c>
      <c r="J67" s="100">
        <v>0.15</v>
      </c>
      <c r="K67" s="100">
        <v>229.73</v>
      </c>
      <c r="L67" s="100">
        <v>24.21</v>
      </c>
      <c r="M67" s="100">
        <v>28.13</v>
      </c>
      <c r="N67" s="100">
        <v>137</v>
      </c>
      <c r="O67" s="100">
        <v>0</v>
      </c>
      <c r="P67" s="100">
        <v>0.75</v>
      </c>
      <c r="Q67" s="100">
        <v>9.32</v>
      </c>
      <c r="R67" s="6"/>
      <c r="S67" s="6"/>
      <c r="T67" s="156"/>
      <c r="U67" s="6"/>
    </row>
    <row r="68" spans="1:21" customFormat="1">
      <c r="A68" s="163" t="s">
        <v>3186</v>
      </c>
      <c r="B68" s="100">
        <v>2.2000000000000002</v>
      </c>
      <c r="C68" s="100">
        <v>23.48</v>
      </c>
      <c r="D68" s="100">
        <v>14.03</v>
      </c>
      <c r="E68" s="100">
        <v>8.98</v>
      </c>
      <c r="F68" s="100">
        <v>14.93</v>
      </c>
      <c r="G68" s="100">
        <v>43.28</v>
      </c>
      <c r="H68" s="100">
        <v>25.43</v>
      </c>
      <c r="I68" s="100">
        <v>18.29</v>
      </c>
      <c r="J68" s="100">
        <v>0.28999999999999998</v>
      </c>
      <c r="K68" s="100">
        <v>42.75</v>
      </c>
      <c r="L68" s="100">
        <v>24.32</v>
      </c>
      <c r="M68" s="100">
        <v>27.41</v>
      </c>
      <c r="N68" s="100">
        <v>126.2</v>
      </c>
      <c r="O68" s="100">
        <v>0</v>
      </c>
      <c r="P68" s="100">
        <v>0.8</v>
      </c>
      <c r="Q68" s="100">
        <v>9.32</v>
      </c>
      <c r="R68" s="6"/>
      <c r="S68" s="6"/>
      <c r="T68" s="156"/>
      <c r="U68" s="6"/>
    </row>
    <row r="69" spans="1:21" customFormat="1">
      <c r="A69" s="163" t="s">
        <v>3187</v>
      </c>
      <c r="B69" s="100">
        <v>2.21</v>
      </c>
      <c r="C69" s="100">
        <v>25.47</v>
      </c>
      <c r="D69" s="100">
        <v>15.08</v>
      </c>
      <c r="E69" s="100">
        <v>12.36</v>
      </c>
      <c r="F69" s="100">
        <v>16.8</v>
      </c>
      <c r="G69" s="100">
        <v>43.28</v>
      </c>
      <c r="H69" s="100">
        <v>25.43</v>
      </c>
      <c r="I69" s="100">
        <v>19.36</v>
      </c>
      <c r="J69" s="100">
        <v>0.53</v>
      </c>
      <c r="K69" s="100">
        <v>336.22</v>
      </c>
      <c r="L69" s="100">
        <v>24.43</v>
      </c>
      <c r="M69" s="100">
        <v>26.63</v>
      </c>
      <c r="N69" s="100">
        <v>114.4</v>
      </c>
      <c r="O69" s="100">
        <v>0</v>
      </c>
      <c r="P69" s="100">
        <v>0.84</v>
      </c>
      <c r="Q69" s="100">
        <v>9.32</v>
      </c>
      <c r="R69" s="6"/>
      <c r="S69" s="6"/>
      <c r="T69" s="156"/>
      <c r="U69" s="6"/>
    </row>
    <row r="70" spans="1:21" customFormat="1">
      <c r="A70" s="163" t="s">
        <v>3188</v>
      </c>
      <c r="B70" s="100">
        <v>2.14</v>
      </c>
      <c r="C70" s="100">
        <v>26.4</v>
      </c>
      <c r="D70" s="100">
        <v>15.51</v>
      </c>
      <c r="E70" s="100">
        <v>10.98</v>
      </c>
      <c r="F70" s="100">
        <v>16.79</v>
      </c>
      <c r="G70" s="100">
        <v>49.53</v>
      </c>
      <c r="H70" s="100">
        <v>26.9</v>
      </c>
      <c r="I70" s="100">
        <v>20.92</v>
      </c>
      <c r="J70" s="100">
        <v>0.22</v>
      </c>
      <c r="K70" s="100">
        <v>289.43</v>
      </c>
      <c r="L70" s="100">
        <v>24.28</v>
      </c>
      <c r="M70" s="100">
        <v>27.59</v>
      </c>
      <c r="N70" s="100">
        <v>103.3</v>
      </c>
      <c r="O70" s="100">
        <v>0</v>
      </c>
      <c r="P70" s="100">
        <v>0.8</v>
      </c>
      <c r="Q70" s="100">
        <v>9.32</v>
      </c>
      <c r="R70" s="6"/>
      <c r="S70" s="6"/>
      <c r="T70" s="156"/>
      <c r="U70" s="6"/>
    </row>
    <row r="71" spans="1:21" customFormat="1">
      <c r="A71" s="163" t="s">
        <v>3189</v>
      </c>
      <c r="B71" s="100">
        <v>2.08</v>
      </c>
      <c r="C71" s="100">
        <v>26.68</v>
      </c>
      <c r="D71" s="100">
        <v>15.61</v>
      </c>
      <c r="E71" s="100">
        <v>10.69</v>
      </c>
      <c r="F71" s="100">
        <v>21.98</v>
      </c>
      <c r="G71" s="100">
        <v>51.67</v>
      </c>
      <c r="H71" s="100">
        <v>26.9</v>
      </c>
      <c r="I71" s="100">
        <v>21.51</v>
      </c>
      <c r="J71" s="100">
        <v>0.34</v>
      </c>
      <c r="K71" s="100">
        <v>302.07</v>
      </c>
      <c r="L71" s="100">
        <v>24.28</v>
      </c>
      <c r="M71" s="100">
        <v>26.55</v>
      </c>
      <c r="N71" s="100">
        <v>101.9</v>
      </c>
      <c r="O71" s="100">
        <v>0</v>
      </c>
      <c r="P71" s="100">
        <v>0.76</v>
      </c>
      <c r="Q71" s="100">
        <v>9.32</v>
      </c>
      <c r="R71" s="6"/>
      <c r="S71" s="6"/>
      <c r="T71" s="156"/>
      <c r="U71" s="6"/>
    </row>
    <row r="72" spans="1:21" customFormat="1">
      <c r="A72" s="163" t="s">
        <v>3190</v>
      </c>
      <c r="B72" s="100">
        <v>1.99</v>
      </c>
      <c r="C72" s="100">
        <v>26.38</v>
      </c>
      <c r="D72" s="100">
        <v>15.37</v>
      </c>
      <c r="E72" s="100">
        <v>7.29</v>
      </c>
      <c r="F72" s="100">
        <v>14.63</v>
      </c>
      <c r="G72" s="100">
        <v>51.67</v>
      </c>
      <c r="H72" s="100">
        <v>26.9</v>
      </c>
      <c r="I72" s="100">
        <v>20.9</v>
      </c>
      <c r="J72" s="100">
        <v>0.18</v>
      </c>
      <c r="K72" s="100">
        <v>178.25</v>
      </c>
      <c r="L72" s="100">
        <v>23.7</v>
      </c>
      <c r="M72" s="100">
        <v>29.66</v>
      </c>
      <c r="N72" s="100">
        <v>86.1</v>
      </c>
      <c r="O72" s="100">
        <v>0</v>
      </c>
      <c r="P72" s="100">
        <v>0.76</v>
      </c>
      <c r="Q72" s="100">
        <v>9.32</v>
      </c>
      <c r="R72" s="6"/>
      <c r="S72" s="6"/>
      <c r="T72" s="156"/>
      <c r="U72" s="6"/>
    </row>
    <row r="73" spans="1:21" customFormat="1">
      <c r="A73" s="163" t="s">
        <v>3191</v>
      </c>
      <c r="B73" s="100">
        <v>1.97</v>
      </c>
      <c r="C73" s="100">
        <v>24.44</v>
      </c>
      <c r="D73" s="100">
        <v>14.35</v>
      </c>
      <c r="E73" s="100">
        <v>4.99</v>
      </c>
      <c r="F73" s="100">
        <v>10.14</v>
      </c>
      <c r="G73" s="100">
        <v>51.67</v>
      </c>
      <c r="H73" s="100">
        <v>26.9</v>
      </c>
      <c r="I73" s="100">
        <v>20.100000000000001</v>
      </c>
      <c r="J73" s="100">
        <v>0.09</v>
      </c>
      <c r="K73" s="100">
        <v>197.98</v>
      </c>
      <c r="L73" s="100">
        <v>23.45</v>
      </c>
      <c r="M73" s="100">
        <v>28.92</v>
      </c>
      <c r="N73" s="100">
        <v>79.2</v>
      </c>
      <c r="O73" s="100">
        <v>0</v>
      </c>
      <c r="P73" s="100">
        <v>0.74</v>
      </c>
      <c r="Q73" s="100">
        <v>9.32</v>
      </c>
      <c r="R73" s="6"/>
      <c r="S73" s="6"/>
      <c r="T73" s="156"/>
      <c r="U73" s="6"/>
    </row>
    <row r="74" spans="1:21" customFormat="1">
      <c r="A74" s="163" t="s">
        <v>3192</v>
      </c>
      <c r="B74" s="100">
        <v>2.06</v>
      </c>
      <c r="C74" s="100">
        <v>22.95</v>
      </c>
      <c r="D74" s="100">
        <v>13.64</v>
      </c>
      <c r="E74" s="100">
        <v>4.68</v>
      </c>
      <c r="F74" s="100">
        <v>8.92</v>
      </c>
      <c r="G74" s="100">
        <v>49.33</v>
      </c>
      <c r="H74" s="100">
        <v>26.03</v>
      </c>
      <c r="I74" s="100">
        <v>19.579999999999998</v>
      </c>
      <c r="J74" s="100">
        <v>0.11</v>
      </c>
      <c r="K74" s="100">
        <v>292.95</v>
      </c>
      <c r="L74" s="100">
        <v>23.56</v>
      </c>
      <c r="M74" s="100">
        <v>27.9</v>
      </c>
      <c r="N74" s="100">
        <v>72.5</v>
      </c>
      <c r="O74" s="100">
        <v>0</v>
      </c>
      <c r="P74" s="100">
        <v>0.71</v>
      </c>
      <c r="Q74" s="100">
        <v>9.32</v>
      </c>
      <c r="R74" s="6"/>
      <c r="S74" s="6"/>
      <c r="T74" s="156"/>
      <c r="U74" s="6"/>
    </row>
    <row r="75" spans="1:21" customFormat="1">
      <c r="A75" s="163" t="s">
        <v>3193</v>
      </c>
      <c r="B75" s="100">
        <v>2.14</v>
      </c>
      <c r="C75" s="100">
        <v>22.44</v>
      </c>
      <c r="D75" s="100">
        <v>13.44</v>
      </c>
      <c r="E75" s="100">
        <v>4.53</v>
      </c>
      <c r="F75" s="100">
        <v>7.25</v>
      </c>
      <c r="G75" s="100">
        <v>48.53</v>
      </c>
      <c r="H75" s="100">
        <v>26.03</v>
      </c>
      <c r="I75" s="100">
        <v>19.309999999999999</v>
      </c>
      <c r="J75" s="100">
        <v>0.22</v>
      </c>
      <c r="K75" s="100">
        <v>166.55</v>
      </c>
      <c r="L75" s="100">
        <v>23.14</v>
      </c>
      <c r="M75" s="100">
        <v>31.8</v>
      </c>
      <c r="N75" s="100">
        <v>57.4</v>
      </c>
      <c r="O75" s="100">
        <v>0</v>
      </c>
      <c r="P75" s="100">
        <v>0.7</v>
      </c>
      <c r="Q75" s="100">
        <v>9.32</v>
      </c>
      <c r="R75" s="6"/>
      <c r="S75" s="6"/>
      <c r="T75" s="156"/>
      <c r="U75" s="6"/>
    </row>
    <row r="76" spans="1:21" customFormat="1">
      <c r="A76" s="163" t="s">
        <v>3194</v>
      </c>
      <c r="B76" s="100">
        <v>2.25</v>
      </c>
      <c r="C76" s="100">
        <v>22.27</v>
      </c>
      <c r="D76" s="100">
        <v>13.44</v>
      </c>
      <c r="E76" s="100">
        <v>4.45</v>
      </c>
      <c r="F76" s="100">
        <v>5.73</v>
      </c>
      <c r="G76" s="100">
        <v>48.53</v>
      </c>
      <c r="H76" s="100">
        <v>26.03</v>
      </c>
      <c r="I76" s="100">
        <v>18.82</v>
      </c>
      <c r="J76" s="100">
        <v>0.23</v>
      </c>
      <c r="K76" s="100">
        <v>153.54</v>
      </c>
      <c r="L76" s="100">
        <v>22.29</v>
      </c>
      <c r="M76" s="100">
        <v>34.51</v>
      </c>
      <c r="N76" s="100">
        <v>19.100000000000001</v>
      </c>
      <c r="O76" s="100">
        <v>0</v>
      </c>
      <c r="P76" s="100">
        <v>0.68</v>
      </c>
      <c r="Q76" s="100">
        <v>9.32</v>
      </c>
      <c r="R76" s="6"/>
      <c r="S76" s="6"/>
      <c r="T76" s="156"/>
      <c r="U76" s="6"/>
    </row>
    <row r="77" spans="1:21" customFormat="1">
      <c r="A77" s="163" t="s">
        <v>3195</v>
      </c>
      <c r="B77" s="100">
        <v>2.36</v>
      </c>
      <c r="C77" s="100">
        <v>22.84</v>
      </c>
      <c r="D77" s="100">
        <v>13.82</v>
      </c>
      <c r="E77" s="100">
        <v>4.29</v>
      </c>
      <c r="F77" s="100">
        <v>5.27</v>
      </c>
      <c r="G77" s="100">
        <v>48.53</v>
      </c>
      <c r="H77" s="100">
        <v>26.03</v>
      </c>
      <c r="I77" s="100">
        <v>18.37</v>
      </c>
      <c r="J77" s="100">
        <v>0.22</v>
      </c>
      <c r="K77" s="100">
        <v>160.44</v>
      </c>
      <c r="L77" s="100">
        <v>21.53</v>
      </c>
      <c r="M77" s="100">
        <v>36.74</v>
      </c>
      <c r="N77" s="100">
        <v>12.8</v>
      </c>
      <c r="O77" s="100">
        <v>0</v>
      </c>
      <c r="P77" s="100">
        <v>0.67</v>
      </c>
      <c r="Q77" s="100">
        <v>9.32</v>
      </c>
      <c r="R77" s="6"/>
      <c r="S77" s="6"/>
      <c r="T77" s="156"/>
      <c r="U77" s="6"/>
    </row>
    <row r="78" spans="1:21" customFormat="1">
      <c r="A78" s="163" t="s">
        <v>3196</v>
      </c>
      <c r="B78" s="100">
        <v>2.23</v>
      </c>
      <c r="C78" s="100">
        <v>25.14</v>
      </c>
      <c r="D78" s="100">
        <v>14.92</v>
      </c>
      <c r="E78" s="100">
        <v>4.1399999999999997</v>
      </c>
      <c r="F78" s="100">
        <v>5.8</v>
      </c>
      <c r="G78" s="100">
        <v>50.09</v>
      </c>
      <c r="H78" s="100">
        <v>26.55</v>
      </c>
      <c r="I78" s="100">
        <v>17.87</v>
      </c>
      <c r="J78" s="100">
        <v>0.18</v>
      </c>
      <c r="K78" s="100">
        <v>72.91</v>
      </c>
      <c r="L78" s="100">
        <v>21.03</v>
      </c>
      <c r="M78" s="100">
        <v>37.42</v>
      </c>
      <c r="N78" s="100">
        <v>7.2</v>
      </c>
      <c r="O78" s="100">
        <v>0</v>
      </c>
      <c r="P78" s="100">
        <v>0.67</v>
      </c>
      <c r="Q78" s="100">
        <v>9.32</v>
      </c>
      <c r="R78" s="6"/>
      <c r="S78" s="6"/>
      <c r="T78" s="156"/>
      <c r="U78" s="6"/>
    </row>
    <row r="79" spans="1:21" customFormat="1">
      <c r="A79" s="163" t="s">
        <v>3197</v>
      </c>
      <c r="B79" s="100">
        <v>2.3199999999999998</v>
      </c>
      <c r="C79" s="100">
        <v>25.57</v>
      </c>
      <c r="D79" s="100">
        <v>15.22</v>
      </c>
      <c r="E79" s="100">
        <v>4.0599999999999996</v>
      </c>
      <c r="F79" s="100">
        <v>2.64</v>
      </c>
      <c r="G79" s="100">
        <v>50.62</v>
      </c>
      <c r="H79" s="100">
        <v>26.55</v>
      </c>
      <c r="I79" s="100">
        <v>17.170000000000002</v>
      </c>
      <c r="J79" s="100">
        <v>0.24</v>
      </c>
      <c r="K79" s="100">
        <v>162.62</v>
      </c>
      <c r="L79" s="100">
        <v>20.100000000000001</v>
      </c>
      <c r="M79" s="100">
        <v>41.39</v>
      </c>
      <c r="N79" s="100">
        <v>5</v>
      </c>
      <c r="O79" s="100">
        <v>0</v>
      </c>
      <c r="P79" s="100">
        <v>0.68</v>
      </c>
      <c r="Q79" s="100">
        <v>9.32</v>
      </c>
      <c r="R79" s="6"/>
      <c r="S79" s="6"/>
      <c r="T79" s="156"/>
      <c r="U79" s="6"/>
    </row>
    <row r="80" spans="1:21" customFormat="1">
      <c r="A80" s="163" t="s">
        <v>3198</v>
      </c>
      <c r="B80" s="100">
        <v>2.56</v>
      </c>
      <c r="C80" s="100">
        <v>25.34</v>
      </c>
      <c r="D80" s="100">
        <v>15.29</v>
      </c>
      <c r="E80" s="100">
        <v>4.4000000000000004</v>
      </c>
      <c r="F80" s="100">
        <v>0.96</v>
      </c>
      <c r="G80" s="100">
        <v>50.62</v>
      </c>
      <c r="H80" s="100">
        <v>26.55</v>
      </c>
      <c r="I80" s="100">
        <v>16.690000000000001</v>
      </c>
      <c r="J80" s="100">
        <v>0.31</v>
      </c>
      <c r="K80" s="100">
        <v>166.75</v>
      </c>
      <c r="L80" s="100">
        <v>19.100000000000001</v>
      </c>
      <c r="M80" s="100">
        <v>48.44</v>
      </c>
      <c r="N80" s="100">
        <v>4.5</v>
      </c>
      <c r="O80" s="100">
        <v>0</v>
      </c>
      <c r="P80" s="100">
        <v>0.69</v>
      </c>
      <c r="Q80" s="100">
        <v>9.32</v>
      </c>
      <c r="R80" s="6"/>
      <c r="S80" s="6"/>
      <c r="T80" s="156"/>
      <c r="U80" s="6"/>
    </row>
    <row r="81" spans="1:21" customFormat="1">
      <c r="A81" s="163" t="s">
        <v>3199</v>
      </c>
      <c r="B81" s="100">
        <v>2.85</v>
      </c>
      <c r="C81" s="100">
        <v>24.8</v>
      </c>
      <c r="D81" s="100">
        <v>15.24</v>
      </c>
      <c r="E81" s="100">
        <v>2.41</v>
      </c>
      <c r="F81" s="100">
        <v>0.46</v>
      </c>
      <c r="G81" s="100">
        <v>50.62</v>
      </c>
      <c r="H81" s="100">
        <v>26.55</v>
      </c>
      <c r="I81" s="100">
        <v>16.739999999999998</v>
      </c>
      <c r="J81" s="100">
        <v>0.28999999999999998</v>
      </c>
      <c r="K81" s="100">
        <v>156.49</v>
      </c>
      <c r="L81" s="100">
        <v>18.329999999999998</v>
      </c>
      <c r="M81" s="100">
        <v>54.47</v>
      </c>
      <c r="N81" s="100">
        <v>4.2</v>
      </c>
      <c r="O81" s="100">
        <v>0</v>
      </c>
      <c r="P81" s="100">
        <v>0.7</v>
      </c>
      <c r="Q81" s="100">
        <v>9.32</v>
      </c>
      <c r="R81" s="6"/>
      <c r="S81" s="6"/>
      <c r="T81" s="156"/>
      <c r="U81" s="6"/>
    </row>
    <row r="82" spans="1:21" customFormat="1">
      <c r="A82" s="163" t="s">
        <v>3200</v>
      </c>
      <c r="B82" s="100">
        <v>3.44</v>
      </c>
      <c r="C82" s="100">
        <v>24.43</v>
      </c>
      <c r="D82" s="100">
        <v>15.53</v>
      </c>
      <c r="E82" s="100">
        <v>2.86</v>
      </c>
      <c r="F82" s="100">
        <v>0.24</v>
      </c>
      <c r="G82" s="100">
        <v>101.21</v>
      </c>
      <c r="H82" s="100">
        <v>29.04</v>
      </c>
      <c r="I82" s="100">
        <v>16.86</v>
      </c>
      <c r="J82" s="100">
        <v>0.21</v>
      </c>
      <c r="K82" s="100">
        <v>171.23</v>
      </c>
      <c r="L82" s="100">
        <v>18</v>
      </c>
      <c r="M82" s="100">
        <v>48.43</v>
      </c>
      <c r="N82" s="100">
        <v>3.8</v>
      </c>
      <c r="O82" s="100">
        <v>0</v>
      </c>
      <c r="P82" s="100">
        <v>0.72</v>
      </c>
      <c r="Q82" s="100">
        <v>9.32</v>
      </c>
      <c r="R82" s="6"/>
      <c r="S82" s="6"/>
      <c r="T82" s="156"/>
      <c r="U82" s="6"/>
    </row>
    <row r="83" spans="1:21" customFormat="1">
      <c r="A83" s="163" t="s">
        <v>3201</v>
      </c>
      <c r="B83" s="100">
        <v>4.32</v>
      </c>
      <c r="C83" s="100">
        <v>24.52</v>
      </c>
      <c r="D83" s="100">
        <v>16.28</v>
      </c>
      <c r="E83" s="100">
        <v>2.72</v>
      </c>
      <c r="F83" s="100">
        <v>0.06</v>
      </c>
      <c r="G83" s="100">
        <v>118.57</v>
      </c>
      <c r="H83" s="100">
        <v>29.04</v>
      </c>
      <c r="I83" s="100">
        <v>16.96</v>
      </c>
      <c r="J83" s="100">
        <v>0.3</v>
      </c>
      <c r="K83" s="100">
        <v>163.85</v>
      </c>
      <c r="L83" s="100">
        <v>17.850000000000001</v>
      </c>
      <c r="M83" s="100">
        <v>48.08</v>
      </c>
      <c r="N83" s="100">
        <v>3.8</v>
      </c>
      <c r="O83" s="100">
        <v>0</v>
      </c>
      <c r="P83" s="100">
        <v>0.73</v>
      </c>
      <c r="Q83" s="100">
        <v>9.32</v>
      </c>
      <c r="R83" s="6"/>
      <c r="S83" s="6"/>
      <c r="T83" s="156"/>
      <c r="U83" s="6"/>
    </row>
    <row r="84" spans="1:21" customFormat="1">
      <c r="A84" s="163" t="s">
        <v>3202</v>
      </c>
      <c r="B84" s="100">
        <v>5.17</v>
      </c>
      <c r="C84" s="100">
        <v>24.62</v>
      </c>
      <c r="D84" s="100">
        <v>17.010000000000002</v>
      </c>
      <c r="E84" s="100">
        <v>2.86</v>
      </c>
      <c r="F84" s="100">
        <v>7.0000000000000007E-2</v>
      </c>
      <c r="G84" s="100">
        <v>118.57</v>
      </c>
      <c r="H84" s="100">
        <v>29.04</v>
      </c>
      <c r="I84" s="100">
        <v>17.04</v>
      </c>
      <c r="J84" s="100">
        <v>0.24</v>
      </c>
      <c r="K84" s="100">
        <v>176.58</v>
      </c>
      <c r="L84" s="100">
        <v>17.02</v>
      </c>
      <c r="M84" s="100">
        <v>61.01</v>
      </c>
      <c r="N84" s="100">
        <v>4.2</v>
      </c>
      <c r="O84" s="100">
        <v>0</v>
      </c>
      <c r="P84" s="100">
        <v>0.73</v>
      </c>
      <c r="Q84" s="100">
        <v>9.32</v>
      </c>
      <c r="R84" s="6"/>
      <c r="S84" s="6"/>
      <c r="T84" s="156"/>
      <c r="U84" s="6"/>
    </row>
    <row r="85" spans="1:21" customFormat="1">
      <c r="A85" s="163" t="s">
        <v>3203</v>
      </c>
      <c r="B85" s="100">
        <v>5.59</v>
      </c>
      <c r="C85" s="100">
        <v>24.42</v>
      </c>
      <c r="D85" s="100">
        <v>17.239999999999998</v>
      </c>
      <c r="E85" s="100">
        <v>2.96</v>
      </c>
      <c r="F85" s="100">
        <v>0.01</v>
      </c>
      <c r="G85" s="100">
        <v>118.57</v>
      </c>
      <c r="H85" s="100">
        <v>29.04</v>
      </c>
      <c r="I85" s="100">
        <v>17.12</v>
      </c>
      <c r="J85" s="100">
        <v>0.27</v>
      </c>
      <c r="K85" s="100">
        <v>173.05</v>
      </c>
      <c r="L85" s="100">
        <v>16.52</v>
      </c>
      <c r="M85" s="100">
        <v>59.62</v>
      </c>
      <c r="N85" s="100">
        <v>3.8</v>
      </c>
      <c r="O85" s="100">
        <v>0</v>
      </c>
      <c r="P85" s="100">
        <v>0.75</v>
      </c>
      <c r="Q85" s="100">
        <v>9.32</v>
      </c>
      <c r="R85" s="6"/>
      <c r="S85" s="6"/>
      <c r="T85" s="156"/>
      <c r="U85" s="6"/>
    </row>
    <row r="86" spans="1:21" customFormat="1">
      <c r="A86" s="163" t="s">
        <v>3204</v>
      </c>
      <c r="B86" s="100">
        <v>5.92</v>
      </c>
      <c r="C86" s="100">
        <v>24.33</v>
      </c>
      <c r="D86" s="100">
        <v>17.46</v>
      </c>
      <c r="E86" s="100">
        <v>2.83</v>
      </c>
      <c r="F86" s="100">
        <v>0.16</v>
      </c>
      <c r="G86" s="100">
        <v>91.99</v>
      </c>
      <c r="H86" s="100">
        <v>29.33</v>
      </c>
      <c r="I86" s="100">
        <v>17.2</v>
      </c>
      <c r="J86" s="100">
        <v>0.24</v>
      </c>
      <c r="K86" s="100">
        <v>177.94</v>
      </c>
      <c r="L86" s="100">
        <v>15.76</v>
      </c>
      <c r="M86" s="100">
        <v>65.94</v>
      </c>
      <c r="N86" s="100">
        <v>4.2</v>
      </c>
      <c r="O86" s="100">
        <v>0</v>
      </c>
      <c r="P86" s="100">
        <v>0.77</v>
      </c>
      <c r="Q86" s="100">
        <v>9.32</v>
      </c>
      <c r="R86" s="6"/>
      <c r="S86" s="6"/>
      <c r="T86" s="156"/>
      <c r="U86" s="6"/>
    </row>
    <row r="87" spans="1:21" customFormat="1">
      <c r="A87" s="163" t="s">
        <v>3205</v>
      </c>
      <c r="B87" s="100">
        <v>6.13</v>
      </c>
      <c r="C87" s="100">
        <v>23.98</v>
      </c>
      <c r="D87" s="100">
        <v>17.440000000000001</v>
      </c>
      <c r="E87" s="100">
        <v>2.75</v>
      </c>
      <c r="F87" s="100">
        <v>0.12</v>
      </c>
      <c r="G87" s="100">
        <v>82.86</v>
      </c>
      <c r="H87" s="100">
        <v>29.33</v>
      </c>
      <c r="I87" s="100">
        <v>17.309999999999999</v>
      </c>
      <c r="J87" s="100">
        <v>0.16</v>
      </c>
      <c r="K87" s="100">
        <v>157.69</v>
      </c>
      <c r="L87" s="100">
        <v>15.48</v>
      </c>
      <c r="M87" s="100">
        <v>63.68</v>
      </c>
      <c r="N87" s="100">
        <v>3.7</v>
      </c>
      <c r="O87" s="100">
        <v>0</v>
      </c>
      <c r="P87" s="100">
        <v>0.78</v>
      </c>
      <c r="Q87" s="100">
        <v>9.32</v>
      </c>
      <c r="R87" s="6"/>
      <c r="S87" s="6"/>
      <c r="T87" s="156"/>
      <c r="U87" s="6"/>
    </row>
    <row r="88" spans="1:21" customFormat="1">
      <c r="A88" s="163" t="s">
        <v>3206</v>
      </c>
      <c r="B88" s="100">
        <v>6.14</v>
      </c>
      <c r="C88" s="100">
        <v>23.67</v>
      </c>
      <c r="D88" s="100">
        <v>17.29</v>
      </c>
      <c r="E88" s="100">
        <v>2.82</v>
      </c>
      <c r="F88" s="100">
        <v>0.09</v>
      </c>
      <c r="G88" s="100">
        <v>82.86</v>
      </c>
      <c r="H88" s="100">
        <v>29.33</v>
      </c>
      <c r="I88" s="100">
        <v>17.440000000000001</v>
      </c>
      <c r="J88" s="100">
        <v>0.16</v>
      </c>
      <c r="K88" s="100">
        <v>188.05</v>
      </c>
      <c r="L88" s="100">
        <v>15.35</v>
      </c>
      <c r="M88" s="100">
        <v>64.52</v>
      </c>
      <c r="N88" s="100">
        <v>3.5</v>
      </c>
      <c r="O88" s="100">
        <v>0</v>
      </c>
      <c r="P88" s="100">
        <v>0.8</v>
      </c>
      <c r="Q88" s="100">
        <v>9.32</v>
      </c>
      <c r="R88" s="6"/>
      <c r="S88" s="6"/>
      <c r="T88" s="156"/>
      <c r="U88" s="6"/>
    </row>
    <row r="89" spans="1:21" customFormat="1">
      <c r="A89" s="163" t="s">
        <v>3207</v>
      </c>
      <c r="B89" s="100">
        <v>6.13</v>
      </c>
      <c r="C89" s="100">
        <v>23.23</v>
      </c>
      <c r="D89" s="100">
        <v>17.05</v>
      </c>
      <c r="E89" s="100">
        <v>3.1</v>
      </c>
      <c r="F89" s="100">
        <v>0.14000000000000001</v>
      </c>
      <c r="G89" s="100">
        <v>82.86</v>
      </c>
      <c r="H89" s="100">
        <v>29.33</v>
      </c>
      <c r="I89" s="100">
        <v>17.64</v>
      </c>
      <c r="J89" s="100">
        <v>0.17</v>
      </c>
      <c r="K89" s="100">
        <v>185.22</v>
      </c>
      <c r="L89" s="100">
        <v>15.07</v>
      </c>
      <c r="M89" s="100">
        <v>68.540000000000006</v>
      </c>
      <c r="N89" s="100">
        <v>3.6</v>
      </c>
      <c r="O89" s="100">
        <v>0</v>
      </c>
      <c r="P89" s="100">
        <v>0.81</v>
      </c>
      <c r="Q89" s="100">
        <v>9.32</v>
      </c>
      <c r="R89" s="6"/>
      <c r="S89" s="6"/>
      <c r="T89" s="156"/>
      <c r="U89" s="6"/>
    </row>
    <row r="90" spans="1:21" customFormat="1">
      <c r="A90" s="163" t="s">
        <v>3208</v>
      </c>
      <c r="B90" s="100">
        <v>6.13</v>
      </c>
      <c r="C90" s="100">
        <v>22.66</v>
      </c>
      <c r="D90" s="100">
        <v>16.760000000000002</v>
      </c>
      <c r="E90" s="100">
        <v>3.32</v>
      </c>
      <c r="F90" s="100">
        <v>7.0000000000000007E-2</v>
      </c>
      <c r="G90" s="100">
        <v>82.64</v>
      </c>
      <c r="H90" s="100">
        <v>33.979999999999997</v>
      </c>
      <c r="I90" s="100">
        <v>17.91</v>
      </c>
      <c r="J90" s="100">
        <v>0.23</v>
      </c>
      <c r="K90" s="100">
        <v>176.94</v>
      </c>
      <c r="L90" s="100">
        <v>14.78</v>
      </c>
      <c r="M90" s="100">
        <v>70.709999999999994</v>
      </c>
      <c r="N90" s="100">
        <v>3.6</v>
      </c>
      <c r="O90" s="100">
        <v>0</v>
      </c>
      <c r="P90" s="100">
        <v>0.81</v>
      </c>
      <c r="Q90" s="100">
        <v>9.32</v>
      </c>
      <c r="R90" s="6"/>
      <c r="S90" s="6"/>
      <c r="T90" s="156"/>
      <c r="U90" s="6"/>
    </row>
    <row r="91" spans="1:21" customFormat="1">
      <c r="A91" s="163" t="s">
        <v>3209</v>
      </c>
      <c r="B91" s="100">
        <v>6.13</v>
      </c>
      <c r="C91" s="100">
        <v>22.1</v>
      </c>
      <c r="D91" s="100">
        <v>16.46</v>
      </c>
      <c r="E91" s="100">
        <v>3.25</v>
      </c>
      <c r="F91" s="100">
        <v>0.04</v>
      </c>
      <c r="G91" s="100">
        <v>82.56</v>
      </c>
      <c r="H91" s="100">
        <v>33.979999999999997</v>
      </c>
      <c r="I91" s="100">
        <v>18.18</v>
      </c>
      <c r="J91" s="100">
        <v>0.2</v>
      </c>
      <c r="K91" s="100">
        <v>178.44</v>
      </c>
      <c r="L91" s="100">
        <v>14.59</v>
      </c>
      <c r="M91" s="100">
        <v>72.8</v>
      </c>
      <c r="N91" s="100">
        <v>3.6</v>
      </c>
      <c r="O91" s="100">
        <v>0</v>
      </c>
      <c r="P91" s="100">
        <v>0.82</v>
      </c>
      <c r="Q91" s="100">
        <v>9.32</v>
      </c>
      <c r="R91" s="6"/>
      <c r="S91" s="6"/>
      <c r="T91" s="156"/>
      <c r="U91" s="6"/>
    </row>
    <row r="92" spans="1:21" customFormat="1">
      <c r="A92" s="163" t="s">
        <v>3210</v>
      </c>
      <c r="B92" s="100">
        <v>6.19</v>
      </c>
      <c r="C92" s="100">
        <v>21.64</v>
      </c>
      <c r="D92" s="100">
        <v>16.27</v>
      </c>
      <c r="E92" s="100">
        <v>3.28</v>
      </c>
      <c r="F92" s="100">
        <v>0.1</v>
      </c>
      <c r="G92" s="100">
        <v>82.56</v>
      </c>
      <c r="H92" s="100">
        <v>33.979999999999997</v>
      </c>
      <c r="I92" s="100">
        <v>18.38</v>
      </c>
      <c r="J92" s="100">
        <v>0.19</v>
      </c>
      <c r="K92" s="100">
        <v>173.27</v>
      </c>
      <c r="L92" s="100">
        <v>14.25</v>
      </c>
      <c r="M92" s="100">
        <v>75.13</v>
      </c>
      <c r="N92" s="100">
        <v>3.6</v>
      </c>
      <c r="O92" s="100">
        <v>0</v>
      </c>
      <c r="P92" s="100">
        <v>0.84</v>
      </c>
      <c r="Q92" s="100">
        <v>9.32</v>
      </c>
      <c r="R92" s="6"/>
      <c r="S92" s="6"/>
      <c r="T92" s="156"/>
      <c r="U92" s="6"/>
    </row>
    <row r="93" spans="1:21" customFormat="1">
      <c r="A93" s="163" t="s">
        <v>3211</v>
      </c>
      <c r="B93" s="100">
        <v>6.39</v>
      </c>
      <c r="C93" s="100">
        <v>21.04</v>
      </c>
      <c r="D93" s="100">
        <v>16.12</v>
      </c>
      <c r="E93" s="100">
        <v>3.21</v>
      </c>
      <c r="F93" s="100">
        <v>0.05</v>
      </c>
      <c r="G93" s="100">
        <v>82.56</v>
      </c>
      <c r="H93" s="100">
        <v>33.979999999999997</v>
      </c>
      <c r="I93" s="100">
        <v>18.54</v>
      </c>
      <c r="J93" s="100">
        <v>0.2</v>
      </c>
      <c r="K93" s="100">
        <v>162.08000000000001</v>
      </c>
      <c r="L93" s="100">
        <v>14.02</v>
      </c>
      <c r="M93" s="100">
        <v>77.17</v>
      </c>
      <c r="N93" s="100">
        <v>3.5</v>
      </c>
      <c r="O93" s="100">
        <v>0</v>
      </c>
      <c r="P93" s="100">
        <v>0.86</v>
      </c>
      <c r="Q93" s="100">
        <v>9.32</v>
      </c>
      <c r="R93" s="6"/>
      <c r="S93" s="6"/>
      <c r="T93" s="156"/>
      <c r="U93" s="6"/>
    </row>
    <row r="94" spans="1:21" customFormat="1">
      <c r="A94" s="163" t="s">
        <v>3212</v>
      </c>
      <c r="B94" s="100">
        <v>6.59</v>
      </c>
      <c r="C94" s="100">
        <v>20.420000000000002</v>
      </c>
      <c r="D94" s="100">
        <v>15.95</v>
      </c>
      <c r="E94" s="100">
        <v>3.09</v>
      </c>
      <c r="F94" s="100">
        <v>0.02</v>
      </c>
      <c r="G94" s="100">
        <v>80.55</v>
      </c>
      <c r="H94" s="100">
        <v>36.32</v>
      </c>
      <c r="I94" s="100">
        <v>18.7</v>
      </c>
      <c r="J94" s="100">
        <v>0.2</v>
      </c>
      <c r="K94" s="100">
        <v>212.77</v>
      </c>
      <c r="L94" s="100">
        <v>13.82</v>
      </c>
      <c r="M94" s="100">
        <v>78.599999999999994</v>
      </c>
      <c r="N94" s="100">
        <v>3.5</v>
      </c>
      <c r="O94" s="100">
        <v>0</v>
      </c>
      <c r="P94" s="100">
        <v>0.86</v>
      </c>
      <c r="Q94" s="100">
        <v>9.32</v>
      </c>
      <c r="R94" s="6"/>
      <c r="S94" s="6"/>
      <c r="T94" s="156"/>
      <c r="U94" s="6"/>
    </row>
    <row r="95" spans="1:21" customFormat="1">
      <c r="A95" s="163" t="s">
        <v>3213</v>
      </c>
      <c r="B95" s="100">
        <v>6.8</v>
      </c>
      <c r="C95" s="100">
        <v>20</v>
      </c>
      <c r="D95" s="100">
        <v>15.9</v>
      </c>
      <c r="E95" s="100">
        <v>3.22</v>
      </c>
      <c r="F95" s="100">
        <v>0.02</v>
      </c>
      <c r="G95" s="100">
        <v>79.86</v>
      </c>
      <c r="H95" s="100">
        <v>36.32</v>
      </c>
      <c r="I95" s="100">
        <v>18.850000000000001</v>
      </c>
      <c r="J95" s="100">
        <v>0.15</v>
      </c>
      <c r="K95" s="100">
        <v>199.69</v>
      </c>
      <c r="L95" s="100">
        <v>13.5</v>
      </c>
      <c r="M95" s="100">
        <v>76.290000000000006</v>
      </c>
      <c r="N95" s="100">
        <v>3.8</v>
      </c>
      <c r="O95" s="100">
        <v>0</v>
      </c>
      <c r="P95" s="100">
        <v>0.87</v>
      </c>
      <c r="Q95" s="100">
        <v>9.32</v>
      </c>
      <c r="R95" s="6"/>
      <c r="S95" s="6"/>
      <c r="T95" s="156"/>
      <c r="U95" s="6"/>
    </row>
    <row r="96" spans="1:21" customFormat="1">
      <c r="A96" s="163" t="s">
        <v>3214</v>
      </c>
      <c r="B96" s="100">
        <v>6.96</v>
      </c>
      <c r="C96" s="100">
        <v>19.61</v>
      </c>
      <c r="D96" s="100">
        <v>15.82</v>
      </c>
      <c r="E96" s="100">
        <v>3.2</v>
      </c>
      <c r="F96" s="100">
        <v>0.08</v>
      </c>
      <c r="G96" s="100">
        <v>79.86</v>
      </c>
      <c r="H96" s="100">
        <v>36.32</v>
      </c>
      <c r="I96" s="100">
        <v>17.03</v>
      </c>
      <c r="J96" s="100">
        <v>0.17</v>
      </c>
      <c r="K96" s="100">
        <v>157.69</v>
      </c>
      <c r="L96" s="100">
        <v>13.44</v>
      </c>
      <c r="M96" s="100">
        <v>79.97</v>
      </c>
      <c r="N96" s="100">
        <v>3.6</v>
      </c>
      <c r="O96" s="100">
        <v>0</v>
      </c>
      <c r="P96" s="100">
        <v>0.87</v>
      </c>
      <c r="Q96" s="100">
        <v>9.32</v>
      </c>
      <c r="R96" s="6"/>
      <c r="S96" s="6"/>
      <c r="T96" s="156"/>
      <c r="U96" s="6"/>
    </row>
    <row r="97" spans="1:28" customFormat="1">
      <c r="A97" s="163" t="s">
        <v>3215</v>
      </c>
      <c r="B97" s="100">
        <v>7.17</v>
      </c>
      <c r="C97" s="100">
        <v>19.18</v>
      </c>
      <c r="D97" s="100">
        <v>15.77</v>
      </c>
      <c r="E97" s="100">
        <v>3.17</v>
      </c>
      <c r="F97" s="100">
        <v>0.03</v>
      </c>
      <c r="G97" s="100">
        <v>79.86</v>
      </c>
      <c r="H97" s="100">
        <v>36.32</v>
      </c>
      <c r="I97" s="100">
        <v>17.05</v>
      </c>
      <c r="J97" s="100">
        <v>0.24</v>
      </c>
      <c r="K97" s="100">
        <v>220.89</v>
      </c>
      <c r="L97" s="100">
        <v>13.39</v>
      </c>
      <c r="M97" s="100">
        <v>82.13</v>
      </c>
      <c r="N97" s="100">
        <v>3.5</v>
      </c>
      <c r="O97" s="100">
        <v>0</v>
      </c>
      <c r="P97" s="100">
        <v>0.89</v>
      </c>
      <c r="Q97" s="100">
        <v>9.32</v>
      </c>
      <c r="R97" s="6"/>
      <c r="S97" s="6"/>
      <c r="T97" s="156"/>
      <c r="U97" s="6"/>
    </row>
    <row r="98" spans="1:28" customFormat="1">
      <c r="A98" s="163" t="s">
        <v>3216</v>
      </c>
      <c r="B98" s="100">
        <v>7.66</v>
      </c>
      <c r="C98" s="100">
        <v>19</v>
      </c>
      <c r="D98" s="100">
        <v>16.059999999999999</v>
      </c>
      <c r="E98" s="100">
        <v>3.18</v>
      </c>
      <c r="F98" s="100">
        <v>0.02</v>
      </c>
      <c r="G98" s="100">
        <v>84.83</v>
      </c>
      <c r="H98" s="100">
        <v>39.33</v>
      </c>
      <c r="I98" s="100">
        <v>19.43</v>
      </c>
      <c r="J98" s="100">
        <v>0.21</v>
      </c>
      <c r="K98" s="100">
        <v>164.7</v>
      </c>
      <c r="L98" s="100">
        <v>13.54</v>
      </c>
      <c r="M98" s="100">
        <v>75.099999999999994</v>
      </c>
      <c r="N98" s="100">
        <v>3.5</v>
      </c>
      <c r="O98" s="100">
        <v>0</v>
      </c>
      <c r="P98" s="100">
        <v>0.91</v>
      </c>
      <c r="Q98" s="100">
        <v>9.32</v>
      </c>
      <c r="R98" s="6"/>
      <c r="S98" s="6"/>
      <c r="T98" s="156"/>
      <c r="U98" s="6"/>
    </row>
    <row r="99" spans="1:28" customFormat="1">
      <c r="A99" s="163" t="s">
        <v>3217</v>
      </c>
      <c r="B99" s="100">
        <v>9.11</v>
      </c>
      <c r="C99" s="100">
        <v>19.23</v>
      </c>
      <c r="D99" s="100">
        <v>17.350000000000001</v>
      </c>
      <c r="E99" s="100">
        <v>3.23</v>
      </c>
      <c r="F99" s="100">
        <v>0.01</v>
      </c>
      <c r="G99" s="100">
        <v>86.53</v>
      </c>
      <c r="H99" s="100">
        <v>39.33</v>
      </c>
      <c r="I99" s="100">
        <v>19.600000000000001</v>
      </c>
      <c r="J99" s="100">
        <v>0.32</v>
      </c>
      <c r="K99" s="100">
        <v>165.57</v>
      </c>
      <c r="L99" s="100">
        <v>13.6</v>
      </c>
      <c r="M99" s="100">
        <v>77.400000000000006</v>
      </c>
      <c r="N99" s="100">
        <v>3.6</v>
      </c>
      <c r="O99" s="100">
        <v>0</v>
      </c>
      <c r="P99" s="100">
        <v>0.95</v>
      </c>
      <c r="Q99" s="100">
        <v>9.32</v>
      </c>
      <c r="R99" s="6"/>
      <c r="S99" s="6"/>
      <c r="T99" s="156"/>
      <c r="U99" s="6"/>
    </row>
    <row r="100" spans="1:28" customFormat="1">
      <c r="A100" s="163" t="s">
        <v>3218</v>
      </c>
      <c r="B100" s="100">
        <v>10.48</v>
      </c>
      <c r="C100" s="100">
        <v>19.39</v>
      </c>
      <c r="D100" s="100">
        <v>18.53</v>
      </c>
      <c r="E100" s="100">
        <v>3.22</v>
      </c>
      <c r="F100" s="100">
        <v>0</v>
      </c>
      <c r="G100" s="100">
        <v>86.53</v>
      </c>
      <c r="H100" s="100">
        <v>39.33</v>
      </c>
      <c r="I100" s="100">
        <v>19.88</v>
      </c>
      <c r="J100" s="100">
        <v>0.24</v>
      </c>
      <c r="K100" s="100">
        <v>172.4</v>
      </c>
      <c r="L100" s="100">
        <v>13.45</v>
      </c>
      <c r="M100" s="100">
        <v>82.08</v>
      </c>
      <c r="N100" s="100">
        <v>3.5</v>
      </c>
      <c r="O100" s="100">
        <v>0</v>
      </c>
      <c r="P100" s="100">
        <v>0.99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163" t="s">
        <v>3219</v>
      </c>
      <c r="B101" s="100">
        <v>11.96</v>
      </c>
      <c r="C101" s="100">
        <v>19.54</v>
      </c>
      <c r="D101" s="100">
        <v>19.8</v>
      </c>
      <c r="E101" s="100">
        <v>3.22</v>
      </c>
      <c r="F101" s="100">
        <v>0.01</v>
      </c>
      <c r="G101" s="100">
        <v>86.53</v>
      </c>
      <c r="H101" s="100">
        <v>39.33</v>
      </c>
      <c r="I101" s="100">
        <v>20.32</v>
      </c>
      <c r="J101" s="100">
        <v>0.17</v>
      </c>
      <c r="K101" s="100">
        <v>184.66</v>
      </c>
      <c r="L101" s="100">
        <v>13.14</v>
      </c>
      <c r="M101" s="100">
        <v>81.87</v>
      </c>
      <c r="N101" s="100">
        <v>3.8</v>
      </c>
      <c r="O101" s="100">
        <v>0</v>
      </c>
      <c r="P101" s="100">
        <v>1.03</v>
      </c>
      <c r="Q101" s="100">
        <v>9.32</v>
      </c>
      <c r="R101" s="6"/>
      <c r="S101" s="6"/>
      <c r="T101" s="156"/>
      <c r="U101" s="6"/>
    </row>
    <row r="102" spans="1:28" customFormat="1">
      <c r="A102" s="163" t="s">
        <v>3220</v>
      </c>
      <c r="B102" s="100">
        <v>13.7</v>
      </c>
      <c r="C102" s="100">
        <v>19.739999999999998</v>
      </c>
      <c r="D102" s="100">
        <v>21.3</v>
      </c>
      <c r="E102" s="100">
        <v>3.25</v>
      </c>
      <c r="F102" s="100">
        <v>0.03</v>
      </c>
      <c r="G102" s="100">
        <v>97.32</v>
      </c>
      <c r="H102" s="100">
        <v>42.21</v>
      </c>
      <c r="I102" s="100">
        <v>20.78</v>
      </c>
      <c r="J102" s="100">
        <v>0.15</v>
      </c>
      <c r="K102" s="100">
        <v>180.86</v>
      </c>
      <c r="L102" s="100">
        <v>13.02</v>
      </c>
      <c r="M102" s="100">
        <v>80.819999999999993</v>
      </c>
      <c r="N102" s="100">
        <v>3.7</v>
      </c>
      <c r="O102" s="100">
        <v>0</v>
      </c>
      <c r="P102" s="100">
        <v>1.08</v>
      </c>
      <c r="Q102" s="100">
        <v>9.32</v>
      </c>
      <c r="R102" s="6"/>
      <c r="S102" s="6"/>
      <c r="T102" s="156"/>
      <c r="U102" s="6"/>
    </row>
    <row r="103" spans="1:28" customFormat="1">
      <c r="A103" s="163" t="s">
        <v>3221</v>
      </c>
      <c r="B103" s="100">
        <v>15.36</v>
      </c>
      <c r="C103" s="100">
        <v>19.97</v>
      </c>
      <c r="D103" s="100">
        <v>22.75</v>
      </c>
      <c r="E103" s="100">
        <v>3.27</v>
      </c>
      <c r="F103" s="100">
        <v>0</v>
      </c>
      <c r="G103" s="100">
        <v>101.03</v>
      </c>
      <c r="H103" s="100">
        <v>42.21</v>
      </c>
      <c r="I103" s="100">
        <v>21.29</v>
      </c>
      <c r="J103" s="100">
        <v>0.19</v>
      </c>
      <c r="K103" s="100">
        <v>197.96</v>
      </c>
      <c r="L103" s="100">
        <v>12.67</v>
      </c>
      <c r="M103" s="100">
        <v>83.01</v>
      </c>
      <c r="N103" s="100">
        <v>3.8</v>
      </c>
      <c r="O103" s="100">
        <v>0</v>
      </c>
      <c r="P103" s="100">
        <v>1.1200000000000001</v>
      </c>
      <c r="Q103" s="100">
        <v>9.32</v>
      </c>
      <c r="R103" s="6"/>
      <c r="S103" s="6"/>
      <c r="T103" s="156"/>
      <c r="U103" s="6"/>
    </row>
    <row r="104" spans="1:28" customFormat="1">
      <c r="A104" s="163" t="s">
        <v>3222</v>
      </c>
      <c r="B104" s="100">
        <v>16.36</v>
      </c>
      <c r="C104" s="100">
        <v>20.04</v>
      </c>
      <c r="D104" s="100">
        <v>23.59</v>
      </c>
      <c r="E104" s="100">
        <v>3.48</v>
      </c>
      <c r="F104" s="100">
        <v>0.01</v>
      </c>
      <c r="G104" s="100">
        <v>101.03</v>
      </c>
      <c r="H104" s="100">
        <v>42.21</v>
      </c>
      <c r="I104" s="100">
        <v>21.84</v>
      </c>
      <c r="J104" s="100">
        <v>0.19</v>
      </c>
      <c r="K104" s="100">
        <v>187.75</v>
      </c>
      <c r="L104" s="100">
        <v>12.39</v>
      </c>
      <c r="M104" s="100">
        <v>81.11</v>
      </c>
      <c r="N104" s="100">
        <v>3.7</v>
      </c>
      <c r="O104" s="100">
        <v>0</v>
      </c>
      <c r="P104" s="100">
        <v>1.1599999999999999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1.92</v>
      </c>
      <c r="C106" s="158">
        <f>MIN(C9:C104)</f>
        <v>14.91</v>
      </c>
      <c r="D106" s="158">
        <f t="shared" ref="D106:Q106" si="0">MIN(D9:D104)</f>
        <v>11.03</v>
      </c>
      <c r="E106" s="158">
        <f t="shared" si="0"/>
        <v>2.36</v>
      </c>
      <c r="F106" s="158">
        <f t="shared" si="0"/>
        <v>0</v>
      </c>
      <c r="G106" s="158">
        <f t="shared" si="0"/>
        <v>0</v>
      </c>
      <c r="H106" s="158">
        <f t="shared" si="0"/>
        <v>0</v>
      </c>
      <c r="I106" s="158">
        <f t="shared" si="0"/>
        <v>14.09</v>
      </c>
      <c r="J106" s="158">
        <f t="shared" si="0"/>
        <v>0.06</v>
      </c>
      <c r="K106" s="158">
        <f t="shared" si="0"/>
        <v>15.01</v>
      </c>
      <c r="L106" s="158">
        <f t="shared" si="0"/>
        <v>9.26</v>
      </c>
      <c r="M106" s="158">
        <f t="shared" si="0"/>
        <v>26.55</v>
      </c>
      <c r="N106" s="158">
        <f t="shared" si="0"/>
        <v>3.5</v>
      </c>
      <c r="O106" s="158">
        <f t="shared" si="0"/>
        <v>0</v>
      </c>
      <c r="P106" s="158">
        <f t="shared" si="0"/>
        <v>0.64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16.36</v>
      </c>
      <c r="C107" s="157">
        <f t="shared" ref="C107:Q107" si="1">MAX(C9:C104)</f>
        <v>26.68</v>
      </c>
      <c r="D107" s="157">
        <f t="shared" si="1"/>
        <v>23.59</v>
      </c>
      <c r="E107" s="157">
        <f t="shared" si="1"/>
        <v>12.36</v>
      </c>
      <c r="F107" s="157">
        <f t="shared" si="1"/>
        <v>21.98</v>
      </c>
      <c r="G107" s="157">
        <f t="shared" si="1"/>
        <v>118.57</v>
      </c>
      <c r="H107" s="157">
        <f t="shared" si="1"/>
        <v>42.21</v>
      </c>
      <c r="I107" s="157">
        <f t="shared" si="1"/>
        <v>23.28</v>
      </c>
      <c r="J107" s="157">
        <f t="shared" si="1"/>
        <v>0.64</v>
      </c>
      <c r="K107" s="157">
        <f t="shared" si="1"/>
        <v>352.91</v>
      </c>
      <c r="L107" s="157">
        <f t="shared" si="1"/>
        <v>24.68</v>
      </c>
      <c r="M107" s="157">
        <f t="shared" si="1"/>
        <v>93.67</v>
      </c>
      <c r="N107" s="157">
        <f t="shared" si="1"/>
        <v>554.6</v>
      </c>
      <c r="O107" s="157">
        <f t="shared" si="1"/>
        <v>0</v>
      </c>
      <c r="P107" s="157">
        <f t="shared" si="1"/>
        <v>1.1599999999999999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5.2268750000000006</v>
      </c>
      <c r="C108" s="158">
        <f t="shared" ref="C108:Q108" si="2">AVERAGE(C9:C104)</f>
        <v>19.285208333333337</v>
      </c>
      <c r="D108" s="158">
        <f t="shared" si="2"/>
        <v>14.267083333333325</v>
      </c>
      <c r="E108" s="158">
        <f t="shared" si="2"/>
        <v>4.0771875000000017</v>
      </c>
      <c r="F108" s="158">
        <f t="shared" si="2"/>
        <v>2.9313541666666647</v>
      </c>
      <c r="G108" s="158">
        <f t="shared" si="2"/>
        <v>58.864895833333343</v>
      </c>
      <c r="H108" s="158">
        <f t="shared" si="2"/>
        <v>32.996770833333358</v>
      </c>
      <c r="I108" s="158">
        <f t="shared" si="2"/>
        <v>17.955937499999997</v>
      </c>
      <c r="J108" s="158">
        <f t="shared" si="2"/>
        <v>0.22406249999999997</v>
      </c>
      <c r="K108" s="158">
        <f t="shared" si="2"/>
        <v>200.99</v>
      </c>
      <c r="L108" s="158">
        <f t="shared" si="2"/>
        <v>16.181562499999995</v>
      </c>
      <c r="M108" s="158">
        <f t="shared" si="2"/>
        <v>63.26250000000001</v>
      </c>
      <c r="N108" s="158">
        <f t="shared" si="2"/>
        <v>110.66875000000006</v>
      </c>
      <c r="O108" s="158">
        <f t="shared" si="2"/>
        <v>0</v>
      </c>
      <c r="P108" s="158">
        <f t="shared" si="2"/>
        <v>0.8359375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2.8193822811687683</v>
      </c>
      <c r="C109" s="158">
        <f t="shared" ref="C109:Q109" si="3">STDEV(C9:C104)</f>
        <v>3.4257292667068509</v>
      </c>
      <c r="D109" s="158">
        <f t="shared" si="3"/>
        <v>2.3802034042522915</v>
      </c>
      <c r="E109" s="158">
        <f t="shared" si="3"/>
        <v>1.8180745761584345</v>
      </c>
      <c r="F109" s="158">
        <f t="shared" si="3"/>
        <v>5.0608781471809872</v>
      </c>
      <c r="G109" s="158">
        <f t="shared" si="3"/>
        <v>22.381158711116623</v>
      </c>
      <c r="H109" s="158">
        <f t="shared" si="3"/>
        <v>8.4216318577178058</v>
      </c>
      <c r="I109" s="158">
        <f t="shared" si="3"/>
        <v>2.3869882270453044</v>
      </c>
      <c r="J109" s="158">
        <f t="shared" si="3"/>
        <v>0.12573638358842185</v>
      </c>
      <c r="K109" s="158">
        <f t="shared" si="3"/>
        <v>61.154640293878529</v>
      </c>
      <c r="L109" s="158">
        <f t="shared" si="3"/>
        <v>5.5728611810649982</v>
      </c>
      <c r="M109" s="158">
        <f t="shared" si="3"/>
        <v>25.429653473641238</v>
      </c>
      <c r="N109" s="158">
        <f t="shared" si="3"/>
        <v>166.26961004249748</v>
      </c>
      <c r="O109" s="158">
        <f t="shared" si="3"/>
        <v>0</v>
      </c>
      <c r="P109" s="158">
        <f t="shared" si="3"/>
        <v>9.8862777040758396E-2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tabSelected="1" zoomScale="85" zoomScaleNormal="85" workbookViewId="0">
      <pane xSplit="1" ySplit="8" topLeftCell="B9" activePane="bottomRight" state="frozen"/>
      <selection pane="topRight"/>
      <selection pane="bottomLeft"/>
      <selection pane="bottomRight" activeCell="E36" sqref="E36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01/12/2025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01/12/2025 00:15</v>
      </c>
      <c r="B9" s="83">
        <f>'01'!B108</f>
        <v>11.167916666666665</v>
      </c>
      <c r="C9" s="83">
        <f>'01'!C108</f>
        <v>17.111770833333328</v>
      </c>
      <c r="D9" s="83">
        <f>'01'!D108</f>
        <v>19.164583333333329</v>
      </c>
      <c r="E9" s="83">
        <f>'01'!E108</f>
        <v>19.200729166666658</v>
      </c>
      <c r="F9" s="83">
        <f>'01'!F108</f>
        <v>5.0445833333333336</v>
      </c>
      <c r="G9" s="83">
        <f>'01'!G108</f>
        <v>76.153478260869591</v>
      </c>
      <c r="H9" s="83">
        <f>'01'!H108</f>
        <v>38.12999999999996</v>
      </c>
      <c r="I9" s="83">
        <f>'01'!I108</f>
        <v>11.748124999999996</v>
      </c>
      <c r="J9" s="83">
        <f>'01'!J108</f>
        <v>0.37874999999999992</v>
      </c>
      <c r="K9" s="83">
        <f>'01'!K108</f>
        <v>100.58302083333331</v>
      </c>
      <c r="L9" s="83">
        <f>'01'!L108</f>
        <v>24.416562500000001</v>
      </c>
      <c r="M9" s="83">
        <f>'01'!M108</f>
        <v>59.123437500000001</v>
      </c>
      <c r="N9" s="83">
        <f>'01'!N108</f>
        <v>95.616666666666674</v>
      </c>
      <c r="O9" s="83">
        <f>'01'!O108</f>
        <v>0</v>
      </c>
      <c r="P9" s="83">
        <f>'01'!P108</f>
        <v>0.61333333333333317</v>
      </c>
      <c r="Q9" s="83">
        <f>'01'!Q108</f>
        <v>9.3435416666666864</v>
      </c>
      <c r="R9" s="76"/>
      <c r="S9" s="76"/>
      <c r="T9" s="76"/>
      <c r="U9" s="76"/>
    </row>
    <row r="10" spans="1:21">
      <c r="A10" s="139" t="str">
        <f>'02'!$B$2</f>
        <v>02/12/2025 00:15</v>
      </c>
      <c r="B10" s="83">
        <f>'02'!B108</f>
        <v>8.8616666666666664</v>
      </c>
      <c r="C10" s="83">
        <f>'02'!C108</f>
        <v>15.217187500000003</v>
      </c>
      <c r="D10" s="83">
        <f>'02'!D108</f>
        <v>15.056562499999991</v>
      </c>
      <c r="E10" s="83">
        <f>'02'!E108</f>
        <v>5.8927083333333306</v>
      </c>
      <c r="F10" s="83">
        <f>'02'!F108</f>
        <v>0.74635416666666676</v>
      </c>
      <c r="G10" s="83">
        <f>'02'!G108</f>
        <v>79.980208333333366</v>
      </c>
      <c r="H10" s="83">
        <f>'02'!H108</f>
        <v>37.907291666666659</v>
      </c>
      <c r="I10" s="83">
        <f>'02'!I108</f>
        <v>10.487916666666665</v>
      </c>
      <c r="J10" s="83">
        <f>'02'!J108</f>
        <v>0.36541666666666667</v>
      </c>
      <c r="K10" s="83">
        <f>'02'!K108</f>
        <v>116.78822916666667</v>
      </c>
      <c r="L10" s="83">
        <f>'02'!L108</f>
        <v>23.292187500000008</v>
      </c>
      <c r="M10" s="83">
        <f>'02'!M108</f>
        <v>69.531354166666688</v>
      </c>
      <c r="N10" s="83">
        <f>'02'!N108</f>
        <v>103.32500000000006</v>
      </c>
      <c r="O10" s="83">
        <f>'02'!O108</f>
        <v>0</v>
      </c>
      <c r="P10" s="83">
        <f>'02'!P108</f>
        <v>0.65083333333333371</v>
      </c>
      <c r="Q10" s="83">
        <f>'02'!Q108</f>
        <v>9.3205208333333527</v>
      </c>
      <c r="R10" s="76"/>
      <c r="S10" s="76"/>
      <c r="T10" s="76"/>
      <c r="U10" s="76"/>
    </row>
    <row r="11" spans="1:21">
      <c r="A11" s="139" t="str">
        <f>'03'!$B$2</f>
        <v>03/12/2025 00:15</v>
      </c>
      <c r="B11" s="83">
        <f>'03'!B108</f>
        <v>13.466249999999995</v>
      </c>
      <c r="C11" s="83">
        <f>'03'!C108</f>
        <v>17.817812500000002</v>
      </c>
      <c r="D11" s="83">
        <f>'03'!D108</f>
        <v>20.107499999999998</v>
      </c>
      <c r="E11" s="83">
        <f>'03'!E108</f>
        <v>6.1762500000000022</v>
      </c>
      <c r="F11" s="83">
        <f>'03'!F108</f>
        <v>1.0284374999999997</v>
      </c>
      <c r="G11" s="83">
        <f>'03'!G108</f>
        <v>92.177291666666704</v>
      </c>
      <c r="H11" s="83">
        <f>'03'!H108</f>
        <v>42.516458333333311</v>
      </c>
      <c r="I11" s="83">
        <f>'03'!I108</f>
        <v>13.034479166666666</v>
      </c>
      <c r="J11" s="83">
        <f>'03'!J108</f>
        <v>0.42614583333333306</v>
      </c>
      <c r="K11" s="83">
        <f>'03'!K108</f>
        <v>109.51395833333328</v>
      </c>
      <c r="L11" s="83">
        <f>'03'!L108</f>
        <v>23.129583333333333</v>
      </c>
      <c r="M11" s="83">
        <f>'03'!M108</f>
        <v>62.454479166666651</v>
      </c>
      <c r="N11" s="83">
        <f>'03'!N108</f>
        <v>103.08333333333336</v>
      </c>
      <c r="O11" s="83">
        <f>'03'!O108</f>
        <v>0</v>
      </c>
      <c r="P11" s="83">
        <f>'03'!P108</f>
        <v>0.74770833333333353</v>
      </c>
      <c r="Q11" s="83">
        <f>'03'!Q108</f>
        <v>9.5123958333333327</v>
      </c>
      <c r="R11" s="76"/>
      <c r="S11" s="76"/>
      <c r="T11" s="76"/>
      <c r="U11" s="76"/>
    </row>
    <row r="12" spans="1:21">
      <c r="A12" s="139" t="str">
        <f>'04'!$B$2</f>
        <v>04/12/2025 00:15</v>
      </c>
      <c r="B12" s="83">
        <f>'04'!B108</f>
        <v>15.091458333333341</v>
      </c>
      <c r="C12" s="83">
        <f>'04'!C108</f>
        <v>18.390937500000003</v>
      </c>
      <c r="D12" s="83">
        <f>'04'!D108</f>
        <v>21.710729166666663</v>
      </c>
      <c r="E12" s="83">
        <f>'04'!E108</f>
        <v>6.2686458333333368</v>
      </c>
      <c r="F12" s="83">
        <f>'04'!F108</f>
        <v>0.71020833333333355</v>
      </c>
      <c r="G12" s="83">
        <f>'04'!G108</f>
        <v>78.220624999999956</v>
      </c>
      <c r="H12" s="83">
        <f>'04'!H108</f>
        <v>35.177500000000002</v>
      </c>
      <c r="I12" s="83">
        <f>'04'!I108</f>
        <v>11.584583333333335</v>
      </c>
      <c r="J12" s="83">
        <f>'04'!J108</f>
        <v>0.38385416666666677</v>
      </c>
      <c r="K12" s="83">
        <f>'04'!K108</f>
        <v>102.2013541666666</v>
      </c>
      <c r="L12" s="83">
        <f>'04'!L108</f>
        <v>22.661458333333332</v>
      </c>
      <c r="M12" s="83">
        <f>'04'!M108</f>
        <v>52.994374999999998</v>
      </c>
      <c r="N12" s="83">
        <f>'04'!N108</f>
        <v>114.9708333333333</v>
      </c>
      <c r="O12" s="83">
        <f>'04'!O108</f>
        <v>0</v>
      </c>
      <c r="P12" s="83">
        <f>'04'!P108</f>
        <v>0.6328125</v>
      </c>
      <c r="Q12" s="83">
        <f>'04'!Q108</f>
        <v>9.5033333333333534</v>
      </c>
      <c r="R12" s="76"/>
      <c r="S12" s="76"/>
      <c r="T12" s="76"/>
      <c r="U12" s="76"/>
    </row>
    <row r="13" spans="1:21">
      <c r="A13" s="139" t="str">
        <f>'05'!$B$2</f>
        <v>05/12/2025 00:15</v>
      </c>
      <c r="B13" s="83">
        <f>'05'!B108</f>
        <v>12.421145833333329</v>
      </c>
      <c r="C13" s="83">
        <f>'05'!C108</f>
        <v>18.331666666666663</v>
      </c>
      <c r="D13" s="83">
        <f>'05'!D108</f>
        <v>19.537916666666675</v>
      </c>
      <c r="E13" s="83">
        <f>'05'!E108</f>
        <v>6.0625000000000027</v>
      </c>
      <c r="F13" s="83">
        <f>'05'!F108</f>
        <v>0.74624999999999997</v>
      </c>
      <c r="G13" s="83">
        <f>'05'!G108</f>
        <v>82.66552083333336</v>
      </c>
      <c r="H13" s="83">
        <f>'05'!H108</f>
        <v>35.806041666666651</v>
      </c>
      <c r="I13" s="83">
        <f>'05'!I108</f>
        <v>10.904999999999999</v>
      </c>
      <c r="J13" s="83">
        <f>'05'!J108</f>
        <v>0.43156250000000007</v>
      </c>
      <c r="K13" s="83">
        <f>'05'!K108</f>
        <v>103.48843750000005</v>
      </c>
      <c r="L13" s="83">
        <f>'05'!L108</f>
        <v>22.181770833333342</v>
      </c>
      <c r="M13" s="83">
        <f>'05'!M108</f>
        <v>58.414479166666666</v>
      </c>
      <c r="N13" s="83">
        <f>'05'!N108</f>
        <v>110.39375000000001</v>
      </c>
      <c r="O13" s="83">
        <f>'05'!O108</f>
        <v>0</v>
      </c>
      <c r="P13" s="83">
        <f>'05'!P108</f>
        <v>0.62093750000000025</v>
      </c>
      <c r="Q13" s="83">
        <f>'05'!Q108</f>
        <v>9.320000000000018</v>
      </c>
      <c r="R13" s="76"/>
      <c r="S13" s="76"/>
      <c r="T13" s="76"/>
      <c r="U13" s="76"/>
    </row>
    <row r="14" spans="1:21">
      <c r="A14" s="139" t="str">
        <f>'06'!$B$2</f>
        <v>06/12/2025 00:15</v>
      </c>
      <c r="B14" s="83">
        <f>'06'!B108</f>
        <v>9.7323958333333351</v>
      </c>
      <c r="C14" s="83">
        <f>'06'!C108</f>
        <v>20.431666666666672</v>
      </c>
      <c r="D14" s="83">
        <f>'06'!D108</f>
        <v>18.478541666666661</v>
      </c>
      <c r="E14" s="83">
        <f>'06'!E108</f>
        <v>5.4567708333333336</v>
      </c>
      <c r="F14" s="83">
        <f>'06'!F108</f>
        <v>2.6059375000000005</v>
      </c>
      <c r="G14" s="83">
        <f>'06'!G108</f>
        <v>78.67322916666663</v>
      </c>
      <c r="H14" s="83">
        <f>'06'!H108</f>
        <v>37.962708333333318</v>
      </c>
      <c r="I14" s="83">
        <f>'06'!I108</f>
        <v>10.236770833333333</v>
      </c>
      <c r="J14" s="83">
        <f>'06'!J108</f>
        <v>0.34218750000000009</v>
      </c>
      <c r="K14" s="83">
        <f>'06'!K108</f>
        <v>118.93677083333336</v>
      </c>
      <c r="L14" s="83">
        <f>'06'!L108</f>
        <v>21.401770833333334</v>
      </c>
      <c r="M14" s="83">
        <f>'06'!M108</f>
        <v>53.305312500000007</v>
      </c>
      <c r="N14" s="83">
        <f>'06'!N108</f>
        <v>124.9166666666667</v>
      </c>
      <c r="O14" s="83">
        <f>'06'!O108</f>
        <v>0</v>
      </c>
      <c r="P14" s="83">
        <f>'06'!P108</f>
        <v>0.61854166666666666</v>
      </c>
      <c r="Q14" s="83">
        <f>'06'!Q108</f>
        <v>9.320000000000018</v>
      </c>
      <c r="R14" s="76"/>
      <c r="S14" s="76"/>
      <c r="T14" s="76"/>
      <c r="U14" s="76"/>
    </row>
    <row r="15" spans="1:21">
      <c r="A15" s="139" t="str">
        <f>'07'!$B$2</f>
        <v>07/12/2025 00:15</v>
      </c>
      <c r="B15" s="83">
        <f>'07'!B108</f>
        <v>14.426770833333338</v>
      </c>
      <c r="C15" s="83">
        <f>'07'!C108</f>
        <v>19.238229166666667</v>
      </c>
      <c r="D15" s="83">
        <f>'07'!D108</f>
        <v>21.620625</v>
      </c>
      <c r="E15" s="83">
        <f>'07'!E108</f>
        <v>5.614166666666665</v>
      </c>
      <c r="F15" s="83">
        <f>'07'!F108</f>
        <v>0.87968750000000062</v>
      </c>
      <c r="G15" s="83">
        <f>'07'!G108</f>
        <v>111.31385416666667</v>
      </c>
      <c r="H15" s="83">
        <f>'07'!H108</f>
        <v>53.118333333333339</v>
      </c>
      <c r="I15" s="83">
        <f>'07'!I108</f>
        <v>17.054062499999993</v>
      </c>
      <c r="J15" s="83">
        <f>'07'!J108</f>
        <v>0.37645833333333306</v>
      </c>
      <c r="K15" s="83">
        <f>'07'!K108</f>
        <v>138.84645833333337</v>
      </c>
      <c r="L15" s="83">
        <f>'07'!L108</f>
        <v>21.439895833333335</v>
      </c>
      <c r="M15" s="83">
        <f>'07'!M108</f>
        <v>56.910312500000025</v>
      </c>
      <c r="N15" s="83">
        <f>'07'!N108</f>
        <v>131.80312499999999</v>
      </c>
      <c r="O15" s="83">
        <f>'07'!O108</f>
        <v>0</v>
      </c>
      <c r="P15" s="83">
        <f>'07'!P108</f>
        <v>0.9416666666666661</v>
      </c>
      <c r="Q15" s="83">
        <f>'07'!Q108</f>
        <v>9.320000000000018</v>
      </c>
      <c r="R15" s="76"/>
      <c r="S15" s="76"/>
      <c r="T15" s="76"/>
      <c r="U15" s="76"/>
    </row>
    <row r="16" spans="1:21">
      <c r="A16" s="139" t="str">
        <f>'08'!$B$2</f>
        <v>08/12/2025 00:15</v>
      </c>
      <c r="B16" s="83">
        <f>'08'!B108</f>
        <v>16.73895833333334</v>
      </c>
      <c r="C16" s="83">
        <f>'08'!C108</f>
        <v>17.984375000000004</v>
      </c>
      <c r="D16" s="83">
        <f>'08'!D108</f>
        <v>22.818958333333324</v>
      </c>
      <c r="E16" s="83">
        <f>'08'!E108</f>
        <v>6.0554166666666687</v>
      </c>
      <c r="F16" s="83">
        <f>'08'!F108</f>
        <v>0.9319791666666668</v>
      </c>
      <c r="G16" s="83">
        <f>'08'!G108</f>
        <v>78.385312500000012</v>
      </c>
      <c r="H16" s="83">
        <f>'08'!H108</f>
        <v>36.776666666666692</v>
      </c>
      <c r="I16" s="83">
        <f>'08'!I108</f>
        <v>14.271875000000001</v>
      </c>
      <c r="J16" s="83">
        <f>'08'!J108</f>
        <v>0.33416666666666678</v>
      </c>
      <c r="K16" s="83">
        <f>'08'!K108</f>
        <v>139.33875000000003</v>
      </c>
      <c r="L16" s="83">
        <f>'08'!L108</f>
        <v>21.825520833333339</v>
      </c>
      <c r="M16" s="83">
        <f>'08'!M108</f>
        <v>54.482187499999988</v>
      </c>
      <c r="N16" s="83">
        <f>'08'!N108</f>
        <v>136.17395833333336</v>
      </c>
      <c r="O16" s="83">
        <f>'08'!O108</f>
        <v>0</v>
      </c>
      <c r="P16" s="83">
        <f>'08'!P108</f>
        <v>0.75583333333333336</v>
      </c>
      <c r="Q16" s="83">
        <f>'08'!Q108</f>
        <v>9.320000000000018</v>
      </c>
      <c r="R16" s="76"/>
      <c r="S16" s="76"/>
      <c r="T16" s="76"/>
      <c r="U16" s="76"/>
    </row>
    <row r="17" spans="1:21">
      <c r="A17" s="139" t="str">
        <f>'09'!$B$2</f>
        <v>09/12/2025 00:15</v>
      </c>
      <c r="B17" s="83">
        <f>'09'!B108</f>
        <v>11.786041666666664</v>
      </c>
      <c r="C17" s="83">
        <f>'09'!C108</f>
        <v>17.01125</v>
      </c>
      <c r="D17" s="83">
        <f>'09'!D108</f>
        <v>18.338958333333334</v>
      </c>
      <c r="E17" s="83">
        <f>'09'!E108</f>
        <v>5.5919791666666674</v>
      </c>
      <c r="F17" s="83">
        <f>'09'!F108</f>
        <v>0.86312500000000025</v>
      </c>
      <c r="G17" s="83">
        <f>'09'!G108</f>
        <v>91.872604166666747</v>
      </c>
      <c r="H17" s="83">
        <f>'09'!H108</f>
        <v>42.213333333333324</v>
      </c>
      <c r="I17" s="83">
        <f>'09'!I108</f>
        <v>14.287395833333333</v>
      </c>
      <c r="J17" s="83">
        <f>'09'!J108</f>
        <v>0.40552083333333316</v>
      </c>
      <c r="K17" s="83">
        <f>'09'!K108</f>
        <v>129.74614583333337</v>
      </c>
      <c r="L17" s="83">
        <f>'09'!L108</f>
        <v>21.708750000000006</v>
      </c>
      <c r="M17" s="83">
        <f>'09'!M108</f>
        <v>55.207812499999996</v>
      </c>
      <c r="N17" s="83">
        <f>'09'!N108</f>
        <v>133.53750000000005</v>
      </c>
      <c r="O17" s="83">
        <f>'09'!O108</f>
        <v>0</v>
      </c>
      <c r="P17" s="83">
        <f>'09'!P108</f>
        <v>0.7794791666666665</v>
      </c>
      <c r="Q17" s="83">
        <f>'09'!Q108</f>
        <v>9.3480208333333383</v>
      </c>
      <c r="R17" s="76"/>
      <c r="S17" s="76"/>
      <c r="T17" s="76"/>
      <c r="U17" s="76"/>
    </row>
    <row r="18" spans="1:21">
      <c r="A18" s="139" t="str">
        <f>'10'!$B$2</f>
        <v>10/12/2025 00:15</v>
      </c>
      <c r="B18" s="83">
        <f>'10'!B108</f>
        <v>19.586874999999999</v>
      </c>
      <c r="C18" s="83">
        <f>'10'!C108</f>
        <v>21.345833333333331</v>
      </c>
      <c r="D18" s="83">
        <f>'10'!D108</f>
        <v>26.860208333333336</v>
      </c>
      <c r="E18" s="83">
        <f>'10'!E108</f>
        <v>4.9780208333333347</v>
      </c>
      <c r="F18" s="83">
        <f>'10'!F108</f>
        <v>3.9690624999999993</v>
      </c>
      <c r="G18" s="83">
        <f>'10'!G108</f>
        <v>80.135217391304366</v>
      </c>
      <c r="H18" s="83">
        <f>'10'!H108</f>
        <v>36.57097826086958</v>
      </c>
      <c r="I18" s="83">
        <f>'10'!I108</f>
        <v>12.861562499999996</v>
      </c>
      <c r="J18" s="83">
        <f>'10'!J108</f>
        <v>0.36729166666666657</v>
      </c>
      <c r="K18" s="83">
        <f>'10'!K108</f>
        <v>132.39854166666672</v>
      </c>
      <c r="L18" s="83">
        <f>'10'!L108</f>
        <v>21.088229166666665</v>
      </c>
      <c r="M18" s="83">
        <f>'10'!M108</f>
        <v>55.145937500000002</v>
      </c>
      <c r="N18" s="83">
        <f>'10'!N108</f>
        <v>131.62499999999997</v>
      </c>
      <c r="O18" s="83">
        <f>'10'!O108</f>
        <v>0</v>
      </c>
      <c r="P18" s="83">
        <f>'10'!P108</f>
        <v>0.86666666666666625</v>
      </c>
      <c r="Q18" s="83">
        <f>'10'!Q108</f>
        <v>9.4175000000000058</v>
      </c>
      <c r="R18" s="76"/>
      <c r="S18" s="76"/>
      <c r="T18" s="76"/>
      <c r="U18" s="76"/>
    </row>
    <row r="19" spans="1:21">
      <c r="A19" s="139" t="str">
        <f>'11'!$B$2</f>
        <v>11/12/2025 00:15</v>
      </c>
      <c r="B19" s="83">
        <f>'11'!B108</f>
        <v>17.202500000000001</v>
      </c>
      <c r="C19" s="83">
        <f>'11'!C108</f>
        <v>19.122812500000006</v>
      </c>
      <c r="D19" s="83">
        <f>'11'!D108</f>
        <v>23.78520833333334</v>
      </c>
      <c r="E19" s="83">
        <f>'11'!E108</f>
        <v>5.2404166666666674</v>
      </c>
      <c r="F19" s="83">
        <f>'11'!F108</f>
        <v>1.8026041666666661</v>
      </c>
      <c r="G19" s="83">
        <f>'11'!G108</f>
        <v>78.447065217391227</v>
      </c>
      <c r="H19" s="83">
        <f>'11'!H108</f>
        <v>42.643010752688149</v>
      </c>
      <c r="I19" s="83">
        <f>'11'!I108</f>
        <v>14.374166666666667</v>
      </c>
      <c r="J19" s="83">
        <f>'11'!J108</f>
        <v>0.28354166666666675</v>
      </c>
      <c r="K19" s="83">
        <f>'11'!K108</f>
        <v>148.74281249999993</v>
      </c>
      <c r="L19" s="83">
        <f>'11'!L108</f>
        <v>20.737708333333341</v>
      </c>
      <c r="M19" s="83">
        <f>'11'!M108</f>
        <v>55.227291666666638</v>
      </c>
      <c r="N19" s="83">
        <f>'11'!N108</f>
        <v>111.16249999999998</v>
      </c>
      <c r="O19" s="83">
        <f>'11'!O108</f>
        <v>0</v>
      </c>
      <c r="P19" s="83">
        <f>'11'!P108</f>
        <v>0.92739583333333353</v>
      </c>
      <c r="Q19" s="83">
        <f>'11'!Q108</f>
        <v>9.3556250000000016</v>
      </c>
      <c r="R19" s="76"/>
      <c r="S19" s="76"/>
      <c r="T19" s="76"/>
      <c r="U19" s="76"/>
    </row>
    <row r="20" spans="1:21">
      <c r="A20" s="139" t="str">
        <f>'12'!$B$2</f>
        <v>12/12/2025 00:15</v>
      </c>
      <c r="B20" s="83">
        <f>'12'!B108</f>
        <v>10.743437499999999</v>
      </c>
      <c r="C20" s="83">
        <f>'12'!C108</f>
        <v>18.533124999999998</v>
      </c>
      <c r="D20" s="83">
        <f>'12'!D108</f>
        <v>18.298333333333336</v>
      </c>
      <c r="E20" s="83">
        <f>'12'!E108</f>
        <v>5.6578125000000012</v>
      </c>
      <c r="F20" s="83">
        <f>'12'!F108</f>
        <v>3.0561458333333325</v>
      </c>
      <c r="G20" s="83">
        <f>'12'!G108</f>
        <v>84.173645833333325</v>
      </c>
      <c r="H20" s="83">
        <f>'12'!H108</f>
        <v>38.185416666666654</v>
      </c>
      <c r="I20" s="83">
        <f>'12'!I108</f>
        <v>13.709166666666675</v>
      </c>
      <c r="J20" s="83">
        <f>'12'!J108</f>
        <v>0.21354166666666663</v>
      </c>
      <c r="K20" s="83">
        <f>'12'!K108</f>
        <v>170.87531250000004</v>
      </c>
      <c r="L20" s="83">
        <f>'12'!L108</f>
        <v>21.181562500000005</v>
      </c>
      <c r="M20" s="83">
        <f>'12'!M108</f>
        <v>59.025520833333303</v>
      </c>
      <c r="N20" s="83">
        <f>'12'!N108</f>
        <v>100.94895833333327</v>
      </c>
      <c r="O20" s="83">
        <f>'12'!O108</f>
        <v>0</v>
      </c>
      <c r="P20" s="83">
        <f>'12'!P108</f>
        <v>0.71572916666666631</v>
      </c>
      <c r="Q20" s="83">
        <f>'12'!Q108</f>
        <v>9.3571874999999967</v>
      </c>
      <c r="R20" s="76"/>
      <c r="S20" s="76"/>
      <c r="T20" s="76"/>
      <c r="U20" s="76"/>
    </row>
    <row r="21" spans="1:21">
      <c r="A21" s="139" t="str">
        <f>'13'!$B$2</f>
        <v>13/12/2025 00:15</v>
      </c>
      <c r="B21" s="83">
        <f>'13'!B108</f>
        <v>11.501354166666664</v>
      </c>
      <c r="C21" s="83">
        <f>'13'!C108</f>
        <v>19.186562500000001</v>
      </c>
      <c r="D21" s="83">
        <f>'13'!D108</f>
        <v>19.248229166666672</v>
      </c>
      <c r="E21" s="83">
        <f>'13'!E108</f>
        <v>5.5186458333333341</v>
      </c>
      <c r="F21" s="83">
        <f>'13'!F108</f>
        <v>1.922291666666667</v>
      </c>
      <c r="G21" s="83">
        <f>'13'!G108</f>
        <v>87.706250000000026</v>
      </c>
      <c r="H21" s="83">
        <f>'13'!H108</f>
        <v>43.986250000000013</v>
      </c>
      <c r="I21" s="83">
        <f>'13'!I108</f>
        <v>16.518020833333331</v>
      </c>
      <c r="J21" s="83">
        <f>'13'!J108</f>
        <v>0.26124999999999993</v>
      </c>
      <c r="K21" s="83">
        <f>'13'!K108</f>
        <v>151.82906250000002</v>
      </c>
      <c r="L21" s="83">
        <f>'13'!L108</f>
        <v>21.544270833333329</v>
      </c>
      <c r="M21" s="83">
        <f>'13'!M108</f>
        <v>61.137083333333315</v>
      </c>
      <c r="N21" s="83">
        <f>'13'!N108</f>
        <v>101.71874999999999</v>
      </c>
      <c r="O21" s="83">
        <f>'13'!O108</f>
        <v>0</v>
      </c>
      <c r="P21" s="83">
        <f>'13'!P108</f>
        <v>0.93114583333333334</v>
      </c>
      <c r="Q21" s="83">
        <f>'13'!Q108</f>
        <v>9.3568750000000112</v>
      </c>
      <c r="R21" s="76"/>
      <c r="S21" s="76"/>
      <c r="T21" s="76"/>
      <c r="U21" s="76"/>
    </row>
    <row r="22" spans="1:21">
      <c r="A22" s="139" t="str">
        <f>'14'!$B$2</f>
        <v>14/12/2025 00:15</v>
      </c>
      <c r="B22" s="140">
        <f>'14'!B108</f>
        <v>15.297083333333333</v>
      </c>
      <c r="C22" s="140">
        <f>'14'!C108</f>
        <v>20.098541666666669</v>
      </c>
      <c r="D22" s="140">
        <f>'14'!D108</f>
        <v>22.768020833333335</v>
      </c>
      <c r="E22" s="140">
        <f>'14'!E108</f>
        <v>5.7205208333333344</v>
      </c>
      <c r="F22" s="140">
        <f>'14'!F108</f>
        <v>2.0477083333333339</v>
      </c>
      <c r="G22" s="140">
        <f>'14'!G108</f>
        <v>83.029791666666654</v>
      </c>
      <c r="H22" s="140">
        <f>'14'!H108</f>
        <v>48.162916666666653</v>
      </c>
      <c r="I22" s="140">
        <f>'14'!I108</f>
        <v>14.897708333333334</v>
      </c>
      <c r="J22" s="140">
        <f>'14'!J108</f>
        <v>0.31072916666666678</v>
      </c>
      <c r="K22" s="140">
        <f>'14'!K108</f>
        <v>125.09739583333335</v>
      </c>
      <c r="L22" s="140">
        <f>'14'!L108</f>
        <v>21.554062500000001</v>
      </c>
      <c r="M22" s="140">
        <f>'14'!M108</f>
        <v>61.581041666666664</v>
      </c>
      <c r="N22" s="140">
        <f>'14'!N108</f>
        <v>98.029166666666569</v>
      </c>
      <c r="O22" s="140">
        <f>'14'!O108</f>
        <v>0</v>
      </c>
      <c r="P22" s="140">
        <f>'14'!P108</f>
        <v>0.84145833333333331</v>
      </c>
      <c r="Q22" s="140">
        <f>'14'!Q108</f>
        <v>9.3857291666666871</v>
      </c>
      <c r="R22" s="153"/>
      <c r="S22" s="153"/>
      <c r="T22" s="153"/>
      <c r="U22" s="153"/>
    </row>
    <row r="23" spans="1:21">
      <c r="A23" s="139" t="str">
        <f>'15'!$B$2</f>
        <v>15/12/2025 00:15</v>
      </c>
      <c r="B23" s="83">
        <f>'15'!B108</f>
        <v>11.597187499999995</v>
      </c>
      <c r="C23" s="83">
        <f>'15'!C108</f>
        <v>19.482812500000001</v>
      </c>
      <c r="D23" s="83">
        <f>'15'!D108</f>
        <v>19.479270833333331</v>
      </c>
      <c r="E23" s="83">
        <f>'15'!E108</f>
        <v>5.2960416666666648</v>
      </c>
      <c r="F23" s="83">
        <f>'15'!F108</f>
        <v>2.1261458333333336</v>
      </c>
      <c r="G23" s="83">
        <f>'15'!G108</f>
        <v>91.610208333333375</v>
      </c>
      <c r="H23" s="83">
        <f>'15'!H108</f>
        <v>56.911249999999974</v>
      </c>
      <c r="I23" s="83">
        <f>'15'!I108</f>
        <v>14.903854166666667</v>
      </c>
      <c r="J23" s="83">
        <f>'15'!J108</f>
        <v>0.22656249999999992</v>
      </c>
      <c r="K23" s="83">
        <f>'15'!K108</f>
        <v>158.4734374999999</v>
      </c>
      <c r="L23" s="83">
        <f>'15'!L108</f>
        <v>21.470833333333335</v>
      </c>
      <c r="M23" s="83">
        <f>'15'!M108</f>
        <v>67.723645833333364</v>
      </c>
      <c r="N23" s="83">
        <f>'15'!N108</f>
        <v>95.47083333333336</v>
      </c>
      <c r="O23" s="83">
        <f>'15'!O108</f>
        <v>0</v>
      </c>
      <c r="P23" s="83">
        <f>'15'!P108</f>
        <v>0.95333333333333359</v>
      </c>
      <c r="Q23" s="83">
        <f>'15'!Q108</f>
        <v>9.3513541666666811</v>
      </c>
      <c r="R23" s="76"/>
      <c r="S23" s="76"/>
      <c r="T23" s="76"/>
      <c r="U23" s="76"/>
    </row>
    <row r="24" spans="1:21">
      <c r="A24" s="139" t="str">
        <f>'16'!$B$2</f>
        <v>16/12/2025 00:15</v>
      </c>
      <c r="B24" s="83">
        <f>'16'!B108</f>
        <v>7.9826041666666603</v>
      </c>
      <c r="C24" s="83">
        <f>'16'!C108</f>
        <v>18.159583333333337</v>
      </c>
      <c r="D24" s="83">
        <f>'16'!D108</f>
        <v>15.889375000000001</v>
      </c>
      <c r="E24" s="83">
        <f>'16'!E108</f>
        <v>5.7201041666666663</v>
      </c>
      <c r="F24" s="83">
        <f>'16'!F108</f>
        <v>2.2595833333333335</v>
      </c>
      <c r="G24" s="83">
        <f>'16'!G108</f>
        <v>83.325520833333329</v>
      </c>
      <c r="H24" s="83">
        <f>'16'!H108</f>
        <v>52.930624999999992</v>
      </c>
      <c r="I24" s="83">
        <f>'16'!I108</f>
        <v>14.459062500000003</v>
      </c>
      <c r="J24" s="83">
        <f>'16'!J108</f>
        <v>0.23541666666666675</v>
      </c>
      <c r="K24" s="83">
        <f>'16'!K108</f>
        <v>150.47749999999994</v>
      </c>
      <c r="L24" s="83">
        <f>'16'!L108</f>
        <v>21.717083333333335</v>
      </c>
      <c r="M24" s="83">
        <f>'16'!M108</f>
        <v>68.243229166666666</v>
      </c>
      <c r="N24" s="83">
        <f>'16'!N108</f>
        <v>99.455208333333317</v>
      </c>
      <c r="O24" s="83">
        <f>'16'!O108</f>
        <v>0</v>
      </c>
      <c r="P24" s="83">
        <f>'16'!P108</f>
        <v>0.94697916666666682</v>
      </c>
      <c r="Q24" s="83">
        <f>'16'!Q108</f>
        <v>9.320000000000018</v>
      </c>
      <c r="R24" s="76"/>
      <c r="S24" s="76"/>
      <c r="T24" s="76"/>
      <c r="U24" s="76"/>
    </row>
    <row r="25" spans="1:21">
      <c r="A25" s="139" t="str">
        <f>'17'!$B$2</f>
        <v>17/12/2025 00:15</v>
      </c>
      <c r="B25" s="83">
        <f>'17'!B108</f>
        <v>7.3805208333333328</v>
      </c>
      <c r="C25" s="83">
        <f>'17'!C108</f>
        <v>19.60645833333334</v>
      </c>
      <c r="D25" s="83">
        <f>'17'!D108</f>
        <v>16.163124999999994</v>
      </c>
      <c r="E25" s="83">
        <f>'17'!E108</f>
        <v>5.6108333333333329</v>
      </c>
      <c r="F25" s="83">
        <f>'17'!F108</f>
        <v>6.1435416666666676</v>
      </c>
      <c r="G25" s="83">
        <f>'17'!G108</f>
        <v>52.852916666666708</v>
      </c>
      <c r="H25" s="83">
        <f>'17'!H108</f>
        <v>24.85791666666664</v>
      </c>
      <c r="I25" s="83">
        <f>'17'!I108</f>
        <v>17.498645833333338</v>
      </c>
      <c r="J25" s="83">
        <f>'17'!J108</f>
        <v>0.18885416666666674</v>
      </c>
      <c r="K25" s="83">
        <f>'17'!K108</f>
        <v>175.80385416666664</v>
      </c>
      <c r="L25" s="83">
        <f>'17'!L108</f>
        <v>21.799999999999997</v>
      </c>
      <c r="M25" s="83">
        <f>'17'!M108</f>
        <v>68.908333333333374</v>
      </c>
      <c r="N25" s="83">
        <f>'17'!N108</f>
        <v>107.43541666666668</v>
      </c>
      <c r="O25" s="83">
        <f>'17'!O108</f>
        <v>0</v>
      </c>
      <c r="P25" s="83">
        <f>'17'!P108</f>
        <v>1.0354166666666662</v>
      </c>
      <c r="Q25" s="83">
        <f>'17'!Q108</f>
        <v>9.320000000000018</v>
      </c>
      <c r="R25" s="76"/>
      <c r="S25" s="76"/>
      <c r="T25" s="76"/>
      <c r="U25" s="76"/>
    </row>
    <row r="26" spans="1:21">
      <c r="A26" s="139" t="str">
        <f>'18'!$B$2</f>
        <v>18/12/2025 00:15</v>
      </c>
      <c r="B26" s="83">
        <f>'18'!B108</f>
        <v>16.98895833333334</v>
      </c>
      <c r="C26" s="83">
        <f>'18'!C108</f>
        <v>17.949062499999997</v>
      </c>
      <c r="D26" s="83">
        <f>'18'!D108</f>
        <v>23.001562500000006</v>
      </c>
      <c r="E26" s="83">
        <f>'18'!E108</f>
        <v>5.57</v>
      </c>
      <c r="F26" s="83">
        <f>'18'!F108</f>
        <v>1.6304166666666673</v>
      </c>
      <c r="G26" s="83">
        <f>'18'!G108</f>
        <v>32.477812500000006</v>
      </c>
      <c r="H26" s="83">
        <f>'18'!H108</f>
        <v>15.436666666666694</v>
      </c>
      <c r="I26" s="83">
        <f>'18'!I108</f>
        <v>15.848749999999997</v>
      </c>
      <c r="J26" s="83">
        <f>'18'!J108</f>
        <v>0.35749999999999998</v>
      </c>
      <c r="K26" s="83">
        <f>'18'!K108</f>
        <v>129.53854166666667</v>
      </c>
      <c r="L26" s="83">
        <f>'18'!L108</f>
        <v>21.569479166666667</v>
      </c>
      <c r="M26" s="83">
        <f>'18'!M108</f>
        <v>61.97520833333332</v>
      </c>
      <c r="N26" s="83">
        <f>'18'!N108</f>
        <v>113.92395833333325</v>
      </c>
      <c r="O26" s="83">
        <f>'18'!O108</f>
        <v>0</v>
      </c>
      <c r="P26" s="83">
        <f>'18'!P108</f>
        <v>0.88750000000000029</v>
      </c>
      <c r="Q26" s="83">
        <f>'18'!Q108</f>
        <v>9.320000000000018</v>
      </c>
      <c r="R26" s="76"/>
      <c r="S26" s="76"/>
      <c r="T26" s="76"/>
      <c r="U26" s="76"/>
    </row>
    <row r="27" spans="1:21">
      <c r="A27" s="139" t="str">
        <f>'19'!$B$2</f>
        <v>19/12/2025 00:15</v>
      </c>
      <c r="B27" s="83">
        <f>'19'!B108</f>
        <v>14.253437499999997</v>
      </c>
      <c r="C27" s="83">
        <f>'19'!C108</f>
        <v>18.052395833333325</v>
      </c>
      <c r="D27" s="83">
        <f>'19'!D108</f>
        <v>20.862291666666675</v>
      </c>
      <c r="E27" s="83">
        <f>'19'!E108</f>
        <v>5.4613541666666672</v>
      </c>
      <c r="F27" s="83">
        <f>'19'!F108</f>
        <v>1.6438541666666675</v>
      </c>
      <c r="G27" s="83">
        <f>'19'!G108</f>
        <v>38.194270833333299</v>
      </c>
      <c r="H27" s="83">
        <f>'19'!H108</f>
        <v>15.449999999999994</v>
      </c>
      <c r="I27" s="83">
        <f>'19'!I108</f>
        <v>18.376562500000006</v>
      </c>
      <c r="J27" s="83">
        <f>'19'!J108</f>
        <v>0.24447916666666666</v>
      </c>
      <c r="K27" s="83">
        <f>'19'!K108</f>
        <v>183.60239583333339</v>
      </c>
      <c r="L27" s="83">
        <f>'19'!L108</f>
        <v>20.930000000000003</v>
      </c>
      <c r="M27" s="83">
        <f>'19'!M108</f>
        <v>61.370937500000025</v>
      </c>
      <c r="N27" s="83">
        <f>'19'!N108</f>
        <v>99.897916666666617</v>
      </c>
      <c r="O27" s="83">
        <f>'19'!O108</f>
        <v>0</v>
      </c>
      <c r="P27" s="83">
        <f>'19'!P108</f>
        <v>0.99583333333333346</v>
      </c>
      <c r="Q27" s="83">
        <f>'19'!Q108</f>
        <v>9.320000000000018</v>
      </c>
      <c r="R27" s="76"/>
      <c r="S27" s="76"/>
      <c r="T27" s="76"/>
      <c r="U27" s="76"/>
    </row>
    <row r="28" spans="1:21">
      <c r="A28" s="139" t="str">
        <f>'20'!$B$2</f>
        <v>20/12/2025 00:15</v>
      </c>
      <c r="B28" s="83">
        <f>'20'!B108</f>
        <v>14.323854166666671</v>
      </c>
      <c r="C28" s="83">
        <f>'20'!C108</f>
        <v>19.656145833333333</v>
      </c>
      <c r="D28" s="83">
        <f>'20'!D108</f>
        <v>21.756354166666664</v>
      </c>
      <c r="E28" s="83">
        <f>'20'!E108</f>
        <v>5.7856249999999987</v>
      </c>
      <c r="F28" s="83">
        <f>'20'!F108</f>
        <v>1.5402083333333334</v>
      </c>
      <c r="G28" s="83">
        <f>'20'!G108</f>
        <v>37.748854166666682</v>
      </c>
      <c r="H28" s="83">
        <f>'20'!H108</f>
        <v>16.292916666666674</v>
      </c>
      <c r="I28" s="83">
        <f>'20'!I108</f>
        <v>15.088124999999996</v>
      </c>
      <c r="J28" s="83">
        <f>'20'!J108</f>
        <v>0.28281249999999997</v>
      </c>
      <c r="K28" s="83">
        <f>'20'!K108</f>
        <v>149.33520833333338</v>
      </c>
      <c r="L28" s="83">
        <f>'20'!L108</f>
        <v>20.490833333333335</v>
      </c>
      <c r="M28" s="83">
        <f>'20'!M108</f>
        <v>62.946145833333311</v>
      </c>
      <c r="N28" s="83">
        <f>'20'!N108</f>
        <v>108.09479166666664</v>
      </c>
      <c r="O28" s="83">
        <f>'20'!O108</f>
        <v>0</v>
      </c>
      <c r="P28" s="83">
        <f>'20'!P108</f>
        <v>0.80072916666666671</v>
      </c>
      <c r="Q28" s="83">
        <f>'20'!Q108</f>
        <v>9.320000000000018</v>
      </c>
      <c r="R28" s="76"/>
      <c r="S28" s="76"/>
      <c r="T28" s="76"/>
      <c r="U28" s="76"/>
    </row>
    <row r="29" spans="1:21">
      <c r="A29" s="139" t="str">
        <f>'21'!$B$2</f>
        <v>21/12/2025 00:15</v>
      </c>
      <c r="B29" s="83">
        <f>'21'!B108</f>
        <v>14.128333333333329</v>
      </c>
      <c r="C29" s="83">
        <f>'21'!C108</f>
        <v>19.802708333333332</v>
      </c>
      <c r="D29" s="83">
        <f>'21'!D108</f>
        <v>21.676770833333336</v>
      </c>
      <c r="E29" s="83">
        <f>'21'!E108</f>
        <v>6.0113541666666661</v>
      </c>
      <c r="F29" s="83">
        <f>'21'!F108</f>
        <v>1.4752083333333339</v>
      </c>
      <c r="G29" s="83">
        <f>'21'!G108</f>
        <v>37.490208333333349</v>
      </c>
      <c r="H29" s="83">
        <f>'21'!H108</f>
        <v>17.624583333333323</v>
      </c>
      <c r="I29" s="83">
        <f>'21'!I108</f>
        <v>13.418333333333335</v>
      </c>
      <c r="J29" s="83">
        <f>'21'!J108</f>
        <v>0.27062500000000012</v>
      </c>
      <c r="K29" s="83">
        <f>'21'!K108</f>
        <v>146.03583333333336</v>
      </c>
      <c r="L29" s="83">
        <f>'21'!L108</f>
        <v>20.350104166666672</v>
      </c>
      <c r="M29" s="83">
        <f>'21'!M108</f>
        <v>62.96666666666664</v>
      </c>
      <c r="N29" s="83">
        <f>'21'!N108</f>
        <v>104.70833333333339</v>
      </c>
      <c r="O29" s="83">
        <f>'21'!O108</f>
        <v>0</v>
      </c>
      <c r="P29" s="83">
        <f>'21'!P108</f>
        <v>0.79625000000000001</v>
      </c>
      <c r="Q29" s="83">
        <f>'21'!Q108</f>
        <v>9.320000000000018</v>
      </c>
      <c r="R29" s="76"/>
      <c r="S29" s="76"/>
      <c r="T29" s="76"/>
      <c r="U29" s="76"/>
    </row>
    <row r="30" spans="1:21">
      <c r="A30" s="139" t="str">
        <f>'22'!$B$2</f>
        <v>22/12/2025 00:15</v>
      </c>
      <c r="B30" s="83">
        <f>'22'!B108</f>
        <v>18.268333333333345</v>
      </c>
      <c r="C30" s="83">
        <f>'22'!C108</f>
        <v>20.423229166666673</v>
      </c>
      <c r="D30" s="83">
        <f>'22'!D108</f>
        <v>25.320624999999993</v>
      </c>
      <c r="E30" s="83">
        <f>'22'!E108</f>
        <v>5.7378125000000004</v>
      </c>
      <c r="F30" s="83">
        <f>'22'!F108</f>
        <v>1.5127083333333342</v>
      </c>
      <c r="G30" s="83">
        <f>'22'!G108</f>
        <v>52.990416666666668</v>
      </c>
      <c r="H30" s="83">
        <f>'22'!H108</f>
        <v>26.932500000000029</v>
      </c>
      <c r="I30" s="83">
        <f>'22'!I108</f>
        <v>14.966041666666669</v>
      </c>
      <c r="J30" s="83">
        <f>'22'!J108</f>
        <v>0.3239583333333334</v>
      </c>
      <c r="K30" s="83">
        <f>'22'!K108</f>
        <v>129.17020833333333</v>
      </c>
      <c r="L30" s="83">
        <f>'22'!L108</f>
        <v>20.74208333333333</v>
      </c>
      <c r="M30" s="83">
        <f>'22'!M108</f>
        <v>64.163333333333341</v>
      </c>
      <c r="N30" s="83">
        <f>'22'!N108</f>
        <v>107.06041666666668</v>
      </c>
      <c r="O30" s="83">
        <f>'22'!O108</f>
        <v>0</v>
      </c>
      <c r="P30" s="83">
        <f>'22'!P108</f>
        <v>0.90666666666666629</v>
      </c>
      <c r="Q30" s="83">
        <f>'22'!Q108</f>
        <v>9.320000000000018</v>
      </c>
      <c r="R30" s="76"/>
      <c r="S30" s="76"/>
      <c r="T30" s="76"/>
      <c r="U30" s="76"/>
    </row>
    <row r="31" spans="1:21">
      <c r="A31" s="139" t="str">
        <f>'23'!$B$2</f>
        <v>23/12/2025 00:15</v>
      </c>
      <c r="B31" s="83">
        <f>'23'!B108</f>
        <v>17.142395833333328</v>
      </c>
      <c r="C31" s="83">
        <f>'23'!C108</f>
        <v>22.594583333333347</v>
      </c>
      <c r="D31" s="83">
        <f>'23'!D108</f>
        <v>25.551979166666658</v>
      </c>
      <c r="E31" s="83">
        <f>'23'!E108</f>
        <v>5.1488541666666663</v>
      </c>
      <c r="F31" s="83">
        <f>'23'!F108</f>
        <v>2.2909375000000005</v>
      </c>
      <c r="G31" s="83">
        <f>'23'!G108</f>
        <v>77.859687500000021</v>
      </c>
      <c r="H31" s="83">
        <f>'23'!H108</f>
        <v>46.640833333333354</v>
      </c>
      <c r="I31" s="83">
        <f>'23'!I108</f>
        <v>12.976666666666667</v>
      </c>
      <c r="J31" s="83">
        <f>'23'!J108</f>
        <v>0.30406250000000007</v>
      </c>
      <c r="K31" s="83">
        <f>'23'!K108</f>
        <v>131.62979166666665</v>
      </c>
      <c r="L31" s="83">
        <f>'23'!L108</f>
        <v>18.642187500000002</v>
      </c>
      <c r="M31" s="83">
        <f>'23'!M108</f>
        <v>66.378958333333316</v>
      </c>
      <c r="N31" s="83">
        <f>'23'!N108</f>
        <v>103.61562500000004</v>
      </c>
      <c r="O31" s="83">
        <f>'23'!O108</f>
        <v>0</v>
      </c>
      <c r="P31" s="83">
        <f>'23'!P108</f>
        <v>0.87125000000000019</v>
      </c>
      <c r="Q31" s="83">
        <f>'23'!Q108</f>
        <v>9.2229166666666842</v>
      </c>
      <c r="R31" s="76"/>
      <c r="S31" s="154"/>
      <c r="T31" s="76"/>
      <c r="U31" s="76"/>
    </row>
    <row r="32" spans="1:21">
      <c r="A32" s="139" t="str">
        <f>'24'!$B$2</f>
        <v>24/12/2025 00:15</v>
      </c>
      <c r="B32" s="83">
        <f>'24'!B108</f>
        <v>15.731354166666671</v>
      </c>
      <c r="C32" s="83">
        <f>'24'!C108</f>
        <v>18.634583333333328</v>
      </c>
      <c r="D32" s="83">
        <f>'24'!D108</f>
        <v>22.351354166666678</v>
      </c>
      <c r="E32" s="83">
        <f>'24'!E108</f>
        <v>5.2780208333333318</v>
      </c>
      <c r="F32" s="83">
        <f>'24'!F108</f>
        <v>1.8989583333333335</v>
      </c>
      <c r="G32" s="83">
        <f>'24'!G108</f>
        <v>70.191562499999989</v>
      </c>
      <c r="H32" s="83">
        <f>'24'!H108</f>
        <v>36.718749999999993</v>
      </c>
      <c r="I32" s="83">
        <f>'24'!I108</f>
        <v>17.930208333333336</v>
      </c>
      <c r="J32" s="83">
        <f>'24'!J108</f>
        <v>0.33802083333333344</v>
      </c>
      <c r="K32" s="83">
        <f>'24'!K108</f>
        <v>138.0188541666667</v>
      </c>
      <c r="L32" s="83">
        <f>'24'!L108</f>
        <v>16.411875000000009</v>
      </c>
      <c r="M32" s="83">
        <f>'24'!M108</f>
        <v>62.509270833333325</v>
      </c>
      <c r="N32" s="83">
        <f>'24'!N108</f>
        <v>108.10937500000011</v>
      </c>
      <c r="O32" s="83">
        <f>'24'!O108</f>
        <v>0</v>
      </c>
      <c r="P32" s="83">
        <f>'24'!P108</f>
        <v>1.0190625000000002</v>
      </c>
      <c r="Q32" s="83">
        <f>'24'!Q108</f>
        <v>9.320000000000018</v>
      </c>
      <c r="R32" s="76"/>
      <c r="S32" s="76"/>
      <c r="T32" s="76"/>
      <c r="U32" s="76"/>
    </row>
    <row r="33" spans="1:21">
      <c r="A33" s="139" t="str">
        <f>'25'!$B$2</f>
        <v>25/12/2025 00:15</v>
      </c>
      <c r="B33" s="83">
        <f>'25'!B108</f>
        <v>17.350729166666664</v>
      </c>
      <c r="C33" s="83">
        <f>'25'!C108</f>
        <v>18.670312500000001</v>
      </c>
      <c r="D33" s="83">
        <f>'25'!D108</f>
        <v>23.668749999999985</v>
      </c>
      <c r="E33" s="83">
        <f>'25'!E108</f>
        <v>5.6931250000000011</v>
      </c>
      <c r="F33" s="83">
        <f>'25'!F108</f>
        <v>1.7371875000000001</v>
      </c>
      <c r="G33" s="83">
        <f>'25'!G108</f>
        <v>57.777291666666677</v>
      </c>
      <c r="H33" s="83">
        <f>'25'!H108</f>
        <v>28.28125</v>
      </c>
      <c r="I33" s="83">
        <f>'25'!I108</f>
        <v>12.219791666666667</v>
      </c>
      <c r="J33" s="83">
        <f>'25'!J108</f>
        <v>0.28750000000000003</v>
      </c>
      <c r="K33" s="83">
        <f>'25'!K108</f>
        <v>138.43781250000004</v>
      </c>
      <c r="L33" s="83">
        <f>'25'!L108</f>
        <v>16.547395833333336</v>
      </c>
      <c r="M33" s="83">
        <f>'25'!M108</f>
        <v>62.614583333333314</v>
      </c>
      <c r="N33" s="83">
        <f>'25'!N108</f>
        <v>108.15520833333333</v>
      </c>
      <c r="O33" s="83">
        <f>'25'!O108</f>
        <v>0</v>
      </c>
      <c r="P33" s="83">
        <f>'25'!P108</f>
        <v>0.6791666666666667</v>
      </c>
      <c r="Q33" s="83">
        <f>'25'!Q108</f>
        <v>9.320000000000018</v>
      </c>
      <c r="R33" s="76"/>
      <c r="S33" s="154"/>
      <c r="T33" s="76"/>
      <c r="U33" s="76"/>
    </row>
    <row r="34" spans="1:21">
      <c r="A34" s="139" t="str">
        <f>'26'!$B$2</f>
        <v>26/12/2025 00:15</v>
      </c>
      <c r="B34" s="83">
        <f>'26'!B108</f>
        <v>15.406562500000007</v>
      </c>
      <c r="C34" s="83">
        <f>'26'!C108</f>
        <v>19.319687499999993</v>
      </c>
      <c r="D34" s="83">
        <f>'26'!D108</f>
        <v>22.44854166666666</v>
      </c>
      <c r="E34" s="83">
        <f>'26'!E108</f>
        <v>6.1314583333333346</v>
      </c>
      <c r="F34" s="83">
        <f>'26'!F108</f>
        <v>1.611666666666667</v>
      </c>
      <c r="G34" s="83">
        <f>'26'!G108</f>
        <v>71.977812499999956</v>
      </c>
      <c r="H34" s="83">
        <f>'26'!H108</f>
        <v>32.069166666666653</v>
      </c>
      <c r="I34" s="83">
        <f>'26'!I108</f>
        <v>12.724791666666667</v>
      </c>
      <c r="J34" s="83">
        <f>'26'!J108</f>
        <v>0.31270833333333331</v>
      </c>
      <c r="K34" s="83">
        <f>'26'!K108</f>
        <v>122.29479166666664</v>
      </c>
      <c r="L34" s="83">
        <f>'26'!L108</f>
        <v>16.524479166666669</v>
      </c>
      <c r="M34" s="83">
        <f>'26'!M108</f>
        <v>61.102604166666652</v>
      </c>
      <c r="N34" s="83">
        <f>'26'!N108</f>
        <v>111.63020833333339</v>
      </c>
      <c r="O34" s="83">
        <f>'26'!O108</f>
        <v>0</v>
      </c>
      <c r="P34" s="83">
        <f>'26'!P108</f>
        <v>0.75250000000000028</v>
      </c>
      <c r="Q34" s="83">
        <f>'26'!Q108</f>
        <v>9.320000000000018</v>
      </c>
      <c r="R34" s="76"/>
      <c r="S34" s="76"/>
      <c r="T34" s="76"/>
      <c r="U34" s="76"/>
    </row>
    <row r="35" spans="1:21">
      <c r="A35" s="139" t="str">
        <f>'27'!$B$2</f>
        <v>27/12/2025 00:15</v>
      </c>
      <c r="B35" s="83">
        <f>'27'!B108</f>
        <v>13.927395833333334</v>
      </c>
      <c r="C35" s="83">
        <f>'27'!C108</f>
        <v>20.512395833333333</v>
      </c>
      <c r="D35" s="83">
        <f>'27'!D108</f>
        <v>21.927083333333332</v>
      </c>
      <c r="E35" s="83">
        <f>'27'!E108</f>
        <v>5.030104166666665</v>
      </c>
      <c r="F35" s="83">
        <f>'27'!F108</f>
        <v>1.8417708333333327</v>
      </c>
      <c r="G35" s="83">
        <f>'27'!G108</f>
        <v>71.964782608695643</v>
      </c>
      <c r="H35" s="83">
        <f>'27'!H108</f>
        <v>32.644565217391289</v>
      </c>
      <c r="I35" s="83">
        <f>'27'!I108</f>
        <v>12.098854166666667</v>
      </c>
      <c r="J35" s="83">
        <f>'27'!J108</f>
        <v>0.30718750000000011</v>
      </c>
      <c r="K35" s="83">
        <f>'27'!K108</f>
        <v>167.51927083333334</v>
      </c>
      <c r="L35" s="83">
        <f>'27'!L108</f>
        <v>15.844895833333339</v>
      </c>
      <c r="M35" s="83">
        <f>'27'!M108</f>
        <v>63.69854166666665</v>
      </c>
      <c r="N35" s="83">
        <f>'27'!N108</f>
        <v>119.73125</v>
      </c>
      <c r="O35" s="83">
        <f>'27'!O108</f>
        <v>0</v>
      </c>
      <c r="P35" s="83">
        <f>'27'!P108</f>
        <v>0.68124999999999991</v>
      </c>
      <c r="Q35" s="83">
        <f>'27'!Q108</f>
        <v>9.320000000000018</v>
      </c>
      <c r="R35" s="76"/>
      <c r="S35" s="76"/>
      <c r="T35" s="76"/>
      <c r="U35" s="76"/>
    </row>
    <row r="36" spans="1:21">
      <c r="A36" s="139" t="str">
        <f>'28'!$B$2</f>
        <v>28/12/2025 00:15</v>
      </c>
      <c r="B36" s="83">
        <f>'28'!B108</f>
        <v>19.292291666666667</v>
      </c>
      <c r="C36" s="83">
        <f>'28'!C108</f>
        <v>21.541666666666668</v>
      </c>
      <c r="D36" s="83">
        <f>'28'!D108</f>
        <v>26.725625000000008</v>
      </c>
      <c r="E36" s="83">
        <f>'28'!E108</f>
        <v>3.2340624999999998</v>
      </c>
      <c r="F36" s="83">
        <f>'28'!F108</f>
        <v>0.52895833333333342</v>
      </c>
      <c r="G36" s="83">
        <f>'28'!G108</f>
        <v>80.055833333333354</v>
      </c>
      <c r="H36" s="83">
        <f>'28'!H108</f>
        <v>38.772083333333306</v>
      </c>
      <c r="I36" s="83">
        <f>'28'!I108</f>
        <v>14.126562500000007</v>
      </c>
      <c r="J36" s="83">
        <f>'28'!J108</f>
        <v>0.25572916666666662</v>
      </c>
      <c r="K36" s="83">
        <f>'28'!K108</f>
        <v>161.30218750000003</v>
      </c>
      <c r="L36" s="83">
        <f>'28'!L108</f>
        <v>15.635729166666666</v>
      </c>
      <c r="M36" s="83">
        <f>'28'!M108</f>
        <v>62.804062499999993</v>
      </c>
      <c r="N36" s="83">
        <f>'28'!N108</f>
        <v>125.83645833333333</v>
      </c>
      <c r="O36" s="83">
        <f>'28'!O108</f>
        <v>0</v>
      </c>
      <c r="P36" s="83">
        <f>'28'!P108</f>
        <v>0.86958333333333382</v>
      </c>
      <c r="Q36" s="83">
        <f>'28'!Q108</f>
        <v>9.320000000000018</v>
      </c>
      <c r="R36" s="76"/>
      <c r="S36" s="76"/>
      <c r="T36" s="76"/>
      <c r="U36" s="76"/>
    </row>
    <row r="37" spans="1:21" s="2" customFormat="1">
      <c r="A37" s="139" t="str">
        <f>'29'!$B$2</f>
        <v>29/12/2025 00:15</v>
      </c>
      <c r="B37" s="83">
        <f>'29'!B108</f>
        <v>12.992187500000005</v>
      </c>
      <c r="C37" s="83">
        <f>'29'!C108</f>
        <v>21.846666666666664</v>
      </c>
      <c r="D37" s="83">
        <f>'29'!D108</f>
        <v>21.8321875</v>
      </c>
      <c r="E37" s="83">
        <f>'29'!E108</f>
        <v>3.0089583333333345</v>
      </c>
      <c r="F37" s="83">
        <f>'29'!F108</f>
        <v>0.75781250000000033</v>
      </c>
      <c r="G37" s="83">
        <f>'29'!G108</f>
        <v>75.048541666666679</v>
      </c>
      <c r="H37" s="83">
        <f>'29'!H108</f>
        <v>36.308333333333344</v>
      </c>
      <c r="I37" s="83">
        <f>'29'!I108</f>
        <v>13.933541666666663</v>
      </c>
      <c r="J37" s="83">
        <f>'29'!J108</f>
        <v>0.25729166666666675</v>
      </c>
      <c r="K37" s="83">
        <f>'29'!K108</f>
        <v>155.76458333333338</v>
      </c>
      <c r="L37" s="83">
        <f>'29'!L108</f>
        <v>15.577187499999992</v>
      </c>
      <c r="M37" s="83">
        <f>'29'!M108</f>
        <v>64.316979166666655</v>
      </c>
      <c r="N37" s="83">
        <f>'29'!N108</f>
        <v>121.74166666666672</v>
      </c>
      <c r="O37" s="83">
        <f>'29'!O108</f>
        <v>0</v>
      </c>
      <c r="P37" s="83">
        <f>'29'!P108</f>
        <v>0.82895833333333313</v>
      </c>
      <c r="Q37" s="83">
        <f>'29'!Q108</f>
        <v>9.320000000000018</v>
      </c>
      <c r="R37" s="76"/>
      <c r="S37" s="76"/>
      <c r="T37" s="76"/>
      <c r="U37" s="76"/>
    </row>
    <row r="38" spans="1:21" s="2" customFormat="1">
      <c r="A38" s="139" t="str">
        <f>'30'!$B$2</f>
        <v>30/12/2025 00:15</v>
      </c>
      <c r="B38" s="83">
        <f>'30'!B108</f>
        <v>11.723020833333338</v>
      </c>
      <c r="C38" s="83">
        <f>'30'!C108</f>
        <v>19.622395833333339</v>
      </c>
      <c r="D38" s="83">
        <f>'30'!D108</f>
        <v>19.652395833333326</v>
      </c>
      <c r="E38" s="83">
        <f>'30'!E108</f>
        <v>3.6833333333333313</v>
      </c>
      <c r="F38" s="83">
        <f>'30'!F108</f>
        <v>0.92145833333333371</v>
      </c>
      <c r="G38" s="83">
        <f>'30'!G108</f>
        <v>68.160937499999974</v>
      </c>
      <c r="H38" s="83">
        <f>'30'!H108</f>
        <v>37.493645833333339</v>
      </c>
      <c r="I38" s="83">
        <f>'30'!I108</f>
        <v>15.258854166666666</v>
      </c>
      <c r="J38" s="83">
        <f>'30'!J108</f>
        <v>0.22291666666666665</v>
      </c>
      <c r="K38" s="83">
        <f>'30'!K108</f>
        <v>169.91041666666666</v>
      </c>
      <c r="L38" s="83">
        <f>'30'!L108</f>
        <v>15.993437499999997</v>
      </c>
      <c r="M38" s="83">
        <f>'30'!M108</f>
        <v>61.418020833333308</v>
      </c>
      <c r="N38" s="83">
        <f>'30'!N108</f>
        <v>116.4041666666667</v>
      </c>
      <c r="O38" s="83">
        <f>'30'!O108</f>
        <v>0</v>
      </c>
      <c r="P38" s="83">
        <f>'30'!P108</f>
        <v>0.93781250000000016</v>
      </c>
      <c r="Q38" s="83">
        <f>'30'!Q108</f>
        <v>9.320000000000018</v>
      </c>
      <c r="R38" s="76"/>
      <c r="S38" s="76"/>
      <c r="T38" s="76"/>
      <c r="U38" s="76"/>
    </row>
    <row r="39" spans="1:21" s="2" customFormat="1">
      <c r="A39" s="139" t="str">
        <f>'31'!$B$2</f>
        <v>31/12/2025 00:15</v>
      </c>
      <c r="B39" s="83">
        <f>'31'!B108</f>
        <v>5.2268750000000006</v>
      </c>
      <c r="C39" s="83">
        <f>'31'!C108</f>
        <v>19.285208333333337</v>
      </c>
      <c r="D39" s="83">
        <f>'31'!D108</f>
        <v>14.267083333333325</v>
      </c>
      <c r="E39" s="83">
        <f>'31'!E108</f>
        <v>4.0771875000000017</v>
      </c>
      <c r="F39" s="83">
        <f>'31'!F108</f>
        <v>2.9313541666666647</v>
      </c>
      <c r="G39" s="83">
        <f>'31'!G108</f>
        <v>58.864895833333343</v>
      </c>
      <c r="H39" s="83">
        <f>'31'!H108</f>
        <v>32.996770833333358</v>
      </c>
      <c r="I39" s="83">
        <f>'31'!I108</f>
        <v>17.955937499999997</v>
      </c>
      <c r="J39" s="83">
        <f>'31'!J108</f>
        <v>0.22406249999999997</v>
      </c>
      <c r="K39" s="83">
        <f>'31'!K108</f>
        <v>200.99</v>
      </c>
      <c r="L39" s="83">
        <f>'31'!L108</f>
        <v>16.181562499999995</v>
      </c>
      <c r="M39" s="83">
        <f>'31'!M108</f>
        <v>63.26250000000001</v>
      </c>
      <c r="N39" s="83">
        <f>'31'!N108</f>
        <v>110.66875000000006</v>
      </c>
      <c r="O39" s="83">
        <f>'31'!O108</f>
        <v>0</v>
      </c>
      <c r="P39" s="83">
        <f>'31'!P108</f>
        <v>0.8359375</v>
      </c>
      <c r="Q39" s="83">
        <f>'31'!Q108</f>
        <v>9.320000000000018</v>
      </c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5.2268750000000006</v>
      </c>
      <c r="C41" s="141">
        <f t="shared" si="0"/>
        <v>15.217187500000003</v>
      </c>
      <c r="D41" s="141">
        <f t="shared" si="0"/>
        <v>14.267083333333325</v>
      </c>
      <c r="E41" s="141">
        <f t="shared" si="0"/>
        <v>3.0089583333333345</v>
      </c>
      <c r="F41" s="141">
        <f t="shared" si="0"/>
        <v>0.52895833333333342</v>
      </c>
      <c r="G41" s="141">
        <f t="shared" si="0"/>
        <v>32.477812500000006</v>
      </c>
      <c r="H41" s="141">
        <f t="shared" si="0"/>
        <v>15.436666666666694</v>
      </c>
      <c r="I41" s="141">
        <f t="shared" si="0"/>
        <v>10.236770833333333</v>
      </c>
      <c r="J41" s="141">
        <f t="shared" si="0"/>
        <v>0.18885416666666674</v>
      </c>
      <c r="K41" s="141">
        <f t="shared" si="0"/>
        <v>100.58302083333331</v>
      </c>
      <c r="L41" s="141">
        <f t="shared" si="0"/>
        <v>15.577187499999992</v>
      </c>
      <c r="M41" s="141">
        <f t="shared" si="0"/>
        <v>52.994374999999998</v>
      </c>
      <c r="N41" s="141">
        <f t="shared" si="0"/>
        <v>95.47083333333336</v>
      </c>
      <c r="O41" s="141">
        <f t="shared" si="0"/>
        <v>0</v>
      </c>
      <c r="P41" s="141">
        <f t="shared" si="0"/>
        <v>0.61333333333333317</v>
      </c>
      <c r="Q41" s="141">
        <f t="shared" si="0"/>
        <v>9.2229166666666842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19.586874999999999</v>
      </c>
      <c r="C42" s="141">
        <f t="shared" si="1"/>
        <v>22.594583333333347</v>
      </c>
      <c r="D42" s="141">
        <f t="shared" si="1"/>
        <v>26.860208333333336</v>
      </c>
      <c r="E42" s="141">
        <f t="shared" si="1"/>
        <v>19.200729166666658</v>
      </c>
      <c r="F42" s="141">
        <f t="shared" si="1"/>
        <v>6.1435416666666676</v>
      </c>
      <c r="G42" s="141">
        <f t="shared" si="1"/>
        <v>111.31385416666667</v>
      </c>
      <c r="H42" s="141">
        <f t="shared" si="1"/>
        <v>56.911249999999974</v>
      </c>
      <c r="I42" s="141">
        <f t="shared" si="1"/>
        <v>18.376562500000006</v>
      </c>
      <c r="J42" s="141">
        <f t="shared" si="1"/>
        <v>0.43156250000000007</v>
      </c>
      <c r="K42" s="141">
        <f t="shared" si="1"/>
        <v>200.99</v>
      </c>
      <c r="L42" s="141">
        <f t="shared" si="1"/>
        <v>24.416562500000001</v>
      </c>
      <c r="M42" s="141">
        <f t="shared" si="1"/>
        <v>69.531354166666688</v>
      </c>
      <c r="N42" s="141">
        <f t="shared" si="1"/>
        <v>136.17395833333336</v>
      </c>
      <c r="O42" s="141">
        <f t="shared" si="1"/>
        <v>0</v>
      </c>
      <c r="P42" s="141">
        <f t="shared" si="1"/>
        <v>1.0354166666666662</v>
      </c>
      <c r="Q42" s="141">
        <f t="shared" si="1"/>
        <v>9.5123958333333327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13.604512768817205</v>
      </c>
      <c r="C43" s="141">
        <f t="shared" si="2"/>
        <v>19.192956989247314</v>
      </c>
      <c r="D43" s="141">
        <f t="shared" si="2"/>
        <v>20.979637096774194</v>
      </c>
      <c r="E43" s="141">
        <f t="shared" si="2"/>
        <v>5.8036391129032259</v>
      </c>
      <c r="F43" s="141">
        <f t="shared" si="2"/>
        <v>1.9098756720430108</v>
      </c>
      <c r="G43" s="141">
        <f t="shared" si="2"/>
        <v>72.307278956287988</v>
      </c>
      <c r="H43" s="141">
        <f t="shared" si="2"/>
        <v>36.048992340783307</v>
      </c>
      <c r="I43" s="141">
        <f t="shared" si="2"/>
        <v>14.185658602150541</v>
      </c>
      <c r="J43" s="141">
        <f t="shared" si="2"/>
        <v>0.30710013440860212</v>
      </c>
      <c r="K43" s="141">
        <f t="shared" si="2"/>
        <v>141.82873991935486</v>
      </c>
      <c r="L43" s="141">
        <f t="shared" si="2"/>
        <v>20.148145161290326</v>
      </c>
      <c r="M43" s="141">
        <f t="shared" si="2"/>
        <v>61.320762768817211</v>
      </c>
      <c r="N43" s="141">
        <f t="shared" si="2"/>
        <v>111.58854166666666</v>
      </c>
      <c r="O43" s="141">
        <f t="shared" si="2"/>
        <v>0</v>
      </c>
      <c r="P43" s="141">
        <f t="shared" si="2"/>
        <v>0.82070228494623665</v>
      </c>
      <c r="Q43" s="141">
        <f t="shared" si="2"/>
        <v>9.3404838709677573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3.5343052789103258</v>
      </c>
      <c r="C44" s="141">
        <f t="shared" si="3"/>
        <v>1.527545615017367</v>
      </c>
      <c r="D44" s="141">
        <f t="shared" si="3"/>
        <v>3.1814314724252237</v>
      </c>
      <c r="E44" s="141">
        <f t="shared" si="3"/>
        <v>2.6148193694552013</v>
      </c>
      <c r="F44" s="141">
        <f t="shared" si="3"/>
        <v>1.2672991531904352</v>
      </c>
      <c r="G44" s="141">
        <f t="shared" si="3"/>
        <v>18.347319633983233</v>
      </c>
      <c r="H44" s="141">
        <f t="shared" si="3"/>
        <v>10.596947439700976</v>
      </c>
      <c r="I44" s="141">
        <f t="shared" si="3"/>
        <v>2.2018872871754187</v>
      </c>
      <c r="J44" s="141">
        <f t="shared" si="3"/>
        <v>6.5917091896049551E-2</v>
      </c>
      <c r="K44" s="141">
        <f t="shared" si="3"/>
        <v>24.582170302178366</v>
      </c>
      <c r="L44" s="141">
        <f t="shared" si="3"/>
        <v>2.6289104192319268</v>
      </c>
      <c r="M44" s="141">
        <f t="shared" si="3"/>
        <v>4.5072016484979009</v>
      </c>
      <c r="N44" s="141">
        <f t="shared" si="3"/>
        <v>11.557799219614838</v>
      </c>
      <c r="O44" s="141">
        <f t="shared" si="3"/>
        <v>0</v>
      </c>
      <c r="P44" s="141">
        <f t="shared" si="3"/>
        <v>0.12603472480809474</v>
      </c>
      <c r="Q44" s="141">
        <f t="shared" si="3"/>
        <v>5.3915460152455484E-2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31</v>
      </c>
      <c r="C45" s="132">
        <f t="shared" si="4"/>
        <v>31</v>
      </c>
      <c r="D45" s="132">
        <f t="shared" si="4"/>
        <v>31</v>
      </c>
      <c r="E45" s="132">
        <f t="shared" si="4"/>
        <v>31</v>
      </c>
      <c r="F45" s="132">
        <f t="shared" si="4"/>
        <v>31</v>
      </c>
      <c r="G45" s="132">
        <f t="shared" si="4"/>
        <v>31</v>
      </c>
      <c r="H45" s="132">
        <f t="shared" si="4"/>
        <v>31</v>
      </c>
      <c r="I45" s="132">
        <f t="shared" si="4"/>
        <v>31</v>
      </c>
      <c r="J45" s="132">
        <f t="shared" si="4"/>
        <v>31</v>
      </c>
      <c r="K45" s="132">
        <f t="shared" si="4"/>
        <v>31</v>
      </c>
      <c r="L45" s="132">
        <f t="shared" si="4"/>
        <v>31</v>
      </c>
      <c r="M45" s="132">
        <f t="shared" si="4"/>
        <v>31</v>
      </c>
      <c r="N45" s="132">
        <f t="shared" si="4"/>
        <v>31</v>
      </c>
      <c r="O45" s="132">
        <f t="shared" si="4"/>
        <v>31</v>
      </c>
      <c r="P45" s="132">
        <f t="shared" si="4"/>
        <v>31</v>
      </c>
      <c r="Q45" s="132">
        <f t="shared" si="4"/>
        <v>31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5">IF(C45&gt;=28,"&gt;90%",IF(C45&lt;=28,"&lt;90%"))</f>
        <v>&gt;90%</v>
      </c>
      <c r="D46" s="132" t="str">
        <f t="shared" si="5"/>
        <v>&gt;90%</v>
      </c>
      <c r="E46" s="132" t="str">
        <f t="shared" si="5"/>
        <v>&gt;90%</v>
      </c>
      <c r="F46" s="132" t="str">
        <f t="shared" si="5"/>
        <v>&gt;90%</v>
      </c>
      <c r="G46" s="132" t="str">
        <f t="shared" si="5"/>
        <v>&gt;90%</v>
      </c>
      <c r="H46" s="132" t="str">
        <f t="shared" si="5"/>
        <v>&gt;90%</v>
      </c>
      <c r="I46" s="132" t="str">
        <f t="shared" si="5"/>
        <v>&gt;90%</v>
      </c>
      <c r="J46" s="132" t="str">
        <f t="shared" si="5"/>
        <v>&gt;90%</v>
      </c>
      <c r="K46" s="132" t="str">
        <f t="shared" si="5"/>
        <v>&gt;90%</v>
      </c>
      <c r="L46" s="132" t="str">
        <f t="shared" si="5"/>
        <v>&gt;90%</v>
      </c>
      <c r="M46" s="132" t="str">
        <f t="shared" si="5"/>
        <v>&gt;90%</v>
      </c>
      <c r="N46" s="132" t="str">
        <f t="shared" si="5"/>
        <v>&gt;90%</v>
      </c>
      <c r="O46" s="132" t="str">
        <f t="shared" si="5"/>
        <v>&gt;90%</v>
      </c>
      <c r="P46" s="132" t="str">
        <f t="shared" si="5"/>
        <v>&gt;90%</v>
      </c>
      <c r="Q46" s="132" t="str">
        <f t="shared" si="5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6">IF(C45&gt;=28,"OK",IF(C45&lt;=28,"LESS"))</f>
        <v>OK</v>
      </c>
      <c r="D47" s="132" t="str">
        <f t="shared" si="6"/>
        <v>OK</v>
      </c>
      <c r="E47" s="132" t="str">
        <f t="shared" si="6"/>
        <v>OK</v>
      </c>
      <c r="F47" s="132" t="str">
        <f t="shared" si="6"/>
        <v>OK</v>
      </c>
      <c r="G47" s="132" t="str">
        <f t="shared" si="6"/>
        <v>OK</v>
      </c>
      <c r="H47" s="132" t="str">
        <f t="shared" si="6"/>
        <v>OK</v>
      </c>
      <c r="I47" s="132" t="str">
        <f t="shared" si="6"/>
        <v>OK</v>
      </c>
      <c r="J47" s="132" t="str">
        <f t="shared" si="6"/>
        <v>OK</v>
      </c>
      <c r="K47" s="132" t="str">
        <f t="shared" si="6"/>
        <v>OK</v>
      </c>
      <c r="L47" s="132" t="str">
        <f t="shared" si="6"/>
        <v>OK</v>
      </c>
      <c r="M47" s="132" t="str">
        <f t="shared" si="6"/>
        <v>OK</v>
      </c>
      <c r="N47" s="132" t="str">
        <f t="shared" si="6"/>
        <v>OK</v>
      </c>
      <c r="O47" s="132" t="str">
        <f t="shared" si="6"/>
        <v>OK</v>
      </c>
      <c r="P47" s="132" t="str">
        <f t="shared" si="6"/>
        <v>OK</v>
      </c>
      <c r="Q47" s="132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5" t="s">
        <v>56</v>
      </c>
      <c r="C50" s="165"/>
      <c r="D50" s="165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zoomScale="85" zoomScaleNormal="85" workbookViewId="0">
      <selection activeCell="I10" sqref="I10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72" t="s">
        <v>61</v>
      </c>
      <c r="E1" s="172"/>
      <c r="F1" s="172"/>
      <c r="G1" s="172"/>
      <c r="H1" s="172"/>
      <c r="I1" s="172"/>
      <c r="J1" s="173"/>
    </row>
    <row r="2" spans="2:24" ht="22.5" customHeight="1">
      <c r="B2" s="2"/>
      <c r="C2" s="79" t="s">
        <v>2</v>
      </c>
      <c r="D2" s="174" t="s">
        <v>62</v>
      </c>
      <c r="E2" s="175"/>
      <c r="F2" s="175"/>
      <c r="G2" s="175"/>
      <c r="H2" s="175"/>
      <c r="I2" s="175"/>
      <c r="J2" s="176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70" t="s">
        <v>63</v>
      </c>
      <c r="H5" s="170"/>
      <c r="I5" s="81"/>
      <c r="J5" s="81"/>
      <c r="K5" s="81"/>
      <c r="L5" s="81"/>
      <c r="M5" s="95"/>
      <c r="O5" s="96"/>
      <c r="P5" s="97"/>
      <c r="Q5" s="97"/>
      <c r="R5" s="97"/>
      <c r="S5" s="114" t="s">
        <v>64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65</v>
      </c>
      <c r="C7" s="85" t="s">
        <v>66</v>
      </c>
      <c r="D7" s="85" t="s">
        <v>67</v>
      </c>
      <c r="E7" s="85" t="s">
        <v>68</v>
      </c>
      <c r="F7" s="85" t="s">
        <v>69</v>
      </c>
      <c r="G7" s="85" t="s">
        <v>70</v>
      </c>
      <c r="H7" s="86" t="s">
        <v>71</v>
      </c>
      <c r="I7" s="85" t="s">
        <v>72</v>
      </c>
      <c r="J7" s="85" t="s">
        <v>73</v>
      </c>
      <c r="K7" s="85" t="s">
        <v>74</v>
      </c>
      <c r="L7" s="85" t="s">
        <v>54</v>
      </c>
      <c r="M7" s="33" t="s">
        <v>75</v>
      </c>
      <c r="O7" s="101" t="s">
        <v>65</v>
      </c>
      <c r="P7" s="102" t="s">
        <v>66</v>
      </c>
      <c r="Q7" s="102" t="s">
        <v>76</v>
      </c>
      <c r="R7" s="102" t="s">
        <v>11</v>
      </c>
      <c r="S7" s="102" t="s">
        <v>77</v>
      </c>
      <c r="T7" s="102" t="s">
        <v>78</v>
      </c>
      <c r="U7" s="119" t="s">
        <v>79</v>
      </c>
      <c r="V7" s="119" t="s">
        <v>80</v>
      </c>
      <c r="W7" s="102" t="s">
        <v>54</v>
      </c>
      <c r="X7" s="120" t="s">
        <v>75</v>
      </c>
    </row>
    <row r="8" spans="2:24" ht="15.75">
      <c r="B8" s="72" t="s">
        <v>242</v>
      </c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83">
        <v>175.2</v>
      </c>
      <c r="I8" s="6">
        <v>0</v>
      </c>
      <c r="J8" s="83">
        <f>F8/H8</f>
        <v>1.1415525114155252</v>
      </c>
      <c r="K8" s="83">
        <f>(H8-F8)*100/F8</f>
        <v>-12.400000000000004</v>
      </c>
      <c r="L8" s="6" t="s">
        <v>81</v>
      </c>
      <c r="M8" s="103" t="s">
        <v>56</v>
      </c>
      <c r="O8" s="72" t="s">
        <v>240</v>
      </c>
      <c r="P8" s="100" t="s">
        <v>64</v>
      </c>
      <c r="Q8" s="100">
        <v>4350.47</v>
      </c>
      <c r="R8" s="100">
        <v>3334.43</v>
      </c>
      <c r="S8" s="100" t="s">
        <v>82</v>
      </c>
      <c r="T8" s="100">
        <v>867.74</v>
      </c>
      <c r="U8" s="117">
        <v>0.95850000000000002</v>
      </c>
      <c r="V8" s="117">
        <v>0.95440000000000003</v>
      </c>
      <c r="W8" s="6" t="s">
        <v>81</v>
      </c>
      <c r="X8" s="103" t="s">
        <v>56</v>
      </c>
    </row>
    <row r="9" spans="2:24" ht="15.75">
      <c r="B9" s="72" t="s">
        <v>244</v>
      </c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83">
        <v>199.5</v>
      </c>
      <c r="I9" s="6">
        <v>0</v>
      </c>
      <c r="J9" s="83">
        <f t="shared" ref="J9:J14" si="0">F9/H9</f>
        <v>1.0025062656641603</v>
      </c>
      <c r="K9" s="83">
        <f t="shared" ref="K9:K14" si="1">(H9-F9)*100/F9</f>
        <v>-0.25</v>
      </c>
      <c r="L9" s="6" t="s">
        <v>81</v>
      </c>
      <c r="M9" s="103" t="s">
        <v>56</v>
      </c>
      <c r="O9" s="72" t="s">
        <v>243</v>
      </c>
      <c r="P9" s="100" t="s">
        <v>64</v>
      </c>
      <c r="Q9" s="100">
        <v>4579.46</v>
      </c>
      <c r="R9" s="100">
        <v>3510.82</v>
      </c>
      <c r="S9" s="100" t="s">
        <v>82</v>
      </c>
      <c r="T9" s="100">
        <v>870.66</v>
      </c>
      <c r="U9" s="117">
        <v>0.9667</v>
      </c>
      <c r="V9" s="117">
        <v>0.95930000000000004</v>
      </c>
      <c r="W9" s="6" t="s">
        <v>81</v>
      </c>
      <c r="X9" s="103" t="s">
        <v>56</v>
      </c>
    </row>
    <row r="10" spans="2:24" ht="15.75">
      <c r="B10" s="72" t="s">
        <v>246</v>
      </c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83">
        <v>200.3</v>
      </c>
      <c r="I10" s="6">
        <v>0</v>
      </c>
      <c r="J10" s="83">
        <f t="shared" si="0"/>
        <v>0.99850224663005482</v>
      </c>
      <c r="K10" s="83">
        <f t="shared" si="1"/>
        <v>0.15000000000000568</v>
      </c>
      <c r="L10" s="6" t="s">
        <v>81</v>
      </c>
      <c r="M10" s="103" t="s">
        <v>56</v>
      </c>
      <c r="O10" s="72" t="s">
        <v>245</v>
      </c>
      <c r="P10" s="100" t="s">
        <v>64</v>
      </c>
      <c r="Q10" s="100">
        <v>4454.5200000000004</v>
      </c>
      <c r="R10" s="100">
        <v>3413.96</v>
      </c>
      <c r="S10" s="100" t="s">
        <v>82</v>
      </c>
      <c r="T10" s="100">
        <v>868.28</v>
      </c>
      <c r="U10" s="117">
        <v>0.95930000000000004</v>
      </c>
      <c r="V10" s="117">
        <v>0.9546</v>
      </c>
      <c r="W10" s="6" t="s">
        <v>81</v>
      </c>
      <c r="X10" s="103" t="s">
        <v>56</v>
      </c>
    </row>
    <row r="11" spans="2:24" ht="15.75">
      <c r="B11" s="72"/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81</v>
      </c>
      <c r="M11" s="103" t="s">
        <v>56</v>
      </c>
      <c r="O11" s="72"/>
      <c r="P11" s="100" t="s">
        <v>64</v>
      </c>
      <c r="Q11" s="100"/>
      <c r="R11" s="100"/>
      <c r="S11" s="100" t="s">
        <v>82</v>
      </c>
      <c r="T11" s="100"/>
      <c r="U11" s="117"/>
      <c r="V11" s="117"/>
      <c r="W11" s="6" t="s">
        <v>81</v>
      </c>
      <c r="X11" s="103" t="s">
        <v>56</v>
      </c>
    </row>
    <row r="12" spans="2:24" ht="15.75">
      <c r="B12" s="7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81</v>
      </c>
      <c r="M12" s="103" t="s">
        <v>56</v>
      </c>
      <c r="O12" s="72"/>
      <c r="P12" s="100" t="s">
        <v>64</v>
      </c>
      <c r="Q12" s="100"/>
      <c r="R12" s="100"/>
      <c r="S12" s="100" t="s">
        <v>82</v>
      </c>
      <c r="T12" s="100"/>
      <c r="U12" s="117"/>
      <c r="V12" s="117"/>
      <c r="W12" s="6" t="s">
        <v>81</v>
      </c>
      <c r="X12" s="103" t="s">
        <v>56</v>
      </c>
    </row>
    <row r="13" spans="2:24" ht="15.75">
      <c r="B13" s="7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81</v>
      </c>
      <c r="M13" s="103" t="s">
        <v>56</v>
      </c>
      <c r="O13" s="72"/>
      <c r="P13" s="100" t="s">
        <v>64</v>
      </c>
      <c r="Q13" s="100"/>
      <c r="R13" s="100"/>
      <c r="S13" s="100" t="s">
        <v>82</v>
      </c>
      <c r="T13" s="100"/>
      <c r="U13" s="117"/>
      <c r="V13" s="117"/>
      <c r="W13" s="6" t="s">
        <v>81</v>
      </c>
      <c r="X13" s="103" t="s">
        <v>56</v>
      </c>
    </row>
    <row r="14" spans="2:24" ht="15.75">
      <c r="B14" s="7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81</v>
      </c>
      <c r="M14" s="103" t="s">
        <v>56</v>
      </c>
      <c r="O14" s="72"/>
      <c r="P14" s="100" t="s">
        <v>64</v>
      </c>
      <c r="Q14" s="100"/>
      <c r="R14" s="100"/>
      <c r="S14" s="100" t="s">
        <v>82</v>
      </c>
      <c r="T14" s="100"/>
      <c r="U14" s="117"/>
      <c r="V14" s="117"/>
      <c r="W14" s="6" t="s">
        <v>81</v>
      </c>
      <c r="X14" s="103" t="s">
        <v>56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64</v>
      </c>
      <c r="Q15" s="100"/>
      <c r="R15" s="100"/>
      <c r="S15" s="100" t="s">
        <v>82</v>
      </c>
      <c r="T15" s="100"/>
      <c r="U15" s="117"/>
      <c r="V15" s="117"/>
      <c r="W15" s="6" t="s">
        <v>81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64</v>
      </c>
      <c r="Q16" s="100"/>
      <c r="R16" s="100"/>
      <c r="S16" s="100" t="s">
        <v>82</v>
      </c>
      <c r="T16" s="100"/>
      <c r="U16" s="117"/>
      <c r="V16" s="117"/>
      <c r="W16" s="6" t="s">
        <v>81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64</v>
      </c>
      <c r="Q17" s="100"/>
      <c r="R17" s="100"/>
      <c r="S17" s="100" t="s">
        <v>82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68" t="s">
        <v>83</v>
      </c>
      <c r="D21" s="168"/>
      <c r="E21" s="168"/>
      <c r="F21" s="168"/>
      <c r="G21" s="168"/>
      <c r="H21" s="168"/>
      <c r="I21" s="106">
        <f>COUNT(B8:B20)</f>
        <v>0</v>
      </c>
      <c r="J21" s="107"/>
      <c r="K21" s="107"/>
      <c r="L21" s="94"/>
      <c r="M21" s="108"/>
      <c r="O21" s="109"/>
      <c r="P21" s="171" t="s">
        <v>84</v>
      </c>
      <c r="Q21" s="171"/>
      <c r="R21" s="171"/>
      <c r="S21" s="171"/>
      <c r="T21" s="121">
        <f>COUNT(O8:O20)</f>
        <v>0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69" t="s">
        <v>85</v>
      </c>
      <c r="H24" s="169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65</v>
      </c>
      <c r="C26" s="85" t="s">
        <v>66</v>
      </c>
      <c r="D26" s="85" t="s">
        <v>67</v>
      </c>
      <c r="E26" s="85" t="s">
        <v>68</v>
      </c>
      <c r="F26" s="85" t="s">
        <v>69</v>
      </c>
      <c r="G26" s="85" t="s">
        <v>70</v>
      </c>
      <c r="H26" s="86" t="s">
        <v>71</v>
      </c>
      <c r="I26" s="85" t="s">
        <v>72</v>
      </c>
      <c r="J26" s="85" t="s">
        <v>73</v>
      </c>
      <c r="K26" s="85" t="s">
        <v>74</v>
      </c>
      <c r="L26" s="85" t="s">
        <v>54</v>
      </c>
      <c r="M26" s="33" t="s">
        <v>75</v>
      </c>
      <c r="O26" s="101" t="s">
        <v>65</v>
      </c>
      <c r="P26" s="102" t="s">
        <v>66</v>
      </c>
      <c r="Q26" s="102" t="s">
        <v>76</v>
      </c>
      <c r="R26" s="102" t="s">
        <v>11</v>
      </c>
      <c r="S26" s="102" t="s">
        <v>77</v>
      </c>
      <c r="T26" s="102" t="s">
        <v>78</v>
      </c>
      <c r="U26" s="119" t="s">
        <v>79</v>
      </c>
      <c r="V26" s="119" t="s">
        <v>80</v>
      </c>
      <c r="W26" s="102" t="s">
        <v>54</v>
      </c>
      <c r="X26" s="120" t="s">
        <v>75</v>
      </c>
    </row>
    <row r="27" spans="2:24" ht="15.75">
      <c r="B27" s="72" t="s">
        <v>239</v>
      </c>
      <c r="C27" s="6" t="s">
        <v>86</v>
      </c>
      <c r="D27" s="6" t="s">
        <v>39</v>
      </c>
      <c r="E27" s="6">
        <v>0</v>
      </c>
      <c r="F27" s="6">
        <v>200</v>
      </c>
      <c r="G27" s="6"/>
      <c r="H27" s="83">
        <v>202.5</v>
      </c>
      <c r="I27" s="6">
        <v>0</v>
      </c>
      <c r="J27" s="83">
        <f>F27/H27</f>
        <v>0.98765432098765427</v>
      </c>
      <c r="K27" s="83">
        <f>(H27-F27)*100/F27</f>
        <v>1.25</v>
      </c>
      <c r="L27" s="6" t="s">
        <v>81</v>
      </c>
      <c r="M27" s="103" t="s">
        <v>56</v>
      </c>
      <c r="O27" s="72" t="s">
        <v>241</v>
      </c>
      <c r="P27" s="100" t="s">
        <v>29</v>
      </c>
      <c r="Q27" s="100">
        <v>6084.16</v>
      </c>
      <c r="R27" s="100">
        <v>4745.07</v>
      </c>
      <c r="S27" s="100" t="s">
        <v>87</v>
      </c>
      <c r="T27" s="100">
        <v>792.44</v>
      </c>
      <c r="U27" s="117">
        <v>0.93879999999999997</v>
      </c>
      <c r="V27" s="117">
        <v>0.93479999999999996</v>
      </c>
      <c r="W27" s="6" t="s">
        <v>81</v>
      </c>
      <c r="X27" s="103" t="s">
        <v>56</v>
      </c>
    </row>
    <row r="28" spans="2:24" ht="15.75">
      <c r="B28" s="72" t="s">
        <v>244</v>
      </c>
      <c r="C28" s="6" t="s">
        <v>86</v>
      </c>
      <c r="D28" s="6" t="s">
        <v>39</v>
      </c>
      <c r="E28" s="6">
        <v>0</v>
      </c>
      <c r="F28" s="6">
        <v>200</v>
      </c>
      <c r="G28" s="6"/>
      <c r="H28" s="83">
        <v>199.4</v>
      </c>
      <c r="I28" s="6">
        <v>0</v>
      </c>
      <c r="J28" s="83">
        <f t="shared" ref="J28:J33" si="2">F28/H28</f>
        <v>1.0030090270812437</v>
      </c>
      <c r="K28" s="83">
        <f t="shared" ref="K28:K33" si="3">(H28-F28)*100/F28</f>
        <v>-0.29999999999999716</v>
      </c>
      <c r="L28" s="6" t="s">
        <v>81</v>
      </c>
      <c r="M28" s="103" t="s">
        <v>56</v>
      </c>
      <c r="O28" s="72" t="s">
        <v>244</v>
      </c>
      <c r="P28" s="100" t="s">
        <v>29</v>
      </c>
      <c r="Q28" s="100">
        <v>5928.99</v>
      </c>
      <c r="R28" s="100">
        <v>4636.46</v>
      </c>
      <c r="S28" s="100" t="s">
        <v>87</v>
      </c>
      <c r="T28" s="100">
        <v>783</v>
      </c>
      <c r="U28" s="117">
        <v>0.93479999999999996</v>
      </c>
      <c r="V28" s="117">
        <v>0.94189999999999996</v>
      </c>
      <c r="W28" s="6" t="s">
        <v>81</v>
      </c>
      <c r="X28" s="103" t="s">
        <v>56</v>
      </c>
    </row>
    <row r="29" spans="2:24" ht="15.75">
      <c r="B29" s="72" t="s">
        <v>246</v>
      </c>
      <c r="C29" s="6" t="s">
        <v>86</v>
      </c>
      <c r="D29" s="6" t="s">
        <v>39</v>
      </c>
      <c r="E29" s="6">
        <v>0</v>
      </c>
      <c r="F29" s="6">
        <v>200</v>
      </c>
      <c r="G29" s="6"/>
      <c r="H29" s="83">
        <v>198.3</v>
      </c>
      <c r="I29" s="6">
        <v>0</v>
      </c>
      <c r="J29" s="83">
        <f t="shared" si="2"/>
        <v>1.0085728693898133</v>
      </c>
      <c r="K29" s="83">
        <f t="shared" si="3"/>
        <v>-0.84999999999999432</v>
      </c>
      <c r="L29" s="6" t="s">
        <v>81</v>
      </c>
      <c r="M29" s="103" t="s">
        <v>56</v>
      </c>
      <c r="O29" s="72" t="s">
        <v>246</v>
      </c>
      <c r="P29" s="100" t="s">
        <v>29</v>
      </c>
      <c r="Q29" s="100">
        <v>5410.91</v>
      </c>
      <c r="R29" s="100">
        <v>4228</v>
      </c>
      <c r="S29" s="100" t="s">
        <v>87</v>
      </c>
      <c r="T29" s="100">
        <v>789.17</v>
      </c>
      <c r="U29" s="117">
        <v>0.94010000000000005</v>
      </c>
      <c r="V29" s="117">
        <v>0.93989999999999996</v>
      </c>
      <c r="W29" s="6" t="s">
        <v>81</v>
      </c>
      <c r="X29" s="103" t="s">
        <v>56</v>
      </c>
    </row>
    <row r="30" spans="2:24" ht="15.75">
      <c r="B30" s="72"/>
      <c r="C30" s="6" t="s">
        <v>86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81</v>
      </c>
      <c r="M30" s="103" t="s">
        <v>56</v>
      </c>
      <c r="O30" s="72"/>
      <c r="P30" s="100" t="s">
        <v>29</v>
      </c>
      <c r="Q30" s="100"/>
      <c r="R30" s="100"/>
      <c r="S30" s="100" t="s">
        <v>87</v>
      </c>
      <c r="T30" s="100"/>
      <c r="U30" s="117"/>
      <c r="V30" s="117"/>
      <c r="W30" s="6" t="s">
        <v>81</v>
      </c>
      <c r="X30" s="103" t="s">
        <v>56</v>
      </c>
    </row>
    <row r="31" spans="2:24" ht="15.75">
      <c r="B31" s="72"/>
      <c r="C31" s="6" t="s">
        <v>86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81</v>
      </c>
      <c r="M31" s="103" t="s">
        <v>56</v>
      </c>
      <c r="O31" s="72"/>
      <c r="P31" s="100" t="s">
        <v>29</v>
      </c>
      <c r="Q31" s="100"/>
      <c r="R31" s="100"/>
      <c r="S31" s="100" t="s">
        <v>87</v>
      </c>
      <c r="T31" s="100"/>
      <c r="U31" s="117"/>
      <c r="V31" s="117"/>
      <c r="W31" s="6" t="s">
        <v>81</v>
      </c>
      <c r="X31" s="103" t="s">
        <v>56</v>
      </c>
    </row>
    <row r="32" spans="2:24" ht="15.75">
      <c r="B32" s="72"/>
      <c r="C32" s="6" t="s">
        <v>86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81</v>
      </c>
      <c r="M32" s="103" t="s">
        <v>56</v>
      </c>
      <c r="O32" s="72"/>
      <c r="P32" s="100" t="s">
        <v>29</v>
      </c>
      <c r="Q32" s="100"/>
      <c r="R32" s="100"/>
      <c r="S32" s="100" t="s">
        <v>87</v>
      </c>
      <c r="T32" s="100"/>
      <c r="U32" s="117"/>
      <c r="V32" s="117"/>
      <c r="W32" s="6" t="s">
        <v>81</v>
      </c>
      <c r="X32" s="103" t="s">
        <v>56</v>
      </c>
    </row>
    <row r="33" spans="2:24" ht="15.75">
      <c r="B33" s="72"/>
      <c r="C33" s="6" t="s">
        <v>86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81</v>
      </c>
      <c r="M33" s="103" t="s">
        <v>56</v>
      </c>
      <c r="O33" s="72"/>
      <c r="P33" s="100" t="s">
        <v>29</v>
      </c>
      <c r="Q33" s="100"/>
      <c r="R33" s="100"/>
      <c r="S33" s="100" t="s">
        <v>87</v>
      </c>
      <c r="T33" s="100"/>
      <c r="U33" s="117"/>
      <c r="V33" s="117"/>
      <c r="W33" s="6" t="s">
        <v>81</v>
      </c>
      <c r="X33" s="103" t="s">
        <v>56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87</v>
      </c>
      <c r="T34" s="100"/>
      <c r="U34" s="117"/>
      <c r="V34" s="117"/>
      <c r="W34" s="6" t="s">
        <v>81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87</v>
      </c>
      <c r="T35" s="100"/>
      <c r="U35" s="117"/>
      <c r="V35" s="117"/>
      <c r="W35" s="6" t="s">
        <v>81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87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87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1" t="s">
        <v>88</v>
      </c>
      <c r="Q40" s="171"/>
      <c r="R40" s="171"/>
      <c r="S40" s="171"/>
      <c r="T40" s="121">
        <f>COUNT(O27:O39)</f>
        <v>0</v>
      </c>
      <c r="U40" s="122"/>
      <c r="V40" s="122"/>
      <c r="W40" s="123"/>
      <c r="X40" s="124"/>
    </row>
    <row r="41" spans="2:24">
      <c r="B41" s="87"/>
      <c r="C41" s="94"/>
      <c r="D41" s="168" t="s">
        <v>89</v>
      </c>
      <c r="E41" s="168"/>
      <c r="F41" s="168"/>
      <c r="G41" s="168"/>
      <c r="H41" s="168"/>
      <c r="I41" s="168"/>
      <c r="J41" s="113">
        <f>COUNT(B27:B39)</f>
        <v>0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69" t="s">
        <v>38</v>
      </c>
      <c r="H44" s="169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65</v>
      </c>
      <c r="C46" s="85" t="s">
        <v>66</v>
      </c>
      <c r="D46" s="85" t="s">
        <v>67</v>
      </c>
      <c r="E46" s="85" t="s">
        <v>68</v>
      </c>
      <c r="F46" s="85" t="s">
        <v>69</v>
      </c>
      <c r="G46" s="85" t="s">
        <v>70</v>
      </c>
      <c r="H46" s="86" t="s">
        <v>71</v>
      </c>
      <c r="I46" s="85" t="s">
        <v>72</v>
      </c>
      <c r="J46" s="85" t="s">
        <v>73</v>
      </c>
      <c r="K46" s="85" t="s">
        <v>74</v>
      </c>
      <c r="L46" s="85" t="s">
        <v>54</v>
      </c>
      <c r="M46" s="33" t="s">
        <v>75</v>
      </c>
    </row>
    <row r="47" spans="2:24" ht="15.75">
      <c r="B47" s="7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81</v>
      </c>
      <c r="M47" s="103" t="s">
        <v>56</v>
      </c>
    </row>
    <row r="48" spans="2:24" ht="15.75">
      <c r="B48" s="7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81</v>
      </c>
      <c r="M48" s="103" t="s">
        <v>56</v>
      </c>
    </row>
    <row r="49" spans="2:13" ht="15.75">
      <c r="B49" s="7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81</v>
      </c>
      <c r="M49" s="103" t="s">
        <v>56</v>
      </c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81</v>
      </c>
      <c r="M50" s="103" t="s">
        <v>56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81</v>
      </c>
      <c r="M51" s="103" t="s">
        <v>56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56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56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68" t="s">
        <v>90</v>
      </c>
      <c r="E61" s="168"/>
      <c r="F61" s="168"/>
      <c r="G61" s="168"/>
      <c r="H61" s="168"/>
      <c r="I61" s="168"/>
      <c r="J61" s="113">
        <f>COUNT(B47:B59)</f>
        <v>0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69" t="s">
        <v>37</v>
      </c>
      <c r="H64" s="169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65</v>
      </c>
      <c r="C66" s="85" t="s">
        <v>66</v>
      </c>
      <c r="D66" s="85" t="s">
        <v>67</v>
      </c>
      <c r="E66" s="85" t="s">
        <v>68</v>
      </c>
      <c r="F66" s="85" t="s">
        <v>69</v>
      </c>
      <c r="G66" s="85" t="s">
        <v>70</v>
      </c>
      <c r="H66" s="86" t="s">
        <v>71</v>
      </c>
      <c r="I66" s="85" t="s">
        <v>72</v>
      </c>
      <c r="J66" s="85" t="s">
        <v>73</v>
      </c>
      <c r="K66" s="85" t="s">
        <v>74</v>
      </c>
      <c r="L66" s="85" t="s">
        <v>54</v>
      </c>
      <c r="M66" s="33" t="s">
        <v>75</v>
      </c>
    </row>
    <row r="67" spans="2:13" ht="15.75">
      <c r="B67" s="72" t="s">
        <v>239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>
        <v>4.8</v>
      </c>
      <c r="I67" s="6">
        <v>0</v>
      </c>
      <c r="J67" s="83">
        <f>F67/H67</f>
        <v>1.0416666666666667</v>
      </c>
      <c r="K67" s="83">
        <f>(H67-F67)*100/F67</f>
        <v>-4.0000000000000036</v>
      </c>
      <c r="L67" s="6" t="s">
        <v>81</v>
      </c>
      <c r="M67" s="103" t="s">
        <v>56</v>
      </c>
    </row>
    <row r="68" spans="2:13" ht="15.75">
      <c r="B68" s="72" t="s">
        <v>244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>
        <v>4.99</v>
      </c>
      <c r="I68" s="6">
        <v>0</v>
      </c>
      <c r="J68" s="83">
        <f t="shared" ref="J68:J73" si="4">F68/H68</f>
        <v>1.002004008016032</v>
      </c>
      <c r="K68" s="83">
        <f t="shared" ref="K68:K73" si="5">(H68-F68)*100/F68</f>
        <v>-0.19999999999999574</v>
      </c>
      <c r="L68" s="6" t="s">
        <v>81</v>
      </c>
      <c r="M68" s="103" t="s">
        <v>56</v>
      </c>
    </row>
    <row r="69" spans="2:13" ht="15.75">
      <c r="B69" s="72" t="s">
        <v>246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>
        <v>5.0999999999999996</v>
      </c>
      <c r="I69" s="6">
        <v>0</v>
      </c>
      <c r="J69" s="83">
        <f t="shared" si="4"/>
        <v>0.98039215686274517</v>
      </c>
      <c r="K69" s="83">
        <f t="shared" si="5"/>
        <v>1.9999999999999929</v>
      </c>
      <c r="L69" s="6" t="s">
        <v>81</v>
      </c>
      <c r="M69" s="103" t="s">
        <v>56</v>
      </c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81</v>
      </c>
      <c r="M70" s="103" t="s">
        <v>56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81</v>
      </c>
      <c r="M71" s="103" t="s">
        <v>56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81</v>
      </c>
      <c r="M72" s="103" t="s">
        <v>56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81</v>
      </c>
      <c r="M73" s="103" t="s">
        <v>56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68" t="s">
        <v>91</v>
      </c>
      <c r="E81" s="168"/>
      <c r="F81" s="168"/>
      <c r="G81" s="168"/>
      <c r="H81" s="168"/>
      <c r="I81" s="168"/>
      <c r="J81" s="113">
        <f>COUNT(B67:B79)</f>
        <v>0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69" t="s">
        <v>92</v>
      </c>
      <c r="H84" s="169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65</v>
      </c>
      <c r="C86" s="85" t="s">
        <v>66</v>
      </c>
      <c r="D86" s="85" t="s">
        <v>67</v>
      </c>
      <c r="E86" s="85" t="s">
        <v>68</v>
      </c>
      <c r="F86" s="85" t="s">
        <v>69</v>
      </c>
      <c r="G86" s="85" t="s">
        <v>70</v>
      </c>
      <c r="H86" s="86" t="s">
        <v>71</v>
      </c>
      <c r="I86" s="85" t="s">
        <v>72</v>
      </c>
      <c r="J86" s="85" t="s">
        <v>73</v>
      </c>
      <c r="K86" s="85" t="s">
        <v>74</v>
      </c>
      <c r="L86" s="85" t="s">
        <v>54</v>
      </c>
      <c r="M86" s="33" t="s">
        <v>75</v>
      </c>
    </row>
    <row r="87" spans="2:13" ht="15.75">
      <c r="B87" s="72"/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81</v>
      </c>
      <c r="M87" s="103" t="s">
        <v>56</v>
      </c>
    </row>
    <row r="88" spans="2:13" ht="15.75">
      <c r="B88" s="72"/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81</v>
      </c>
      <c r="M88" s="103" t="s">
        <v>56</v>
      </c>
    </row>
    <row r="89" spans="2:13" ht="15.75">
      <c r="B89" s="72"/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81</v>
      </c>
      <c r="M89" s="103" t="s">
        <v>56</v>
      </c>
    </row>
    <row r="90" spans="2:13" ht="15.75">
      <c r="B90" s="7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81</v>
      </c>
      <c r="M90" s="103" t="s">
        <v>56</v>
      </c>
    </row>
    <row r="91" spans="2:13" ht="15.75">
      <c r="B91" s="7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81</v>
      </c>
      <c r="M91" s="103" t="s">
        <v>56</v>
      </c>
    </row>
    <row r="92" spans="2:13" ht="15.75">
      <c r="B92" s="7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81</v>
      </c>
      <c r="M92" s="103" t="s">
        <v>56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56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68" t="s">
        <v>93</v>
      </c>
      <c r="E101" s="168"/>
      <c r="F101" s="168"/>
      <c r="G101" s="168"/>
      <c r="H101" s="168"/>
      <c r="I101" s="168"/>
      <c r="J101" s="113">
        <f>COUNT(B87:B99)</f>
        <v>0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70" t="s">
        <v>94</v>
      </c>
      <c r="H104" s="170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65</v>
      </c>
      <c r="C106" s="85" t="s">
        <v>66</v>
      </c>
      <c r="D106" s="85" t="s">
        <v>67</v>
      </c>
      <c r="E106" s="85" t="s">
        <v>68</v>
      </c>
      <c r="F106" s="85" t="s">
        <v>69</v>
      </c>
      <c r="G106" s="85" t="s">
        <v>70</v>
      </c>
      <c r="H106" s="86" t="s">
        <v>71</v>
      </c>
      <c r="I106" s="85" t="s">
        <v>72</v>
      </c>
      <c r="J106" s="85" t="s">
        <v>73</v>
      </c>
      <c r="K106" s="85" t="s">
        <v>74</v>
      </c>
      <c r="L106" s="85" t="s">
        <v>54</v>
      </c>
      <c r="M106" s="127" t="s">
        <v>75</v>
      </c>
    </row>
    <row r="107" spans="2:13" ht="15.75">
      <c r="B107" s="72" t="s">
        <v>239</v>
      </c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83">
        <v>328.4</v>
      </c>
      <c r="I107" s="6">
        <f>G107-E107</f>
        <v>0</v>
      </c>
      <c r="J107" s="83">
        <f>F107/H107</f>
        <v>0.97442143727162001</v>
      </c>
      <c r="K107" s="83">
        <f>(H107-F107)*100/F107</f>
        <v>2.6249999999999929</v>
      </c>
      <c r="L107" s="6" t="s">
        <v>81</v>
      </c>
      <c r="M107" s="103" t="s">
        <v>56</v>
      </c>
    </row>
    <row r="108" spans="2:13" ht="15.75">
      <c r="B108" s="72" t="s">
        <v>244</v>
      </c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83">
        <v>325.60000000000002</v>
      </c>
      <c r="I108" s="6">
        <f>G108-E108</f>
        <v>0</v>
      </c>
      <c r="J108" s="83">
        <f>F108/H108</f>
        <v>0.98280098280098271</v>
      </c>
      <c r="K108" s="83">
        <f>(H108-F108)*100/F108</f>
        <v>1.7500000000000071</v>
      </c>
      <c r="L108" s="6" t="s">
        <v>81</v>
      </c>
      <c r="M108" s="103" t="s">
        <v>56</v>
      </c>
    </row>
    <row r="109" spans="2:13" ht="15.75">
      <c r="B109" s="72" t="s">
        <v>246</v>
      </c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83">
        <v>330.1</v>
      </c>
      <c r="I109" s="6">
        <f t="shared" ref="I109:I115" si="8">G109-E109</f>
        <v>0</v>
      </c>
      <c r="J109" s="83">
        <f t="shared" ref="J109:J115" si="9">F109/H109</f>
        <v>0.96940321114813688</v>
      </c>
      <c r="K109" s="83">
        <f t="shared" ref="K109:K115" si="10">(H109-F109)*100/F109</f>
        <v>3.1562500000000071</v>
      </c>
      <c r="L109" s="6" t="s">
        <v>81</v>
      </c>
      <c r="M109" s="103" t="s">
        <v>56</v>
      </c>
    </row>
    <row r="110" spans="2:13" ht="15.75">
      <c r="B110" s="7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81</v>
      </c>
      <c r="M110" s="103" t="s">
        <v>56</v>
      </c>
    </row>
    <row r="111" spans="2:13" ht="15.75">
      <c r="B111" s="7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81</v>
      </c>
      <c r="M111" s="103" t="s">
        <v>56</v>
      </c>
    </row>
    <row r="112" spans="2:13" ht="15.75">
      <c r="B112" s="7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81</v>
      </c>
      <c r="M112" s="103" t="s">
        <v>56</v>
      </c>
    </row>
    <row r="113" spans="2:13" ht="15.75">
      <c r="B113" s="7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81</v>
      </c>
      <c r="M113" s="103" t="s">
        <v>56</v>
      </c>
    </row>
    <row r="114" spans="2:13" ht="15.75">
      <c r="B114" s="7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81</v>
      </c>
      <c r="M114" s="104"/>
    </row>
    <row r="115" spans="2:13" ht="15.75">
      <c r="B115" s="7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81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68" t="s">
        <v>95</v>
      </c>
      <c r="D119" s="168"/>
      <c r="E119" s="168"/>
      <c r="F119" s="168"/>
      <c r="G119" s="168"/>
      <c r="H119" s="168"/>
      <c r="I119" s="113">
        <f>COUNT(B107:B118)</f>
        <v>0</v>
      </c>
      <c r="J119" s="107"/>
      <c r="K119" s="107"/>
      <c r="L119" s="94"/>
      <c r="M119" s="108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honeticPr fontId="43" type="noConversion"/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7" t="s">
        <v>96</v>
      </c>
      <c r="C2" s="177"/>
      <c r="D2" s="179" t="str">
        <f>'MONTHLY 31'!$B$2</f>
        <v>01/12/2025 00:15</v>
      </c>
      <c r="E2" s="179"/>
    </row>
    <row r="3" spans="2:5">
      <c r="B3" s="177" t="s">
        <v>97</v>
      </c>
      <c r="C3" s="177"/>
      <c r="D3" s="179"/>
      <c r="E3" s="179"/>
    </row>
    <row r="7" spans="2:5" s="2" customFormat="1">
      <c r="B7" s="68" t="s">
        <v>98</v>
      </c>
      <c r="C7" s="68" t="s">
        <v>99</v>
      </c>
      <c r="D7" s="69" t="s">
        <v>100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101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78" t="s">
        <v>101</v>
      </c>
      <c r="C44" s="178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80" t="s">
        <v>102</v>
      </c>
      <c r="C2" s="180"/>
      <c r="D2" s="180"/>
      <c r="E2" s="180"/>
      <c r="F2" s="181">
        <v>1</v>
      </c>
      <c r="G2" s="182"/>
      <c r="H2" s="182"/>
    </row>
    <row r="3" spans="2:24" customFormat="1" ht="15" customHeight="1">
      <c r="B3" s="180"/>
      <c r="C3" s="180"/>
      <c r="D3" s="180"/>
      <c r="E3" s="180"/>
      <c r="F3" s="182"/>
      <c r="G3" s="182"/>
      <c r="H3" s="182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5" t="s">
        <v>94</v>
      </c>
      <c r="C12" s="196" t="s">
        <v>103</v>
      </c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40"/>
      <c r="U12" s="39"/>
    </row>
    <row r="13" spans="2:24" ht="15" customHeight="1">
      <c r="B13" s="186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0" t="s">
        <v>117</v>
      </c>
      <c r="Q13" s="4" t="s">
        <v>118</v>
      </c>
      <c r="R13" s="41"/>
      <c r="U13" s="39"/>
    </row>
    <row r="14" spans="2:24" ht="15" customHeight="1">
      <c r="B14" s="186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6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1" t="s">
        <v>132</v>
      </c>
      <c r="Q15" s="8" t="s">
        <v>133</v>
      </c>
      <c r="R15" s="43" t="s">
        <v>75</v>
      </c>
      <c r="X15" s="42"/>
    </row>
    <row r="16" spans="2:24" ht="15.75" customHeight="1">
      <c r="B16" s="186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6"/>
      <c r="C17" s="10"/>
      <c r="P17" s="1"/>
      <c r="Q17" s="1"/>
      <c r="R17" s="45"/>
      <c r="X17" s="42"/>
    </row>
    <row r="18" spans="2:28" ht="15.75" customHeight="1">
      <c r="B18" s="186"/>
      <c r="C18" s="8" t="s">
        <v>104</v>
      </c>
      <c r="D18" s="8" t="s">
        <v>105</v>
      </c>
      <c r="E18" s="8" t="s">
        <v>106</v>
      </c>
      <c r="F18" s="8" t="s">
        <v>134</v>
      </c>
      <c r="G18" s="8" t="s">
        <v>108</v>
      </c>
      <c r="H18" s="8" t="s">
        <v>109</v>
      </c>
      <c r="I18" s="8" t="s">
        <v>110</v>
      </c>
      <c r="J18" s="8" t="s">
        <v>111</v>
      </c>
      <c r="K18" s="8" t="s">
        <v>112</v>
      </c>
      <c r="L18" s="8" t="s">
        <v>113</v>
      </c>
      <c r="M18" s="8" t="s">
        <v>114</v>
      </c>
      <c r="N18" s="8" t="s">
        <v>115</v>
      </c>
      <c r="O18" s="8" t="s">
        <v>116</v>
      </c>
      <c r="P18" s="31" t="s">
        <v>117</v>
      </c>
      <c r="Q18" s="8" t="s">
        <v>118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1" t="s">
        <v>132</v>
      </c>
      <c r="Q20" s="8" t="s">
        <v>133</v>
      </c>
      <c r="R20" s="46" t="s">
        <v>75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7" t="s">
        <v>85</v>
      </c>
      <c r="C25" s="198" t="s">
        <v>103</v>
      </c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83"/>
      <c r="S25" s="49"/>
      <c r="T25" s="50"/>
    </row>
    <row r="26" spans="2:28" ht="15" customHeight="1">
      <c r="B26" s="187"/>
      <c r="C26" s="14" t="s">
        <v>104</v>
      </c>
      <c r="D26" s="15" t="s">
        <v>135</v>
      </c>
      <c r="E26" s="15" t="s">
        <v>136</v>
      </c>
      <c r="F26" s="15" t="s">
        <v>137</v>
      </c>
      <c r="G26" s="15" t="s">
        <v>138</v>
      </c>
      <c r="H26" s="15" t="s">
        <v>139</v>
      </c>
      <c r="I26" s="15" t="s">
        <v>140</v>
      </c>
      <c r="J26" s="15" t="s">
        <v>141</v>
      </c>
      <c r="K26" s="15" t="s">
        <v>142</v>
      </c>
      <c r="L26" s="15" t="s">
        <v>143</v>
      </c>
      <c r="M26" s="15" t="s">
        <v>144</v>
      </c>
      <c r="N26" s="15" t="s">
        <v>145</v>
      </c>
      <c r="O26" s="15" t="s">
        <v>146</v>
      </c>
      <c r="P26" s="15" t="s">
        <v>147</v>
      </c>
      <c r="Q26" s="15" t="s">
        <v>148</v>
      </c>
      <c r="R26" s="15" t="s">
        <v>149</v>
      </c>
      <c r="S26" s="15" t="s">
        <v>150</v>
      </c>
      <c r="T26" s="51" t="s">
        <v>75</v>
      </c>
      <c r="Z26" s="1"/>
      <c r="AA26" s="1"/>
      <c r="AB26" s="1"/>
    </row>
    <row r="27" spans="2:28" ht="15.75" customHeight="1">
      <c r="B27" s="187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7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88"/>
      <c r="C29" s="18" t="s">
        <v>104</v>
      </c>
      <c r="D29" s="19" t="s">
        <v>135</v>
      </c>
      <c r="E29" s="19" t="s">
        <v>136</v>
      </c>
      <c r="F29" s="19" t="s">
        <v>137</v>
      </c>
      <c r="G29" s="19" t="s">
        <v>138</v>
      </c>
      <c r="H29" s="19" t="s">
        <v>139</v>
      </c>
      <c r="I29" s="19" t="s">
        <v>140</v>
      </c>
      <c r="J29" s="19" t="s">
        <v>141</v>
      </c>
      <c r="K29" s="19" t="s">
        <v>142</v>
      </c>
      <c r="L29" s="19" t="s">
        <v>143</v>
      </c>
      <c r="M29" s="19" t="s">
        <v>144</v>
      </c>
      <c r="N29" s="19" t="s">
        <v>145</v>
      </c>
      <c r="O29" s="19" t="s">
        <v>146</v>
      </c>
      <c r="P29" s="19" t="s">
        <v>147</v>
      </c>
      <c r="Q29" s="19" t="s">
        <v>148</v>
      </c>
      <c r="R29" s="19" t="s">
        <v>149</v>
      </c>
      <c r="S29" s="19" t="s">
        <v>150</v>
      </c>
      <c r="T29" s="53" t="s">
        <v>75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89" t="s">
        <v>37</v>
      </c>
      <c r="C36" s="200" t="s">
        <v>103</v>
      </c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1"/>
    </row>
    <row r="37" spans="2:25" ht="15.75" customHeight="1">
      <c r="B37" s="190"/>
      <c r="C37" s="22" t="s">
        <v>104</v>
      </c>
      <c r="D37" s="8" t="s">
        <v>135</v>
      </c>
      <c r="E37" s="8" t="s">
        <v>136</v>
      </c>
      <c r="F37" s="8" t="s">
        <v>151</v>
      </c>
      <c r="G37" s="8" t="s">
        <v>152</v>
      </c>
      <c r="H37" s="8" t="s">
        <v>153</v>
      </c>
      <c r="I37" s="8" t="s">
        <v>154</v>
      </c>
      <c r="J37" s="8" t="s">
        <v>155</v>
      </c>
      <c r="K37" s="8" t="s">
        <v>156</v>
      </c>
      <c r="L37" s="8" t="s">
        <v>157</v>
      </c>
      <c r="M37" s="8" t="s">
        <v>158</v>
      </c>
      <c r="N37" s="8" t="s">
        <v>159</v>
      </c>
      <c r="O37" s="32" t="s">
        <v>160</v>
      </c>
    </row>
    <row r="38" spans="2:25">
      <c r="B38" s="190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90"/>
      <c r="C39" s="22" t="s">
        <v>161</v>
      </c>
      <c r="D39" s="8" t="s">
        <v>162</v>
      </c>
      <c r="E39" s="8" t="s">
        <v>163</v>
      </c>
      <c r="F39" s="8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3" t="s">
        <v>75</v>
      </c>
      <c r="W39" s="1"/>
      <c r="X39" s="1"/>
      <c r="Y39" s="1"/>
    </row>
    <row r="40" spans="2:25">
      <c r="B40" s="19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104</v>
      </c>
      <c r="D42" s="8" t="s">
        <v>135</v>
      </c>
      <c r="E42" s="8" t="s">
        <v>136</v>
      </c>
      <c r="F42" s="8" t="s">
        <v>151</v>
      </c>
      <c r="G42" s="8" t="s">
        <v>152</v>
      </c>
      <c r="H42" s="8" t="s">
        <v>153</v>
      </c>
      <c r="I42" s="8" t="s">
        <v>154</v>
      </c>
      <c r="J42" s="8" t="s">
        <v>155</v>
      </c>
      <c r="K42" s="8" t="s">
        <v>156</v>
      </c>
      <c r="L42" s="8" t="s">
        <v>157</v>
      </c>
      <c r="M42" s="8" t="s">
        <v>158</v>
      </c>
      <c r="N42" s="8" t="s">
        <v>159</v>
      </c>
      <c r="O42" s="32" t="s">
        <v>160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161</v>
      </c>
      <c r="D44" s="8" t="s">
        <v>162</v>
      </c>
      <c r="E44" s="8" t="s">
        <v>163</v>
      </c>
      <c r="F44" s="8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3" t="s">
        <v>75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91" t="s">
        <v>63</v>
      </c>
      <c r="C48" s="25" t="s">
        <v>103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2"/>
      <c r="C49" s="22" t="s">
        <v>104</v>
      </c>
      <c r="D49" s="8" t="s">
        <v>126</v>
      </c>
      <c r="E49" s="8" t="s">
        <v>173</v>
      </c>
      <c r="F49" s="8" t="s">
        <v>174</v>
      </c>
      <c r="G49" s="8" t="s">
        <v>175</v>
      </c>
      <c r="H49" s="8" t="s">
        <v>176</v>
      </c>
      <c r="I49" s="8" t="s">
        <v>177</v>
      </c>
      <c r="J49" s="8" t="s">
        <v>111</v>
      </c>
      <c r="K49" s="8" t="s">
        <v>178</v>
      </c>
      <c r="L49" s="8" t="s">
        <v>179</v>
      </c>
      <c r="M49" s="8" t="s">
        <v>180</v>
      </c>
      <c r="N49" s="8" t="s">
        <v>181</v>
      </c>
      <c r="O49" s="8" t="s">
        <v>182</v>
      </c>
      <c r="P49" s="8" t="s">
        <v>183</v>
      </c>
      <c r="Q49" s="32" t="s">
        <v>184</v>
      </c>
    </row>
    <row r="50" spans="2:20">
      <c r="B50" s="192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2"/>
      <c r="C51" s="22" t="s">
        <v>185</v>
      </c>
      <c r="D51" s="8" t="s">
        <v>186</v>
      </c>
      <c r="E51" s="8" t="s">
        <v>187</v>
      </c>
      <c r="F51" s="8" t="s">
        <v>188</v>
      </c>
      <c r="G51" s="8" t="s">
        <v>189</v>
      </c>
      <c r="H51" s="8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3" t="s">
        <v>75</v>
      </c>
    </row>
    <row r="52" spans="2:20" ht="15.75">
      <c r="B52" s="192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104</v>
      </c>
      <c r="D54" s="8" t="s">
        <v>126</v>
      </c>
      <c r="E54" s="8" t="s">
        <v>173</v>
      </c>
      <c r="F54" s="8" t="s">
        <v>174</v>
      </c>
      <c r="G54" s="8" t="s">
        <v>175</v>
      </c>
      <c r="H54" s="8" t="s">
        <v>176</v>
      </c>
      <c r="I54" s="8" t="s">
        <v>177</v>
      </c>
      <c r="J54" s="8" t="s">
        <v>111</v>
      </c>
      <c r="K54" s="8" t="s">
        <v>178</v>
      </c>
      <c r="L54" s="8" t="s">
        <v>179</v>
      </c>
      <c r="M54" s="8" t="s">
        <v>180</v>
      </c>
      <c r="N54" s="8" t="s">
        <v>181</v>
      </c>
      <c r="O54" s="8" t="s">
        <v>182</v>
      </c>
      <c r="P54" s="8" t="s">
        <v>183</v>
      </c>
      <c r="Q54" s="32" t="s">
        <v>184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185</v>
      </c>
      <c r="D56" s="8" t="s">
        <v>186</v>
      </c>
      <c r="E56" s="8" t="s">
        <v>187</v>
      </c>
      <c r="F56" s="8" t="s">
        <v>188</v>
      </c>
      <c r="G56" s="8" t="s">
        <v>189</v>
      </c>
      <c r="H56" s="8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3" t="s">
        <v>75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7" t="s">
        <v>197</v>
      </c>
      <c r="C61" s="198" t="s">
        <v>103</v>
      </c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83"/>
      <c r="S61" s="57"/>
      <c r="T61" s="58"/>
    </row>
    <row r="62" spans="2:20" ht="15.75">
      <c r="B62" s="187"/>
      <c r="C62" s="27" t="s">
        <v>104</v>
      </c>
      <c r="D62" s="27" t="s">
        <v>198</v>
      </c>
      <c r="E62" s="27" t="s">
        <v>199</v>
      </c>
      <c r="F62" s="27" t="s">
        <v>200</v>
      </c>
      <c r="G62" s="27" t="s">
        <v>201</v>
      </c>
      <c r="H62" s="27" t="s">
        <v>202</v>
      </c>
      <c r="I62" s="27" t="s">
        <v>203</v>
      </c>
      <c r="J62" s="27" t="s">
        <v>204</v>
      </c>
      <c r="K62" s="27" t="s">
        <v>205</v>
      </c>
      <c r="L62" s="27" t="s">
        <v>206</v>
      </c>
      <c r="M62" s="27" t="s">
        <v>207</v>
      </c>
      <c r="N62" s="27" t="s">
        <v>208</v>
      </c>
      <c r="O62" s="27" t="s">
        <v>209</v>
      </c>
      <c r="P62" s="27" t="s">
        <v>210</v>
      </c>
      <c r="Q62" s="27" t="s">
        <v>211</v>
      </c>
      <c r="R62" s="27" t="s">
        <v>212</v>
      </c>
      <c r="S62" s="27" t="s">
        <v>213</v>
      </c>
      <c r="T62" s="51" t="s">
        <v>75</v>
      </c>
    </row>
    <row r="63" spans="2:20" ht="15.75">
      <c r="B63" s="193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3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88"/>
      <c r="C65" s="60" t="s">
        <v>104</v>
      </c>
      <c r="D65" s="60" t="s">
        <v>198</v>
      </c>
      <c r="E65" s="60" t="s">
        <v>199</v>
      </c>
      <c r="F65" s="60" t="s">
        <v>200</v>
      </c>
      <c r="G65" s="60" t="s">
        <v>201</v>
      </c>
      <c r="H65" s="60" t="s">
        <v>202</v>
      </c>
      <c r="I65" s="60" t="s">
        <v>203</v>
      </c>
      <c r="J65" s="60" t="s">
        <v>204</v>
      </c>
      <c r="K65" s="60" t="s">
        <v>205</v>
      </c>
      <c r="L65" s="60" t="s">
        <v>206</v>
      </c>
      <c r="M65" s="60" t="s">
        <v>207</v>
      </c>
      <c r="N65" s="60" t="s">
        <v>208</v>
      </c>
      <c r="O65" s="60" t="s">
        <v>209</v>
      </c>
      <c r="P65" s="60" t="s">
        <v>210</v>
      </c>
      <c r="Q65" s="60" t="s">
        <v>211</v>
      </c>
      <c r="R65" s="60" t="s">
        <v>212</v>
      </c>
      <c r="S65" s="60" t="s">
        <v>213</v>
      </c>
      <c r="T65" s="53" t="s">
        <v>75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7" t="s">
        <v>214</v>
      </c>
      <c r="C69" s="198" t="s">
        <v>103</v>
      </c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83"/>
      <c r="S69" s="57"/>
      <c r="T69" s="58"/>
    </row>
    <row r="70" spans="2:20" ht="15.75">
      <c r="B70" s="187"/>
      <c r="C70" s="60" t="s">
        <v>104</v>
      </c>
      <c r="D70" s="60" t="s">
        <v>198</v>
      </c>
      <c r="E70" s="60" t="s">
        <v>199</v>
      </c>
      <c r="F70" s="60" t="s">
        <v>200</v>
      </c>
      <c r="G70" s="60" t="s">
        <v>201</v>
      </c>
      <c r="H70" s="60" t="s">
        <v>202</v>
      </c>
      <c r="I70" s="60" t="s">
        <v>203</v>
      </c>
      <c r="J70" s="60" t="s">
        <v>204</v>
      </c>
      <c r="K70" s="60" t="s">
        <v>205</v>
      </c>
      <c r="L70" s="60" t="s">
        <v>206</v>
      </c>
      <c r="M70" s="60" t="s">
        <v>207</v>
      </c>
      <c r="N70" s="60" t="s">
        <v>208</v>
      </c>
      <c r="O70" s="60" t="s">
        <v>209</v>
      </c>
      <c r="P70" s="60" t="s">
        <v>210</v>
      </c>
      <c r="Q70" s="60" t="s">
        <v>211</v>
      </c>
      <c r="R70" s="60" t="s">
        <v>212</v>
      </c>
      <c r="S70" s="60" t="s">
        <v>213</v>
      </c>
      <c r="T70" s="53" t="s">
        <v>75</v>
      </c>
    </row>
    <row r="71" spans="2:20" ht="15.75">
      <c r="B71" s="187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3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88"/>
      <c r="C73" s="60" t="s">
        <v>104</v>
      </c>
      <c r="D73" s="60" t="s">
        <v>198</v>
      </c>
      <c r="E73" s="60" t="s">
        <v>199</v>
      </c>
      <c r="F73" s="60" t="s">
        <v>200</v>
      </c>
      <c r="G73" s="60" t="s">
        <v>201</v>
      </c>
      <c r="H73" s="60" t="s">
        <v>202</v>
      </c>
      <c r="I73" s="60" t="s">
        <v>203</v>
      </c>
      <c r="J73" s="60" t="s">
        <v>204</v>
      </c>
      <c r="K73" s="60" t="s">
        <v>205</v>
      </c>
      <c r="L73" s="60" t="s">
        <v>206</v>
      </c>
      <c r="M73" s="60" t="s">
        <v>207</v>
      </c>
      <c r="N73" s="60" t="s">
        <v>208</v>
      </c>
      <c r="O73" s="60" t="s">
        <v>209</v>
      </c>
      <c r="P73" s="60" t="s">
        <v>210</v>
      </c>
      <c r="Q73" s="60" t="s">
        <v>211</v>
      </c>
      <c r="R73" s="60" t="s">
        <v>212</v>
      </c>
      <c r="S73" s="60" t="s">
        <v>213</v>
      </c>
      <c r="T73" s="53" t="s">
        <v>75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4" t="s">
        <v>92</v>
      </c>
      <c r="C77" s="183" t="s">
        <v>103</v>
      </c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61"/>
      <c r="S77" s="61"/>
      <c r="T77" s="13"/>
    </row>
    <row r="78" spans="2:20">
      <c r="B78" s="195"/>
      <c r="C78" s="15" t="s">
        <v>104</v>
      </c>
      <c r="D78" s="15" t="s">
        <v>215</v>
      </c>
      <c r="E78" s="15" t="s">
        <v>216</v>
      </c>
      <c r="F78" s="15" t="s">
        <v>217</v>
      </c>
      <c r="G78" s="15" t="s">
        <v>218</v>
      </c>
      <c r="H78" s="62" t="s">
        <v>219</v>
      </c>
      <c r="I78" s="62" t="s">
        <v>220</v>
      </c>
      <c r="J78" s="62" t="s">
        <v>221</v>
      </c>
      <c r="K78" s="62" t="s">
        <v>222</v>
      </c>
      <c r="L78" s="62" t="s">
        <v>135</v>
      </c>
      <c r="M78" s="15" t="s">
        <v>223</v>
      </c>
      <c r="N78" s="62" t="s">
        <v>224</v>
      </c>
      <c r="O78" s="62" t="s">
        <v>216</v>
      </c>
      <c r="P78" s="62" t="s">
        <v>225</v>
      </c>
      <c r="Q78" s="62" t="s">
        <v>226</v>
      </c>
      <c r="R78" s="62" t="s">
        <v>216</v>
      </c>
      <c r="S78" s="62" t="s">
        <v>227</v>
      </c>
      <c r="T78" s="60" t="s">
        <v>216</v>
      </c>
    </row>
    <row r="79" spans="2:20">
      <c r="B79" s="195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5"/>
      <c r="C80" s="60" t="s">
        <v>228</v>
      </c>
      <c r="D80" s="60" t="s">
        <v>229</v>
      </c>
      <c r="E80" s="60" t="s">
        <v>230</v>
      </c>
      <c r="F80" s="60" t="s">
        <v>216</v>
      </c>
      <c r="G80" s="60" t="s">
        <v>225</v>
      </c>
      <c r="H80" s="60" t="s">
        <v>231</v>
      </c>
      <c r="I80" s="60" t="s">
        <v>216</v>
      </c>
      <c r="J80" s="60" t="s">
        <v>232</v>
      </c>
      <c r="K80" s="60" t="s">
        <v>233</v>
      </c>
      <c r="L80" s="60" t="s">
        <v>234</v>
      </c>
      <c r="M80" s="60" t="s">
        <v>216</v>
      </c>
      <c r="N80" s="60" t="s">
        <v>235</v>
      </c>
      <c r="O80" s="60" t="s">
        <v>216</v>
      </c>
      <c r="P80" s="60" t="s">
        <v>236</v>
      </c>
      <c r="Q80" s="60" t="s">
        <v>216</v>
      </c>
      <c r="R80" s="60" t="s">
        <v>237</v>
      </c>
      <c r="S80" s="60" t="s">
        <v>216</v>
      </c>
      <c r="T80" s="53" t="s">
        <v>75</v>
      </c>
    </row>
    <row r="81" spans="2:20" ht="15.75">
      <c r="B81" s="19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238</v>
      </c>
    </row>
    <row r="82" spans="2:20">
      <c r="B82" s="195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5"/>
      <c r="C83" s="19" t="s">
        <v>104</v>
      </c>
      <c r="D83" s="19" t="s">
        <v>215</v>
      </c>
      <c r="E83" s="19" t="s">
        <v>216</v>
      </c>
      <c r="F83" s="19" t="s">
        <v>217</v>
      </c>
      <c r="G83" s="19" t="s">
        <v>218</v>
      </c>
      <c r="H83" s="60" t="s">
        <v>219</v>
      </c>
      <c r="I83" s="60" t="s">
        <v>220</v>
      </c>
      <c r="J83" s="60" t="s">
        <v>221</v>
      </c>
      <c r="K83" s="60" t="s">
        <v>222</v>
      </c>
      <c r="L83" s="60" t="s">
        <v>135</v>
      </c>
      <c r="M83" s="19" t="s">
        <v>223</v>
      </c>
      <c r="N83" s="60" t="s">
        <v>224</v>
      </c>
      <c r="O83" s="60" t="s">
        <v>216</v>
      </c>
      <c r="P83" s="60" t="s">
        <v>225</v>
      </c>
      <c r="Q83" s="60" t="s">
        <v>226</v>
      </c>
      <c r="R83" s="60" t="s">
        <v>216</v>
      </c>
      <c r="S83" s="60" t="s">
        <v>227</v>
      </c>
      <c r="T83" s="60" t="s">
        <v>216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228</v>
      </c>
      <c r="D85" s="60" t="s">
        <v>229</v>
      </c>
      <c r="E85" s="60" t="s">
        <v>230</v>
      </c>
      <c r="F85" s="60" t="s">
        <v>216</v>
      </c>
      <c r="G85" s="60" t="s">
        <v>225</v>
      </c>
      <c r="H85" s="60" t="s">
        <v>231</v>
      </c>
      <c r="I85" s="60" t="s">
        <v>216</v>
      </c>
      <c r="J85" s="60" t="s">
        <v>232</v>
      </c>
      <c r="K85" s="60" t="s">
        <v>233</v>
      </c>
      <c r="L85" s="60" t="s">
        <v>234</v>
      </c>
      <c r="M85" s="60" t="s">
        <v>216</v>
      </c>
      <c r="N85" s="60" t="s">
        <v>235</v>
      </c>
      <c r="O85" s="60" t="s">
        <v>216</v>
      </c>
      <c r="P85" s="60" t="s">
        <v>236</v>
      </c>
      <c r="Q85" s="60" t="s">
        <v>216</v>
      </c>
      <c r="R85" s="60" t="s">
        <v>237</v>
      </c>
      <c r="S85" s="60" t="s">
        <v>216</v>
      </c>
      <c r="T85" s="51" t="s">
        <v>75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2026-01-09T14:51:45Z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