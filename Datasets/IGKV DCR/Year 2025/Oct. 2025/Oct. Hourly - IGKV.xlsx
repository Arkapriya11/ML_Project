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\Desktop\IGKB DCR\Year 2025\Oct. 2025\"/>
    </mc:Choice>
  </mc:AlternateContent>
  <xr:revisionPtr revIDLastSave="0" documentId="13_ncr:1_{E9D08870-658D-47B5-86C5-BC11E5C9A651}" xr6:coauthVersionLast="47" xr6:coauthVersionMax="47" xr10:uidLastSave="{00000000-0000-0000-0000-000000000000}"/>
  <bookViews>
    <workbookView xWindow="-120" yWindow="-120" windowWidth="20730" windowHeight="11040" tabRatio="913" firstSheet="6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91029"/>
</workbook>
</file>

<file path=xl/calcChain.xml><?xml version="1.0" encoding="utf-8"?>
<calcChain xmlns="http://schemas.openxmlformats.org/spreadsheetml/2006/main">
  <c r="F44" i="39" l="1"/>
  <c r="H38" i="29"/>
  <c r="G38" i="29"/>
  <c r="E38" i="19"/>
  <c r="E39" i="19" s="1"/>
  <c r="F38" i="16"/>
  <c r="F38" i="15"/>
  <c r="F38" i="14"/>
  <c r="P35" i="39"/>
  <c r="G28" i="39"/>
  <c r="L23" i="39"/>
  <c r="P21" i="39"/>
  <c r="C16" i="39"/>
  <c r="G14" i="39"/>
  <c r="L40" i="41"/>
  <c r="L39" i="41"/>
  <c r="Q38" i="41"/>
  <c r="Q40" i="41" s="1"/>
  <c r="P38" i="41"/>
  <c r="P40" i="41" s="1"/>
  <c r="O38" i="41"/>
  <c r="O40" i="41" s="1"/>
  <c r="N38" i="41"/>
  <c r="N40" i="41" s="1"/>
  <c r="M38" i="41"/>
  <c r="M40" i="41" s="1"/>
  <c r="L38" i="41"/>
  <c r="K38" i="41"/>
  <c r="K40" i="41" s="1"/>
  <c r="J38" i="41"/>
  <c r="J40" i="41" s="1"/>
  <c r="I38" i="41"/>
  <c r="I40" i="41" s="1"/>
  <c r="H38" i="41"/>
  <c r="H40" i="41" s="1"/>
  <c r="G38" i="41"/>
  <c r="G40" i="41" s="1"/>
  <c r="F38" i="41"/>
  <c r="F40" i="41" s="1"/>
  <c r="E38" i="41"/>
  <c r="E40" i="41" s="1"/>
  <c r="D38" i="41"/>
  <c r="D40" i="41" s="1"/>
  <c r="C38" i="41"/>
  <c r="C40" i="41" s="1"/>
  <c r="B38" i="41"/>
  <c r="B40" i="41" s="1"/>
  <c r="Q37" i="41"/>
  <c r="P37" i="41"/>
  <c r="O37" i="41"/>
  <c r="N37" i="41"/>
  <c r="M37" i="41"/>
  <c r="L37" i="41"/>
  <c r="K37" i="41"/>
  <c r="J37" i="41"/>
  <c r="I37" i="41"/>
  <c r="H37" i="41"/>
  <c r="G37" i="41"/>
  <c r="F37" i="41"/>
  <c r="E37" i="41"/>
  <c r="D37" i="41"/>
  <c r="C37" i="41"/>
  <c r="B37" i="41"/>
  <c r="Q36" i="41"/>
  <c r="P36" i="41"/>
  <c r="O36" i="41"/>
  <c r="N36" i="41"/>
  <c r="M36" i="41"/>
  <c r="L36" i="41"/>
  <c r="K36" i="41"/>
  <c r="J36" i="41"/>
  <c r="I36" i="41"/>
  <c r="H36" i="41"/>
  <c r="G36" i="41"/>
  <c r="F36" i="41"/>
  <c r="E36" i="41"/>
  <c r="D36" i="41"/>
  <c r="C36" i="41"/>
  <c r="B36" i="41"/>
  <c r="Q35" i="41"/>
  <c r="P35" i="41"/>
  <c r="O35" i="41"/>
  <c r="N35" i="41"/>
  <c r="M35" i="41"/>
  <c r="L35" i="41"/>
  <c r="K35" i="41"/>
  <c r="J35" i="41"/>
  <c r="I35" i="41"/>
  <c r="H35" i="41"/>
  <c r="G35" i="41"/>
  <c r="F35" i="41"/>
  <c r="E35" i="41"/>
  <c r="D35" i="41"/>
  <c r="C35" i="41"/>
  <c r="B35" i="41"/>
  <c r="Q34" i="41"/>
  <c r="P34" i="41"/>
  <c r="O34" i="41"/>
  <c r="N34" i="41"/>
  <c r="M34" i="41"/>
  <c r="L34" i="41"/>
  <c r="K34" i="41"/>
  <c r="J34" i="41"/>
  <c r="I34" i="41"/>
  <c r="H34" i="41"/>
  <c r="G34" i="41"/>
  <c r="F34" i="41"/>
  <c r="E34" i="41"/>
  <c r="D34" i="41"/>
  <c r="C34" i="41"/>
  <c r="B34" i="41"/>
  <c r="B2" i="41"/>
  <c r="Q38" i="40"/>
  <c r="Q39" i="40" s="1"/>
  <c r="P38" i="40"/>
  <c r="P40" i="40" s="1"/>
  <c r="O38" i="40"/>
  <c r="O40" i="40" s="1"/>
  <c r="N38" i="40"/>
  <c r="N40" i="40" s="1"/>
  <c r="M38" i="40"/>
  <c r="M40" i="40" s="1"/>
  <c r="L38" i="40"/>
  <c r="L40" i="40" s="1"/>
  <c r="K38" i="40"/>
  <c r="K40" i="40" s="1"/>
  <c r="J38" i="40"/>
  <c r="J40" i="40" s="1"/>
  <c r="I38" i="40"/>
  <c r="I40" i="40" s="1"/>
  <c r="H38" i="40"/>
  <c r="H40" i="40" s="1"/>
  <c r="G38" i="40"/>
  <c r="G40" i="40" s="1"/>
  <c r="F38" i="40"/>
  <c r="F40" i="40" s="1"/>
  <c r="E38" i="40"/>
  <c r="E40" i="40" s="1"/>
  <c r="D38" i="40"/>
  <c r="D40" i="40" s="1"/>
  <c r="C38" i="40"/>
  <c r="C40" i="40" s="1"/>
  <c r="B38" i="40"/>
  <c r="B40" i="40" s="1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Q36" i="40"/>
  <c r="Q38" i="39" s="1"/>
  <c r="P36" i="40"/>
  <c r="P38" i="39" s="1"/>
  <c r="O36" i="40"/>
  <c r="O38" i="39" s="1"/>
  <c r="N36" i="40"/>
  <c r="N38" i="39" s="1"/>
  <c r="M36" i="40"/>
  <c r="M38" i="39" s="1"/>
  <c r="L36" i="40"/>
  <c r="L38" i="39" s="1"/>
  <c r="K36" i="40"/>
  <c r="K38" i="39" s="1"/>
  <c r="J36" i="40"/>
  <c r="J38" i="39" s="1"/>
  <c r="I36" i="40"/>
  <c r="I38" i="39" s="1"/>
  <c r="H36" i="40"/>
  <c r="H38" i="39" s="1"/>
  <c r="G36" i="40"/>
  <c r="G38" i="39" s="1"/>
  <c r="F36" i="40"/>
  <c r="F38" i="39" s="1"/>
  <c r="E36" i="40"/>
  <c r="E38" i="39" s="1"/>
  <c r="D36" i="40"/>
  <c r="D38" i="39" s="1"/>
  <c r="C36" i="40"/>
  <c r="C38" i="39" s="1"/>
  <c r="B36" i="40"/>
  <c r="B38" i="39" s="1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B2" i="40"/>
  <c r="A38" i="39" s="1"/>
  <c r="B40" i="43"/>
  <c r="P39" i="43"/>
  <c r="Q38" i="43"/>
  <c r="Q40" i="43" s="1"/>
  <c r="P38" i="43"/>
  <c r="P40" i="43" s="1"/>
  <c r="O38" i="43"/>
  <c r="O40" i="43" s="1"/>
  <c r="N38" i="43"/>
  <c r="N40" i="43" s="1"/>
  <c r="M38" i="43"/>
  <c r="M40" i="43" s="1"/>
  <c r="L38" i="43"/>
  <c r="L40" i="43" s="1"/>
  <c r="K38" i="43"/>
  <c r="K40" i="43" s="1"/>
  <c r="J38" i="43"/>
  <c r="J40" i="43" s="1"/>
  <c r="I38" i="43"/>
  <c r="I40" i="43" s="1"/>
  <c r="H38" i="43"/>
  <c r="H40" i="43" s="1"/>
  <c r="G38" i="43"/>
  <c r="G40" i="43" s="1"/>
  <c r="F38" i="43"/>
  <c r="F40" i="43" s="1"/>
  <c r="E38" i="43"/>
  <c r="E40" i="43" s="1"/>
  <c r="D38" i="43"/>
  <c r="D39" i="43" s="1"/>
  <c r="C38" i="43"/>
  <c r="C40" i="43" s="1"/>
  <c r="B38" i="43"/>
  <c r="B39" i="43" s="1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Q36" i="43"/>
  <c r="Q37" i="39" s="1"/>
  <c r="P36" i="43"/>
  <c r="P37" i="39" s="1"/>
  <c r="O36" i="43"/>
  <c r="O37" i="39" s="1"/>
  <c r="N36" i="43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B2" i="43"/>
  <c r="A37" i="39" s="1"/>
  <c r="F40" i="33"/>
  <c r="Q38" i="33"/>
  <c r="Q40" i="33" s="1"/>
  <c r="P38" i="33"/>
  <c r="P40" i="33" s="1"/>
  <c r="O38" i="33"/>
  <c r="O40" i="33" s="1"/>
  <c r="N38" i="33"/>
  <c r="N40" i="33" s="1"/>
  <c r="M38" i="33"/>
  <c r="M40" i="33" s="1"/>
  <c r="L38" i="33"/>
  <c r="L40" i="33" s="1"/>
  <c r="K38" i="33"/>
  <c r="K40" i="33" s="1"/>
  <c r="J38" i="33"/>
  <c r="J40" i="33" s="1"/>
  <c r="I38" i="33"/>
  <c r="I39" i="33" s="1"/>
  <c r="H38" i="33"/>
  <c r="H39" i="33" s="1"/>
  <c r="G38" i="33"/>
  <c r="G40" i="33" s="1"/>
  <c r="F38" i="33"/>
  <c r="F39" i="33" s="1"/>
  <c r="E38" i="33"/>
  <c r="E40" i="33" s="1"/>
  <c r="D38" i="33"/>
  <c r="D40" i="33" s="1"/>
  <c r="C38" i="33"/>
  <c r="C39" i="33" s="1"/>
  <c r="B38" i="33"/>
  <c r="B40" i="33" s="1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Q36" i="33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B2" i="33"/>
  <c r="A36" i="39" s="1"/>
  <c r="K40" i="32"/>
  <c r="J40" i="32"/>
  <c r="H40" i="32"/>
  <c r="F40" i="32"/>
  <c r="D39" i="32"/>
  <c r="Q38" i="32"/>
  <c r="Q40" i="32" s="1"/>
  <c r="P38" i="32"/>
  <c r="P39" i="32" s="1"/>
  <c r="O38" i="32"/>
  <c r="O40" i="32" s="1"/>
  <c r="N38" i="32"/>
  <c r="N40" i="32" s="1"/>
  <c r="M38" i="32"/>
  <c r="M40" i="32" s="1"/>
  <c r="L38" i="32"/>
  <c r="L39" i="32" s="1"/>
  <c r="K38" i="32"/>
  <c r="K39" i="32" s="1"/>
  <c r="J38" i="32"/>
  <c r="J39" i="32" s="1"/>
  <c r="I38" i="32"/>
  <c r="I39" i="32" s="1"/>
  <c r="H38" i="32"/>
  <c r="H39" i="32" s="1"/>
  <c r="G38" i="32"/>
  <c r="G39" i="32" s="1"/>
  <c r="F38" i="32"/>
  <c r="F39" i="32" s="1"/>
  <c r="E38" i="32"/>
  <c r="E40" i="32" s="1"/>
  <c r="D38" i="32"/>
  <c r="D40" i="32" s="1"/>
  <c r="C38" i="32"/>
  <c r="C40" i="32" s="1"/>
  <c r="B38" i="32"/>
  <c r="B39" i="32" s="1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Q36" i="32"/>
  <c r="Q35" i="39" s="1"/>
  <c r="P36" i="32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B2" i="32"/>
  <c r="A35" i="39" s="1"/>
  <c r="M40" i="31"/>
  <c r="L40" i="31"/>
  <c r="J40" i="31"/>
  <c r="C39" i="31"/>
  <c r="Q38" i="31"/>
  <c r="Q39" i="31" s="1"/>
  <c r="P38" i="31"/>
  <c r="P40" i="31" s="1"/>
  <c r="O38" i="31"/>
  <c r="O40" i="31" s="1"/>
  <c r="N38" i="31"/>
  <c r="N40" i="31" s="1"/>
  <c r="M38" i="31"/>
  <c r="M39" i="31" s="1"/>
  <c r="L38" i="31"/>
  <c r="L39" i="31" s="1"/>
  <c r="K38" i="31"/>
  <c r="K40" i="31" s="1"/>
  <c r="J38" i="31"/>
  <c r="J39" i="31" s="1"/>
  <c r="I38" i="31"/>
  <c r="I40" i="31" s="1"/>
  <c r="H38" i="31"/>
  <c r="H40" i="31" s="1"/>
  <c r="G38" i="31"/>
  <c r="G40" i="31" s="1"/>
  <c r="F38" i="31"/>
  <c r="F40" i="31" s="1"/>
  <c r="E38" i="31"/>
  <c r="E40" i="31" s="1"/>
  <c r="D38" i="31"/>
  <c r="D40" i="31" s="1"/>
  <c r="C38" i="31"/>
  <c r="C40" i="31" s="1"/>
  <c r="B38" i="31"/>
  <c r="B40" i="31" s="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B37" i="31"/>
  <c r="Q36" i="31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B35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2" i="31"/>
  <c r="A34" i="39" s="1"/>
  <c r="D39" i="30"/>
  <c r="Q38" i="30"/>
  <c r="Q40" i="30" s="1"/>
  <c r="P38" i="30"/>
  <c r="P40" i="30" s="1"/>
  <c r="O38" i="30"/>
  <c r="O40" i="30" s="1"/>
  <c r="N38" i="30"/>
  <c r="N40" i="30" s="1"/>
  <c r="M38" i="30"/>
  <c r="M40" i="30" s="1"/>
  <c r="L38" i="30"/>
  <c r="L40" i="30" s="1"/>
  <c r="K38" i="30"/>
  <c r="K40" i="30" s="1"/>
  <c r="J38" i="30"/>
  <c r="J40" i="30" s="1"/>
  <c r="I38" i="30"/>
  <c r="I40" i="30" s="1"/>
  <c r="H38" i="30"/>
  <c r="H39" i="30" s="1"/>
  <c r="G38" i="30"/>
  <c r="G40" i="30" s="1"/>
  <c r="F38" i="30"/>
  <c r="F39" i="30" s="1"/>
  <c r="E38" i="30"/>
  <c r="E40" i="30" s="1"/>
  <c r="D38" i="30"/>
  <c r="D40" i="30" s="1"/>
  <c r="C38" i="30"/>
  <c r="C40" i="30" s="1"/>
  <c r="B38" i="30"/>
  <c r="B39" i="30" s="1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Q36" i="30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2" i="30"/>
  <c r="A33" i="39" s="1"/>
  <c r="N40" i="29"/>
  <c r="M40" i="29"/>
  <c r="G40" i="29"/>
  <c r="E40" i="29"/>
  <c r="F39" i="29"/>
  <c r="C39" i="29"/>
  <c r="Q38" i="29"/>
  <c r="Q40" i="29" s="1"/>
  <c r="P38" i="29"/>
  <c r="P39" i="29" s="1"/>
  <c r="O38" i="29"/>
  <c r="O39" i="29" s="1"/>
  <c r="N38" i="29"/>
  <c r="N39" i="29" s="1"/>
  <c r="M38" i="29"/>
  <c r="M39" i="29" s="1"/>
  <c r="L38" i="29"/>
  <c r="L39" i="29" s="1"/>
  <c r="K38" i="29"/>
  <c r="K39" i="29" s="1"/>
  <c r="J38" i="29"/>
  <c r="J40" i="29" s="1"/>
  <c r="I38" i="29"/>
  <c r="I40" i="29" s="1"/>
  <c r="H40" i="29"/>
  <c r="G39" i="29"/>
  <c r="F38" i="29"/>
  <c r="F40" i="29" s="1"/>
  <c r="E38" i="29"/>
  <c r="E39" i="29" s="1"/>
  <c r="D38" i="29"/>
  <c r="D40" i="29" s="1"/>
  <c r="C38" i="29"/>
  <c r="C40" i="29" s="1"/>
  <c r="B38" i="29"/>
  <c r="B40" i="29" s="1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Q36" i="29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F32" i="39" s="1"/>
  <c r="E36" i="29"/>
  <c r="E32" i="39" s="1"/>
  <c r="D36" i="29"/>
  <c r="D32" i="39" s="1"/>
  <c r="C36" i="29"/>
  <c r="C32" i="39" s="1"/>
  <c r="B36" i="29"/>
  <c r="B32" i="39" s="1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2" i="29"/>
  <c r="A32" i="39" s="1"/>
  <c r="D39" i="28"/>
  <c r="Q38" i="28"/>
  <c r="Q40" i="28" s="1"/>
  <c r="P38" i="28"/>
  <c r="P40" i="28" s="1"/>
  <c r="O38" i="28"/>
  <c r="O40" i="28" s="1"/>
  <c r="N38" i="28"/>
  <c r="N40" i="28" s="1"/>
  <c r="M38" i="28"/>
  <c r="M40" i="28" s="1"/>
  <c r="L38" i="28"/>
  <c r="L40" i="28" s="1"/>
  <c r="K38" i="28"/>
  <c r="K39" i="28" s="1"/>
  <c r="J38" i="28"/>
  <c r="J39" i="28" s="1"/>
  <c r="I38" i="28"/>
  <c r="I40" i="28" s="1"/>
  <c r="H38" i="28"/>
  <c r="H39" i="28" s="1"/>
  <c r="G38" i="28"/>
  <c r="G40" i="28" s="1"/>
  <c r="F38" i="28"/>
  <c r="F40" i="28" s="1"/>
  <c r="E38" i="28"/>
  <c r="E40" i="28" s="1"/>
  <c r="D38" i="28"/>
  <c r="D40" i="28" s="1"/>
  <c r="C38" i="28"/>
  <c r="C40" i="28" s="1"/>
  <c r="B38" i="28"/>
  <c r="B40" i="28" s="1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Q36" i="28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2" i="28"/>
  <c r="A31" i="39" s="1"/>
  <c r="I39" i="27"/>
  <c r="H39" i="27"/>
  <c r="G39" i="27"/>
  <c r="Q38" i="27"/>
  <c r="Q39" i="27" s="1"/>
  <c r="P38" i="27"/>
  <c r="P39" i="27" s="1"/>
  <c r="O38" i="27"/>
  <c r="O39" i="27" s="1"/>
  <c r="N38" i="27"/>
  <c r="N40" i="27" s="1"/>
  <c r="M38" i="27"/>
  <c r="M40" i="27" s="1"/>
  <c r="L38" i="27"/>
  <c r="L40" i="27" s="1"/>
  <c r="K38" i="27"/>
  <c r="K40" i="27" s="1"/>
  <c r="J38" i="27"/>
  <c r="J40" i="27" s="1"/>
  <c r="I38" i="27"/>
  <c r="I40" i="27" s="1"/>
  <c r="H38" i="27"/>
  <c r="H40" i="27" s="1"/>
  <c r="G38" i="27"/>
  <c r="G40" i="27" s="1"/>
  <c r="F38" i="27"/>
  <c r="F40" i="27" s="1"/>
  <c r="E38" i="27"/>
  <c r="E40" i="27" s="1"/>
  <c r="D38" i="27"/>
  <c r="D40" i="27" s="1"/>
  <c r="C38" i="27"/>
  <c r="C40" i="27" s="1"/>
  <c r="B38" i="27"/>
  <c r="B40" i="27" s="1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6" i="27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2" i="27"/>
  <c r="A30" i="39" s="1"/>
  <c r="L40" i="26"/>
  <c r="C40" i="26"/>
  <c r="B40" i="26"/>
  <c r="O39" i="26"/>
  <c r="N39" i="26"/>
  <c r="Q38" i="26"/>
  <c r="Q40" i="26" s="1"/>
  <c r="P38" i="26"/>
  <c r="P40" i="26" s="1"/>
  <c r="O38" i="26"/>
  <c r="O40" i="26" s="1"/>
  <c r="N38" i="26"/>
  <c r="N40" i="26" s="1"/>
  <c r="M38" i="26"/>
  <c r="M39" i="26" s="1"/>
  <c r="L38" i="26"/>
  <c r="L39" i="26" s="1"/>
  <c r="K38" i="26"/>
  <c r="K40" i="26" s="1"/>
  <c r="J38" i="26"/>
  <c r="J39" i="26" s="1"/>
  <c r="I38" i="26"/>
  <c r="I40" i="26" s="1"/>
  <c r="H38" i="26"/>
  <c r="H40" i="26" s="1"/>
  <c r="G38" i="26"/>
  <c r="G40" i="26" s="1"/>
  <c r="F38" i="26"/>
  <c r="F40" i="26" s="1"/>
  <c r="E38" i="26"/>
  <c r="E40" i="26" s="1"/>
  <c r="D38" i="26"/>
  <c r="D40" i="26" s="1"/>
  <c r="C38" i="26"/>
  <c r="C39" i="26" s="1"/>
  <c r="B38" i="26"/>
  <c r="B39" i="26" s="1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Q36" i="2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2" i="26"/>
  <c r="A29" i="39" s="1"/>
  <c r="P40" i="25"/>
  <c r="O40" i="25"/>
  <c r="Q38" i="25"/>
  <c r="Q39" i="25" s="1"/>
  <c r="P38" i="25"/>
  <c r="P39" i="25" s="1"/>
  <c r="O38" i="25"/>
  <c r="O39" i="25" s="1"/>
  <c r="N38" i="25"/>
  <c r="N39" i="25" s="1"/>
  <c r="M38" i="25"/>
  <c r="M40" i="25" s="1"/>
  <c r="L38" i="25"/>
  <c r="L40" i="25" s="1"/>
  <c r="K38" i="25"/>
  <c r="K40" i="25" s="1"/>
  <c r="J38" i="25"/>
  <c r="J40" i="25" s="1"/>
  <c r="I38" i="25"/>
  <c r="I40" i="25" s="1"/>
  <c r="H38" i="25"/>
  <c r="H40" i="25" s="1"/>
  <c r="G38" i="25"/>
  <c r="G40" i="25" s="1"/>
  <c r="F38" i="25"/>
  <c r="F40" i="25" s="1"/>
  <c r="E38" i="25"/>
  <c r="E40" i="25" s="1"/>
  <c r="D38" i="25"/>
  <c r="D40" i="25" s="1"/>
  <c r="C38" i="25"/>
  <c r="C39" i="25" s="1"/>
  <c r="B38" i="25"/>
  <c r="B39" i="25" s="1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Q36" i="25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2" i="25"/>
  <c r="A28" i="39" s="1"/>
  <c r="H40" i="24"/>
  <c r="C40" i="24"/>
  <c r="Q38" i="24"/>
  <c r="Q40" i="24" s="1"/>
  <c r="P38" i="24"/>
  <c r="P40" i="24" s="1"/>
  <c r="O38" i="24"/>
  <c r="O39" i="24" s="1"/>
  <c r="N38" i="24"/>
  <c r="N39" i="24" s="1"/>
  <c r="M38" i="24"/>
  <c r="M40" i="24" s="1"/>
  <c r="L38" i="24"/>
  <c r="L39" i="24" s="1"/>
  <c r="K38" i="24"/>
  <c r="K39" i="24" s="1"/>
  <c r="J38" i="24"/>
  <c r="J39" i="24" s="1"/>
  <c r="I38" i="24"/>
  <c r="I40" i="24" s="1"/>
  <c r="H38" i="24"/>
  <c r="H39" i="24" s="1"/>
  <c r="G38" i="24"/>
  <c r="G40" i="24" s="1"/>
  <c r="F38" i="24"/>
  <c r="F40" i="24" s="1"/>
  <c r="E38" i="24"/>
  <c r="E39" i="24" s="1"/>
  <c r="D38" i="24"/>
  <c r="D39" i="24" s="1"/>
  <c r="C38" i="24"/>
  <c r="C39" i="24" s="1"/>
  <c r="B38" i="24"/>
  <c r="B39" i="24" s="1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Q36" i="24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K27" i="39" s="1"/>
  <c r="J36" i="24"/>
  <c r="J27" i="39" s="1"/>
  <c r="I36" i="24"/>
  <c r="I27" i="39" s="1"/>
  <c r="H36" i="24"/>
  <c r="H27" i="39" s="1"/>
  <c r="G36" i="24"/>
  <c r="G27" i="39" s="1"/>
  <c r="F36" i="24"/>
  <c r="F27" i="39" s="1"/>
  <c r="E36" i="24"/>
  <c r="E27" i="39" s="1"/>
  <c r="D36" i="24"/>
  <c r="D27" i="39" s="1"/>
  <c r="C36" i="24"/>
  <c r="C27" i="39" s="1"/>
  <c r="B36" i="24"/>
  <c r="B27" i="39" s="1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2" i="24"/>
  <c r="A27" i="39" s="1"/>
  <c r="B40" i="23"/>
  <c r="Q39" i="23"/>
  <c r="P39" i="23"/>
  <c r="O39" i="23"/>
  <c r="Q38" i="23"/>
  <c r="Q40" i="23" s="1"/>
  <c r="P38" i="23"/>
  <c r="P40" i="23" s="1"/>
  <c r="O38" i="23"/>
  <c r="O40" i="23" s="1"/>
  <c r="N38" i="23"/>
  <c r="N40" i="23" s="1"/>
  <c r="M38" i="23"/>
  <c r="M39" i="23" s="1"/>
  <c r="L38" i="23"/>
  <c r="L39" i="23" s="1"/>
  <c r="K38" i="23"/>
  <c r="K40" i="23" s="1"/>
  <c r="J38" i="23"/>
  <c r="J40" i="23" s="1"/>
  <c r="I38" i="23"/>
  <c r="I40" i="23" s="1"/>
  <c r="H38" i="23"/>
  <c r="H40" i="23" s="1"/>
  <c r="G38" i="23"/>
  <c r="G40" i="23" s="1"/>
  <c r="F38" i="23"/>
  <c r="F40" i="23" s="1"/>
  <c r="E38" i="23"/>
  <c r="E40" i="23" s="1"/>
  <c r="D38" i="23"/>
  <c r="D39" i="23" s="1"/>
  <c r="C38" i="23"/>
  <c r="C39" i="23" s="1"/>
  <c r="B38" i="23"/>
  <c r="B39" i="23" s="1"/>
  <c r="Q37" i="23"/>
  <c r="P37" i="23"/>
  <c r="O37" i="23"/>
  <c r="N37" i="23"/>
  <c r="M37" i="23"/>
  <c r="L37" i="23"/>
  <c r="K37" i="23"/>
  <c r="J37" i="23"/>
  <c r="I37" i="23"/>
  <c r="H37" i="23"/>
  <c r="G37" i="23"/>
  <c r="F37" i="23"/>
  <c r="E37" i="23"/>
  <c r="D37" i="23"/>
  <c r="C37" i="23"/>
  <c r="B37" i="23"/>
  <c r="Q36" i="23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F26" i="39" s="1"/>
  <c r="E36" i="23"/>
  <c r="E26" i="39" s="1"/>
  <c r="D36" i="23"/>
  <c r="D26" i="39" s="1"/>
  <c r="C36" i="23"/>
  <c r="C26" i="39" s="1"/>
  <c r="B36" i="23"/>
  <c r="B26" i="39" s="1"/>
  <c r="Q35" i="23"/>
  <c r="P35" i="23"/>
  <c r="O35" i="23"/>
  <c r="N35" i="23"/>
  <c r="M35" i="23"/>
  <c r="L35" i="23"/>
  <c r="K35" i="23"/>
  <c r="J35" i="23"/>
  <c r="I35" i="23"/>
  <c r="H35" i="23"/>
  <c r="G35" i="23"/>
  <c r="F35" i="23"/>
  <c r="E35" i="23"/>
  <c r="D35" i="23"/>
  <c r="C35" i="23"/>
  <c r="B35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2" i="23"/>
  <c r="A26" i="39" s="1"/>
  <c r="L40" i="22"/>
  <c r="G40" i="22"/>
  <c r="N39" i="22"/>
  <c r="L39" i="22"/>
  <c r="Q38" i="22"/>
  <c r="Q39" i="22" s="1"/>
  <c r="P38" i="22"/>
  <c r="P39" i="22" s="1"/>
  <c r="O38" i="22"/>
  <c r="O40" i="22" s="1"/>
  <c r="N38" i="22"/>
  <c r="N40" i="22" s="1"/>
  <c r="M38" i="22"/>
  <c r="M39" i="22" s="1"/>
  <c r="L38" i="22"/>
  <c r="K38" i="22"/>
  <c r="K40" i="22" s="1"/>
  <c r="J38" i="22"/>
  <c r="J39" i="22" s="1"/>
  <c r="I38" i="22"/>
  <c r="I40" i="22" s="1"/>
  <c r="H38" i="22"/>
  <c r="H40" i="22" s="1"/>
  <c r="G38" i="22"/>
  <c r="G39" i="22" s="1"/>
  <c r="F38" i="22"/>
  <c r="F39" i="22" s="1"/>
  <c r="E38" i="22"/>
  <c r="E39" i="22" s="1"/>
  <c r="D38" i="22"/>
  <c r="D39" i="22" s="1"/>
  <c r="C38" i="22"/>
  <c r="C39" i="22" s="1"/>
  <c r="B38" i="22"/>
  <c r="B40" i="22" s="1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B37" i="22"/>
  <c r="Q36" i="22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B35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2" i="22"/>
  <c r="A25" i="39" s="1"/>
  <c r="H40" i="21"/>
  <c r="E40" i="21"/>
  <c r="B40" i="21"/>
  <c r="Q38" i="21"/>
  <c r="Q39" i="21" s="1"/>
  <c r="P38" i="21"/>
  <c r="P40" i="21" s="1"/>
  <c r="O38" i="21"/>
  <c r="O40" i="21" s="1"/>
  <c r="N38" i="21"/>
  <c r="N40" i="21" s="1"/>
  <c r="M38" i="21"/>
  <c r="M39" i="21" s="1"/>
  <c r="L38" i="21"/>
  <c r="L40" i="21" s="1"/>
  <c r="K38" i="21"/>
  <c r="K39" i="21" s="1"/>
  <c r="J38" i="21"/>
  <c r="J39" i="21" s="1"/>
  <c r="I38" i="21"/>
  <c r="I39" i="21" s="1"/>
  <c r="H38" i="21"/>
  <c r="H39" i="21" s="1"/>
  <c r="G38" i="21"/>
  <c r="G39" i="21" s="1"/>
  <c r="F38" i="21"/>
  <c r="F39" i="21" s="1"/>
  <c r="E38" i="21"/>
  <c r="E39" i="21" s="1"/>
  <c r="D38" i="21"/>
  <c r="D39" i="21" s="1"/>
  <c r="C38" i="21"/>
  <c r="C39" i="21" s="1"/>
  <c r="B38" i="21"/>
  <c r="B39" i="21" s="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Q36" i="21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2" i="21"/>
  <c r="A24" i="39" s="1"/>
  <c r="L40" i="20"/>
  <c r="I40" i="20"/>
  <c r="Q38" i="20"/>
  <c r="Q40" i="20" s="1"/>
  <c r="P38" i="20"/>
  <c r="P39" i="20" s="1"/>
  <c r="O38" i="20"/>
  <c r="O40" i="20" s="1"/>
  <c r="N38" i="20"/>
  <c r="N39" i="20" s="1"/>
  <c r="M38" i="20"/>
  <c r="M40" i="20" s="1"/>
  <c r="L38" i="20"/>
  <c r="L39" i="20" s="1"/>
  <c r="K38" i="20"/>
  <c r="K40" i="20" s="1"/>
  <c r="J38" i="20"/>
  <c r="J40" i="20" s="1"/>
  <c r="I38" i="20"/>
  <c r="I39" i="20" s="1"/>
  <c r="H38" i="20"/>
  <c r="H39" i="20" s="1"/>
  <c r="G38" i="20"/>
  <c r="G39" i="20" s="1"/>
  <c r="F38" i="20"/>
  <c r="F39" i="20" s="1"/>
  <c r="E38" i="20"/>
  <c r="E39" i="20" s="1"/>
  <c r="D38" i="20"/>
  <c r="D39" i="20" s="1"/>
  <c r="C38" i="20"/>
  <c r="C39" i="20" s="1"/>
  <c r="B38" i="20"/>
  <c r="B39" i="20" s="1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Q36" i="20"/>
  <c r="Q23" i="39" s="1"/>
  <c r="P36" i="20"/>
  <c r="P23" i="39" s="1"/>
  <c r="O36" i="20"/>
  <c r="O23" i="39" s="1"/>
  <c r="N36" i="20"/>
  <c r="N23" i="39" s="1"/>
  <c r="M36" i="20"/>
  <c r="M23" i="39" s="1"/>
  <c r="L36" i="20"/>
  <c r="K36" i="20"/>
  <c r="K23" i="39" s="1"/>
  <c r="J36" i="20"/>
  <c r="J23" i="39" s="1"/>
  <c r="I36" i="20"/>
  <c r="I23" i="39" s="1"/>
  <c r="H36" i="20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2" i="20"/>
  <c r="A23" i="39" s="1"/>
  <c r="P40" i="19"/>
  <c r="M40" i="19"/>
  <c r="D40" i="19"/>
  <c r="Q39" i="19"/>
  <c r="I39" i="19"/>
  <c r="H39" i="19"/>
  <c r="Q38" i="19"/>
  <c r="Q40" i="19" s="1"/>
  <c r="P38" i="19"/>
  <c r="P39" i="19" s="1"/>
  <c r="O38" i="19"/>
  <c r="O39" i="19" s="1"/>
  <c r="N38" i="19"/>
  <c r="N40" i="19" s="1"/>
  <c r="M38" i="19"/>
  <c r="M39" i="19" s="1"/>
  <c r="L38" i="19"/>
  <c r="L40" i="19" s="1"/>
  <c r="K38" i="19"/>
  <c r="K39" i="19" s="1"/>
  <c r="J38" i="19"/>
  <c r="J39" i="19" s="1"/>
  <c r="I38" i="19"/>
  <c r="I40" i="19" s="1"/>
  <c r="H38" i="19"/>
  <c r="H40" i="19" s="1"/>
  <c r="G38" i="19"/>
  <c r="G39" i="19" s="1"/>
  <c r="F38" i="19"/>
  <c r="F39" i="19" s="1"/>
  <c r="D38" i="19"/>
  <c r="D39" i="19" s="1"/>
  <c r="C38" i="19"/>
  <c r="C39" i="19" s="1"/>
  <c r="B38" i="19"/>
  <c r="B40" i="19" s="1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B37" i="19"/>
  <c r="Q36" i="19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B35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2" i="19"/>
  <c r="A22" i="39" s="1"/>
  <c r="L40" i="18"/>
  <c r="K40" i="18"/>
  <c r="H40" i="18"/>
  <c r="G40" i="18"/>
  <c r="Q38" i="18"/>
  <c r="Q39" i="18" s="1"/>
  <c r="P38" i="18"/>
  <c r="P39" i="18" s="1"/>
  <c r="O38" i="18"/>
  <c r="O40" i="18" s="1"/>
  <c r="N38" i="18"/>
  <c r="N39" i="18" s="1"/>
  <c r="M38" i="18"/>
  <c r="M39" i="18" s="1"/>
  <c r="L38" i="18"/>
  <c r="L39" i="18" s="1"/>
  <c r="K38" i="18"/>
  <c r="K39" i="18" s="1"/>
  <c r="J38" i="18"/>
  <c r="J39" i="18" s="1"/>
  <c r="I38" i="18"/>
  <c r="I40" i="18" s="1"/>
  <c r="H38" i="18"/>
  <c r="H39" i="18" s="1"/>
  <c r="G38" i="18"/>
  <c r="G39" i="18" s="1"/>
  <c r="F38" i="18"/>
  <c r="F40" i="18" s="1"/>
  <c r="E38" i="18"/>
  <c r="E40" i="18" s="1"/>
  <c r="D38" i="18"/>
  <c r="D39" i="18" s="1"/>
  <c r="C38" i="18"/>
  <c r="C40" i="18" s="1"/>
  <c r="B38" i="18"/>
  <c r="B39" i="18" s="1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Q36" i="18"/>
  <c r="Q21" i="39" s="1"/>
  <c r="P36" i="18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E36" i="18"/>
  <c r="E21" i="39" s="1"/>
  <c r="D36" i="18"/>
  <c r="D21" i="39" s="1"/>
  <c r="C36" i="18"/>
  <c r="C21" i="39" s="1"/>
  <c r="B36" i="18"/>
  <c r="B21" i="39" s="1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2" i="18"/>
  <c r="A21" i="39" s="1"/>
  <c r="J40" i="17"/>
  <c r="I40" i="17"/>
  <c r="H40" i="17"/>
  <c r="Q38" i="17"/>
  <c r="Q39" i="17" s="1"/>
  <c r="P38" i="17"/>
  <c r="P40" i="17" s="1"/>
  <c r="O38" i="17"/>
  <c r="O40" i="17" s="1"/>
  <c r="N38" i="17"/>
  <c r="N39" i="17" s="1"/>
  <c r="M38" i="17"/>
  <c r="M39" i="17" s="1"/>
  <c r="L38" i="17"/>
  <c r="L39" i="17" s="1"/>
  <c r="K38" i="17"/>
  <c r="K39" i="17" s="1"/>
  <c r="J38" i="17"/>
  <c r="J39" i="17" s="1"/>
  <c r="I38" i="17"/>
  <c r="I39" i="17" s="1"/>
  <c r="H38" i="17"/>
  <c r="H39" i="17" s="1"/>
  <c r="G38" i="17"/>
  <c r="G39" i="17" s="1"/>
  <c r="F38" i="17"/>
  <c r="F40" i="17" s="1"/>
  <c r="E38" i="17"/>
  <c r="E40" i="17" s="1"/>
  <c r="D38" i="17"/>
  <c r="D40" i="17" s="1"/>
  <c r="C38" i="17"/>
  <c r="C39" i="17" s="1"/>
  <c r="B38" i="17"/>
  <c r="B40" i="17" s="1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Q36" i="17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E36" i="17"/>
  <c r="E20" i="39" s="1"/>
  <c r="D36" i="17"/>
  <c r="D20" i="39" s="1"/>
  <c r="C36" i="17"/>
  <c r="C20" i="39" s="1"/>
  <c r="B36" i="17"/>
  <c r="B20" i="39" s="1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2" i="17"/>
  <c r="A20" i="39" s="1"/>
  <c r="M40" i="16"/>
  <c r="J40" i="16"/>
  <c r="H40" i="16"/>
  <c r="Q38" i="16"/>
  <c r="Q40" i="16" s="1"/>
  <c r="P38" i="16"/>
  <c r="P40" i="16" s="1"/>
  <c r="O38" i="16"/>
  <c r="O40" i="16" s="1"/>
  <c r="N38" i="16"/>
  <c r="N39" i="16" s="1"/>
  <c r="M38" i="16"/>
  <c r="M39" i="16" s="1"/>
  <c r="L38" i="16"/>
  <c r="L39" i="16" s="1"/>
  <c r="K38" i="16"/>
  <c r="K39" i="16" s="1"/>
  <c r="J38" i="16"/>
  <c r="J39" i="16" s="1"/>
  <c r="I38" i="16"/>
  <c r="I39" i="16" s="1"/>
  <c r="H38" i="16"/>
  <c r="H39" i="16" s="1"/>
  <c r="G38" i="16"/>
  <c r="G39" i="16" s="1"/>
  <c r="F39" i="16"/>
  <c r="E38" i="16"/>
  <c r="E40" i="16" s="1"/>
  <c r="D38" i="16"/>
  <c r="D39" i="16" s="1"/>
  <c r="C38" i="16"/>
  <c r="C39" i="16" s="1"/>
  <c r="B38" i="16"/>
  <c r="B39" i="16" s="1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Q36" i="1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E36" i="16"/>
  <c r="E19" i="39" s="1"/>
  <c r="D36" i="16"/>
  <c r="D19" i="39" s="1"/>
  <c r="C36" i="16"/>
  <c r="C19" i="39" s="1"/>
  <c r="B36" i="16"/>
  <c r="B19" i="39" s="1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2" i="16"/>
  <c r="A19" i="39" s="1"/>
  <c r="Q40" i="15"/>
  <c r="M40" i="15"/>
  <c r="C40" i="15"/>
  <c r="P39" i="15"/>
  <c r="G39" i="15"/>
  <c r="Q38" i="15"/>
  <c r="Q39" i="15" s="1"/>
  <c r="P38" i="15"/>
  <c r="P40" i="15" s="1"/>
  <c r="O38" i="15"/>
  <c r="O40" i="15" s="1"/>
  <c r="N38" i="15"/>
  <c r="N39" i="15" s="1"/>
  <c r="M38" i="15"/>
  <c r="M39" i="15" s="1"/>
  <c r="L38" i="15"/>
  <c r="L39" i="15" s="1"/>
  <c r="K38" i="15"/>
  <c r="K40" i="15" s="1"/>
  <c r="J38" i="15"/>
  <c r="J39" i="15" s="1"/>
  <c r="I38" i="15"/>
  <c r="I39" i="15" s="1"/>
  <c r="H38" i="15"/>
  <c r="H39" i="15" s="1"/>
  <c r="G38" i="15"/>
  <c r="G40" i="15" s="1"/>
  <c r="F39" i="15"/>
  <c r="E38" i="15"/>
  <c r="E39" i="15" s="1"/>
  <c r="D38" i="15"/>
  <c r="D39" i="15" s="1"/>
  <c r="C38" i="15"/>
  <c r="C39" i="15" s="1"/>
  <c r="B38" i="15"/>
  <c r="B40" i="15" s="1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Q36" i="15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E36" i="15"/>
  <c r="E18" i="39" s="1"/>
  <c r="D36" i="15"/>
  <c r="D18" i="39" s="1"/>
  <c r="C36" i="15"/>
  <c r="C18" i="39" s="1"/>
  <c r="B36" i="15"/>
  <c r="B18" i="39" s="1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2" i="15"/>
  <c r="A18" i="39" s="1"/>
  <c r="G40" i="14"/>
  <c r="B40" i="14"/>
  <c r="Q39" i="14"/>
  <c r="Q38" i="14"/>
  <c r="Q40" i="14" s="1"/>
  <c r="P38" i="14"/>
  <c r="P39" i="14" s="1"/>
  <c r="O38" i="14"/>
  <c r="O39" i="14" s="1"/>
  <c r="N38" i="14"/>
  <c r="N40" i="14" s="1"/>
  <c r="M38" i="14"/>
  <c r="M39" i="14" s="1"/>
  <c r="L38" i="14"/>
  <c r="L39" i="14" s="1"/>
  <c r="K38" i="14"/>
  <c r="K39" i="14" s="1"/>
  <c r="J38" i="14"/>
  <c r="J40" i="14" s="1"/>
  <c r="I38" i="14"/>
  <c r="I39" i="14" s="1"/>
  <c r="H38" i="14"/>
  <c r="H39" i="14" s="1"/>
  <c r="G38" i="14"/>
  <c r="G39" i="14" s="1"/>
  <c r="F40" i="14"/>
  <c r="E38" i="14"/>
  <c r="E39" i="14" s="1"/>
  <c r="D38" i="14"/>
  <c r="D40" i="14" s="1"/>
  <c r="C38" i="14"/>
  <c r="B38" i="14"/>
  <c r="B39" i="14" s="1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Q36" i="14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E36" i="14"/>
  <c r="E17" i="39" s="1"/>
  <c r="D36" i="14"/>
  <c r="D17" i="39" s="1"/>
  <c r="C36" i="14"/>
  <c r="C17" i="39" s="1"/>
  <c r="B36" i="14"/>
  <c r="B17" i="39" s="1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2" i="14"/>
  <c r="A17" i="39" s="1"/>
  <c r="Q38" i="13"/>
  <c r="Q39" i="13" s="1"/>
  <c r="P38" i="13"/>
  <c r="P40" i="13" s="1"/>
  <c r="O38" i="13"/>
  <c r="O39" i="13" s="1"/>
  <c r="N38" i="13"/>
  <c r="N40" i="13" s="1"/>
  <c r="M38" i="13"/>
  <c r="M40" i="13" s="1"/>
  <c r="L38" i="13"/>
  <c r="L40" i="13" s="1"/>
  <c r="K38" i="13"/>
  <c r="K40" i="13" s="1"/>
  <c r="J38" i="13"/>
  <c r="J40" i="13" s="1"/>
  <c r="I38" i="13"/>
  <c r="I40" i="13" s="1"/>
  <c r="H38" i="13"/>
  <c r="H40" i="13" s="1"/>
  <c r="G38" i="13"/>
  <c r="G40" i="13" s="1"/>
  <c r="F38" i="13"/>
  <c r="F40" i="13" s="1"/>
  <c r="E38" i="13"/>
  <c r="E40" i="13" s="1"/>
  <c r="D38" i="13"/>
  <c r="D40" i="13" s="1"/>
  <c r="C38" i="13"/>
  <c r="C40" i="13" s="1"/>
  <c r="B38" i="13"/>
  <c r="B40" i="13" s="1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Q36" i="13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B36" i="13"/>
  <c r="B16" i="39" s="1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2" i="13"/>
  <c r="A16" i="39" s="1"/>
  <c r="Q38" i="12"/>
  <c r="Q40" i="12" s="1"/>
  <c r="P38" i="12"/>
  <c r="P40" i="12" s="1"/>
  <c r="O38" i="12"/>
  <c r="O40" i="12" s="1"/>
  <c r="N38" i="12"/>
  <c r="N40" i="12" s="1"/>
  <c r="M38" i="12"/>
  <c r="M40" i="12" s="1"/>
  <c r="L38" i="12"/>
  <c r="L40" i="12" s="1"/>
  <c r="K38" i="12"/>
  <c r="K40" i="12" s="1"/>
  <c r="J38" i="12"/>
  <c r="J40" i="12" s="1"/>
  <c r="I38" i="12"/>
  <c r="I40" i="12" s="1"/>
  <c r="H38" i="12"/>
  <c r="H40" i="12" s="1"/>
  <c r="G38" i="12"/>
  <c r="G40" i="12" s="1"/>
  <c r="F38" i="12"/>
  <c r="F40" i="12" s="1"/>
  <c r="E38" i="12"/>
  <c r="E39" i="12" s="1"/>
  <c r="D38" i="12"/>
  <c r="D40" i="12" s="1"/>
  <c r="C38" i="12"/>
  <c r="C40" i="12" s="1"/>
  <c r="B38" i="12"/>
  <c r="B40" i="12" s="1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Q36" i="12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B2" i="12"/>
  <c r="A15" i="39" s="1"/>
  <c r="Q38" i="11"/>
  <c r="Q40" i="11" s="1"/>
  <c r="P38" i="11"/>
  <c r="P39" i="11" s="1"/>
  <c r="O38" i="11"/>
  <c r="O40" i="11" s="1"/>
  <c r="N38" i="11"/>
  <c r="N40" i="11" s="1"/>
  <c r="M38" i="11"/>
  <c r="M40" i="11" s="1"/>
  <c r="L38" i="11"/>
  <c r="L40" i="11" s="1"/>
  <c r="K38" i="11"/>
  <c r="K40" i="11" s="1"/>
  <c r="J38" i="11"/>
  <c r="J40" i="11" s="1"/>
  <c r="I38" i="11"/>
  <c r="I40" i="11" s="1"/>
  <c r="H38" i="11"/>
  <c r="H40" i="11" s="1"/>
  <c r="G38" i="11"/>
  <c r="G40" i="11" s="1"/>
  <c r="F38" i="11"/>
  <c r="F40" i="11" s="1"/>
  <c r="E38" i="11"/>
  <c r="E40" i="11" s="1"/>
  <c r="D38" i="11"/>
  <c r="D40" i="11" s="1"/>
  <c r="C38" i="11"/>
  <c r="C39" i="11" s="1"/>
  <c r="B38" i="11"/>
  <c r="B40" i="11" s="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Q36" i="11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B2" i="11"/>
  <c r="A14" i="39" s="1"/>
  <c r="Q38" i="10"/>
  <c r="Q39" i="10" s="1"/>
  <c r="P38" i="10"/>
  <c r="P40" i="10" s="1"/>
  <c r="O38" i="10"/>
  <c r="O40" i="10" s="1"/>
  <c r="N38" i="10"/>
  <c r="N40" i="10" s="1"/>
  <c r="M38" i="10"/>
  <c r="M40" i="10" s="1"/>
  <c r="L38" i="10"/>
  <c r="L40" i="10" s="1"/>
  <c r="K38" i="10"/>
  <c r="K40" i="10" s="1"/>
  <c r="J38" i="10"/>
  <c r="J40" i="10" s="1"/>
  <c r="I38" i="10"/>
  <c r="I40" i="10" s="1"/>
  <c r="H38" i="10"/>
  <c r="H40" i="10" s="1"/>
  <c r="G38" i="10"/>
  <c r="G40" i="10" s="1"/>
  <c r="F38" i="10"/>
  <c r="F40" i="10" s="1"/>
  <c r="E38" i="10"/>
  <c r="E40" i="10" s="1"/>
  <c r="D38" i="10"/>
  <c r="D40" i="10" s="1"/>
  <c r="C38" i="10"/>
  <c r="C40" i="10" s="1"/>
  <c r="B38" i="10"/>
  <c r="B40" i="10" s="1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Q36" i="10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B2" i="10"/>
  <c r="A13" i="39" s="1"/>
  <c r="Q38" i="9"/>
  <c r="Q40" i="9" s="1"/>
  <c r="P38" i="9"/>
  <c r="P40" i="9" s="1"/>
  <c r="O38" i="9"/>
  <c r="O40" i="9" s="1"/>
  <c r="N38" i="9"/>
  <c r="N40" i="9" s="1"/>
  <c r="M38" i="9"/>
  <c r="M40" i="9" s="1"/>
  <c r="L38" i="9"/>
  <c r="L40" i="9" s="1"/>
  <c r="K38" i="9"/>
  <c r="K40" i="9" s="1"/>
  <c r="J38" i="9"/>
  <c r="J40" i="9" s="1"/>
  <c r="I38" i="9"/>
  <c r="I40" i="9" s="1"/>
  <c r="H38" i="9"/>
  <c r="H39" i="9" s="1"/>
  <c r="G38" i="9"/>
  <c r="G40" i="9" s="1"/>
  <c r="F38" i="9"/>
  <c r="F40" i="9" s="1"/>
  <c r="E38" i="9"/>
  <c r="E39" i="9" s="1"/>
  <c r="D38" i="9"/>
  <c r="D40" i="9" s="1"/>
  <c r="C38" i="9"/>
  <c r="C39" i="9" s="1"/>
  <c r="B38" i="9"/>
  <c r="B40" i="9" s="1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Q36" i="9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B2" i="9"/>
  <c r="A12" i="39" s="1"/>
  <c r="Q38" i="8"/>
  <c r="Q40" i="8" s="1"/>
  <c r="P38" i="8"/>
  <c r="P40" i="8" s="1"/>
  <c r="O38" i="8"/>
  <c r="O40" i="8" s="1"/>
  <c r="N38" i="8"/>
  <c r="N40" i="8" s="1"/>
  <c r="M38" i="8"/>
  <c r="M40" i="8" s="1"/>
  <c r="L38" i="8"/>
  <c r="L40" i="8" s="1"/>
  <c r="K38" i="8"/>
  <c r="K40" i="8" s="1"/>
  <c r="J38" i="8"/>
  <c r="J40" i="8" s="1"/>
  <c r="I38" i="8"/>
  <c r="I39" i="8" s="1"/>
  <c r="H38" i="8"/>
  <c r="H40" i="8" s="1"/>
  <c r="G38" i="8"/>
  <c r="G40" i="8" s="1"/>
  <c r="F38" i="8"/>
  <c r="F39" i="8" s="1"/>
  <c r="E38" i="8"/>
  <c r="E40" i="8" s="1"/>
  <c r="D38" i="8"/>
  <c r="D40" i="8" s="1"/>
  <c r="C38" i="8"/>
  <c r="C39" i="8" s="1"/>
  <c r="B38" i="8"/>
  <c r="B40" i="8" s="1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Q36" i="8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B2" i="8"/>
  <c r="A11" i="39" s="1"/>
  <c r="Q38" i="3"/>
  <c r="Q40" i="3" s="1"/>
  <c r="P38" i="3"/>
  <c r="P39" i="3" s="1"/>
  <c r="O38" i="3"/>
  <c r="O40" i="3" s="1"/>
  <c r="N38" i="3"/>
  <c r="N40" i="3" s="1"/>
  <c r="M38" i="3"/>
  <c r="M40" i="3" s="1"/>
  <c r="L38" i="3"/>
  <c r="L40" i="3" s="1"/>
  <c r="K38" i="3"/>
  <c r="K39" i="3" s="1"/>
  <c r="J38" i="3"/>
  <c r="J39" i="3" s="1"/>
  <c r="I38" i="3"/>
  <c r="I40" i="3" s="1"/>
  <c r="H38" i="3"/>
  <c r="H40" i="3" s="1"/>
  <c r="G38" i="3"/>
  <c r="G39" i="3" s="1"/>
  <c r="F38" i="3"/>
  <c r="F40" i="3" s="1"/>
  <c r="E38" i="3"/>
  <c r="E39" i="3" s="1"/>
  <c r="D38" i="3"/>
  <c r="D39" i="3" s="1"/>
  <c r="C38" i="3"/>
  <c r="C40" i="3" s="1"/>
  <c r="B38" i="3"/>
  <c r="B40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Q36" i="3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B2" i="3"/>
  <c r="A10" i="39" s="1"/>
  <c r="Q38" i="2"/>
  <c r="Q39" i="2" s="1"/>
  <c r="P38" i="2"/>
  <c r="P39" i="2" s="1"/>
  <c r="O38" i="2"/>
  <c r="O40" i="2" s="1"/>
  <c r="N38" i="2"/>
  <c r="N40" i="2" s="1"/>
  <c r="M38" i="2"/>
  <c r="M39" i="2" s="1"/>
  <c r="L38" i="2"/>
  <c r="L40" i="2" s="1"/>
  <c r="K38" i="2"/>
  <c r="K40" i="2" s="1"/>
  <c r="J38" i="2"/>
  <c r="J40" i="2" s="1"/>
  <c r="I38" i="2"/>
  <c r="I40" i="2" s="1"/>
  <c r="H38" i="2"/>
  <c r="H39" i="2" s="1"/>
  <c r="G38" i="2"/>
  <c r="G40" i="2" s="1"/>
  <c r="F38" i="2"/>
  <c r="F40" i="2" s="1"/>
  <c r="E38" i="2"/>
  <c r="E40" i="2" s="1"/>
  <c r="D38" i="2"/>
  <c r="D40" i="2" s="1"/>
  <c r="C38" i="2"/>
  <c r="C40" i="2" s="1"/>
  <c r="B38" i="2"/>
  <c r="B40" i="2" s="1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Q36" i="2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B2" i="2"/>
  <c r="A9" i="39" s="1"/>
  <c r="B2" i="39" s="1"/>
  <c r="C39" i="40" l="1"/>
  <c r="F39" i="40"/>
  <c r="H39" i="40"/>
  <c r="I39" i="40"/>
  <c r="M39" i="40"/>
  <c r="O39" i="40"/>
  <c r="N39" i="43"/>
  <c r="E39" i="43"/>
  <c r="I39" i="43"/>
  <c r="E39" i="33"/>
  <c r="J39" i="33"/>
  <c r="K39" i="33"/>
  <c r="Q39" i="33"/>
  <c r="C40" i="33"/>
  <c r="I40" i="33"/>
  <c r="B40" i="32"/>
  <c r="G40" i="32"/>
  <c r="I40" i="32"/>
  <c r="K39" i="31"/>
  <c r="G39" i="31"/>
  <c r="H39" i="31"/>
  <c r="I39" i="31"/>
  <c r="I39" i="30"/>
  <c r="J39" i="30"/>
  <c r="L39" i="30"/>
  <c r="M39" i="30"/>
  <c r="N39" i="30"/>
  <c r="B40" i="30"/>
  <c r="L40" i="29"/>
  <c r="I39" i="29"/>
  <c r="J39" i="29"/>
  <c r="K40" i="29"/>
  <c r="F39" i="28"/>
  <c r="G39" i="28"/>
  <c r="L39" i="28"/>
  <c r="M39" i="28"/>
  <c r="O39" i="28"/>
  <c r="P39" i="28"/>
  <c r="Q39" i="28"/>
  <c r="O40" i="27"/>
  <c r="P40" i="27"/>
  <c r="K39" i="27"/>
  <c r="L39" i="27"/>
  <c r="M39" i="27"/>
  <c r="N39" i="27"/>
  <c r="F39" i="26"/>
  <c r="H39" i="26"/>
  <c r="I39" i="26"/>
  <c r="Q39" i="26"/>
  <c r="N40" i="25"/>
  <c r="Q40" i="25"/>
  <c r="I39" i="25"/>
  <c r="J39" i="25"/>
  <c r="K39" i="25"/>
  <c r="M39" i="25"/>
  <c r="E40" i="24"/>
  <c r="K40" i="24"/>
  <c r="N40" i="24"/>
  <c r="P39" i="24"/>
  <c r="J40" i="24"/>
  <c r="Q39" i="24"/>
  <c r="D40" i="24"/>
  <c r="C40" i="23"/>
  <c r="L40" i="23"/>
  <c r="M40" i="23"/>
  <c r="K39" i="23"/>
  <c r="I39" i="22"/>
  <c r="C40" i="22"/>
  <c r="D40" i="22"/>
  <c r="F40" i="22"/>
  <c r="J40" i="22"/>
  <c r="M40" i="22"/>
  <c r="N39" i="21"/>
  <c r="O39" i="21"/>
  <c r="D40" i="21"/>
  <c r="F40" i="21"/>
  <c r="G40" i="21"/>
  <c r="K40" i="21"/>
  <c r="Q40" i="21"/>
  <c r="H40" i="20"/>
  <c r="N40" i="20"/>
  <c r="P40" i="20"/>
  <c r="O39" i="20"/>
  <c r="B40" i="20"/>
  <c r="C40" i="20"/>
  <c r="D40" i="20"/>
  <c r="E40" i="20"/>
  <c r="F40" i="19"/>
  <c r="J40" i="19"/>
  <c r="K40" i="19"/>
  <c r="O40" i="19"/>
  <c r="L39" i="19"/>
  <c r="J40" i="18"/>
  <c r="M40" i="18"/>
  <c r="N40" i="18"/>
  <c r="P40" i="18"/>
  <c r="E39" i="18"/>
  <c r="M41" i="39"/>
  <c r="F39" i="18"/>
  <c r="I39" i="18"/>
  <c r="B40" i="18"/>
  <c r="K40" i="17"/>
  <c r="L40" i="17"/>
  <c r="E39" i="17"/>
  <c r="N40" i="17"/>
  <c r="F39" i="17"/>
  <c r="O39" i="17"/>
  <c r="C40" i="17"/>
  <c r="G40" i="17"/>
  <c r="I40" i="16"/>
  <c r="N40" i="16"/>
  <c r="C40" i="16"/>
  <c r="D40" i="16"/>
  <c r="F40" i="16"/>
  <c r="G40" i="16"/>
  <c r="O39" i="15"/>
  <c r="E40" i="15"/>
  <c r="F40" i="15"/>
  <c r="H40" i="15"/>
  <c r="I40" i="15"/>
  <c r="L40" i="15"/>
  <c r="K39" i="15"/>
  <c r="F39" i="14"/>
  <c r="E40" i="14"/>
  <c r="H40" i="14"/>
  <c r="D39" i="14"/>
  <c r="K40" i="14"/>
  <c r="L40" i="14"/>
  <c r="O40" i="14"/>
  <c r="P40" i="14"/>
  <c r="J39" i="14"/>
  <c r="N39" i="14"/>
  <c r="D39" i="10"/>
  <c r="O40" i="39"/>
  <c r="J44" i="39"/>
  <c r="J43" i="39"/>
  <c r="J42" i="39"/>
  <c r="J41" i="39"/>
  <c r="J40" i="39"/>
  <c r="L44" i="39"/>
  <c r="L43" i="39"/>
  <c r="L42" i="39"/>
  <c r="L41" i="39"/>
  <c r="L40" i="39"/>
  <c r="D40" i="3"/>
  <c r="K39" i="20"/>
  <c r="F39" i="23"/>
  <c r="D39" i="25"/>
  <c r="N39" i="13"/>
  <c r="O39" i="16"/>
  <c r="F39" i="2"/>
  <c r="C40" i="9"/>
  <c r="P39" i="12"/>
  <c r="P39" i="16"/>
  <c r="B39" i="17"/>
  <c r="B39" i="27"/>
  <c r="G39" i="43"/>
  <c r="G44" i="39"/>
  <c r="G43" i="39"/>
  <c r="G42" i="39"/>
  <c r="G41" i="39"/>
  <c r="G40" i="39"/>
  <c r="G39" i="2"/>
  <c r="F39" i="3"/>
  <c r="E39" i="8"/>
  <c r="D39" i="9"/>
  <c r="C39" i="10"/>
  <c r="B39" i="11"/>
  <c r="Q39" i="12"/>
  <c r="P39" i="13"/>
  <c r="B40" i="16"/>
  <c r="B39" i="22"/>
  <c r="E40" i="22"/>
  <c r="I39" i="23"/>
  <c r="B40" i="24"/>
  <c r="G39" i="25"/>
  <c r="P39" i="26"/>
  <c r="E39" i="27"/>
  <c r="N39" i="28"/>
  <c r="K39" i="30"/>
  <c r="E39" i="31"/>
  <c r="O39" i="33"/>
  <c r="H39" i="43"/>
  <c r="D39" i="40"/>
  <c r="Q40" i="40"/>
  <c r="E44" i="39"/>
  <c r="E43" i="39"/>
  <c r="E42" i="39"/>
  <c r="E41" i="39"/>
  <c r="E40" i="39"/>
  <c r="Q40" i="10"/>
  <c r="E39" i="23"/>
  <c r="O40" i="13"/>
  <c r="C40" i="11"/>
  <c r="H39" i="3"/>
  <c r="G39" i="8"/>
  <c r="F39" i="9"/>
  <c r="E39" i="10"/>
  <c r="D39" i="11"/>
  <c r="C39" i="12"/>
  <c r="B39" i="13"/>
  <c r="D40" i="15"/>
  <c r="C40" i="21"/>
  <c r="Q40" i="31"/>
  <c r="J39" i="43"/>
  <c r="G39" i="40"/>
  <c r="O39" i="12"/>
  <c r="J39" i="20"/>
  <c r="I44" i="39"/>
  <c r="I43" i="39"/>
  <c r="I42" i="39"/>
  <c r="I41" i="39"/>
  <c r="I40" i="39"/>
  <c r="I39" i="2"/>
  <c r="J39" i="2"/>
  <c r="I39" i="3"/>
  <c r="H39" i="8"/>
  <c r="G39" i="9"/>
  <c r="F39" i="10"/>
  <c r="E39" i="11"/>
  <c r="D39" i="12"/>
  <c r="C39" i="13"/>
  <c r="N39" i="41"/>
  <c r="C40" i="8"/>
  <c r="F43" i="39"/>
  <c r="F42" i="39"/>
  <c r="F41" i="39"/>
  <c r="F40" i="39"/>
  <c r="E40" i="3"/>
  <c r="D39" i="8"/>
  <c r="B39" i="10"/>
  <c r="H44" i="39"/>
  <c r="H43" i="39"/>
  <c r="H42" i="39"/>
  <c r="H41" i="39"/>
  <c r="H40" i="39"/>
  <c r="F40" i="8"/>
  <c r="B39" i="12"/>
  <c r="J40" i="3"/>
  <c r="I40" i="8"/>
  <c r="E40" i="12"/>
  <c r="D39" i="13"/>
  <c r="L39" i="2"/>
  <c r="I39" i="9"/>
  <c r="H39" i="10"/>
  <c r="G39" i="11"/>
  <c r="F39" i="12"/>
  <c r="E39" i="13"/>
  <c r="H40" i="33"/>
  <c r="H40" i="2"/>
  <c r="E40" i="9"/>
  <c r="Q40" i="13"/>
  <c r="E39" i="16"/>
  <c r="M40" i="2"/>
  <c r="L39" i="3"/>
  <c r="K39" i="8"/>
  <c r="J39" i="9"/>
  <c r="I39" i="10"/>
  <c r="H39" i="11"/>
  <c r="G39" i="12"/>
  <c r="F39" i="13"/>
  <c r="Q40" i="27"/>
  <c r="F40" i="30"/>
  <c r="L40" i="32"/>
  <c r="D40" i="43"/>
  <c r="M40" i="39"/>
  <c r="C40" i="14"/>
  <c r="C39" i="14"/>
  <c r="K40" i="3"/>
  <c r="J39" i="8"/>
  <c r="N44" i="39"/>
  <c r="N43" i="39"/>
  <c r="N42" i="39"/>
  <c r="N41" i="39"/>
  <c r="N40" i="39"/>
  <c r="N39" i="2"/>
  <c r="M39" i="3"/>
  <c r="L39" i="8"/>
  <c r="K39" i="9"/>
  <c r="J39" i="10"/>
  <c r="I39" i="11"/>
  <c r="H39" i="12"/>
  <c r="G39" i="13"/>
  <c r="M40" i="17"/>
  <c r="Q40" i="18"/>
  <c r="C40" i="19"/>
  <c r="L40" i="24"/>
  <c r="J40" i="26"/>
  <c r="H40" i="28"/>
  <c r="O40" i="29"/>
  <c r="H40" i="30"/>
  <c r="P40" i="32"/>
  <c r="P40" i="11"/>
  <c r="O44" i="39"/>
  <c r="O39" i="2"/>
  <c r="N39" i="3"/>
  <c r="M39" i="8"/>
  <c r="L39" i="9"/>
  <c r="K39" i="10"/>
  <c r="J39" i="11"/>
  <c r="I39" i="12"/>
  <c r="H39" i="13"/>
  <c r="I40" i="14"/>
  <c r="J40" i="15"/>
  <c r="K40" i="16"/>
  <c r="F40" i="20"/>
  <c r="I40" i="21"/>
  <c r="P40" i="22"/>
  <c r="J40" i="28"/>
  <c r="P40" i="29"/>
  <c r="E39" i="2"/>
  <c r="K44" i="39"/>
  <c r="K43" i="39"/>
  <c r="K42" i="39"/>
  <c r="K41" i="39"/>
  <c r="K40" i="39"/>
  <c r="P40" i="2"/>
  <c r="O39" i="3"/>
  <c r="N39" i="8"/>
  <c r="M39" i="9"/>
  <c r="L39" i="10"/>
  <c r="K39" i="11"/>
  <c r="J39" i="12"/>
  <c r="I39" i="13"/>
  <c r="L40" i="16"/>
  <c r="E40" i="19"/>
  <c r="G40" i="20"/>
  <c r="J40" i="21"/>
  <c r="Q40" i="22"/>
  <c r="D40" i="23"/>
  <c r="O40" i="24"/>
  <c r="B40" i="25"/>
  <c r="M40" i="26"/>
  <c r="K40" i="28"/>
  <c r="O41" i="39"/>
  <c r="Q39" i="11"/>
  <c r="G40" i="3"/>
  <c r="H40" i="9"/>
  <c r="F39" i="11"/>
  <c r="M44" i="39"/>
  <c r="O39" i="8"/>
  <c r="N39" i="9"/>
  <c r="M39" i="10"/>
  <c r="L39" i="11"/>
  <c r="K39" i="12"/>
  <c r="J39" i="13"/>
  <c r="Q40" i="17"/>
  <c r="C40" i="25"/>
  <c r="M42" i="39"/>
  <c r="B39" i="9"/>
  <c r="G39" i="10"/>
  <c r="Q40" i="2"/>
  <c r="B44" i="39"/>
  <c r="B43" i="39"/>
  <c r="B42" i="39"/>
  <c r="B41" i="39"/>
  <c r="B40" i="39"/>
  <c r="B39" i="2"/>
  <c r="Q39" i="3"/>
  <c r="P39" i="8"/>
  <c r="O39" i="9"/>
  <c r="N39" i="10"/>
  <c r="M39" i="11"/>
  <c r="L39" i="12"/>
  <c r="K39" i="13"/>
  <c r="D40" i="18"/>
  <c r="G40" i="19"/>
  <c r="M40" i="21"/>
  <c r="O42" i="39"/>
  <c r="K39" i="2"/>
  <c r="P40" i="3"/>
  <c r="C44" i="39"/>
  <c r="C43" i="39"/>
  <c r="C42" i="39"/>
  <c r="C41" i="39"/>
  <c r="C40" i="39"/>
  <c r="C39" i="2"/>
  <c r="B39" i="3"/>
  <c r="Q39" i="8"/>
  <c r="P39" i="9"/>
  <c r="O39" i="10"/>
  <c r="N39" i="11"/>
  <c r="M39" i="12"/>
  <c r="L39" i="13"/>
  <c r="M40" i="14"/>
  <c r="N40" i="15"/>
  <c r="M43" i="39"/>
  <c r="P44" i="39"/>
  <c r="P43" i="39"/>
  <c r="P42" i="39"/>
  <c r="P41" i="39"/>
  <c r="P40" i="39"/>
  <c r="Q44" i="39"/>
  <c r="Q43" i="39"/>
  <c r="Q42" i="39"/>
  <c r="Q41" i="39"/>
  <c r="Q40" i="39"/>
  <c r="D44" i="39"/>
  <c r="D43" i="39"/>
  <c r="D42" i="39"/>
  <c r="D41" i="39"/>
  <c r="D40" i="39"/>
  <c r="D39" i="2"/>
  <c r="C39" i="3"/>
  <c r="B39" i="8"/>
  <c r="Q39" i="9"/>
  <c r="P39" i="10"/>
  <c r="O39" i="11"/>
  <c r="N39" i="12"/>
  <c r="M39" i="13"/>
  <c r="O43" i="39"/>
  <c r="D39" i="17"/>
  <c r="C39" i="18"/>
  <c r="B39" i="19"/>
  <c r="Q39" i="20"/>
  <c r="P39" i="21"/>
  <c r="O39" i="22"/>
  <c r="N39" i="23"/>
  <c r="M39" i="24"/>
  <c r="L39" i="25"/>
  <c r="K39" i="26"/>
  <c r="J39" i="27"/>
  <c r="I39" i="28"/>
  <c r="H39" i="29"/>
  <c r="G39" i="30"/>
  <c r="F39" i="31"/>
  <c r="E39" i="32"/>
  <c r="D39" i="33"/>
  <c r="C39" i="43"/>
  <c r="B39" i="40"/>
  <c r="Q39" i="41"/>
  <c r="B39" i="41"/>
  <c r="C39" i="41"/>
  <c r="G39" i="33"/>
  <c r="F39" i="43"/>
  <c r="E39" i="40"/>
  <c r="D39" i="41"/>
  <c r="E39" i="41"/>
  <c r="F39" i="41"/>
  <c r="G39" i="41"/>
  <c r="H39" i="41"/>
  <c r="O39" i="30"/>
  <c r="N39" i="31"/>
  <c r="M39" i="32"/>
  <c r="L39" i="33"/>
  <c r="K39" i="43"/>
  <c r="J39" i="40"/>
  <c r="I39" i="41"/>
  <c r="H39" i="22"/>
  <c r="G39" i="23"/>
  <c r="F39" i="24"/>
  <c r="E39" i="25"/>
  <c r="D39" i="26"/>
  <c r="C39" i="27"/>
  <c r="B39" i="28"/>
  <c r="Q39" i="29"/>
  <c r="P39" i="30"/>
  <c r="O39" i="31"/>
  <c r="N39" i="32"/>
  <c r="M39" i="33"/>
  <c r="L39" i="43"/>
  <c r="K39" i="40"/>
  <c r="J39" i="41"/>
  <c r="H39" i="23"/>
  <c r="G39" i="24"/>
  <c r="F39" i="25"/>
  <c r="E39" i="26"/>
  <c r="D39" i="27"/>
  <c r="C39" i="28"/>
  <c r="B39" i="29"/>
  <c r="Q39" i="30"/>
  <c r="P39" i="31"/>
  <c r="O39" i="32"/>
  <c r="N39" i="33"/>
  <c r="M39" i="43"/>
  <c r="L39" i="40"/>
  <c r="K39" i="41"/>
  <c r="B39" i="15"/>
  <c r="Q39" i="16"/>
  <c r="P39" i="17"/>
  <c r="O39" i="18"/>
  <c r="N39" i="19"/>
  <c r="M39" i="20"/>
  <c r="L39" i="21"/>
  <c r="K39" i="22"/>
  <c r="J39" i="23"/>
  <c r="I39" i="24"/>
  <c r="H39" i="25"/>
  <c r="G39" i="26"/>
  <c r="F39" i="27"/>
  <c r="E39" i="28"/>
  <c r="D39" i="29"/>
  <c r="C39" i="30"/>
  <c r="B39" i="31"/>
  <c r="Q39" i="32"/>
  <c r="P39" i="33"/>
  <c r="O39" i="43"/>
  <c r="N39" i="40"/>
  <c r="M39" i="41"/>
  <c r="E39" i="30"/>
  <c r="D39" i="31"/>
  <c r="C39" i="32"/>
  <c r="B39" i="33"/>
  <c r="Q39" i="43"/>
  <c r="P39" i="40"/>
  <c r="O39" i="41"/>
  <c r="P39" i="41"/>
  <c r="B46" i="39" l="1"/>
  <c r="B45" i="39"/>
  <c r="N46" i="39"/>
  <c r="N45" i="39"/>
  <c r="D46" i="39"/>
  <c r="D45" i="39"/>
  <c r="F46" i="39"/>
  <c r="F45" i="39"/>
  <c r="G46" i="39"/>
  <c r="G45" i="39"/>
  <c r="P46" i="39"/>
  <c r="P45" i="39"/>
  <c r="L46" i="39"/>
  <c r="L45" i="39"/>
  <c r="Q46" i="39"/>
  <c r="Q45" i="39"/>
  <c r="E46" i="39"/>
  <c r="E45" i="39"/>
  <c r="C46" i="39"/>
  <c r="C45" i="39"/>
  <c r="K46" i="39"/>
  <c r="K45" i="39"/>
  <c r="H46" i="39"/>
  <c r="H45" i="39"/>
  <c r="M46" i="39"/>
  <c r="M45" i="39"/>
  <c r="I46" i="39"/>
  <c r="I45" i="39"/>
  <c r="O46" i="39"/>
  <c r="O45" i="39"/>
  <c r="J46" i="39"/>
  <c r="J45" i="39"/>
</calcChain>
</file>

<file path=xl/sharedStrings.xml><?xml version="1.0" encoding="utf-8"?>
<sst xmlns="http://schemas.openxmlformats.org/spreadsheetml/2006/main" count="2992" uniqueCount="805">
  <si>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</si>
  <si>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</si>
  <si>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</si>
  <si>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</si>
  <si>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</si>
  <si>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</si>
  <si>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</si>
  <si>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</si>
  <si>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</si>
  <si>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</si>
  <si>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</si>
  <si>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</si>
  <si>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</si>
  <si>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</si>
  <si>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</si>
  <si>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</si>
  <si>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</si>
  <si>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</si>
  <si>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</si>
  <si>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</si>
  <si>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</si>
  <si>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</si>
  <si>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</si>
  <si>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</si>
  <si>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</si>
  <si>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</si>
  <si>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</si>
  <si>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</si>
  <si>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</si>
  <si>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</si>
  <si>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</si>
  <si>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</si>
  <si>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</si>
  <si>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</si>
  <si>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</si>
  <si>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</si>
  <si>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</si>
  <si>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</si>
  <si>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</si>
  <si>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</si>
  <si>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</si>
  <si>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</si>
  <si>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</si>
  <si>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</si>
  <si>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</si>
  <si>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</si>
  <si>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</si>
  <si>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</si>
  <si>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</si>
  <si>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</si>
  <si>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</si>
  <si>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</si>
  <si>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</si>
  <si>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</si>
  <si>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</si>
  <si>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</si>
  <si>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</si>
  <si>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</si>
  <si>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</si>
  <si>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</si>
  <si>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animesh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</si>
  <si>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</si>
  <si>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</si>
  <si>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</si>
  <si>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</si>
  <si>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</si>
  <si>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</si>
  <si>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</si>
  <si>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</si>
  <si>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</si>
  <si>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</si>
  <si>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</si>
  <si>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</si>
  <si>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</si>
  <si>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</si>
  <si>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</si>
  <si>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</si>
  <si>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</si>
  <si>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</si>
  <si>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</si>
  <si>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</si>
  <si>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</si>
  <si>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</si>
  <si>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</si>
  <si>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</si>
  <si>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</si>
  <si>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</si>
  <si>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</si>
  <si>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</si>
  <si>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</si>
  <si>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</si>
  <si>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</si>
  <si>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</si>
  <si>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</si>
  <si>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</si>
  <si>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</si>
  <si>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</si>
  <si>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</si>
  <si>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</si>
  <si>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</si>
  <si>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</si>
  <si>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</si>
  <si>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</si>
  <si>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</si>
  <si>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</si>
  <si>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</si>
  <si>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</si>
  <si>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</si>
  <si>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</si>
  <si>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</si>
  <si>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</si>
  <si>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</si>
  <si>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</si>
  <si>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</si>
  <si>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</si>
  <si>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</si>
  <si>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</si>
  <si>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</si>
  <si>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</si>
  <si>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</si>
  <si>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</si>
  <si>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</si>
  <si>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</si>
  <si>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</si>
  <si>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</si>
  <si>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</si>
  <si>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</si>
  <si>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</si>
  <si>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</si>
  <si>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</si>
  <si>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</si>
  <si>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</si>
  <si>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</si>
  <si>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</si>
  <si>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</si>
  <si>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</si>
  <si>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</si>
  <si>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</si>
  <si>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</si>
  <si>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</si>
  <si>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</si>
  <si>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</si>
  <si>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</si>
  <si>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</si>
  <si>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</si>
  <si>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</si>
  <si>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</si>
  <si>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</si>
  <si>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</si>
  <si>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</si>
  <si>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</si>
  <si>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</si>
  <si>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</si>
  <si>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</si>
  <si>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</si>
  <si>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</si>
  <si>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</si>
  <si>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</si>
  <si>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</si>
  <si>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</si>
  <si>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</si>
  <si>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</si>
  <si>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</si>
  <si>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</si>
  <si>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</si>
  <si>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</si>
  <si>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</si>
  <si>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</si>
  <si>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</si>
  <si>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</si>
  <si>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</si>
  <si>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</si>
  <si>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</si>
  <si>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</si>
  <si>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</si>
  <si>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</si>
  <si>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</si>
  <si>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</si>
  <si>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</si>
  <si>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</si>
  <si>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</si>
  <si>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</si>
  <si>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</si>
  <si>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</si>
  <si>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</si>
  <si>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</si>
  <si>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</si>
  <si>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</si>
  <si>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</si>
  <si>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</si>
  <si>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</si>
  <si>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</si>
  <si>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</si>
  <si>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</si>
  <si>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</si>
  <si>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</si>
  <si>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</si>
  <si>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</si>
  <si>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</si>
  <si>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</si>
  <si>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</si>
  <si>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</si>
  <si>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</si>
  <si>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</si>
  <si>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</si>
  <si>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</si>
  <si>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</si>
  <si>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</si>
  <si>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</si>
  <si>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</si>
  <si>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</si>
  <si>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</si>
  <si>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</si>
  <si>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</si>
  <si>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</si>
  <si>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</si>
  <si>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</si>
  <si>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</si>
  <si>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</si>
  <si>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</si>
  <si>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</si>
  <si>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</si>
  <si>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</si>
  <si>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</si>
  <si>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</si>
  <si>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</si>
  <si>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</si>
  <si>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</si>
  <si>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</si>
  <si>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</si>
  <si>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</si>
  <si>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</si>
  <si>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</si>
  <si>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</si>
  <si>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</si>
  <si>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</si>
  <si>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</si>
  <si>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</si>
  <si>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</si>
  <si>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</si>
  <si>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</si>
  <si>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</si>
  <si>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</si>
  <si>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</si>
  <si>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</si>
  <si>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</si>
  <si>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</si>
  <si>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</si>
  <si>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</si>
  <si>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</si>
  <si>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</si>
  <si>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</si>
  <si>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</si>
  <si>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</si>
  <si>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</si>
  <si>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</si>
  <si>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</si>
  <si>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</si>
  <si>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</si>
  <si>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</si>
  <si>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</si>
  <si>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</si>
  <si>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</si>
  <si>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</si>
  <si>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</si>
  <si>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</si>
  <si>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</si>
  <si>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</si>
  <si>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</si>
  <si>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</si>
  <si>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</si>
  <si>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</si>
  <si>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</si>
  <si>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</si>
  <si>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</si>
  <si>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</si>
  <si>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09/10/2025 24:00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</si>
  <si>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</si>
  <si>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</si>
  <si>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</si>
  <si>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</si>
  <si>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</si>
  <si>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</si>
  <si>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</si>
  <si>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</si>
  <si>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</si>
  <si>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</si>
  <si>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</si>
  <si>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</si>
  <si>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</si>
  <si>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</si>
  <si>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</si>
  <si>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</si>
  <si>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</si>
  <si>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</si>
  <si>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</si>
  <si>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</si>
  <si>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</si>
  <si>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</si>
  <si>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</si>
  <si>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10/10/2025 24:00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</si>
  <si>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</si>
  <si>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</si>
  <si>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</si>
  <si>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</si>
  <si>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</si>
  <si>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</si>
  <si>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</si>
  <si>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</si>
  <si>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</si>
  <si>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</si>
  <si>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</si>
  <si>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</si>
  <si>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</si>
  <si>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</si>
  <si>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</si>
  <si>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</si>
  <si>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</si>
  <si>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</si>
  <si>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</si>
  <si>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</si>
  <si>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</si>
  <si>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</si>
  <si>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</si>
  <si>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11/10/2025 24:00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</si>
  <si>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</si>
  <si>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</si>
  <si>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</si>
  <si>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</si>
  <si>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</si>
  <si>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</si>
  <si>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</si>
  <si>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</si>
  <si>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</si>
  <si>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</si>
  <si>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</si>
  <si>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</si>
  <si>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</si>
  <si>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</si>
  <si>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</si>
  <si>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</si>
  <si>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</si>
  <si>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</si>
  <si>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</si>
  <si>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</si>
  <si>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</si>
  <si>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</si>
  <si>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</si>
  <si>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12/10/2025 24:00</t>
  </si>
  <si>
    <t>13/10/2025 01:00</t>
  </si>
  <si>
    <t>13/10/2025 02:00</t>
  </si>
  <si>
    <t>13/10/2025 03:00</t>
  </si>
  <si>
    <t>13/10/2025 04:00</t>
  </si>
  <si>
    <t>13/10/2025 05:00</t>
  </si>
  <si>
    <t>13/10/2025 06:00</t>
  </si>
  <si>
    <t>13/10/2025 07:00</t>
  </si>
  <si>
    <t>13/10/2025 08:00</t>
  </si>
  <si>
    <t>13/10/2025 09:00</t>
  </si>
  <si>
    <t>13/10/2025 10:00</t>
  </si>
  <si>
    <t>13/10/2025 11:00</t>
  </si>
  <si>
    <t>13/10/2025 12:00</t>
  </si>
  <si>
    <t>13/10/2025 13:00</t>
  </si>
  <si>
    <t>13/10/2025 14:00</t>
  </si>
  <si>
    <t>13/10/2025 15:00</t>
  </si>
  <si>
    <t>13/10/2025 16:00</t>
  </si>
  <si>
    <t>13/10/2025 17:00</t>
  </si>
  <si>
    <t>13/10/2025 18:00</t>
  </si>
  <si>
    <t>13/10/2025 19:00</t>
  </si>
  <si>
    <t>13/10/2025 20:00</t>
  </si>
  <si>
    <t>13/10/2025 21:00</t>
  </si>
  <si>
    <t>13/10/2025 22:00</t>
  </si>
  <si>
    <t>13/10/2025 23:00</t>
  </si>
  <si>
    <t>13/10/2025 24:00</t>
  </si>
  <si>
    <t>14/10/2025 01:00</t>
  </si>
  <si>
    <t>14/10/2025 02:00</t>
  </si>
  <si>
    <t>14/10/2025 03:00</t>
  </si>
  <si>
    <t>14/10/2025 04:00</t>
  </si>
  <si>
    <t>14/10/2025 05:00</t>
  </si>
  <si>
    <t>14/10/2025 06:00</t>
  </si>
  <si>
    <t>14/10/2025 07:00</t>
  </si>
  <si>
    <t>14/10/2025 08:00</t>
  </si>
  <si>
    <t>14/10/2025 09:00</t>
  </si>
  <si>
    <t>14/10/2025 10:00</t>
  </si>
  <si>
    <t>14/10/2025 11:00</t>
  </si>
  <si>
    <t>14/10/2025 12:00</t>
  </si>
  <si>
    <t>14/10/2025 13:00</t>
  </si>
  <si>
    <t>14/10/2025 14:00</t>
  </si>
  <si>
    <t>14/10/2025 15:00</t>
  </si>
  <si>
    <t>14/10/2025 16:00</t>
  </si>
  <si>
    <t>14/10/2025 17:00</t>
  </si>
  <si>
    <t>14/10/2025 18:00</t>
  </si>
  <si>
    <t>14/10/2025 19:00</t>
  </si>
  <si>
    <t>14/10/2025 20:00</t>
  </si>
  <si>
    <t>14/10/2025 21:00</t>
  </si>
  <si>
    <t>14/10/2025 22:00</t>
  </si>
  <si>
    <t>14/10/2025 23:00</t>
  </si>
  <si>
    <t>14/10/2025 24:00</t>
  </si>
  <si>
    <t>15/10/2025 01:00</t>
  </si>
  <si>
    <t>15/10/2025 02:00</t>
  </si>
  <si>
    <t>15/10/2025 03:00</t>
  </si>
  <si>
    <t>15/10/2025 04:00</t>
  </si>
  <si>
    <t>15/10/2025 05:00</t>
  </si>
  <si>
    <t>15/10/2025 06:00</t>
  </si>
  <si>
    <t>15/10/2025 07:00</t>
  </si>
  <si>
    <t>15/10/2025 08:00</t>
  </si>
  <si>
    <t>15/10/2025 09:00</t>
  </si>
  <si>
    <t>15/10/2025 10:00</t>
  </si>
  <si>
    <t>15/10/2025 11:00</t>
  </si>
  <si>
    <t>15/10/2025 12:00</t>
  </si>
  <si>
    <t>15/10/2025 13:00</t>
  </si>
  <si>
    <t>15/10/2025 14:00</t>
  </si>
  <si>
    <t>15/10/2025 15:00</t>
  </si>
  <si>
    <t>15/10/2025 16:00</t>
  </si>
  <si>
    <t>15/10/2025 17:00</t>
  </si>
  <si>
    <t>15/10/2025 18:00</t>
  </si>
  <si>
    <t>15/10/2025 19:00</t>
  </si>
  <si>
    <t>15/10/2025 20:00</t>
  </si>
  <si>
    <t>15/10/2025 21:00</t>
  </si>
  <si>
    <t>15/10/2025 22:00</t>
  </si>
  <si>
    <t>15/10/2025 23:00</t>
  </si>
  <si>
    <t>15/10/2025 24:00</t>
  </si>
  <si>
    <t>16/10/2025 01:00</t>
  </si>
  <si>
    <t>16/10/2025 02:00</t>
  </si>
  <si>
    <t>16/10/2025 03:00</t>
  </si>
  <si>
    <t>16/10/2025 04:00</t>
  </si>
  <si>
    <t>16/10/2025 05:00</t>
  </si>
  <si>
    <t>16/10/2025 06:00</t>
  </si>
  <si>
    <t>16/10/2025 07:00</t>
  </si>
  <si>
    <t>16/10/2025 08:00</t>
  </si>
  <si>
    <t>16/10/2025 09:00</t>
  </si>
  <si>
    <t>16/10/2025 10:00</t>
  </si>
  <si>
    <t>16/10/2025 11:00</t>
  </si>
  <si>
    <t>16/10/2025 12:00</t>
  </si>
  <si>
    <t>16/10/2025 13:00</t>
  </si>
  <si>
    <t>16/10/2025 14:00</t>
  </si>
  <si>
    <t>16/10/2025 15:00</t>
  </si>
  <si>
    <t>16/10/2025 16:00</t>
  </si>
  <si>
    <t>16/10/2025 17:00</t>
  </si>
  <si>
    <t>16/10/2025 18:00</t>
  </si>
  <si>
    <t>16/10/2025 19:00</t>
  </si>
  <si>
    <t>16/10/2025 20:00</t>
  </si>
  <si>
    <t>16/10/2025 21:00</t>
  </si>
  <si>
    <t>16/10/2025 22:00</t>
  </si>
  <si>
    <t>16/10/2025 23:00</t>
  </si>
  <si>
    <t>16/10/2025 24:00</t>
  </si>
  <si>
    <t>17/10/2025 01:00</t>
  </si>
  <si>
    <t>17/10/2025 02:00</t>
  </si>
  <si>
    <t>17/10/2025 03:00</t>
  </si>
  <si>
    <t>17/10/2025 04:00</t>
  </si>
  <si>
    <t>17/10/2025 05:00</t>
  </si>
  <si>
    <t>17/10/2025 06:00</t>
  </si>
  <si>
    <t>17/10/2025 07:00</t>
  </si>
  <si>
    <t>17/10/2025 08:00</t>
  </si>
  <si>
    <t>17/10/2025 09:00</t>
  </si>
  <si>
    <t>17/10/2025 10:00</t>
  </si>
  <si>
    <t>17/10/2025 11:00</t>
  </si>
  <si>
    <t>17/10/2025 12:00</t>
  </si>
  <si>
    <t>17/10/2025 13:00</t>
  </si>
  <si>
    <t>17/10/2025 14:00</t>
  </si>
  <si>
    <t>17/10/2025 15:00</t>
  </si>
  <si>
    <t>17/10/2025 16:00</t>
  </si>
  <si>
    <t>17/10/2025 17:00</t>
  </si>
  <si>
    <t>17/10/2025 18:00</t>
  </si>
  <si>
    <t>17/10/2025 19:00</t>
  </si>
  <si>
    <t>17/10/2025 20:00</t>
  </si>
  <si>
    <t>17/10/2025 21:00</t>
  </si>
  <si>
    <t>17/10/2025 22:00</t>
  </si>
  <si>
    <t>17/10/2025 23:00</t>
  </si>
  <si>
    <t>17/10/2025 24:00</t>
  </si>
  <si>
    <t>18/10/2025 01:00</t>
  </si>
  <si>
    <t>18/10/2025 02:00</t>
  </si>
  <si>
    <t>18/10/2025 03:00</t>
  </si>
  <si>
    <t>18/10/2025 04:00</t>
  </si>
  <si>
    <t>18/10/2025 05:00</t>
  </si>
  <si>
    <t>18/10/2025 06:00</t>
  </si>
  <si>
    <t>18/10/2025 07:00</t>
  </si>
  <si>
    <t>18/10/2025 08:00</t>
  </si>
  <si>
    <t>18/10/2025 09:00</t>
  </si>
  <si>
    <t>18/10/2025 10:00</t>
  </si>
  <si>
    <t>18/10/2025 11:00</t>
  </si>
  <si>
    <t>18/10/2025 12:00</t>
  </si>
  <si>
    <t>18/10/2025 13:00</t>
  </si>
  <si>
    <t>18/10/2025 14:00</t>
  </si>
  <si>
    <t>18/10/2025 15:00</t>
  </si>
  <si>
    <t>18/10/2025 16:00</t>
  </si>
  <si>
    <t>18/10/2025 17:00</t>
  </si>
  <si>
    <t>18/10/2025 18:00</t>
  </si>
  <si>
    <t>18/10/2025 19:00</t>
  </si>
  <si>
    <t>18/10/2025 20:00</t>
  </si>
  <si>
    <t>18/10/2025 21:00</t>
  </si>
  <si>
    <t>18/10/2025 22:00</t>
  </si>
  <si>
    <t>18/10/2025 23:00</t>
  </si>
  <si>
    <t>18/10/2025 24:00</t>
  </si>
  <si>
    <t>19/10/2025 01:00</t>
  </si>
  <si>
    <t>19/10/2025 02:00</t>
  </si>
  <si>
    <t>19/10/2025 03:00</t>
  </si>
  <si>
    <t>19/10/2025 04:00</t>
  </si>
  <si>
    <t>19/10/2025 05:00</t>
  </si>
  <si>
    <t>19/10/2025 06:00</t>
  </si>
  <si>
    <t>19/10/2025 07:00</t>
  </si>
  <si>
    <t>19/10/2025 08:00</t>
  </si>
  <si>
    <t>19/10/2025 09:00</t>
  </si>
  <si>
    <t>19/10/2025 10:00</t>
  </si>
  <si>
    <t>19/10/2025 11:00</t>
  </si>
  <si>
    <t>19/10/2025 12:00</t>
  </si>
  <si>
    <t>19/10/2025 13:00</t>
  </si>
  <si>
    <t>19/10/2025 14:00</t>
  </si>
  <si>
    <t>19/10/2025 15:00</t>
  </si>
  <si>
    <t>19/10/2025 16:00</t>
  </si>
  <si>
    <t>19/10/2025 17:00</t>
  </si>
  <si>
    <t>19/10/2025 18:00</t>
  </si>
  <si>
    <t>19/10/2025 19:00</t>
  </si>
  <si>
    <t>19/10/2025 20:00</t>
  </si>
  <si>
    <t>19/10/2025 21:00</t>
  </si>
  <si>
    <t>19/10/2025 22:00</t>
  </si>
  <si>
    <t>19/10/2025 23:00</t>
  </si>
  <si>
    <t>19/10/2025 24:00</t>
  </si>
  <si>
    <t>20/10/2025 01:00</t>
  </si>
  <si>
    <t>20/10/2025 02:00</t>
  </si>
  <si>
    <t>20/10/2025 03:00</t>
  </si>
  <si>
    <t>20/10/2025 04:00</t>
  </si>
  <si>
    <t>20/10/2025 05:00</t>
  </si>
  <si>
    <t>20/10/2025 06:00</t>
  </si>
  <si>
    <t>20/10/2025 07:00</t>
  </si>
  <si>
    <t>20/10/2025 08:00</t>
  </si>
  <si>
    <t>20/10/2025 09:00</t>
  </si>
  <si>
    <t>20/10/2025 10:00</t>
  </si>
  <si>
    <t>20/10/2025 11:00</t>
  </si>
  <si>
    <t>20/10/2025 12:00</t>
  </si>
  <si>
    <t>20/10/2025 13:00</t>
  </si>
  <si>
    <t>20/10/2025 14:00</t>
  </si>
  <si>
    <t>20/10/2025 15:00</t>
  </si>
  <si>
    <t>20/10/2025 16:00</t>
  </si>
  <si>
    <t>20/10/2025 17:00</t>
  </si>
  <si>
    <t>20/10/2025 18:00</t>
  </si>
  <si>
    <t>20/10/2025 19:00</t>
  </si>
  <si>
    <t>20/10/2025 20:00</t>
  </si>
  <si>
    <t>20/10/2025 21:00</t>
  </si>
  <si>
    <t>20/10/2025 22:00</t>
  </si>
  <si>
    <t>20/10/2025 23:00</t>
  </si>
  <si>
    <t>20/10/2025 24:00</t>
  </si>
  <si>
    <t>21/10/2025 01:00</t>
  </si>
  <si>
    <t>21/10/2025 02:00</t>
  </si>
  <si>
    <t>21/10/2025 03:00</t>
  </si>
  <si>
    <t>21/10/2025 04:00</t>
  </si>
  <si>
    <t>21/10/2025 05:00</t>
  </si>
  <si>
    <t>21/10/2025 06:00</t>
  </si>
  <si>
    <t>21/10/2025 07:00</t>
  </si>
  <si>
    <t>21/10/2025 08:00</t>
  </si>
  <si>
    <t>21/10/2025 09:00</t>
  </si>
  <si>
    <t>21/10/2025 10:00</t>
  </si>
  <si>
    <t>21/10/2025 11:00</t>
  </si>
  <si>
    <t>21/10/2025 12:00</t>
  </si>
  <si>
    <t>21/10/2025 13:00</t>
  </si>
  <si>
    <t>21/10/2025 14:00</t>
  </si>
  <si>
    <t>21/10/2025 15:00</t>
  </si>
  <si>
    <t>21/10/2025 16:00</t>
  </si>
  <si>
    <t>21/10/2025 17:00</t>
  </si>
  <si>
    <t>21/10/2025 18:00</t>
  </si>
  <si>
    <t>21/10/2025 19:00</t>
  </si>
  <si>
    <t>21/10/2025 20:00</t>
  </si>
  <si>
    <t>21/10/2025 21:00</t>
  </si>
  <si>
    <t>21/10/2025 22:00</t>
  </si>
  <si>
    <t>21/10/2025 23:00</t>
  </si>
  <si>
    <t>21/10/2025 24:00</t>
  </si>
  <si>
    <t>22/10/2025 01:00</t>
  </si>
  <si>
    <t>22/10/2025 02:00</t>
  </si>
  <si>
    <t>22/10/2025 03:00</t>
  </si>
  <si>
    <t>22/10/2025 04:00</t>
  </si>
  <si>
    <t>22/10/2025 05:00</t>
  </si>
  <si>
    <t>22/10/2025 06:00</t>
  </si>
  <si>
    <t>22/10/2025 07:00</t>
  </si>
  <si>
    <t>22/10/2025 08:00</t>
  </si>
  <si>
    <t>22/10/2025 09:00</t>
  </si>
  <si>
    <t>22/10/2025 10:00</t>
  </si>
  <si>
    <t>22/10/2025 11:00</t>
  </si>
  <si>
    <t>22/10/2025 12:00</t>
  </si>
  <si>
    <t>22/10/2025 13:00</t>
  </si>
  <si>
    <t>22/10/2025 14:00</t>
  </si>
  <si>
    <t>22/10/2025 15:00</t>
  </si>
  <si>
    <t>22/10/2025 16:00</t>
  </si>
  <si>
    <t>22/10/2025 17:00</t>
  </si>
  <si>
    <t>22/10/2025 18:00</t>
  </si>
  <si>
    <t>22/10/2025 19:00</t>
  </si>
  <si>
    <t>22/10/2025 20:00</t>
  </si>
  <si>
    <t>22/10/2025 21:00</t>
  </si>
  <si>
    <t>22/10/2025 22:00</t>
  </si>
  <si>
    <t>22/10/2025 23:00</t>
  </si>
  <si>
    <t>22/10/2025 24:00</t>
  </si>
  <si>
    <t>23/10/2025 01:00</t>
  </si>
  <si>
    <t>23/10/2025 02:00</t>
  </si>
  <si>
    <t>23/10/2025 03:00</t>
  </si>
  <si>
    <t>23/10/2025 04:00</t>
  </si>
  <si>
    <t>23/10/2025 05:00</t>
  </si>
  <si>
    <t>23/10/2025 06:00</t>
  </si>
  <si>
    <t>23/10/2025 07:00</t>
  </si>
  <si>
    <t>23/10/2025 08:00</t>
  </si>
  <si>
    <t>23/10/2025 09:00</t>
  </si>
  <si>
    <t>23/10/2025 10:00</t>
  </si>
  <si>
    <t>23/10/2025 11:00</t>
  </si>
  <si>
    <t>23/10/2025 12:00</t>
  </si>
  <si>
    <t>23/10/2025 13:00</t>
  </si>
  <si>
    <t>23/10/2025 14:00</t>
  </si>
  <si>
    <t>23/10/2025 15:00</t>
  </si>
  <si>
    <t>23/10/2025 16:00</t>
  </si>
  <si>
    <t>23/10/2025 17:00</t>
  </si>
  <si>
    <t>23/10/2025 18:00</t>
  </si>
  <si>
    <t>23/10/2025 19:00</t>
  </si>
  <si>
    <t>23/10/2025 20:00</t>
  </si>
  <si>
    <t>23/10/2025 21:00</t>
  </si>
  <si>
    <t>23/10/2025 22:00</t>
  </si>
  <si>
    <t>23/10/2025 23:00</t>
  </si>
  <si>
    <t>23/10/2025 24:00</t>
  </si>
  <si>
    <t>24/10/2025 01:00</t>
  </si>
  <si>
    <t>24/10/2025 02:00</t>
  </si>
  <si>
    <t>24/10/2025 03:00</t>
  </si>
  <si>
    <t>24/10/2025 04:00</t>
  </si>
  <si>
    <t>24/10/2025 05:00</t>
  </si>
  <si>
    <t>24/10/2025 06:00</t>
  </si>
  <si>
    <t>24/10/2025 07:00</t>
  </si>
  <si>
    <t>24/10/2025 08:00</t>
  </si>
  <si>
    <t>24/10/2025 09:00</t>
  </si>
  <si>
    <t>24/10/2025 10:00</t>
  </si>
  <si>
    <t>24/10/2025 11:00</t>
  </si>
  <si>
    <t>24/10/2025 12:00</t>
  </si>
  <si>
    <t>24/10/2025 13:00</t>
  </si>
  <si>
    <t>24/10/2025 14:00</t>
  </si>
  <si>
    <t>24/10/2025 15:00</t>
  </si>
  <si>
    <t>24/10/2025 16:00</t>
  </si>
  <si>
    <t>24/10/2025 17:00</t>
  </si>
  <si>
    <t>24/10/2025 18:00</t>
  </si>
  <si>
    <t>24/10/2025 19:00</t>
  </si>
  <si>
    <t>24/10/2025 20:00</t>
  </si>
  <si>
    <t>24/10/2025 21:00</t>
  </si>
  <si>
    <t>24/10/2025 22:00</t>
  </si>
  <si>
    <t>24/10/2025 23:00</t>
  </si>
  <si>
    <t>24/10/2025 24:00</t>
  </si>
  <si>
    <t>25/10/2025 01:00</t>
  </si>
  <si>
    <t>25/10/2025 02:00</t>
  </si>
  <si>
    <t>25/10/2025 03:00</t>
  </si>
  <si>
    <t>25/10/2025 04:00</t>
  </si>
  <si>
    <t>25/10/2025 05:00</t>
  </si>
  <si>
    <t>25/10/2025 06:00</t>
  </si>
  <si>
    <t>25/10/2025 07:00</t>
  </si>
  <si>
    <t>25/10/2025 08:00</t>
  </si>
  <si>
    <t>25/10/2025 09:00</t>
  </si>
  <si>
    <t>25/10/2025 10:00</t>
  </si>
  <si>
    <t>25/10/2025 11:00</t>
  </si>
  <si>
    <t>25/10/2025 12:00</t>
  </si>
  <si>
    <t>25/10/2025 13:00</t>
  </si>
  <si>
    <t>25/10/2025 14:00</t>
  </si>
  <si>
    <t>25/10/2025 15:00</t>
  </si>
  <si>
    <t>25/10/2025 16:00</t>
  </si>
  <si>
    <t>25/10/2025 17:00</t>
  </si>
  <si>
    <t>25/10/2025 18:00</t>
  </si>
  <si>
    <t>25/10/2025 19:00</t>
  </si>
  <si>
    <t>25/10/2025 20:00</t>
  </si>
  <si>
    <t>25/10/2025 21:00</t>
  </si>
  <si>
    <t>25/10/2025 22:00</t>
  </si>
  <si>
    <t>25/10/2025 23:00</t>
  </si>
  <si>
    <t>25/10/2025 24:00</t>
  </si>
  <si>
    <t>26/10/2025 01:00</t>
  </si>
  <si>
    <t>26/10/2025 02:00</t>
  </si>
  <si>
    <t>26/10/2025 03:00</t>
  </si>
  <si>
    <t>26/10/2025 04:00</t>
  </si>
  <si>
    <t>26/10/2025 05:00</t>
  </si>
  <si>
    <t>26/10/2025 06:00</t>
  </si>
  <si>
    <t>26/10/2025 07:00</t>
  </si>
  <si>
    <t>26/10/2025 08:00</t>
  </si>
  <si>
    <t>26/10/2025 09:00</t>
  </si>
  <si>
    <t>26/10/2025 10:00</t>
  </si>
  <si>
    <t>26/10/2025 11:00</t>
  </si>
  <si>
    <t>26/10/2025 12:00</t>
  </si>
  <si>
    <t>26/10/2025 13:00</t>
  </si>
  <si>
    <t>26/10/2025 14:00</t>
  </si>
  <si>
    <t>26/10/2025 15:00</t>
  </si>
  <si>
    <t>26/10/2025 16:00</t>
  </si>
  <si>
    <t>26/10/2025 17:00</t>
  </si>
  <si>
    <t>26/10/2025 18:00</t>
  </si>
  <si>
    <t>26/10/2025 19:00</t>
  </si>
  <si>
    <t>26/10/2025 20:00</t>
  </si>
  <si>
    <t>26/10/2025 21:00</t>
  </si>
  <si>
    <t>26/10/2025 22:00</t>
  </si>
  <si>
    <t>26/10/2025 23:00</t>
  </si>
  <si>
    <t>26/10/2025 24:00</t>
  </si>
  <si>
    <t>27/10/2025 01:00</t>
  </si>
  <si>
    <t>27/10/2025 02:00</t>
  </si>
  <si>
    <t>27/10/2025 03:00</t>
  </si>
  <si>
    <t>27/10/2025 04:00</t>
  </si>
  <si>
    <t>27/10/2025 05:00</t>
  </si>
  <si>
    <t>27/10/2025 06:00</t>
  </si>
  <si>
    <t>27/10/2025 07:00</t>
  </si>
  <si>
    <t>27/10/2025 08:00</t>
  </si>
  <si>
    <t>27/10/2025 09:00</t>
  </si>
  <si>
    <t>27/10/2025 10:00</t>
  </si>
  <si>
    <t>27/10/2025 11:00</t>
  </si>
  <si>
    <t>27/10/2025 12:00</t>
  </si>
  <si>
    <t>27/10/2025 13:00</t>
  </si>
  <si>
    <t>27/10/2025 14:00</t>
  </si>
  <si>
    <t>27/10/2025 15:00</t>
  </si>
  <si>
    <t>27/10/2025 16:00</t>
  </si>
  <si>
    <t>27/10/2025 17:00</t>
  </si>
  <si>
    <t>27/10/2025 18:00</t>
  </si>
  <si>
    <t>27/10/2025 19:00</t>
  </si>
  <si>
    <t>27/10/2025 20:00</t>
  </si>
  <si>
    <t>27/10/2025 21:00</t>
  </si>
  <si>
    <t>27/10/2025 22:00</t>
  </si>
  <si>
    <t>27/10/2025 23:00</t>
  </si>
  <si>
    <t>27/10/2025 24:00</t>
  </si>
  <si>
    <t>28/10/2025 01:00</t>
  </si>
  <si>
    <t>28/10/2025 02:00</t>
  </si>
  <si>
    <t>28/10/2025 03:00</t>
  </si>
  <si>
    <t>28/10/2025 04:00</t>
  </si>
  <si>
    <t>28/10/2025 05:00</t>
  </si>
  <si>
    <t>28/10/2025 06:00</t>
  </si>
  <si>
    <t>28/10/2025 07:00</t>
  </si>
  <si>
    <t>28/10/2025 08:00</t>
  </si>
  <si>
    <t>28/10/2025 09:00</t>
  </si>
  <si>
    <t>28/10/2025 10:00</t>
  </si>
  <si>
    <t>28/10/2025 11:00</t>
  </si>
  <si>
    <t>28/10/2025 12:00</t>
  </si>
  <si>
    <t>28/10/2025 13:00</t>
  </si>
  <si>
    <t>28/10/2025 14:00</t>
  </si>
  <si>
    <t>28/10/2025 15:00</t>
  </si>
  <si>
    <t>28/10/2025 16:00</t>
  </si>
  <si>
    <t>28/10/2025 17:00</t>
  </si>
  <si>
    <t>28/10/2025 18:00</t>
  </si>
  <si>
    <t>28/10/2025 19:00</t>
  </si>
  <si>
    <t>28/10/2025 20:00</t>
  </si>
  <si>
    <t>28/10/2025 21:00</t>
  </si>
  <si>
    <t>28/10/2025 22:00</t>
  </si>
  <si>
    <t>28/10/2025 23:00</t>
  </si>
  <si>
    <t>28/10/2025 24:00</t>
  </si>
  <si>
    <t>29/10/2025 01:00</t>
  </si>
  <si>
    <t>29/10/2025 02:00</t>
  </si>
  <si>
    <t>29/10/2025 03:00</t>
  </si>
  <si>
    <t>29/10/2025 04:00</t>
  </si>
  <si>
    <t>29/10/2025 05:00</t>
  </si>
  <si>
    <t>29/10/2025 06:00</t>
  </si>
  <si>
    <t>29/10/2025 07:00</t>
  </si>
  <si>
    <t>29/10/2025 08:00</t>
  </si>
  <si>
    <t>29/10/2025 09:00</t>
  </si>
  <si>
    <t>29/10/2025 10:00</t>
  </si>
  <si>
    <t>29/10/2025 11:00</t>
  </si>
  <si>
    <t>29/10/2025 12:00</t>
  </si>
  <si>
    <t>29/10/2025 13:00</t>
  </si>
  <si>
    <t>29/10/2025 14:00</t>
  </si>
  <si>
    <t>29/10/2025 15:00</t>
  </si>
  <si>
    <t>29/10/2025 16:00</t>
  </si>
  <si>
    <t>29/10/2025 17:00</t>
  </si>
  <si>
    <t>29/10/2025 18:00</t>
  </si>
  <si>
    <t>29/10/2025 19:00</t>
  </si>
  <si>
    <t>29/10/2025 20:00</t>
  </si>
  <si>
    <t>29/10/2025 21:00</t>
  </si>
  <si>
    <t>29/10/2025 22:00</t>
  </si>
  <si>
    <t>29/10/2025 23:00</t>
  </si>
  <si>
    <t>29/10/2025 24:00</t>
  </si>
  <si>
    <t>30/10/2025 01:00</t>
  </si>
  <si>
    <t>30/10/2025 02:00</t>
  </si>
  <si>
    <t>30/10/2025 03:00</t>
  </si>
  <si>
    <t>30/10/2025 04:00</t>
  </si>
  <si>
    <t>30/10/2025 05:00</t>
  </si>
  <si>
    <t>30/10/2025 06:00</t>
  </si>
  <si>
    <t>30/10/2025 07:00</t>
  </si>
  <si>
    <t>30/10/2025 08:00</t>
  </si>
  <si>
    <t>30/10/2025 09:00</t>
  </si>
  <si>
    <t>30/10/2025 10:00</t>
  </si>
  <si>
    <t>30/10/2025 11:00</t>
  </si>
  <si>
    <t>30/10/2025 12:00</t>
  </si>
  <si>
    <t>30/10/2025 13:00</t>
  </si>
  <si>
    <t>30/10/2025 14:00</t>
  </si>
  <si>
    <t>30/10/2025 15:00</t>
  </si>
  <si>
    <t>30/10/2025 16:00</t>
  </si>
  <si>
    <t>30/10/2025 17:00</t>
  </si>
  <si>
    <t>30/10/2025 18:00</t>
  </si>
  <si>
    <t>30/10/2025 19:00</t>
  </si>
  <si>
    <t>30/10/2025 20:00</t>
  </si>
  <si>
    <t>30/10/2025 21:00</t>
  </si>
  <si>
    <t>30/10/2025 22:00</t>
  </si>
  <si>
    <t>30/10/2025 23:00</t>
  </si>
  <si>
    <t>30/10/2025 24:00</t>
  </si>
  <si>
    <t>31/10/2025 01:00</t>
  </si>
  <si>
    <t>31/10/2025 02:00</t>
  </si>
  <si>
    <t>31/10/2025 03:00</t>
  </si>
  <si>
    <t>31/10/2025 04:00</t>
  </si>
  <si>
    <t>31/10/2025 05:00</t>
  </si>
  <si>
    <t>31/10/2025 06:00</t>
  </si>
  <si>
    <t>31/10/2025 07:00</t>
  </si>
  <si>
    <t>31/10/2025 08:00</t>
  </si>
  <si>
    <t>31/10/2025 09:00</t>
  </si>
  <si>
    <t>31/10/2025 10:00</t>
  </si>
  <si>
    <t>31/10/2025 11:00</t>
  </si>
  <si>
    <t>31/10/2025 12:00</t>
  </si>
  <si>
    <t>31/10/2025 13:00</t>
  </si>
  <si>
    <t>31/10/2025 14:00</t>
  </si>
  <si>
    <t>31/10/2025 15:00</t>
  </si>
  <si>
    <t>31/10/2025 16:00</t>
  </si>
  <si>
    <t>31/10/2025 17:00</t>
  </si>
  <si>
    <t>31/10/2025 18:00</t>
  </si>
  <si>
    <t>31/10/2025 19:00</t>
  </si>
  <si>
    <t>31/10/2025 20:00</t>
  </si>
  <si>
    <t>31/10/2025 21:00</t>
  </si>
  <si>
    <t>31/10/2025 22:00</t>
  </si>
  <si>
    <t>31/10/2025 23:00</t>
  </si>
  <si>
    <t>31/10/2025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</si>
</sst>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7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11" fillId="3" borderId="0" xfId="0" applyFont="1" applyFill="1"/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1" fillId="3" borderId="0" xfId="0" applyFont="1" applyFill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I14" sqref="I14"/>
    </sheetView>
  </sheetViews>
  <sheetFormatPr defaultColWidth="8.85546875" defaultRowHeight="15"/>
  <cols>
    <col min="1" max="1" width="19.5703125" style="1" customWidth="1"/>
    <col min="2" max="2" width="14.42578125" style="1" customWidth="1"/>
    <col min="3" max="3" width="10.42578125" style="1" customWidth="1"/>
    <col min="4" max="4" width="10.140625" style="1" customWidth="1"/>
    <col min="5" max="5" width="10.28515625" style="1" customWidth="1"/>
    <col min="6" max="6" width="9.85546875" style="1" customWidth="1"/>
    <col min="7" max="7" width="11.28515625" style="1" customWidth="1"/>
    <col min="8" max="8" width="12" style="1" customWidth="1"/>
    <col min="9" max="9" width="11.5703125" style="1" customWidth="1"/>
    <col min="10" max="10" width="10.5703125" style="1" customWidth="1"/>
    <col min="11" max="11" width="10" style="1" customWidth="1"/>
    <col min="12" max="12" width="11.140625" style="1" customWidth="1"/>
    <col min="13" max="13" width="11.28515625" style="1" customWidth="1"/>
    <col min="14" max="14" width="9.7109375" style="1" customWidth="1"/>
    <col min="15" max="15" width="10" style="1" customWidth="1"/>
    <col min="16" max="16" width="9.7109375" style="1" customWidth="1"/>
    <col min="17" max="17" width="10.1406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01/10/2025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61</v>
      </c>
      <c r="B9" s="41">
        <v>6.09</v>
      </c>
      <c r="C9" s="41">
        <v>6.19</v>
      </c>
      <c r="D9" s="41">
        <v>12.19</v>
      </c>
      <c r="E9" s="41">
        <v>5.08</v>
      </c>
      <c r="F9" s="41">
        <v>3.88</v>
      </c>
      <c r="G9" s="41">
        <v>47.97</v>
      </c>
      <c r="H9" s="41">
        <v>21.44</v>
      </c>
      <c r="I9" s="41">
        <v>10.24</v>
      </c>
      <c r="J9" s="41">
        <v>0.16</v>
      </c>
      <c r="K9" s="41">
        <v>239</v>
      </c>
      <c r="L9" s="41">
        <v>20.53</v>
      </c>
      <c r="M9" s="41">
        <v>33.56</v>
      </c>
      <c r="N9" s="41">
        <v>2.8</v>
      </c>
      <c r="O9" s="41">
        <v>1</v>
      </c>
      <c r="P9" s="41">
        <v>0.55000000000000004</v>
      </c>
      <c r="Q9" s="41">
        <v>13.31</v>
      </c>
      <c r="R9" s="38"/>
      <c r="S9" s="38"/>
      <c r="T9" s="38"/>
      <c r="U9" s="38"/>
    </row>
    <row r="10" spans="1:21" customFormat="1">
      <c r="A10" s="40" t="s">
        <v>62</v>
      </c>
      <c r="B10" s="41">
        <v>5.86</v>
      </c>
      <c r="C10" s="41">
        <v>6.33</v>
      </c>
      <c r="D10" s="41">
        <v>12.13</v>
      </c>
      <c r="E10" s="41">
        <v>5.27</v>
      </c>
      <c r="F10" s="41">
        <v>2.62</v>
      </c>
      <c r="G10" s="41">
        <v>41.58</v>
      </c>
      <c r="H10" s="41">
        <v>17.79</v>
      </c>
      <c r="I10" s="41">
        <v>10.039999999999999</v>
      </c>
      <c r="J10" s="41">
        <v>0.13</v>
      </c>
      <c r="K10" s="41">
        <v>237.83</v>
      </c>
      <c r="L10" s="41">
        <v>22.1</v>
      </c>
      <c r="M10" s="41">
        <v>37.479999999999997</v>
      </c>
      <c r="N10" s="41">
        <v>2.4</v>
      </c>
      <c r="O10" s="41">
        <v>0.2</v>
      </c>
      <c r="P10" s="41">
        <v>0.54</v>
      </c>
      <c r="Q10" s="41">
        <v>10.16</v>
      </c>
      <c r="R10" s="38"/>
      <c r="S10" s="38"/>
      <c r="T10" s="38"/>
      <c r="U10" s="38"/>
    </row>
    <row r="11" spans="1:21" customFormat="1">
      <c r="A11" s="40" t="s">
        <v>63</v>
      </c>
      <c r="B11" s="41">
        <v>5.54</v>
      </c>
      <c r="C11" s="41">
        <v>6.23</v>
      </c>
      <c r="D11" s="41">
        <v>11.72</v>
      </c>
      <c r="E11" s="41">
        <v>5.54</v>
      </c>
      <c r="F11" s="41">
        <v>2</v>
      </c>
      <c r="G11" s="41">
        <v>28.79</v>
      </c>
      <c r="H11" s="41">
        <v>17.79</v>
      </c>
      <c r="I11" s="41">
        <v>9.8800000000000008</v>
      </c>
      <c r="J11" s="41">
        <v>0.12</v>
      </c>
      <c r="K11" s="41">
        <v>210.71</v>
      </c>
      <c r="L11" s="41">
        <v>19.059999999999999</v>
      </c>
      <c r="M11" s="41">
        <v>29.87</v>
      </c>
      <c r="N11" s="41">
        <v>2.4</v>
      </c>
      <c r="O11" s="41">
        <v>0</v>
      </c>
      <c r="P11" s="41">
        <v>0.55000000000000004</v>
      </c>
      <c r="Q11" s="41">
        <v>10</v>
      </c>
      <c r="R11" s="38"/>
      <c r="S11" s="38"/>
      <c r="T11" s="38"/>
      <c r="U11" s="38"/>
    </row>
    <row r="12" spans="1:21" customFormat="1">
      <c r="A12" s="40" t="s">
        <v>64</v>
      </c>
      <c r="B12" s="41">
        <v>5.0599999999999996</v>
      </c>
      <c r="C12" s="41">
        <v>5.97</v>
      </c>
      <c r="D12" s="41">
        <v>11.04</v>
      </c>
      <c r="E12" s="41">
        <v>5.61</v>
      </c>
      <c r="F12" s="41">
        <v>2</v>
      </c>
      <c r="G12" s="41">
        <v>27.79</v>
      </c>
      <c r="H12" s="41">
        <v>14.74</v>
      </c>
      <c r="I12" s="41">
        <v>9.7799999999999994</v>
      </c>
      <c r="J12" s="41">
        <v>0.11</v>
      </c>
      <c r="K12" s="41">
        <v>176.03</v>
      </c>
      <c r="L12" s="41">
        <v>16.420000000000002</v>
      </c>
      <c r="M12" s="41">
        <v>23.3</v>
      </c>
      <c r="N12" s="41">
        <v>2.4</v>
      </c>
      <c r="O12" s="41">
        <v>0</v>
      </c>
      <c r="P12" s="41">
        <v>0.53</v>
      </c>
      <c r="Q12" s="41">
        <v>10.46</v>
      </c>
      <c r="R12" s="38"/>
      <c r="S12" s="38"/>
      <c r="T12" s="38"/>
      <c r="U12" s="38"/>
    </row>
    <row r="13" spans="1:21" customFormat="1">
      <c r="A13" s="40" t="s">
        <v>65</v>
      </c>
      <c r="B13" s="41">
        <v>4.71</v>
      </c>
      <c r="C13" s="41">
        <v>5.6</v>
      </c>
      <c r="D13" s="41">
        <v>10.31</v>
      </c>
      <c r="E13" s="41">
        <v>5.91</v>
      </c>
      <c r="F13" s="41">
        <v>2.0099999999999998</v>
      </c>
      <c r="G13" s="41">
        <v>25.24</v>
      </c>
      <c r="H13" s="41">
        <v>14.27</v>
      </c>
      <c r="I13" s="41">
        <v>9.25</v>
      </c>
      <c r="J13" s="41">
        <v>0.12</v>
      </c>
      <c r="K13" s="41">
        <v>241.28</v>
      </c>
      <c r="L13" s="41">
        <v>21.82</v>
      </c>
      <c r="M13" s="41">
        <v>36.71</v>
      </c>
      <c r="N13" s="41">
        <v>2.4</v>
      </c>
      <c r="O13" s="41">
        <v>0.2</v>
      </c>
      <c r="P13" s="41">
        <v>0.47</v>
      </c>
      <c r="Q13" s="41">
        <v>10.47</v>
      </c>
      <c r="R13" s="38"/>
      <c r="S13" s="38"/>
      <c r="T13" s="38"/>
      <c r="U13" s="38"/>
    </row>
    <row r="14" spans="1:21" customFormat="1">
      <c r="A14" s="40" t="s">
        <v>66</v>
      </c>
      <c r="B14" s="41">
        <v>4.54</v>
      </c>
      <c r="C14" s="41">
        <v>5.26</v>
      </c>
      <c r="D14" s="41">
        <v>9.8000000000000007</v>
      </c>
      <c r="E14" s="41">
        <v>6.04</v>
      </c>
      <c r="F14" s="41">
        <v>2</v>
      </c>
      <c r="G14" s="41">
        <v>24.45</v>
      </c>
      <c r="H14" s="41">
        <v>12.49</v>
      </c>
      <c r="I14" s="41">
        <v>8.48</v>
      </c>
      <c r="J14" s="41">
        <v>0.16</v>
      </c>
      <c r="K14" s="41">
        <v>251.25</v>
      </c>
      <c r="L14" s="41">
        <v>21.76</v>
      </c>
      <c r="M14" s="41">
        <v>36.54</v>
      </c>
      <c r="N14" s="41">
        <v>3.7</v>
      </c>
      <c r="O14" s="41">
        <v>0</v>
      </c>
      <c r="P14" s="41">
        <v>0.43</v>
      </c>
      <c r="Q14" s="41">
        <v>10.45</v>
      </c>
      <c r="R14" s="38"/>
      <c r="S14" s="38"/>
      <c r="T14" s="38"/>
      <c r="U14" s="38"/>
    </row>
    <row r="15" spans="1:21" customFormat="1">
      <c r="A15" s="40" t="s">
        <v>67</v>
      </c>
      <c r="B15" s="41">
        <v>4.45</v>
      </c>
      <c r="C15" s="41">
        <v>5.13</v>
      </c>
      <c r="D15" s="41">
        <v>9.5399999999999991</v>
      </c>
      <c r="E15" s="41">
        <v>5.94</v>
      </c>
      <c r="F15" s="41">
        <v>2</v>
      </c>
      <c r="G15" s="41">
        <v>24.49</v>
      </c>
      <c r="H15" s="41">
        <v>13.89</v>
      </c>
      <c r="I15" s="41">
        <v>7.84</v>
      </c>
      <c r="J15" s="41">
        <v>0.27</v>
      </c>
      <c r="K15" s="41">
        <v>252.29</v>
      </c>
      <c r="L15" s="41">
        <v>22.91</v>
      </c>
      <c r="M15" s="41">
        <v>38.51</v>
      </c>
      <c r="N15" s="41">
        <v>45.2</v>
      </c>
      <c r="O15" s="41">
        <v>0</v>
      </c>
      <c r="P15" s="41">
        <v>0.37</v>
      </c>
      <c r="Q15" s="41">
        <v>10</v>
      </c>
      <c r="R15" s="38"/>
      <c r="S15" s="38"/>
      <c r="T15" s="38"/>
      <c r="U15" s="38"/>
    </row>
    <row r="16" spans="1:21" customFormat="1">
      <c r="A16" s="40" t="s">
        <v>68</v>
      </c>
      <c r="B16" s="41">
        <v>5.2</v>
      </c>
      <c r="C16" s="41">
        <v>5.16</v>
      </c>
      <c r="D16" s="41">
        <v>10.36</v>
      </c>
      <c r="E16" s="41">
        <v>5.82</v>
      </c>
      <c r="F16" s="41">
        <v>2.4700000000000002</v>
      </c>
      <c r="G16" s="41">
        <v>24.49</v>
      </c>
      <c r="H16" s="41">
        <v>13.89</v>
      </c>
      <c r="I16" s="41">
        <v>7.18</v>
      </c>
      <c r="J16" s="41">
        <v>0.43</v>
      </c>
      <c r="K16" s="41">
        <v>279.5</v>
      </c>
      <c r="L16" s="41">
        <v>25.52</v>
      </c>
      <c r="M16" s="41">
        <v>42.01</v>
      </c>
      <c r="N16" s="41">
        <v>172.4</v>
      </c>
      <c r="O16" s="41">
        <v>0</v>
      </c>
      <c r="P16" s="41">
        <v>0.31</v>
      </c>
      <c r="Q16" s="41">
        <v>11.52</v>
      </c>
      <c r="R16" s="38"/>
      <c r="S16" s="38"/>
      <c r="T16" s="38"/>
      <c r="U16" s="38"/>
    </row>
    <row r="17" spans="1:21" customFormat="1">
      <c r="A17" s="40" t="s">
        <v>69</v>
      </c>
      <c r="B17" s="41">
        <v>5.76</v>
      </c>
      <c r="C17" s="41">
        <v>6.43</v>
      </c>
      <c r="D17" s="41">
        <v>12.19</v>
      </c>
      <c r="E17" s="41">
        <v>6.24</v>
      </c>
      <c r="F17" s="41">
        <v>4.24</v>
      </c>
      <c r="G17" s="41">
        <v>26.01</v>
      </c>
      <c r="H17" s="41">
        <v>12.65</v>
      </c>
      <c r="I17" s="41">
        <v>7.29</v>
      </c>
      <c r="J17" s="41">
        <v>0.4</v>
      </c>
      <c r="K17" s="41">
        <v>349.71</v>
      </c>
      <c r="L17" s="41">
        <v>26.52</v>
      </c>
      <c r="M17" s="41">
        <v>42.68</v>
      </c>
      <c r="N17" s="41">
        <v>372.7</v>
      </c>
      <c r="O17" s="41">
        <v>0</v>
      </c>
      <c r="P17" s="41">
        <v>0.3</v>
      </c>
      <c r="Q17" s="41">
        <v>10.69</v>
      </c>
      <c r="R17" s="38"/>
      <c r="S17" s="38"/>
      <c r="T17" s="38"/>
      <c r="U17" s="38"/>
    </row>
    <row r="18" spans="1:21" customFormat="1">
      <c r="A18" s="40" t="s">
        <v>70</v>
      </c>
      <c r="B18" s="41">
        <v>6.37</v>
      </c>
      <c r="C18" s="41">
        <v>6.92</v>
      </c>
      <c r="D18" s="41">
        <v>13.3</v>
      </c>
      <c r="E18" s="41">
        <v>9.23</v>
      </c>
      <c r="F18" s="41">
        <v>4</v>
      </c>
      <c r="G18" s="41">
        <v>42.96</v>
      </c>
      <c r="H18" s="41">
        <v>19.829999999999998</v>
      </c>
      <c r="I18" s="41">
        <v>7.32</v>
      </c>
      <c r="J18" s="41">
        <v>0.42</v>
      </c>
      <c r="K18" s="41">
        <v>287.63</v>
      </c>
      <c r="L18" s="41">
        <v>29.47</v>
      </c>
      <c r="M18" s="41">
        <v>44.81</v>
      </c>
      <c r="N18" s="41">
        <v>558</v>
      </c>
      <c r="O18" s="41">
        <v>0</v>
      </c>
      <c r="P18" s="41">
        <v>0.35</v>
      </c>
      <c r="Q18" s="41">
        <v>10.46</v>
      </c>
      <c r="R18" s="38"/>
      <c r="S18" s="38"/>
      <c r="T18" s="38"/>
      <c r="U18" s="38"/>
    </row>
    <row r="19" spans="1:21" customFormat="1">
      <c r="A19" s="40" t="s">
        <v>71</v>
      </c>
      <c r="B19" s="41">
        <v>7.71</v>
      </c>
      <c r="C19" s="41">
        <v>8.84</v>
      </c>
      <c r="D19" s="41">
        <v>16.559999999999999</v>
      </c>
      <c r="E19" s="41">
        <v>11.78</v>
      </c>
      <c r="F19" s="41">
        <v>7.06</v>
      </c>
      <c r="G19" s="41">
        <v>55.57</v>
      </c>
      <c r="H19" s="41">
        <v>22.24</v>
      </c>
      <c r="I19" s="41">
        <v>7.32</v>
      </c>
      <c r="J19" s="41">
        <v>0.38</v>
      </c>
      <c r="K19" s="41">
        <v>357.4</v>
      </c>
      <c r="L19" s="41">
        <v>19.97</v>
      </c>
      <c r="M19" s="41">
        <v>27.31</v>
      </c>
      <c r="N19" s="41">
        <v>535.1</v>
      </c>
      <c r="O19" s="41">
        <v>0</v>
      </c>
      <c r="P19" s="41">
        <v>0.37</v>
      </c>
      <c r="Q19" s="41">
        <v>10</v>
      </c>
      <c r="R19" s="38"/>
      <c r="S19" s="38"/>
      <c r="T19" s="38"/>
      <c r="U19" s="38"/>
    </row>
    <row r="20" spans="1:21" customFormat="1">
      <c r="A20" s="40" t="s">
        <v>72</v>
      </c>
      <c r="B20" s="41">
        <v>6.04</v>
      </c>
      <c r="C20" s="41">
        <v>7.94</v>
      </c>
      <c r="D20" s="41">
        <v>13.97</v>
      </c>
      <c r="E20" s="41">
        <v>8.75</v>
      </c>
      <c r="F20" s="41">
        <v>8.0299999999999994</v>
      </c>
      <c r="G20" s="41">
        <v>65.55</v>
      </c>
      <c r="H20" s="41">
        <v>25.01</v>
      </c>
      <c r="I20" s="41">
        <v>7.12</v>
      </c>
      <c r="J20" s="41">
        <v>0.3</v>
      </c>
      <c r="K20" s="41">
        <v>353.89</v>
      </c>
      <c r="L20" s="41">
        <v>19.899999999999999</v>
      </c>
      <c r="M20" s="41">
        <v>25.39</v>
      </c>
      <c r="N20" s="41">
        <v>516.9</v>
      </c>
      <c r="O20" s="41">
        <v>0</v>
      </c>
      <c r="P20" s="41">
        <v>0.38</v>
      </c>
      <c r="Q20" s="41">
        <v>12.47</v>
      </c>
      <c r="R20" s="38"/>
      <c r="S20" s="38"/>
      <c r="T20" s="38"/>
      <c r="U20" s="38"/>
    </row>
    <row r="21" spans="1:21" customFormat="1">
      <c r="A21" s="40" t="s">
        <v>73</v>
      </c>
      <c r="B21" s="41">
        <v>5.45</v>
      </c>
      <c r="C21" s="41">
        <v>8.23</v>
      </c>
      <c r="D21" s="41">
        <v>13.53</v>
      </c>
      <c r="E21" s="41">
        <v>6.96</v>
      </c>
      <c r="F21" s="41">
        <v>4.93</v>
      </c>
      <c r="G21" s="41">
        <v>65.55</v>
      </c>
      <c r="H21" s="41">
        <v>25.01</v>
      </c>
      <c r="I21" s="41">
        <v>6.8</v>
      </c>
      <c r="J21" s="41">
        <v>0.25</v>
      </c>
      <c r="K21" s="41">
        <v>344.83</v>
      </c>
      <c r="L21" s="41">
        <v>22.26</v>
      </c>
      <c r="M21" s="41">
        <v>33.909999999999997</v>
      </c>
      <c r="N21" s="41">
        <v>165.1</v>
      </c>
      <c r="O21" s="41">
        <v>0</v>
      </c>
      <c r="P21" s="41">
        <v>0.39</v>
      </c>
      <c r="Q21" s="41">
        <v>11.47</v>
      </c>
      <c r="R21" s="38"/>
      <c r="S21" s="38"/>
      <c r="T21" s="38"/>
      <c r="U21" s="38"/>
    </row>
    <row r="22" spans="1:21" customFormat="1">
      <c r="A22" s="40" t="s">
        <v>74</v>
      </c>
      <c r="B22" s="41">
        <v>4.82</v>
      </c>
      <c r="C22" s="41">
        <v>7.72</v>
      </c>
      <c r="D22" s="41">
        <v>12.53</v>
      </c>
      <c r="E22" s="41">
        <v>6.47</v>
      </c>
      <c r="F22" s="41">
        <v>3.32</v>
      </c>
      <c r="G22" s="41">
        <v>61.23</v>
      </c>
      <c r="H22" s="41">
        <v>24.11</v>
      </c>
      <c r="I22" s="41">
        <v>6.51</v>
      </c>
      <c r="J22" s="41">
        <v>0.73</v>
      </c>
      <c r="K22" s="41">
        <v>253.81</v>
      </c>
      <c r="L22" s="41">
        <v>22.8</v>
      </c>
      <c r="M22" s="41">
        <v>38.340000000000003</v>
      </c>
      <c r="N22" s="41">
        <v>51.9</v>
      </c>
      <c r="O22" s="41">
        <v>0</v>
      </c>
      <c r="P22" s="41">
        <v>0.39</v>
      </c>
      <c r="Q22" s="41">
        <v>10</v>
      </c>
      <c r="R22" s="38"/>
      <c r="S22" s="38"/>
      <c r="T22" s="38"/>
      <c r="U22" s="38"/>
    </row>
    <row r="23" spans="1:21" customFormat="1">
      <c r="A23" s="40" t="s">
        <v>75</v>
      </c>
      <c r="B23" s="41">
        <v>3.67</v>
      </c>
      <c r="C23" s="41">
        <v>6.52</v>
      </c>
      <c r="D23" s="41">
        <v>10.199999999999999</v>
      </c>
      <c r="E23" s="41">
        <v>6.04</v>
      </c>
      <c r="F23" s="41">
        <v>2.5499999999999998</v>
      </c>
      <c r="G23" s="41">
        <v>58.18</v>
      </c>
      <c r="H23" s="41">
        <v>24.11</v>
      </c>
      <c r="I23" s="41">
        <v>6.4</v>
      </c>
      <c r="J23" s="41">
        <v>0.6</v>
      </c>
      <c r="K23" s="41">
        <v>289.10000000000002</v>
      </c>
      <c r="L23" s="41">
        <v>22.92</v>
      </c>
      <c r="M23" s="41">
        <v>38.94</v>
      </c>
      <c r="N23" s="41">
        <v>29</v>
      </c>
      <c r="O23" s="41">
        <v>0</v>
      </c>
      <c r="P23" s="41">
        <v>0.32</v>
      </c>
      <c r="Q23" s="41">
        <v>10</v>
      </c>
      <c r="R23" s="38"/>
      <c r="S23" s="38"/>
      <c r="T23" s="38"/>
      <c r="U23" s="38"/>
    </row>
    <row r="24" spans="1:21" customFormat="1">
      <c r="A24" s="40" t="s">
        <v>76</v>
      </c>
      <c r="B24" s="41">
        <v>2.94</v>
      </c>
      <c r="C24" s="41">
        <v>5.95</v>
      </c>
      <c r="D24" s="41">
        <v>8.89</v>
      </c>
      <c r="E24" s="41">
        <v>6.15</v>
      </c>
      <c r="F24" s="41">
        <v>2.17</v>
      </c>
      <c r="G24" s="41">
        <v>44.67</v>
      </c>
      <c r="H24" s="41">
        <v>17.84</v>
      </c>
      <c r="I24" s="41">
        <v>5.92</v>
      </c>
      <c r="J24" s="41">
        <v>0.47</v>
      </c>
      <c r="K24" s="41">
        <v>249.14</v>
      </c>
      <c r="L24" s="41">
        <v>21.77</v>
      </c>
      <c r="M24" s="41">
        <v>35.729999999999997</v>
      </c>
      <c r="N24" s="41">
        <v>68.599999999999994</v>
      </c>
      <c r="O24" s="41">
        <v>0</v>
      </c>
      <c r="P24" s="41">
        <v>0.28999999999999998</v>
      </c>
      <c r="Q24" s="41">
        <v>11.01</v>
      </c>
      <c r="R24" s="38"/>
      <c r="S24" s="38"/>
      <c r="T24" s="38"/>
      <c r="U24" s="38"/>
    </row>
    <row r="25" spans="1:21" customFormat="1">
      <c r="A25" s="40" t="s">
        <v>77</v>
      </c>
      <c r="B25" s="41">
        <v>3.43</v>
      </c>
      <c r="C25" s="41">
        <v>6.24</v>
      </c>
      <c r="D25" s="41">
        <v>9.67</v>
      </c>
      <c r="E25" s="41">
        <v>6.89</v>
      </c>
      <c r="F25" s="41">
        <v>4.42</v>
      </c>
      <c r="G25" s="41">
        <v>37.01</v>
      </c>
      <c r="H25" s="41">
        <v>16.7</v>
      </c>
      <c r="I25" s="41">
        <v>5.55</v>
      </c>
      <c r="J25" s="41">
        <v>1.03</v>
      </c>
      <c r="K25" s="41">
        <v>330.77</v>
      </c>
      <c r="L25" s="41">
        <v>26.55</v>
      </c>
      <c r="M25" s="41">
        <v>47.16</v>
      </c>
      <c r="N25" s="41">
        <v>58.1</v>
      </c>
      <c r="O25" s="41">
        <v>0</v>
      </c>
      <c r="P25" s="41">
        <v>0.27</v>
      </c>
      <c r="Q25" s="41">
        <v>10.31</v>
      </c>
      <c r="R25" s="38"/>
      <c r="S25" s="38"/>
      <c r="T25" s="38"/>
      <c r="U25" s="38"/>
    </row>
    <row r="26" spans="1:21" customFormat="1">
      <c r="A26" s="40" t="s">
        <v>78</v>
      </c>
      <c r="B26" s="41">
        <v>6.93</v>
      </c>
      <c r="C26" s="41">
        <v>10.44</v>
      </c>
      <c r="D26" s="41">
        <v>17.37</v>
      </c>
      <c r="E26" s="41">
        <v>10.55</v>
      </c>
      <c r="F26" s="41">
        <v>2.76</v>
      </c>
      <c r="G26" s="41">
        <v>46.27</v>
      </c>
      <c r="H26" s="41">
        <v>14.6</v>
      </c>
      <c r="I26" s="41">
        <v>6.33</v>
      </c>
      <c r="J26" s="41">
        <v>0.33</v>
      </c>
      <c r="K26" s="41">
        <v>311.24</v>
      </c>
      <c r="L26" s="41">
        <v>21.87</v>
      </c>
      <c r="M26" s="41">
        <v>36.57</v>
      </c>
      <c r="N26" s="41">
        <v>19.399999999999999</v>
      </c>
      <c r="O26" s="41">
        <v>0</v>
      </c>
      <c r="P26" s="41">
        <v>0.28999999999999998</v>
      </c>
      <c r="Q26" s="41">
        <v>10.49</v>
      </c>
      <c r="R26" s="38"/>
      <c r="S26" s="38"/>
      <c r="T26" s="38"/>
      <c r="U26" s="38"/>
    </row>
    <row r="27" spans="1:21" customFormat="1">
      <c r="A27" s="40" t="s">
        <v>79</v>
      </c>
      <c r="B27" s="41">
        <v>8.34</v>
      </c>
      <c r="C27" s="41">
        <v>8.6999999999999993</v>
      </c>
      <c r="D27" s="41">
        <v>16.28</v>
      </c>
      <c r="E27" s="41">
        <v>6.51</v>
      </c>
      <c r="F27" s="41">
        <v>2</v>
      </c>
      <c r="G27" s="41">
        <v>67.8</v>
      </c>
      <c r="H27" s="41">
        <v>18.37</v>
      </c>
      <c r="I27" s="41">
        <v>6.7</v>
      </c>
      <c r="J27" s="41">
        <v>0.14000000000000001</v>
      </c>
      <c r="K27" s="41">
        <v>254.99</v>
      </c>
      <c r="L27" s="41">
        <v>19.62</v>
      </c>
      <c r="M27" s="41">
        <v>31.19</v>
      </c>
      <c r="N27" s="41">
        <v>2.5</v>
      </c>
      <c r="O27" s="41">
        <v>0</v>
      </c>
      <c r="P27" s="41">
        <v>0.37</v>
      </c>
      <c r="Q27" s="41">
        <v>10.7</v>
      </c>
      <c r="R27" s="38"/>
      <c r="S27" s="38"/>
      <c r="T27" s="38"/>
      <c r="U27" s="38"/>
    </row>
    <row r="28" spans="1:21" customFormat="1">
      <c r="A28" s="40" t="s">
        <v>80</v>
      </c>
      <c r="B28" s="41">
        <v>8.91</v>
      </c>
      <c r="C28" s="41">
        <v>8.1</v>
      </c>
      <c r="D28" s="41">
        <v>16.47</v>
      </c>
      <c r="E28" s="41">
        <v>6.55</v>
      </c>
      <c r="F28" s="41">
        <v>2</v>
      </c>
      <c r="G28" s="41">
        <v>79.8</v>
      </c>
      <c r="H28" s="41">
        <v>20.59</v>
      </c>
      <c r="I28" s="41">
        <v>7.04</v>
      </c>
      <c r="J28" s="41">
        <v>0.47</v>
      </c>
      <c r="K28" s="41">
        <v>344.42</v>
      </c>
      <c r="L28" s="41">
        <v>22.17</v>
      </c>
      <c r="M28" s="41">
        <v>37.590000000000003</v>
      </c>
      <c r="N28" s="41">
        <v>2.2999999999999998</v>
      </c>
      <c r="O28" s="41">
        <v>0</v>
      </c>
      <c r="P28" s="41">
        <v>0.39</v>
      </c>
      <c r="Q28" s="41">
        <v>10.36</v>
      </c>
      <c r="R28" s="38"/>
      <c r="S28" s="38"/>
      <c r="T28" s="38"/>
      <c r="U28" s="38"/>
    </row>
    <row r="29" spans="1:21" customFormat="1">
      <c r="A29" s="40" t="s">
        <v>81</v>
      </c>
      <c r="B29" s="41">
        <v>9.01</v>
      </c>
      <c r="C29" s="41">
        <v>6.99</v>
      </c>
      <c r="D29" s="41">
        <v>16</v>
      </c>
      <c r="E29" s="41">
        <v>5.49</v>
      </c>
      <c r="F29" s="41">
        <v>2.5</v>
      </c>
      <c r="G29" s="41">
        <v>79.8</v>
      </c>
      <c r="H29" s="41">
        <v>20.72</v>
      </c>
      <c r="I29" s="41">
        <v>7.19</v>
      </c>
      <c r="J29" s="41">
        <v>0.28999999999999998</v>
      </c>
      <c r="K29" s="41">
        <v>253.35</v>
      </c>
      <c r="L29" s="41">
        <v>22.44</v>
      </c>
      <c r="M29" s="41">
        <v>38.340000000000003</v>
      </c>
      <c r="N29" s="41">
        <v>2.4</v>
      </c>
      <c r="O29" s="41">
        <v>0</v>
      </c>
      <c r="P29" s="41">
        <v>0.39</v>
      </c>
      <c r="Q29" s="41">
        <v>14.07</v>
      </c>
      <c r="R29" s="38"/>
      <c r="S29" s="38"/>
      <c r="T29" s="38"/>
      <c r="U29" s="38"/>
    </row>
    <row r="30" spans="1:21" customFormat="1">
      <c r="A30" s="40" t="s">
        <v>82</v>
      </c>
      <c r="B30" s="41">
        <v>8.7799999999999994</v>
      </c>
      <c r="C30" s="41">
        <v>7.43</v>
      </c>
      <c r="D30" s="41">
        <v>15.97</v>
      </c>
      <c r="E30" s="41">
        <v>5.54</v>
      </c>
      <c r="F30" s="41">
        <v>2.17</v>
      </c>
      <c r="G30" s="41">
        <v>73.709999999999994</v>
      </c>
      <c r="H30" s="41">
        <v>20.72</v>
      </c>
      <c r="I30" s="41">
        <v>7.06</v>
      </c>
      <c r="J30" s="41">
        <v>0.68</v>
      </c>
      <c r="K30" s="41">
        <v>309.70999999999998</v>
      </c>
      <c r="L30" s="41">
        <v>26.63</v>
      </c>
      <c r="M30" s="41">
        <v>48.65</v>
      </c>
      <c r="N30" s="41">
        <v>2.4</v>
      </c>
      <c r="O30" s="41">
        <v>0</v>
      </c>
      <c r="P30" s="41">
        <v>0.42</v>
      </c>
      <c r="Q30" s="41">
        <v>10.3</v>
      </c>
      <c r="R30" s="38"/>
      <c r="S30" s="38"/>
      <c r="T30" s="38"/>
      <c r="U30" s="38"/>
    </row>
    <row r="31" spans="1:21" customFormat="1">
      <c r="A31" s="40" t="s">
        <v>83</v>
      </c>
      <c r="B31" s="41">
        <v>10.29</v>
      </c>
      <c r="C31" s="41">
        <v>8.11</v>
      </c>
      <c r="D31" s="41">
        <v>18.399999999999999</v>
      </c>
      <c r="E31" s="41">
        <v>5.81</v>
      </c>
      <c r="F31" s="41">
        <v>2</v>
      </c>
      <c r="G31" s="41">
        <v>52</v>
      </c>
      <c r="H31" s="41">
        <v>17.93</v>
      </c>
      <c r="I31" s="41">
        <v>7.66</v>
      </c>
      <c r="J31" s="41">
        <v>0.28999999999999998</v>
      </c>
      <c r="K31" s="41">
        <v>133.24</v>
      </c>
      <c r="L31" s="41">
        <v>17.34</v>
      </c>
      <c r="M31" s="41">
        <v>25.51</v>
      </c>
      <c r="N31" s="41">
        <v>2.4</v>
      </c>
      <c r="O31" s="41">
        <v>0</v>
      </c>
      <c r="P31" s="41">
        <v>0.47</v>
      </c>
      <c r="Q31" s="41">
        <v>10.63</v>
      </c>
      <c r="R31" s="38"/>
      <c r="S31" s="38"/>
      <c r="T31" s="38"/>
      <c r="U31" s="38"/>
    </row>
    <row r="32" spans="1:21" customFormat="1">
      <c r="A32" s="40" t="s">
        <v>84</v>
      </c>
      <c r="B32" s="41">
        <v>11.73</v>
      </c>
      <c r="C32" s="41">
        <v>8.1300000000000008</v>
      </c>
      <c r="D32" s="41">
        <v>19.72</v>
      </c>
      <c r="E32" s="41">
        <v>6.04</v>
      </c>
      <c r="F32" s="41">
        <v>2</v>
      </c>
      <c r="G32" s="41">
        <v>75.39</v>
      </c>
      <c r="H32" s="41">
        <v>26.44</v>
      </c>
      <c r="I32" s="41">
        <v>9.09</v>
      </c>
      <c r="J32" s="41">
        <v>0.24</v>
      </c>
      <c r="K32" s="41">
        <v>191.28</v>
      </c>
      <c r="L32" s="41">
        <v>18.29</v>
      </c>
      <c r="M32" s="41">
        <v>27.95</v>
      </c>
      <c r="N32" s="41">
        <v>2.2999999999999998</v>
      </c>
      <c r="O32" s="41">
        <v>0</v>
      </c>
      <c r="P32" s="41">
        <v>0.51</v>
      </c>
      <c r="Q32" s="41">
        <v>15.19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2.94</v>
      </c>
      <c r="C34" s="18">
        <f t="shared" si="0"/>
        <v>5.13</v>
      </c>
      <c r="D34" s="18">
        <f t="shared" si="0"/>
        <v>8.89</v>
      </c>
      <c r="E34" s="18">
        <f t="shared" si="0"/>
        <v>5.08</v>
      </c>
      <c r="F34" s="18">
        <f t="shared" si="0"/>
        <v>2</v>
      </c>
      <c r="G34" s="18">
        <f t="shared" si="0"/>
        <v>24.45</v>
      </c>
      <c r="H34" s="18">
        <f t="shared" si="0"/>
        <v>12.49</v>
      </c>
      <c r="I34" s="18">
        <f t="shared" si="0"/>
        <v>5.55</v>
      </c>
      <c r="J34" s="18">
        <f t="shared" si="0"/>
        <v>0.11</v>
      </c>
      <c r="K34" s="18">
        <f t="shared" si="0"/>
        <v>133.24</v>
      </c>
      <c r="L34" s="18">
        <f t="shared" si="0"/>
        <v>16.420000000000002</v>
      </c>
      <c r="M34" s="18">
        <f t="shared" si="0"/>
        <v>23.3</v>
      </c>
      <c r="N34" s="18">
        <f t="shared" si="0"/>
        <v>2.2999999999999998</v>
      </c>
      <c r="O34" s="18">
        <f t="shared" si="0"/>
        <v>0</v>
      </c>
      <c r="P34" s="18">
        <f t="shared" si="0"/>
        <v>0.27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11.73</v>
      </c>
      <c r="C35" s="3">
        <f t="shared" si="1"/>
        <v>10.44</v>
      </c>
      <c r="D35" s="3">
        <f t="shared" si="1"/>
        <v>19.72</v>
      </c>
      <c r="E35" s="3">
        <f t="shared" si="1"/>
        <v>11.78</v>
      </c>
      <c r="F35" s="3">
        <f t="shared" si="1"/>
        <v>8.0299999999999994</v>
      </c>
      <c r="G35" s="3">
        <f t="shared" si="1"/>
        <v>79.8</v>
      </c>
      <c r="H35" s="3">
        <f t="shared" si="1"/>
        <v>26.44</v>
      </c>
      <c r="I35" s="3">
        <f t="shared" si="1"/>
        <v>10.24</v>
      </c>
      <c r="J35" s="3">
        <f t="shared" si="1"/>
        <v>1.03</v>
      </c>
      <c r="K35" s="3">
        <f t="shared" si="1"/>
        <v>357.4</v>
      </c>
      <c r="L35" s="3">
        <f t="shared" si="1"/>
        <v>29.47</v>
      </c>
      <c r="M35" s="3">
        <f t="shared" si="1"/>
        <v>48.65</v>
      </c>
      <c r="N35" s="3">
        <f t="shared" si="1"/>
        <v>558</v>
      </c>
      <c r="O35" s="3">
        <f t="shared" si="1"/>
        <v>1</v>
      </c>
      <c r="P35" s="3">
        <f t="shared" si="1"/>
        <v>0.55000000000000004</v>
      </c>
      <c r="Q35" s="3">
        <f t="shared" si="1"/>
        <v>15.19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6.3179166666666653</v>
      </c>
      <c r="C36" s="18">
        <f t="shared" si="2"/>
        <v>7.0233333333333334</v>
      </c>
      <c r="D36" s="18">
        <f t="shared" si="2"/>
        <v>13.255833333333333</v>
      </c>
      <c r="E36" s="18">
        <f t="shared" si="2"/>
        <v>6.675416666666667</v>
      </c>
      <c r="F36" s="18">
        <f t="shared" si="2"/>
        <v>3.1304166666666671</v>
      </c>
      <c r="G36" s="18">
        <f t="shared" si="2"/>
        <v>49.012499999999989</v>
      </c>
      <c r="H36" s="18">
        <f t="shared" si="2"/>
        <v>18.88208333333333</v>
      </c>
      <c r="I36" s="18">
        <f t="shared" si="2"/>
        <v>7.6662500000000007</v>
      </c>
      <c r="J36" s="18">
        <f t="shared" si="2"/>
        <v>0.35499999999999993</v>
      </c>
      <c r="K36" s="18">
        <f t="shared" si="2"/>
        <v>270.93333333333334</v>
      </c>
      <c r="L36" s="18">
        <f t="shared" si="2"/>
        <v>22.11</v>
      </c>
      <c r="M36" s="18">
        <f t="shared" si="2"/>
        <v>35.752083333333339</v>
      </c>
      <c r="N36" s="18">
        <f t="shared" si="2"/>
        <v>109.28333333333336</v>
      </c>
      <c r="O36" s="18">
        <f t="shared" si="2"/>
        <v>5.8333333333333327E-2</v>
      </c>
      <c r="P36" s="18">
        <f t="shared" si="2"/>
        <v>0.40208333333333329</v>
      </c>
      <c r="Q36" s="18">
        <f t="shared" si="2"/>
        <v>11.021666666666667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2.2320004269258371</v>
      </c>
      <c r="C37" s="18">
        <f t="shared" ref="C37:Q37" si="3">STDEV(C9:C32)</f>
        <v>1.3478764833962886</v>
      </c>
      <c r="D37" s="18">
        <f t="shared" si="3"/>
        <v>3.1378363033572416</v>
      </c>
      <c r="E37" s="18">
        <f t="shared" si="3"/>
        <v>1.694425589900642</v>
      </c>
      <c r="F37" s="18">
        <f t="shared" si="3"/>
        <v>1.6395293045809545</v>
      </c>
      <c r="G37" s="18">
        <f t="shared" si="3"/>
        <v>19.121666575084319</v>
      </c>
      <c r="H37" s="18">
        <f t="shared" si="3"/>
        <v>4.2271492903833474</v>
      </c>
      <c r="I37" s="18">
        <f t="shared" si="3"/>
        <v>1.3624747704086084</v>
      </c>
      <c r="J37" s="18">
        <f t="shared" si="3"/>
        <v>0.22725201486646851</v>
      </c>
      <c r="K37" s="18">
        <f t="shared" si="3"/>
        <v>59.642033446414182</v>
      </c>
      <c r="L37" s="18">
        <f t="shared" si="3"/>
        <v>3.1267499448135183</v>
      </c>
      <c r="M37" s="18">
        <f t="shared" si="3"/>
        <v>6.8159467613547964</v>
      </c>
      <c r="N37" s="18">
        <f t="shared" si="3"/>
        <v>185.12658575586377</v>
      </c>
      <c r="O37" s="18">
        <f t="shared" si="3"/>
        <v>0.20834057958412536</v>
      </c>
      <c r="P37" s="18">
        <f t="shared" si="3"/>
        <v>8.7525358644207338E-2</v>
      </c>
      <c r="Q37" s="18">
        <f t="shared" si="3"/>
        <v>1.3798099007902702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G12" sqref="G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3" width="11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02/10/2025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85</v>
      </c>
      <c r="B9" s="41">
        <v>12.09</v>
      </c>
      <c r="C9" s="41">
        <v>7.96</v>
      </c>
      <c r="D9" s="41">
        <v>20</v>
      </c>
      <c r="E9" s="41">
        <v>6.43</v>
      </c>
      <c r="F9" s="41">
        <v>2</v>
      </c>
      <c r="G9" s="41">
        <v>78</v>
      </c>
      <c r="H9" s="41">
        <v>26.44</v>
      </c>
      <c r="I9" s="41">
        <v>9.25</v>
      </c>
      <c r="J9" s="41">
        <v>0.26</v>
      </c>
      <c r="K9" s="41">
        <v>287.49</v>
      </c>
      <c r="L9" s="41">
        <v>21.86</v>
      </c>
      <c r="M9" s="41">
        <v>36.74</v>
      </c>
      <c r="N9" s="41">
        <v>2.4</v>
      </c>
      <c r="O9" s="41">
        <v>0</v>
      </c>
      <c r="P9" s="41">
        <v>0.53</v>
      </c>
      <c r="Q9" s="41">
        <v>10.76</v>
      </c>
      <c r="R9" s="38"/>
      <c r="S9" s="38"/>
      <c r="T9" s="38"/>
      <c r="U9" s="38"/>
    </row>
    <row r="10" spans="1:21" customFormat="1">
      <c r="A10" s="40" t="s">
        <v>86</v>
      </c>
      <c r="B10" s="41">
        <v>13.07</v>
      </c>
      <c r="C10" s="41">
        <v>8</v>
      </c>
      <c r="D10" s="41">
        <v>21</v>
      </c>
      <c r="E10" s="41">
        <v>6.45</v>
      </c>
      <c r="F10" s="41">
        <v>2</v>
      </c>
      <c r="G10" s="41">
        <v>81.06</v>
      </c>
      <c r="H10" s="41">
        <v>24.91</v>
      </c>
      <c r="I10" s="41">
        <v>9.01</v>
      </c>
      <c r="J10" s="41">
        <v>0.15</v>
      </c>
      <c r="K10" s="41">
        <v>209.39</v>
      </c>
      <c r="L10" s="41">
        <v>20.11</v>
      </c>
      <c r="M10" s="41">
        <v>32.42</v>
      </c>
      <c r="N10" s="41">
        <v>2.2999999999999998</v>
      </c>
      <c r="O10" s="41">
        <v>0</v>
      </c>
      <c r="P10" s="41">
        <v>0.54</v>
      </c>
      <c r="Q10" s="41">
        <v>12.12</v>
      </c>
      <c r="R10" s="38"/>
      <c r="S10" s="38"/>
      <c r="T10" s="38"/>
      <c r="U10" s="38"/>
    </row>
    <row r="11" spans="1:21" customFormat="1">
      <c r="A11" s="40" t="s">
        <v>87</v>
      </c>
      <c r="B11" s="41">
        <v>13.54</v>
      </c>
      <c r="C11" s="41">
        <v>7.82</v>
      </c>
      <c r="D11" s="41">
        <v>20.98</v>
      </c>
      <c r="E11" s="41">
        <v>5.89</v>
      </c>
      <c r="F11" s="41">
        <v>2</v>
      </c>
      <c r="G11" s="41">
        <v>81.06</v>
      </c>
      <c r="H11" s="41">
        <v>25.12</v>
      </c>
      <c r="I11" s="41">
        <v>8.92</v>
      </c>
      <c r="J11" s="41">
        <v>0.14000000000000001</v>
      </c>
      <c r="K11" s="41">
        <v>200.07</v>
      </c>
      <c r="L11" s="41">
        <v>19.170000000000002</v>
      </c>
      <c r="M11" s="41">
        <v>30.19</v>
      </c>
      <c r="N11" s="41">
        <v>2.2000000000000002</v>
      </c>
      <c r="O11" s="41">
        <v>0</v>
      </c>
      <c r="P11" s="41">
        <v>0.54</v>
      </c>
      <c r="Q11" s="41">
        <v>10</v>
      </c>
      <c r="R11" s="38"/>
      <c r="S11" s="38"/>
      <c r="T11" s="38"/>
      <c r="U11" s="38"/>
    </row>
    <row r="12" spans="1:21" customFormat="1">
      <c r="A12" s="40" t="s">
        <v>88</v>
      </c>
      <c r="B12" s="41">
        <v>14.34</v>
      </c>
      <c r="C12" s="41">
        <v>7.48</v>
      </c>
      <c r="D12" s="41">
        <v>21.67</v>
      </c>
      <c r="E12" s="41">
        <v>5.38</v>
      </c>
      <c r="F12" s="41">
        <v>2</v>
      </c>
      <c r="G12" s="41">
        <v>80.33</v>
      </c>
      <c r="H12" s="41">
        <v>25.12</v>
      </c>
      <c r="I12" s="41">
        <v>8.9</v>
      </c>
      <c r="J12" s="41">
        <v>0.14000000000000001</v>
      </c>
      <c r="K12" s="41">
        <v>171.03</v>
      </c>
      <c r="L12" s="41">
        <v>16.170000000000002</v>
      </c>
      <c r="M12" s="41">
        <v>22.68</v>
      </c>
      <c r="N12" s="41">
        <v>2.2000000000000002</v>
      </c>
      <c r="O12" s="41">
        <v>0</v>
      </c>
      <c r="P12" s="41">
        <v>0.53</v>
      </c>
      <c r="Q12" s="41">
        <v>10.35</v>
      </c>
      <c r="R12" s="38"/>
      <c r="S12" s="38"/>
      <c r="T12" s="38"/>
      <c r="U12" s="38"/>
    </row>
    <row r="13" spans="1:21" customFormat="1">
      <c r="A13" s="40" t="s">
        <v>89</v>
      </c>
      <c r="B13" s="41">
        <v>15.71</v>
      </c>
      <c r="C13" s="41">
        <v>7.88</v>
      </c>
      <c r="D13" s="41">
        <v>23.55</v>
      </c>
      <c r="E13" s="41">
        <v>5.7</v>
      </c>
      <c r="F13" s="41">
        <v>2</v>
      </c>
      <c r="G13" s="41">
        <v>79.680000000000007</v>
      </c>
      <c r="H13" s="41">
        <v>23.96</v>
      </c>
      <c r="I13" s="41">
        <v>8.94</v>
      </c>
      <c r="J13" s="41">
        <v>0.13</v>
      </c>
      <c r="K13" s="41">
        <v>331.21</v>
      </c>
      <c r="L13" s="41">
        <v>17.68</v>
      </c>
      <c r="M13" s="41">
        <v>26.37</v>
      </c>
      <c r="N13" s="41">
        <v>2.1</v>
      </c>
      <c r="O13" s="41">
        <v>0</v>
      </c>
      <c r="P13" s="41">
        <v>0.53</v>
      </c>
      <c r="Q13" s="41">
        <v>12.68</v>
      </c>
      <c r="R13" s="38"/>
      <c r="S13" s="38"/>
      <c r="T13" s="38"/>
      <c r="U13" s="38"/>
    </row>
    <row r="14" spans="1:21" customFormat="1">
      <c r="A14" s="40" t="s">
        <v>90</v>
      </c>
      <c r="B14" s="41">
        <v>16.670000000000002</v>
      </c>
      <c r="C14" s="41">
        <v>7.69</v>
      </c>
      <c r="D14" s="41">
        <v>24.36</v>
      </c>
      <c r="E14" s="41">
        <v>5.1100000000000003</v>
      </c>
      <c r="F14" s="41">
        <v>2</v>
      </c>
      <c r="G14" s="41">
        <v>79.680000000000007</v>
      </c>
      <c r="H14" s="41">
        <v>23.48</v>
      </c>
      <c r="I14" s="41">
        <v>8.98</v>
      </c>
      <c r="J14" s="41">
        <v>0.1</v>
      </c>
      <c r="K14" s="41">
        <v>325.75</v>
      </c>
      <c r="L14" s="41">
        <v>18.670000000000002</v>
      </c>
      <c r="M14" s="41">
        <v>28.77</v>
      </c>
      <c r="N14" s="41">
        <v>2.7</v>
      </c>
      <c r="O14" s="41">
        <v>0</v>
      </c>
      <c r="P14" s="41">
        <v>0.53</v>
      </c>
      <c r="Q14" s="41">
        <v>10.130000000000001</v>
      </c>
      <c r="R14" s="38"/>
      <c r="S14" s="38"/>
      <c r="T14" s="38"/>
      <c r="U14" s="38"/>
    </row>
    <row r="15" spans="1:21" customFormat="1">
      <c r="A15" s="40" t="s">
        <v>91</v>
      </c>
      <c r="B15" s="41">
        <v>17.04</v>
      </c>
      <c r="C15" s="41">
        <v>8.01</v>
      </c>
      <c r="D15" s="41">
        <v>25.05</v>
      </c>
      <c r="E15" s="41">
        <v>5.44</v>
      </c>
      <c r="F15" s="41">
        <v>2</v>
      </c>
      <c r="G15" s="41">
        <v>73.599999999999994</v>
      </c>
      <c r="H15" s="41">
        <v>25.06</v>
      </c>
      <c r="I15" s="41">
        <v>9.23</v>
      </c>
      <c r="J15" s="41">
        <v>0.32</v>
      </c>
      <c r="K15" s="41">
        <v>64.8</v>
      </c>
      <c r="L15" s="41">
        <v>11.02</v>
      </c>
      <c r="M15" s="41">
        <v>9.51</v>
      </c>
      <c r="N15" s="41">
        <v>41.1</v>
      </c>
      <c r="O15" s="41">
        <v>0</v>
      </c>
      <c r="P15" s="41">
        <v>0.53</v>
      </c>
      <c r="Q15" s="41">
        <v>10.14</v>
      </c>
      <c r="R15" s="38"/>
      <c r="S15" s="38"/>
      <c r="T15" s="38"/>
      <c r="U15" s="38"/>
    </row>
    <row r="16" spans="1:21" customFormat="1">
      <c r="A16" s="40" t="s">
        <v>92</v>
      </c>
      <c r="B16" s="41">
        <v>16.760000000000002</v>
      </c>
      <c r="C16" s="41">
        <v>8.0399999999999991</v>
      </c>
      <c r="D16" s="41">
        <v>24.61</v>
      </c>
      <c r="E16" s="41">
        <v>5.75</v>
      </c>
      <c r="F16" s="41">
        <v>2.02</v>
      </c>
      <c r="G16" s="41">
        <v>71.650000000000006</v>
      </c>
      <c r="H16" s="41">
        <v>25.06</v>
      </c>
      <c r="I16" s="41">
        <v>9.1300000000000008</v>
      </c>
      <c r="J16" s="41">
        <v>0.62</v>
      </c>
      <c r="K16" s="41">
        <v>23.33</v>
      </c>
      <c r="L16" s="41">
        <v>13.69</v>
      </c>
      <c r="M16" s="41">
        <v>14.43</v>
      </c>
      <c r="N16" s="41">
        <v>85.4</v>
      </c>
      <c r="O16" s="41">
        <v>0</v>
      </c>
      <c r="P16" s="41">
        <v>0.54</v>
      </c>
      <c r="Q16" s="41">
        <v>10.38</v>
      </c>
      <c r="R16" s="38"/>
      <c r="S16" s="38"/>
      <c r="T16" s="38"/>
      <c r="U16" s="38"/>
    </row>
    <row r="17" spans="1:21" customFormat="1">
      <c r="A17" s="40" t="s">
        <v>93</v>
      </c>
      <c r="B17" s="41">
        <v>14.97</v>
      </c>
      <c r="C17" s="41">
        <v>8.0299999999999994</v>
      </c>
      <c r="D17" s="41">
        <v>22.96</v>
      </c>
      <c r="E17" s="41">
        <v>5.84</v>
      </c>
      <c r="F17" s="41">
        <v>2</v>
      </c>
      <c r="G17" s="41">
        <v>69.84</v>
      </c>
      <c r="H17" s="41">
        <v>20.97</v>
      </c>
      <c r="I17" s="41">
        <v>8.42</v>
      </c>
      <c r="J17" s="41">
        <v>0.59</v>
      </c>
      <c r="K17" s="41">
        <v>26.52</v>
      </c>
      <c r="L17" s="41">
        <v>11.75</v>
      </c>
      <c r="M17" s="41">
        <v>7.12</v>
      </c>
      <c r="N17" s="41">
        <v>156.80000000000001</v>
      </c>
      <c r="O17" s="41">
        <v>0</v>
      </c>
      <c r="P17" s="41">
        <v>0.49</v>
      </c>
      <c r="Q17" s="41">
        <v>10.039999999999999</v>
      </c>
      <c r="R17" s="38"/>
      <c r="S17" s="38"/>
      <c r="T17" s="38"/>
      <c r="U17" s="38"/>
    </row>
    <row r="18" spans="1:21" customFormat="1">
      <c r="A18" s="40" t="s">
        <v>94</v>
      </c>
      <c r="B18" s="41">
        <v>13.26</v>
      </c>
      <c r="C18" s="41">
        <v>8</v>
      </c>
      <c r="D18" s="41">
        <v>21.18</v>
      </c>
      <c r="E18" s="41">
        <v>6.02</v>
      </c>
      <c r="F18" s="41">
        <v>2.15</v>
      </c>
      <c r="G18" s="41">
        <v>54.23</v>
      </c>
      <c r="H18" s="41">
        <v>17.79</v>
      </c>
      <c r="I18" s="41">
        <v>7.65</v>
      </c>
      <c r="J18" s="41">
        <v>0.54</v>
      </c>
      <c r="K18" s="41">
        <v>17.489999999999998</v>
      </c>
      <c r="L18" s="41">
        <v>18.86</v>
      </c>
      <c r="M18" s="41">
        <v>24.05</v>
      </c>
      <c r="N18" s="41">
        <v>245.1</v>
      </c>
      <c r="O18" s="41">
        <v>0</v>
      </c>
      <c r="P18" s="41">
        <v>0.43</v>
      </c>
      <c r="Q18" s="41">
        <v>10.77</v>
      </c>
      <c r="R18" s="38"/>
      <c r="S18" s="38"/>
      <c r="T18" s="38"/>
      <c r="U18" s="38"/>
    </row>
    <row r="19" spans="1:21" customFormat="1">
      <c r="A19" s="40" t="s">
        <v>95</v>
      </c>
      <c r="B19" s="41">
        <v>11.61</v>
      </c>
      <c r="C19" s="41">
        <v>10.050000000000001</v>
      </c>
      <c r="D19" s="41">
        <v>19.66</v>
      </c>
      <c r="E19" s="41">
        <v>9.0399999999999991</v>
      </c>
      <c r="F19" s="41">
        <v>6.37</v>
      </c>
      <c r="G19" s="41">
        <v>53.6</v>
      </c>
      <c r="H19" s="41">
        <v>17.690000000000001</v>
      </c>
      <c r="I19" s="41">
        <v>7.02</v>
      </c>
      <c r="J19" s="41">
        <v>0.71</v>
      </c>
      <c r="K19" s="41">
        <v>15.25</v>
      </c>
      <c r="L19" s="41">
        <v>18.82</v>
      </c>
      <c r="M19" s="41">
        <v>21.52</v>
      </c>
      <c r="N19" s="41">
        <v>415.1</v>
      </c>
      <c r="O19" s="41">
        <v>0</v>
      </c>
      <c r="P19" s="41">
        <v>0.38</v>
      </c>
      <c r="Q19" s="41">
        <v>11.34</v>
      </c>
      <c r="R19" s="38"/>
      <c r="S19" s="38"/>
      <c r="T19" s="38"/>
      <c r="U19" s="38"/>
    </row>
    <row r="20" spans="1:21" customFormat="1">
      <c r="A20" s="40" t="s">
        <v>96</v>
      </c>
      <c r="B20" s="41">
        <v>8.1999999999999993</v>
      </c>
      <c r="C20" s="41">
        <v>12.32</v>
      </c>
      <c r="D20" s="41">
        <v>18.53</v>
      </c>
      <c r="E20" s="41">
        <v>9.67</v>
      </c>
      <c r="F20" s="41">
        <v>9.73</v>
      </c>
      <c r="G20" s="41">
        <v>52.81</v>
      </c>
      <c r="H20" s="41">
        <v>22.29</v>
      </c>
      <c r="I20" s="41">
        <v>6.3</v>
      </c>
      <c r="J20" s="41">
        <v>0.62</v>
      </c>
      <c r="K20" s="41">
        <v>31.63</v>
      </c>
      <c r="L20" s="41">
        <v>16.059999999999999</v>
      </c>
      <c r="M20" s="41">
        <v>15.87</v>
      </c>
      <c r="N20" s="41">
        <v>420.7</v>
      </c>
      <c r="O20" s="41">
        <v>0</v>
      </c>
      <c r="P20" s="41">
        <v>0.31</v>
      </c>
      <c r="Q20" s="41">
        <v>10</v>
      </c>
      <c r="R20" s="38"/>
      <c r="S20" s="38"/>
      <c r="T20" s="38"/>
      <c r="U20" s="38"/>
    </row>
    <row r="21" spans="1:21" customFormat="1">
      <c r="A21" s="40" t="s">
        <v>97</v>
      </c>
      <c r="B21" s="41">
        <v>4.59</v>
      </c>
      <c r="C21" s="41">
        <v>11.59</v>
      </c>
      <c r="D21" s="41">
        <v>16.18</v>
      </c>
      <c r="E21" s="41">
        <v>10.87</v>
      </c>
      <c r="F21" s="41">
        <v>7.95</v>
      </c>
      <c r="G21" s="41">
        <v>52.81</v>
      </c>
      <c r="H21" s="41">
        <v>22.79</v>
      </c>
      <c r="I21" s="41">
        <v>6.08</v>
      </c>
      <c r="J21" s="41">
        <v>0.77</v>
      </c>
      <c r="K21" s="41">
        <v>23.34</v>
      </c>
      <c r="L21" s="41">
        <v>14.37</v>
      </c>
      <c r="M21" s="41">
        <v>11.61</v>
      </c>
      <c r="N21" s="41">
        <v>264</v>
      </c>
      <c r="O21" s="41">
        <v>0</v>
      </c>
      <c r="P21" s="41">
        <v>0.27</v>
      </c>
      <c r="Q21" s="41">
        <v>10</v>
      </c>
      <c r="R21" s="38"/>
      <c r="S21" s="38"/>
      <c r="T21" s="38"/>
      <c r="U21" s="38"/>
    </row>
    <row r="22" spans="1:21" customFormat="1">
      <c r="A22" s="40" t="s">
        <v>98</v>
      </c>
      <c r="B22" s="41">
        <v>4.67</v>
      </c>
      <c r="C22" s="41">
        <v>9.31</v>
      </c>
      <c r="D22" s="41">
        <v>13.92</v>
      </c>
      <c r="E22" s="41">
        <v>11.11</v>
      </c>
      <c r="F22" s="41">
        <v>8.7799999999999994</v>
      </c>
      <c r="G22" s="41">
        <v>51.52</v>
      </c>
      <c r="H22" s="41">
        <v>22.79</v>
      </c>
      <c r="I22" s="41">
        <v>5.55</v>
      </c>
      <c r="J22" s="41">
        <v>0.79</v>
      </c>
      <c r="K22" s="41">
        <v>352.44</v>
      </c>
      <c r="L22" s="41">
        <v>18.52</v>
      </c>
      <c r="M22" s="41">
        <v>23.85</v>
      </c>
      <c r="N22" s="41">
        <v>292.2</v>
      </c>
      <c r="O22" s="41">
        <v>0</v>
      </c>
      <c r="P22" s="41">
        <v>0.21</v>
      </c>
      <c r="Q22" s="41">
        <v>10</v>
      </c>
      <c r="R22" s="38"/>
      <c r="S22" s="38"/>
      <c r="T22" s="38"/>
      <c r="U22" s="38"/>
    </row>
    <row r="23" spans="1:21" customFormat="1">
      <c r="A23" s="40" t="s">
        <v>99</v>
      </c>
      <c r="B23" s="41">
        <v>4.63</v>
      </c>
      <c r="C23" s="41">
        <v>9.7200000000000006</v>
      </c>
      <c r="D23" s="41">
        <v>14.34</v>
      </c>
      <c r="E23" s="41">
        <v>12.3</v>
      </c>
      <c r="F23" s="41">
        <v>12.84</v>
      </c>
      <c r="G23" s="41">
        <v>53.5</v>
      </c>
      <c r="H23" s="41">
        <v>24.77</v>
      </c>
      <c r="I23" s="41">
        <v>5.38</v>
      </c>
      <c r="J23" s="41">
        <v>0.51</v>
      </c>
      <c r="K23" s="41">
        <v>357.71</v>
      </c>
      <c r="L23" s="41">
        <v>22.32</v>
      </c>
      <c r="M23" s="41">
        <v>36</v>
      </c>
      <c r="N23" s="41">
        <v>125.1</v>
      </c>
      <c r="O23" s="41">
        <v>0</v>
      </c>
      <c r="P23" s="41">
        <v>0.3</v>
      </c>
      <c r="Q23" s="41">
        <v>10.55</v>
      </c>
      <c r="R23" s="38"/>
      <c r="S23" s="38"/>
      <c r="T23" s="38"/>
      <c r="U23" s="38"/>
    </row>
    <row r="24" spans="1:21" customFormat="1">
      <c r="A24" s="40" t="s">
        <v>100</v>
      </c>
      <c r="B24" s="41">
        <v>4.38</v>
      </c>
      <c r="C24" s="41">
        <v>9.34</v>
      </c>
      <c r="D24" s="41">
        <v>13.71</v>
      </c>
      <c r="E24" s="41">
        <v>9.34</v>
      </c>
      <c r="F24" s="41">
        <v>11.81</v>
      </c>
      <c r="G24" s="41">
        <v>56.72</v>
      </c>
      <c r="H24" s="41">
        <v>28.56</v>
      </c>
      <c r="I24" s="41">
        <v>5.24</v>
      </c>
      <c r="J24" s="41">
        <v>0.42</v>
      </c>
      <c r="K24" s="41">
        <v>279.23</v>
      </c>
      <c r="L24" s="41">
        <v>19.440000000000001</v>
      </c>
      <c r="M24" s="41">
        <v>29.82</v>
      </c>
      <c r="N24" s="41">
        <v>41.8</v>
      </c>
      <c r="O24" s="41">
        <v>0.2</v>
      </c>
      <c r="P24" s="41">
        <v>0.3</v>
      </c>
      <c r="Q24" s="41">
        <v>10.02</v>
      </c>
      <c r="R24" s="38"/>
      <c r="S24" s="38"/>
      <c r="T24" s="38"/>
      <c r="U24" s="38"/>
    </row>
    <row r="25" spans="1:21" customFormat="1">
      <c r="A25" s="40" t="s">
        <v>101</v>
      </c>
      <c r="B25" s="41">
        <v>4.25</v>
      </c>
      <c r="C25" s="41">
        <v>8.99</v>
      </c>
      <c r="D25" s="41">
        <v>13.06</v>
      </c>
      <c r="E25" s="41">
        <v>6.08</v>
      </c>
      <c r="F25" s="41">
        <v>8.9600000000000009</v>
      </c>
      <c r="G25" s="41">
        <v>56.72</v>
      </c>
      <c r="H25" s="41">
        <v>30.14</v>
      </c>
      <c r="I25" s="41">
        <v>5.21</v>
      </c>
      <c r="J25" s="41">
        <v>0.32</v>
      </c>
      <c r="K25" s="41">
        <v>224.96</v>
      </c>
      <c r="L25" s="41">
        <v>20.87</v>
      </c>
      <c r="M25" s="41">
        <v>33.43</v>
      </c>
      <c r="N25" s="41">
        <v>42.2</v>
      </c>
      <c r="O25" s="41">
        <v>0</v>
      </c>
      <c r="P25" s="41">
        <v>0.31</v>
      </c>
      <c r="Q25" s="41">
        <v>10.67</v>
      </c>
      <c r="R25" s="38"/>
      <c r="S25" s="38"/>
      <c r="T25" s="38"/>
      <c r="U25" s="38"/>
    </row>
    <row r="26" spans="1:21" customFormat="1">
      <c r="A26" s="40" t="s">
        <v>102</v>
      </c>
      <c r="B26" s="41">
        <v>4.22</v>
      </c>
      <c r="C26" s="41">
        <v>6.92</v>
      </c>
      <c r="D26" s="41">
        <v>11.15</v>
      </c>
      <c r="E26" s="41">
        <v>5.64</v>
      </c>
      <c r="F26" s="41">
        <v>3.36</v>
      </c>
      <c r="G26" s="41">
        <v>54.92</v>
      </c>
      <c r="H26" s="41">
        <v>30.26</v>
      </c>
      <c r="I26" s="41">
        <v>5.23</v>
      </c>
      <c r="J26" s="41">
        <v>0.17</v>
      </c>
      <c r="K26" s="41">
        <v>173.48</v>
      </c>
      <c r="L26" s="41">
        <v>16.940000000000001</v>
      </c>
      <c r="M26" s="41">
        <v>24.52</v>
      </c>
      <c r="N26" s="41">
        <v>14.4</v>
      </c>
      <c r="O26" s="41">
        <v>0</v>
      </c>
      <c r="P26" s="41">
        <v>0.35</v>
      </c>
      <c r="Q26" s="41">
        <v>10</v>
      </c>
      <c r="R26" s="38"/>
      <c r="S26" s="38"/>
      <c r="T26" s="38"/>
      <c r="U26" s="38"/>
    </row>
    <row r="27" spans="1:21" customFormat="1">
      <c r="A27" s="40" t="s">
        <v>103</v>
      </c>
      <c r="B27" s="41">
        <v>4.5</v>
      </c>
      <c r="C27" s="41">
        <v>7.54</v>
      </c>
      <c r="D27" s="41">
        <v>12.04</v>
      </c>
      <c r="E27" s="41">
        <v>5.92</v>
      </c>
      <c r="F27" s="41">
        <v>2.93</v>
      </c>
      <c r="G27" s="41">
        <v>51.23</v>
      </c>
      <c r="H27" s="41">
        <v>30.26</v>
      </c>
      <c r="I27" s="41">
        <v>5.41</v>
      </c>
      <c r="J27" s="41">
        <v>0.28999999999999998</v>
      </c>
      <c r="K27" s="41">
        <v>303.77999999999997</v>
      </c>
      <c r="L27" s="41">
        <v>24.72</v>
      </c>
      <c r="M27" s="41">
        <v>43.88</v>
      </c>
      <c r="N27" s="41">
        <v>2.4</v>
      </c>
      <c r="O27" s="41">
        <v>0</v>
      </c>
      <c r="P27" s="41">
        <v>0.39</v>
      </c>
      <c r="Q27" s="41">
        <v>17.45</v>
      </c>
      <c r="R27" s="38"/>
      <c r="S27" s="38"/>
      <c r="T27" s="38"/>
      <c r="U27" s="38"/>
    </row>
    <row r="28" spans="1:21" customFormat="1">
      <c r="A28" s="40" t="s">
        <v>104</v>
      </c>
      <c r="B28" s="41">
        <v>4.63</v>
      </c>
      <c r="C28" s="41">
        <v>7.58</v>
      </c>
      <c r="D28" s="41">
        <v>12.2</v>
      </c>
      <c r="E28" s="41">
        <v>5.94</v>
      </c>
      <c r="F28" s="41">
        <v>2.14</v>
      </c>
      <c r="G28" s="41">
        <v>51.23</v>
      </c>
      <c r="H28" s="41">
        <v>28.72</v>
      </c>
      <c r="I28" s="41">
        <v>5.96</v>
      </c>
      <c r="J28" s="41">
        <v>0.12</v>
      </c>
      <c r="K28" s="41">
        <v>271.08999999999997</v>
      </c>
      <c r="L28" s="41">
        <v>22</v>
      </c>
      <c r="M28" s="41">
        <v>37.119999999999997</v>
      </c>
      <c r="N28" s="41">
        <v>2.5</v>
      </c>
      <c r="O28" s="41">
        <v>0</v>
      </c>
      <c r="P28" s="41">
        <v>0.44</v>
      </c>
      <c r="Q28" s="41">
        <v>10.98</v>
      </c>
      <c r="R28" s="38"/>
      <c r="S28" s="38"/>
      <c r="T28" s="38"/>
      <c r="U28" s="38"/>
    </row>
    <row r="29" spans="1:21" customFormat="1">
      <c r="A29" s="40" t="s">
        <v>105</v>
      </c>
      <c r="B29" s="41">
        <v>4.62</v>
      </c>
      <c r="C29" s="41">
        <v>7.74</v>
      </c>
      <c r="D29" s="41">
        <v>12.31</v>
      </c>
      <c r="E29" s="41">
        <v>6.43</v>
      </c>
      <c r="F29" s="41">
        <v>2.48</v>
      </c>
      <c r="G29" s="41">
        <v>58.46</v>
      </c>
      <c r="H29" s="41">
        <v>28.26</v>
      </c>
      <c r="I29" s="41">
        <v>6.56</v>
      </c>
      <c r="J29" s="41">
        <v>0.62</v>
      </c>
      <c r="K29" s="41">
        <v>312.19</v>
      </c>
      <c r="L29" s="41">
        <v>25.93</v>
      </c>
      <c r="M29" s="41">
        <v>46.93</v>
      </c>
      <c r="N29" s="41">
        <v>2.5</v>
      </c>
      <c r="O29" s="41">
        <v>0</v>
      </c>
      <c r="P29" s="41">
        <v>0.47</v>
      </c>
      <c r="Q29" s="41">
        <v>12.67</v>
      </c>
      <c r="R29" s="38"/>
      <c r="S29" s="38"/>
      <c r="T29" s="38"/>
      <c r="U29" s="38"/>
    </row>
    <row r="30" spans="1:21" customFormat="1">
      <c r="A30" s="40" t="s">
        <v>106</v>
      </c>
      <c r="B30" s="41">
        <v>4.5599999999999996</v>
      </c>
      <c r="C30" s="41">
        <v>7.52</v>
      </c>
      <c r="D30" s="41">
        <v>12.08</v>
      </c>
      <c r="E30" s="41">
        <v>6.28</v>
      </c>
      <c r="F30" s="41">
        <v>2.29</v>
      </c>
      <c r="G30" s="41">
        <v>62.07</v>
      </c>
      <c r="H30" s="41">
        <v>29.98</v>
      </c>
      <c r="I30" s="41">
        <v>6.63</v>
      </c>
      <c r="J30" s="41">
        <v>0.57999999999999996</v>
      </c>
      <c r="K30" s="41">
        <v>352.38</v>
      </c>
      <c r="L30" s="41">
        <v>18.12</v>
      </c>
      <c r="M30" s="41">
        <v>27.63</v>
      </c>
      <c r="N30" s="41">
        <v>5.0999999999999996</v>
      </c>
      <c r="O30" s="41">
        <v>9.4</v>
      </c>
      <c r="P30" s="41">
        <v>0.46</v>
      </c>
      <c r="Q30" s="41">
        <v>11.79</v>
      </c>
      <c r="R30" s="38"/>
      <c r="S30" s="38"/>
      <c r="T30" s="38"/>
      <c r="U30" s="38"/>
    </row>
    <row r="31" spans="1:21" customFormat="1">
      <c r="A31" s="40" t="s">
        <v>107</v>
      </c>
      <c r="B31" s="41">
        <v>4.6500000000000004</v>
      </c>
      <c r="C31" s="41">
        <v>7.03</v>
      </c>
      <c r="D31" s="41">
        <v>11.34</v>
      </c>
      <c r="E31" s="41">
        <v>5.8</v>
      </c>
      <c r="F31" s="41">
        <v>4.1900000000000004</v>
      </c>
      <c r="G31" s="41">
        <v>62.07</v>
      </c>
      <c r="H31" s="41">
        <v>29.98</v>
      </c>
      <c r="I31" s="41">
        <v>6.35</v>
      </c>
      <c r="J31" s="41">
        <v>0.32</v>
      </c>
      <c r="K31" s="41">
        <v>287.12</v>
      </c>
      <c r="L31" s="41">
        <v>23.57</v>
      </c>
      <c r="M31" s="41">
        <v>41.13</v>
      </c>
      <c r="N31" s="41">
        <v>2.5</v>
      </c>
      <c r="O31" s="41">
        <v>1</v>
      </c>
      <c r="P31" s="41">
        <v>0.38</v>
      </c>
      <c r="Q31" s="41">
        <v>10.68</v>
      </c>
      <c r="R31" s="38"/>
      <c r="S31" s="38"/>
      <c r="T31" s="38"/>
      <c r="U31" s="38"/>
    </row>
    <row r="32" spans="1:21" customFormat="1">
      <c r="A32" s="40" t="s">
        <v>108</v>
      </c>
      <c r="B32" s="41">
        <v>6.01</v>
      </c>
      <c r="C32" s="41">
        <v>7.94</v>
      </c>
      <c r="D32" s="41">
        <v>13.96</v>
      </c>
      <c r="E32" s="41">
        <v>5.42</v>
      </c>
      <c r="F32" s="41">
        <v>2.0499999999999998</v>
      </c>
      <c r="G32" s="41">
        <v>40.71</v>
      </c>
      <c r="H32" s="41">
        <v>20.6</v>
      </c>
      <c r="I32" s="41">
        <v>6</v>
      </c>
      <c r="J32" s="41">
        <v>0.33</v>
      </c>
      <c r="K32" s="41">
        <v>272.07</v>
      </c>
      <c r="L32" s="41">
        <v>23.27</v>
      </c>
      <c r="M32" s="41">
        <v>40.5</v>
      </c>
      <c r="N32" s="41">
        <v>2.5</v>
      </c>
      <c r="O32" s="41">
        <v>1.6</v>
      </c>
      <c r="P32" s="41">
        <v>0.36</v>
      </c>
      <c r="Q32" s="41">
        <v>21.18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4.22</v>
      </c>
      <c r="C34" s="18">
        <f t="shared" si="0"/>
        <v>6.92</v>
      </c>
      <c r="D34" s="18">
        <f t="shared" si="0"/>
        <v>11.15</v>
      </c>
      <c r="E34" s="18">
        <f t="shared" si="0"/>
        <v>5.1100000000000003</v>
      </c>
      <c r="F34" s="18">
        <f t="shared" si="0"/>
        <v>2</v>
      </c>
      <c r="G34" s="18">
        <f t="shared" si="0"/>
        <v>40.71</v>
      </c>
      <c r="H34" s="18">
        <f t="shared" si="0"/>
        <v>17.690000000000001</v>
      </c>
      <c r="I34" s="18">
        <f t="shared" si="0"/>
        <v>5.21</v>
      </c>
      <c r="J34" s="18">
        <f t="shared" si="0"/>
        <v>0.1</v>
      </c>
      <c r="K34" s="18">
        <f t="shared" si="0"/>
        <v>15.25</v>
      </c>
      <c r="L34" s="18">
        <f t="shared" si="0"/>
        <v>11.02</v>
      </c>
      <c r="M34" s="18">
        <f t="shared" si="0"/>
        <v>7.12</v>
      </c>
      <c r="N34" s="18">
        <f t="shared" si="0"/>
        <v>2.1</v>
      </c>
      <c r="O34" s="18">
        <f t="shared" si="0"/>
        <v>0</v>
      </c>
      <c r="P34" s="18">
        <f t="shared" si="0"/>
        <v>0.21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17.04</v>
      </c>
      <c r="C35" s="3">
        <f t="shared" si="1"/>
        <v>12.32</v>
      </c>
      <c r="D35" s="3">
        <f t="shared" si="1"/>
        <v>25.05</v>
      </c>
      <c r="E35" s="3">
        <f t="shared" si="1"/>
        <v>12.3</v>
      </c>
      <c r="F35" s="3">
        <f t="shared" si="1"/>
        <v>12.84</v>
      </c>
      <c r="G35" s="3">
        <f t="shared" si="1"/>
        <v>81.06</v>
      </c>
      <c r="H35" s="3">
        <f t="shared" si="1"/>
        <v>30.26</v>
      </c>
      <c r="I35" s="3">
        <f t="shared" si="1"/>
        <v>9.25</v>
      </c>
      <c r="J35" s="3">
        <f t="shared" si="1"/>
        <v>0.79</v>
      </c>
      <c r="K35" s="3">
        <f t="shared" si="1"/>
        <v>357.71</v>
      </c>
      <c r="L35" s="3">
        <f t="shared" si="1"/>
        <v>25.93</v>
      </c>
      <c r="M35" s="3">
        <f t="shared" si="1"/>
        <v>46.93</v>
      </c>
      <c r="N35" s="3">
        <f t="shared" si="1"/>
        <v>420.7</v>
      </c>
      <c r="O35" s="3">
        <f t="shared" si="1"/>
        <v>9.4</v>
      </c>
      <c r="P35" s="3">
        <f t="shared" si="1"/>
        <v>0.54</v>
      </c>
      <c r="Q35" s="3">
        <f t="shared" si="1"/>
        <v>21.18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9.2904166666666654</v>
      </c>
      <c r="C36" s="18">
        <f t="shared" si="2"/>
        <v>8.4375000000000018</v>
      </c>
      <c r="D36" s="18">
        <f t="shared" si="2"/>
        <v>17.493333333333332</v>
      </c>
      <c r="E36" s="18">
        <f t="shared" si="2"/>
        <v>6.9937499999999986</v>
      </c>
      <c r="F36" s="18">
        <f t="shared" si="2"/>
        <v>4.4187500000000011</v>
      </c>
      <c r="G36" s="18">
        <f t="shared" si="2"/>
        <v>62.8125</v>
      </c>
      <c r="H36" s="18">
        <f t="shared" si="2"/>
        <v>25.208333333333332</v>
      </c>
      <c r="I36" s="18">
        <f t="shared" si="2"/>
        <v>7.1395833333333316</v>
      </c>
      <c r="J36" s="18">
        <f t="shared" si="2"/>
        <v>0.39833333333333337</v>
      </c>
      <c r="K36" s="18">
        <f t="shared" si="2"/>
        <v>204.73958333333329</v>
      </c>
      <c r="L36" s="18">
        <f t="shared" si="2"/>
        <v>18.913750000000004</v>
      </c>
      <c r="M36" s="18">
        <f t="shared" si="2"/>
        <v>27.75375</v>
      </c>
      <c r="N36" s="18">
        <f t="shared" si="2"/>
        <v>90.637500000000003</v>
      </c>
      <c r="O36" s="18">
        <f t="shared" si="2"/>
        <v>0.5083333333333333</v>
      </c>
      <c r="P36" s="18">
        <f t="shared" si="2"/>
        <v>0.42166666666666669</v>
      </c>
      <c r="Q36" s="18">
        <f t="shared" si="2"/>
        <v>11.445833333333331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5.0790511602469444</v>
      </c>
      <c r="C37" s="18">
        <f t="shared" ref="C37:Q37" si="3">STDEV(C9:C32)</f>
        <v>1.3484911052244783</v>
      </c>
      <c r="D37" s="18">
        <f t="shared" si="3"/>
        <v>4.8986747690323034</v>
      </c>
      <c r="E37" s="18">
        <f t="shared" si="3"/>
        <v>2.1114384392183276</v>
      </c>
      <c r="F37" s="18">
        <f t="shared" si="3"/>
        <v>3.5500499843388589</v>
      </c>
      <c r="G37" s="18">
        <f t="shared" si="3"/>
        <v>12.340504622900342</v>
      </c>
      <c r="H37" s="18">
        <f t="shared" si="3"/>
        <v>3.7944440695708672</v>
      </c>
      <c r="I37" s="18">
        <f t="shared" si="3"/>
        <v>1.566290214561755</v>
      </c>
      <c r="J37" s="18">
        <f t="shared" si="3"/>
        <v>0.22636382155756471</v>
      </c>
      <c r="K37" s="18">
        <f t="shared" si="3"/>
        <v>126.45443762664485</v>
      </c>
      <c r="L37" s="18">
        <f t="shared" si="3"/>
        <v>3.8590163338883805</v>
      </c>
      <c r="M37" s="18">
        <f t="shared" si="3"/>
        <v>10.864353284140231</v>
      </c>
      <c r="N37" s="18">
        <f t="shared" si="3"/>
        <v>135.18535684948182</v>
      </c>
      <c r="O37" s="18">
        <f t="shared" si="3"/>
        <v>1.9309643156738547</v>
      </c>
      <c r="P37" s="18">
        <f t="shared" si="3"/>
        <v>0.10327955589886419</v>
      </c>
      <c r="Q37" s="18">
        <f t="shared" si="3"/>
        <v>2.6191600324077831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J12" sqref="J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03/10/2025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109</v>
      </c>
      <c r="B9" s="41">
        <v>6.72</v>
      </c>
      <c r="C9" s="41">
        <v>7.9</v>
      </c>
      <c r="D9" s="41">
        <v>14.36</v>
      </c>
      <c r="E9" s="41">
        <v>6.04</v>
      </c>
      <c r="F9" s="41">
        <v>2.2200000000000002</v>
      </c>
      <c r="G9" s="41">
        <v>34.74</v>
      </c>
      <c r="H9" s="41">
        <v>23.87</v>
      </c>
      <c r="I9" s="41">
        <v>6.01</v>
      </c>
      <c r="J9" s="41">
        <v>0.31</v>
      </c>
      <c r="K9" s="41">
        <v>234.92</v>
      </c>
      <c r="L9" s="41">
        <v>19.670000000000002</v>
      </c>
      <c r="M9" s="41">
        <v>31.36</v>
      </c>
      <c r="N9" s="41">
        <v>2.8</v>
      </c>
      <c r="O9" s="41">
        <v>1.6</v>
      </c>
      <c r="P9" s="41">
        <v>0.37</v>
      </c>
      <c r="Q9" s="41">
        <v>10.56</v>
      </c>
      <c r="R9" s="38"/>
      <c r="S9" s="38"/>
      <c r="T9" s="38"/>
      <c r="U9" s="38"/>
    </row>
    <row r="10" spans="1:21" customFormat="1">
      <c r="A10" s="40" t="s">
        <v>110</v>
      </c>
      <c r="B10" s="41">
        <v>6.97</v>
      </c>
      <c r="C10" s="41">
        <v>7.64</v>
      </c>
      <c r="D10" s="41">
        <v>14.43</v>
      </c>
      <c r="E10" s="41">
        <v>6</v>
      </c>
      <c r="F10" s="41">
        <v>3.6</v>
      </c>
      <c r="G10" s="41">
        <v>33.32</v>
      </c>
      <c r="H10" s="41">
        <v>23.87</v>
      </c>
      <c r="I10" s="41">
        <v>6.12</v>
      </c>
      <c r="J10" s="41">
        <v>0.95</v>
      </c>
      <c r="K10" s="41">
        <v>34.24</v>
      </c>
      <c r="L10" s="41">
        <v>10.199999999999999</v>
      </c>
      <c r="M10" s="41">
        <v>7.33</v>
      </c>
      <c r="N10" s="41">
        <v>3.7</v>
      </c>
      <c r="O10" s="41">
        <v>4.2</v>
      </c>
      <c r="P10" s="41">
        <v>0.37</v>
      </c>
      <c r="Q10" s="41">
        <v>10.29</v>
      </c>
      <c r="R10" s="38"/>
      <c r="S10" s="38"/>
      <c r="T10" s="38"/>
      <c r="U10" s="38"/>
    </row>
    <row r="11" spans="1:21" customFormat="1">
      <c r="A11" s="40" t="s">
        <v>111</v>
      </c>
      <c r="B11" s="41">
        <v>6.98</v>
      </c>
      <c r="C11" s="41">
        <v>6.89</v>
      </c>
      <c r="D11" s="41">
        <v>13.88</v>
      </c>
      <c r="E11" s="41">
        <v>6.37</v>
      </c>
      <c r="F11" s="41">
        <v>3</v>
      </c>
      <c r="G11" s="41">
        <v>33.17</v>
      </c>
      <c r="H11" s="41">
        <v>23.76</v>
      </c>
      <c r="I11" s="41">
        <v>6.03</v>
      </c>
      <c r="J11" s="41">
        <v>0.67</v>
      </c>
      <c r="K11" s="41">
        <v>348.18</v>
      </c>
      <c r="L11" s="41">
        <v>16.84</v>
      </c>
      <c r="M11" s="41">
        <v>24.05</v>
      </c>
      <c r="N11" s="41">
        <v>3</v>
      </c>
      <c r="O11" s="41">
        <v>1.4</v>
      </c>
      <c r="P11" s="41">
        <v>0.36</v>
      </c>
      <c r="Q11" s="41">
        <v>12.11</v>
      </c>
      <c r="R11" s="38"/>
      <c r="S11" s="38"/>
      <c r="T11" s="38"/>
      <c r="U11" s="38"/>
    </row>
    <row r="12" spans="1:21" customFormat="1">
      <c r="A12" s="40" t="s">
        <v>112</v>
      </c>
      <c r="B12" s="41">
        <v>6.67</v>
      </c>
      <c r="C12" s="41">
        <v>7.34</v>
      </c>
      <c r="D12" s="41">
        <v>13.8</v>
      </c>
      <c r="E12" s="41">
        <v>6.74</v>
      </c>
      <c r="F12" s="41">
        <v>2.02</v>
      </c>
      <c r="G12" s="41">
        <v>25.71</v>
      </c>
      <c r="H12" s="41">
        <v>16.79</v>
      </c>
      <c r="I12" s="41">
        <v>5.71</v>
      </c>
      <c r="J12" s="41">
        <v>0.52</v>
      </c>
      <c r="K12" s="41">
        <v>307.67</v>
      </c>
      <c r="L12" s="41">
        <v>26.19</v>
      </c>
      <c r="M12" s="41">
        <v>47.62</v>
      </c>
      <c r="N12" s="41">
        <v>2.9</v>
      </c>
      <c r="O12" s="41">
        <v>0.6</v>
      </c>
      <c r="P12" s="41">
        <v>0.36</v>
      </c>
      <c r="Q12" s="41">
        <v>10.16</v>
      </c>
      <c r="R12" s="38"/>
      <c r="S12" s="38"/>
      <c r="T12" s="38"/>
      <c r="U12" s="38"/>
    </row>
    <row r="13" spans="1:21" customFormat="1">
      <c r="A13" s="40" t="s">
        <v>113</v>
      </c>
      <c r="B13" s="41">
        <v>6.96</v>
      </c>
      <c r="C13" s="41">
        <v>7.79</v>
      </c>
      <c r="D13" s="41">
        <v>14.75</v>
      </c>
      <c r="E13" s="41">
        <v>6.86</v>
      </c>
      <c r="F13" s="41">
        <v>2</v>
      </c>
      <c r="G13" s="41">
        <v>22.1</v>
      </c>
      <c r="H13" s="41">
        <v>13.58</v>
      </c>
      <c r="I13" s="41">
        <v>5.2</v>
      </c>
      <c r="J13" s="41">
        <v>0.45</v>
      </c>
      <c r="K13" s="41">
        <v>330.28</v>
      </c>
      <c r="L13" s="41">
        <v>25.68</v>
      </c>
      <c r="M13" s="41">
        <v>46.28</v>
      </c>
      <c r="N13" s="41">
        <v>2.6</v>
      </c>
      <c r="O13" s="41">
        <v>0</v>
      </c>
      <c r="P13" s="41">
        <v>0.39</v>
      </c>
      <c r="Q13" s="41">
        <v>10.77</v>
      </c>
      <c r="R13" s="38"/>
      <c r="S13" s="38"/>
      <c r="T13" s="38"/>
      <c r="U13" s="38"/>
    </row>
    <row r="14" spans="1:21" customFormat="1">
      <c r="A14" s="40" t="s">
        <v>114</v>
      </c>
      <c r="B14" s="41">
        <v>7.4</v>
      </c>
      <c r="C14" s="41">
        <v>7.81</v>
      </c>
      <c r="D14" s="41">
        <v>15.09</v>
      </c>
      <c r="E14" s="41">
        <v>6.89</v>
      </c>
      <c r="F14" s="41">
        <v>2</v>
      </c>
      <c r="G14" s="41">
        <v>30.57</v>
      </c>
      <c r="H14" s="41">
        <v>15.2</v>
      </c>
      <c r="I14" s="41">
        <v>5.32</v>
      </c>
      <c r="J14" s="41">
        <v>0.4</v>
      </c>
      <c r="K14" s="41">
        <v>329.47</v>
      </c>
      <c r="L14" s="41">
        <v>26.41</v>
      </c>
      <c r="M14" s="41">
        <v>48.02</v>
      </c>
      <c r="N14" s="41">
        <v>2.9</v>
      </c>
      <c r="O14" s="41">
        <v>0</v>
      </c>
      <c r="P14" s="41">
        <v>0.39</v>
      </c>
      <c r="Q14" s="41">
        <v>15.72</v>
      </c>
      <c r="R14" s="38"/>
      <c r="S14" s="38"/>
      <c r="T14" s="38"/>
      <c r="U14" s="38"/>
    </row>
    <row r="15" spans="1:21" customFormat="1">
      <c r="A15" s="40" t="s">
        <v>115</v>
      </c>
      <c r="B15" s="41">
        <v>8.16</v>
      </c>
      <c r="C15" s="41">
        <v>7.66</v>
      </c>
      <c r="D15" s="41">
        <v>15.72</v>
      </c>
      <c r="E15" s="41">
        <v>6.81</v>
      </c>
      <c r="F15" s="41">
        <v>2</v>
      </c>
      <c r="G15" s="41">
        <v>30.57</v>
      </c>
      <c r="H15" s="41">
        <v>19.2</v>
      </c>
      <c r="I15" s="41">
        <v>5.27</v>
      </c>
      <c r="J15" s="41">
        <v>0.31</v>
      </c>
      <c r="K15" s="41">
        <v>30.61</v>
      </c>
      <c r="L15" s="41">
        <v>12.62</v>
      </c>
      <c r="M15" s="41">
        <v>13.36</v>
      </c>
      <c r="N15" s="41">
        <v>12.9</v>
      </c>
      <c r="O15" s="41">
        <v>0.2</v>
      </c>
      <c r="P15" s="41">
        <v>0.39</v>
      </c>
      <c r="Q15" s="41">
        <v>10</v>
      </c>
      <c r="R15" s="38"/>
      <c r="S15" s="38"/>
      <c r="T15" s="38"/>
      <c r="U15" s="38"/>
    </row>
    <row r="16" spans="1:21" customFormat="1">
      <c r="A16" s="40" t="s">
        <v>116</v>
      </c>
      <c r="B16" s="41">
        <v>9.68</v>
      </c>
      <c r="C16" s="41">
        <v>7.76</v>
      </c>
      <c r="D16" s="41">
        <v>17.45</v>
      </c>
      <c r="E16" s="41">
        <v>6.9</v>
      </c>
      <c r="F16" s="41">
        <v>2</v>
      </c>
      <c r="G16" s="41">
        <v>40.049999999999997</v>
      </c>
      <c r="H16" s="41">
        <v>21.18</v>
      </c>
      <c r="I16" s="41">
        <v>5.68</v>
      </c>
      <c r="J16" s="41">
        <v>0.45</v>
      </c>
      <c r="K16" s="41">
        <v>345.39</v>
      </c>
      <c r="L16" s="41">
        <v>26.58</v>
      </c>
      <c r="M16" s="41">
        <v>47.86</v>
      </c>
      <c r="N16" s="41">
        <v>30</v>
      </c>
      <c r="O16" s="41">
        <v>0.2</v>
      </c>
      <c r="P16" s="41">
        <v>0.44</v>
      </c>
      <c r="Q16" s="41">
        <v>10.42</v>
      </c>
      <c r="R16" s="38"/>
      <c r="S16" s="38"/>
      <c r="T16" s="38"/>
      <c r="U16" s="38"/>
    </row>
    <row r="17" spans="1:21" customFormat="1">
      <c r="A17" s="40" t="s">
        <v>117</v>
      </c>
      <c r="B17" s="41">
        <v>10.95</v>
      </c>
      <c r="C17" s="41">
        <v>7.79</v>
      </c>
      <c r="D17" s="41">
        <v>18.61</v>
      </c>
      <c r="E17" s="41">
        <v>6.82</v>
      </c>
      <c r="F17" s="41">
        <v>2.0699999999999998</v>
      </c>
      <c r="G17" s="41">
        <v>48.25</v>
      </c>
      <c r="H17" s="41">
        <v>23.38</v>
      </c>
      <c r="I17" s="41">
        <v>6.29</v>
      </c>
      <c r="J17" s="41">
        <v>0.53</v>
      </c>
      <c r="K17" s="41">
        <v>350.17</v>
      </c>
      <c r="L17" s="41">
        <v>26.79</v>
      </c>
      <c r="M17" s="41">
        <v>47.61</v>
      </c>
      <c r="N17" s="41">
        <v>65.599999999999994</v>
      </c>
      <c r="O17" s="41">
        <v>0</v>
      </c>
      <c r="P17" s="41">
        <v>0.44</v>
      </c>
      <c r="Q17" s="41">
        <v>11.6</v>
      </c>
      <c r="R17" s="38"/>
      <c r="S17" s="38"/>
      <c r="T17" s="38"/>
      <c r="U17" s="38"/>
    </row>
    <row r="18" spans="1:21" customFormat="1">
      <c r="A18" s="40" t="s">
        <v>118</v>
      </c>
      <c r="B18" s="41">
        <v>11.75</v>
      </c>
      <c r="C18" s="41">
        <v>7.97</v>
      </c>
      <c r="D18" s="41">
        <v>19.73</v>
      </c>
      <c r="E18" s="41">
        <v>6.51</v>
      </c>
      <c r="F18" s="41">
        <v>2.62</v>
      </c>
      <c r="G18" s="41">
        <v>56.47</v>
      </c>
      <c r="H18" s="41">
        <v>23.38</v>
      </c>
      <c r="I18" s="41">
        <v>6.49</v>
      </c>
      <c r="J18" s="41">
        <v>0.4</v>
      </c>
      <c r="K18" s="41">
        <v>342.92</v>
      </c>
      <c r="L18" s="41">
        <v>27.11</v>
      </c>
      <c r="M18" s="41">
        <v>49.08</v>
      </c>
      <c r="N18" s="41">
        <v>36.200000000000003</v>
      </c>
      <c r="O18" s="41">
        <v>0.2</v>
      </c>
      <c r="P18" s="41">
        <v>0.46</v>
      </c>
      <c r="Q18" s="41">
        <v>10.83</v>
      </c>
      <c r="R18" s="38"/>
      <c r="S18" s="38"/>
      <c r="T18" s="38"/>
      <c r="U18" s="38"/>
    </row>
    <row r="19" spans="1:21" customFormat="1">
      <c r="A19" s="40" t="s">
        <v>119</v>
      </c>
      <c r="B19" s="41">
        <v>11.72</v>
      </c>
      <c r="C19" s="41">
        <v>7.97</v>
      </c>
      <c r="D19" s="41">
        <v>19.57</v>
      </c>
      <c r="E19" s="41">
        <v>7.13</v>
      </c>
      <c r="F19" s="41">
        <v>2.64</v>
      </c>
      <c r="G19" s="41">
        <v>56.47</v>
      </c>
      <c r="H19" s="41">
        <v>22.91</v>
      </c>
      <c r="I19" s="41">
        <v>6.5</v>
      </c>
      <c r="J19" s="41">
        <v>0.27</v>
      </c>
      <c r="K19" s="41">
        <v>311.3</v>
      </c>
      <c r="L19" s="41">
        <v>26.42</v>
      </c>
      <c r="M19" s="41">
        <v>45.61</v>
      </c>
      <c r="N19" s="41">
        <v>106.3</v>
      </c>
      <c r="O19" s="41">
        <v>0.6</v>
      </c>
      <c r="P19" s="41">
        <v>0.45</v>
      </c>
      <c r="Q19" s="41">
        <v>13.22</v>
      </c>
      <c r="R19" s="38"/>
      <c r="S19" s="38"/>
      <c r="T19" s="38"/>
      <c r="U19" s="38"/>
    </row>
    <row r="20" spans="1:21" customFormat="1">
      <c r="A20" s="40" t="s">
        <v>120</v>
      </c>
      <c r="B20" s="41">
        <v>11.66</v>
      </c>
      <c r="C20" s="41">
        <v>8.2100000000000009</v>
      </c>
      <c r="D20" s="41">
        <v>19.53</v>
      </c>
      <c r="E20" s="41">
        <v>7.43</v>
      </c>
      <c r="F20" s="41">
        <v>3.43</v>
      </c>
      <c r="G20" s="41">
        <v>55.02</v>
      </c>
      <c r="H20" s="41">
        <v>20.28</v>
      </c>
      <c r="I20" s="41">
        <v>6.47</v>
      </c>
      <c r="J20" s="41">
        <v>0.62</v>
      </c>
      <c r="K20" s="41">
        <v>310.62</v>
      </c>
      <c r="L20" s="41">
        <v>27.55</v>
      </c>
      <c r="M20" s="41">
        <v>47.98</v>
      </c>
      <c r="N20" s="41">
        <v>173.5</v>
      </c>
      <c r="O20" s="41">
        <v>0</v>
      </c>
      <c r="P20" s="41">
        <v>0.46</v>
      </c>
      <c r="Q20" s="41">
        <v>10.31</v>
      </c>
      <c r="R20" s="38"/>
      <c r="S20" s="38"/>
      <c r="T20" s="38"/>
      <c r="U20" s="38"/>
    </row>
    <row r="21" spans="1:21" customFormat="1">
      <c r="A21" s="40" t="s">
        <v>121</v>
      </c>
      <c r="B21" s="41">
        <v>11.34</v>
      </c>
      <c r="C21" s="41">
        <v>8.32</v>
      </c>
      <c r="D21" s="41">
        <v>19.46</v>
      </c>
      <c r="E21" s="41">
        <v>8.2100000000000009</v>
      </c>
      <c r="F21" s="41">
        <v>4.9000000000000004</v>
      </c>
      <c r="G21" s="41">
        <v>52.77</v>
      </c>
      <c r="H21" s="41">
        <v>20.28</v>
      </c>
      <c r="I21" s="41">
        <v>6.51</v>
      </c>
      <c r="J21" s="41">
        <v>0.5</v>
      </c>
      <c r="K21" s="41">
        <v>356.9</v>
      </c>
      <c r="L21" s="41">
        <v>19.690000000000001</v>
      </c>
      <c r="M21" s="41">
        <v>24.53</v>
      </c>
      <c r="N21" s="41">
        <v>286.2</v>
      </c>
      <c r="O21" s="41">
        <v>0</v>
      </c>
      <c r="P21" s="41">
        <v>0.45</v>
      </c>
      <c r="Q21" s="41">
        <v>10.32</v>
      </c>
      <c r="R21" s="38"/>
      <c r="S21" s="38"/>
      <c r="T21" s="38"/>
      <c r="U21" s="38"/>
    </row>
    <row r="22" spans="1:21" customFormat="1">
      <c r="A22" s="40" t="s">
        <v>122</v>
      </c>
      <c r="B22" s="41">
        <v>10.83</v>
      </c>
      <c r="C22" s="41">
        <v>8.92</v>
      </c>
      <c r="D22" s="41">
        <v>19.399999999999999</v>
      </c>
      <c r="E22" s="41">
        <v>8.5500000000000007</v>
      </c>
      <c r="F22" s="41">
        <v>2.75</v>
      </c>
      <c r="G22" s="41">
        <v>50.39</v>
      </c>
      <c r="H22" s="41">
        <v>20.16</v>
      </c>
      <c r="I22" s="41">
        <v>6.26</v>
      </c>
      <c r="J22" s="41">
        <v>0.39</v>
      </c>
      <c r="K22" s="41">
        <v>342.37</v>
      </c>
      <c r="L22" s="41">
        <v>18.829999999999998</v>
      </c>
      <c r="M22" s="41">
        <v>24.41</v>
      </c>
      <c r="N22" s="41">
        <v>198.3</v>
      </c>
      <c r="O22" s="41">
        <v>0</v>
      </c>
      <c r="P22" s="41">
        <v>0.47</v>
      </c>
      <c r="Q22" s="41">
        <v>10.79</v>
      </c>
      <c r="R22" s="38"/>
      <c r="S22" s="38"/>
      <c r="T22" s="38"/>
      <c r="U22" s="38"/>
    </row>
    <row r="23" spans="1:21" customFormat="1">
      <c r="A23" s="40" t="s">
        <v>123</v>
      </c>
      <c r="B23" s="41">
        <v>9.75</v>
      </c>
      <c r="C23" s="41">
        <v>8.84</v>
      </c>
      <c r="D23" s="41">
        <v>18.57</v>
      </c>
      <c r="E23" s="41">
        <v>7.67</v>
      </c>
      <c r="F23" s="41">
        <v>2.0099999999999998</v>
      </c>
      <c r="G23" s="41">
        <v>53.06</v>
      </c>
      <c r="H23" s="41">
        <v>18.97</v>
      </c>
      <c r="I23" s="41">
        <v>6.11</v>
      </c>
      <c r="J23" s="41">
        <v>0.26</v>
      </c>
      <c r="K23" s="41">
        <v>334.85</v>
      </c>
      <c r="L23" s="41">
        <v>23.45</v>
      </c>
      <c r="M23" s="41">
        <v>39.96</v>
      </c>
      <c r="N23" s="41">
        <v>40.299999999999997</v>
      </c>
      <c r="O23" s="41">
        <v>0.6</v>
      </c>
      <c r="P23" s="41">
        <v>0.38</v>
      </c>
      <c r="Q23" s="41">
        <v>10.25</v>
      </c>
      <c r="R23" s="38"/>
      <c r="S23" s="38"/>
      <c r="T23" s="38"/>
      <c r="U23" s="38"/>
    </row>
    <row r="24" spans="1:21" customFormat="1">
      <c r="A24" s="40" t="s">
        <v>124</v>
      </c>
      <c r="B24" s="41">
        <v>9.48</v>
      </c>
      <c r="C24" s="41">
        <v>8.75</v>
      </c>
      <c r="D24" s="41">
        <v>18.18</v>
      </c>
      <c r="E24" s="41">
        <v>7.07</v>
      </c>
      <c r="F24" s="41">
        <v>2</v>
      </c>
      <c r="G24" s="41">
        <v>53.06</v>
      </c>
      <c r="H24" s="41">
        <v>18.97</v>
      </c>
      <c r="I24" s="41">
        <v>6.04</v>
      </c>
      <c r="J24" s="41">
        <v>1.04</v>
      </c>
      <c r="K24" s="41">
        <v>308.29000000000002</v>
      </c>
      <c r="L24" s="41">
        <v>24.49</v>
      </c>
      <c r="M24" s="41">
        <v>43.13</v>
      </c>
      <c r="N24" s="41">
        <v>29.3</v>
      </c>
      <c r="O24" s="41">
        <v>4.5999999999999996</v>
      </c>
      <c r="P24" s="41">
        <v>0.38</v>
      </c>
      <c r="Q24" s="41">
        <v>11.65</v>
      </c>
      <c r="R24" s="38"/>
      <c r="S24" s="38"/>
      <c r="T24" s="38"/>
      <c r="U24" s="38"/>
    </row>
    <row r="25" spans="1:21" customFormat="1">
      <c r="A25" s="40" t="s">
        <v>125</v>
      </c>
      <c r="B25" s="41">
        <v>9.31</v>
      </c>
      <c r="C25" s="41">
        <v>8.58</v>
      </c>
      <c r="D25" s="41">
        <v>17.87</v>
      </c>
      <c r="E25" s="41">
        <v>7.08</v>
      </c>
      <c r="F25" s="41">
        <v>2</v>
      </c>
      <c r="G25" s="41">
        <v>46.35</v>
      </c>
      <c r="H25" s="41">
        <v>18.600000000000001</v>
      </c>
      <c r="I25" s="41">
        <v>5.88</v>
      </c>
      <c r="J25" s="41">
        <v>0.36</v>
      </c>
      <c r="K25" s="41">
        <v>316.89999999999998</v>
      </c>
      <c r="L25" s="41">
        <v>22.76</v>
      </c>
      <c r="M25" s="41">
        <v>38.82</v>
      </c>
      <c r="N25" s="41">
        <v>18.5</v>
      </c>
      <c r="O25" s="41">
        <v>3.6</v>
      </c>
      <c r="P25" s="41">
        <v>0.36</v>
      </c>
      <c r="Q25" s="41">
        <v>10.35</v>
      </c>
      <c r="R25" s="38"/>
      <c r="S25" s="38"/>
      <c r="T25" s="38"/>
      <c r="U25" s="38"/>
    </row>
    <row r="26" spans="1:21" customFormat="1">
      <c r="A26" s="40" t="s">
        <v>126</v>
      </c>
      <c r="B26" s="41">
        <v>8.16</v>
      </c>
      <c r="C26" s="41">
        <v>8.24</v>
      </c>
      <c r="D26" s="41">
        <v>16.399999999999999</v>
      </c>
      <c r="E26" s="41">
        <v>7.39</v>
      </c>
      <c r="F26" s="41">
        <v>2</v>
      </c>
      <c r="G26" s="41">
        <v>41</v>
      </c>
      <c r="H26" s="41">
        <v>13.43</v>
      </c>
      <c r="I26" s="41">
        <v>5.64</v>
      </c>
      <c r="J26" s="41">
        <v>0.16</v>
      </c>
      <c r="K26" s="41">
        <v>182.05</v>
      </c>
      <c r="L26" s="41">
        <v>17.46</v>
      </c>
      <c r="M26" s="41">
        <v>25.93</v>
      </c>
      <c r="N26" s="41">
        <v>14.9</v>
      </c>
      <c r="O26" s="41">
        <v>0</v>
      </c>
      <c r="P26" s="41">
        <v>0.33</v>
      </c>
      <c r="Q26" s="41">
        <v>10.199999999999999</v>
      </c>
      <c r="R26" s="38"/>
      <c r="S26" s="38"/>
      <c r="T26" s="38"/>
      <c r="U26" s="38"/>
    </row>
    <row r="27" spans="1:21" customFormat="1">
      <c r="A27" s="40" t="s">
        <v>127</v>
      </c>
      <c r="B27" s="41">
        <v>7.6</v>
      </c>
      <c r="C27" s="41">
        <v>7.38</v>
      </c>
      <c r="D27" s="41">
        <v>14.82</v>
      </c>
      <c r="E27" s="41">
        <v>5.88</v>
      </c>
      <c r="F27" s="41">
        <v>2.2799999999999998</v>
      </c>
      <c r="G27" s="41">
        <v>32.049999999999997</v>
      </c>
      <c r="H27" s="41">
        <v>12.46</v>
      </c>
      <c r="I27" s="41">
        <v>5.69</v>
      </c>
      <c r="J27" s="41">
        <v>0.71</v>
      </c>
      <c r="K27" s="41">
        <v>255.17</v>
      </c>
      <c r="L27" s="41">
        <v>22.8</v>
      </c>
      <c r="M27" s="41">
        <v>39.130000000000003</v>
      </c>
      <c r="N27" s="41">
        <v>3.9</v>
      </c>
      <c r="O27" s="41">
        <v>0</v>
      </c>
      <c r="P27" s="41">
        <v>0.27</v>
      </c>
      <c r="Q27" s="41">
        <v>10.210000000000001</v>
      </c>
      <c r="R27" s="38"/>
      <c r="S27" s="38"/>
      <c r="T27" s="38"/>
      <c r="U27" s="38"/>
    </row>
    <row r="28" spans="1:21" customFormat="1">
      <c r="A28" s="40" t="s">
        <v>128</v>
      </c>
      <c r="B28" s="41">
        <v>7.36</v>
      </c>
      <c r="C28" s="41">
        <v>6.83</v>
      </c>
      <c r="D28" s="41">
        <v>14.18</v>
      </c>
      <c r="E28" s="41">
        <v>5.49</v>
      </c>
      <c r="F28" s="41">
        <v>2.13</v>
      </c>
      <c r="G28" s="41">
        <v>25.74</v>
      </c>
      <c r="H28" s="41">
        <v>12.46</v>
      </c>
      <c r="I28" s="41">
        <v>5.76</v>
      </c>
      <c r="J28" s="41">
        <v>0.27</v>
      </c>
      <c r="K28" s="41">
        <v>246.41</v>
      </c>
      <c r="L28" s="41">
        <v>21.16</v>
      </c>
      <c r="M28" s="41">
        <v>34.97</v>
      </c>
      <c r="N28" s="41">
        <v>2.8</v>
      </c>
      <c r="O28" s="41">
        <v>0</v>
      </c>
      <c r="P28" s="41">
        <v>0.26</v>
      </c>
      <c r="Q28" s="41">
        <v>10.07</v>
      </c>
      <c r="R28" s="38"/>
      <c r="S28" s="38"/>
      <c r="T28" s="38"/>
      <c r="U28" s="38"/>
    </row>
    <row r="29" spans="1:21" customFormat="1">
      <c r="A29" s="40" t="s">
        <v>129</v>
      </c>
      <c r="B29" s="41">
        <v>7.6</v>
      </c>
      <c r="C29" s="41">
        <v>7.23</v>
      </c>
      <c r="D29" s="41">
        <v>14.83</v>
      </c>
      <c r="E29" s="41">
        <v>5.6</v>
      </c>
      <c r="F29" s="41">
        <v>2.23</v>
      </c>
      <c r="G29" s="41">
        <v>19.34</v>
      </c>
      <c r="H29" s="41">
        <v>9.39</v>
      </c>
      <c r="I29" s="41">
        <v>6.58</v>
      </c>
      <c r="J29" s="41">
        <v>0.27</v>
      </c>
      <c r="K29" s="41">
        <v>199.82</v>
      </c>
      <c r="L29" s="41">
        <v>17.46</v>
      </c>
      <c r="M29" s="41">
        <v>25.9</v>
      </c>
      <c r="N29" s="41">
        <v>2.8</v>
      </c>
      <c r="O29" s="41">
        <v>0</v>
      </c>
      <c r="P29" s="41">
        <v>0.28999999999999998</v>
      </c>
      <c r="Q29" s="41">
        <v>10</v>
      </c>
      <c r="R29" s="38"/>
      <c r="S29" s="38"/>
      <c r="T29" s="38"/>
      <c r="U29" s="38"/>
    </row>
    <row r="30" spans="1:21" customFormat="1">
      <c r="A30" s="40" t="s">
        <v>130</v>
      </c>
      <c r="B30" s="41">
        <v>7.82</v>
      </c>
      <c r="C30" s="41">
        <v>6.92</v>
      </c>
      <c r="D30" s="41">
        <v>14.65</v>
      </c>
      <c r="E30" s="41">
        <v>6.09</v>
      </c>
      <c r="F30" s="41">
        <v>2</v>
      </c>
      <c r="G30" s="41">
        <v>22.84</v>
      </c>
      <c r="H30" s="41">
        <v>9.39</v>
      </c>
      <c r="I30" s="41">
        <v>7.16</v>
      </c>
      <c r="J30" s="41">
        <v>0.19</v>
      </c>
      <c r="K30" s="41">
        <v>254.3</v>
      </c>
      <c r="L30" s="41">
        <v>21.46</v>
      </c>
      <c r="M30" s="41">
        <v>35.78</v>
      </c>
      <c r="N30" s="41">
        <v>2.7</v>
      </c>
      <c r="O30" s="41">
        <v>0</v>
      </c>
      <c r="P30" s="41">
        <v>0.32</v>
      </c>
      <c r="Q30" s="41">
        <v>10.14</v>
      </c>
      <c r="R30" s="38"/>
      <c r="S30" s="38"/>
      <c r="T30" s="38"/>
      <c r="U30" s="38"/>
    </row>
    <row r="31" spans="1:21" customFormat="1">
      <c r="A31" s="40" t="s">
        <v>131</v>
      </c>
      <c r="B31" s="41">
        <v>7.82</v>
      </c>
      <c r="C31" s="41">
        <v>6.78</v>
      </c>
      <c r="D31" s="41">
        <v>14.5</v>
      </c>
      <c r="E31" s="41">
        <v>5.93</v>
      </c>
      <c r="F31" s="41">
        <v>2</v>
      </c>
      <c r="G31" s="41">
        <v>22.84</v>
      </c>
      <c r="H31" s="41">
        <v>9.76</v>
      </c>
      <c r="I31" s="41">
        <v>7.41</v>
      </c>
      <c r="J31" s="41">
        <v>0.35</v>
      </c>
      <c r="K31" s="41">
        <v>250.99</v>
      </c>
      <c r="L31" s="41">
        <v>22.55</v>
      </c>
      <c r="M31" s="41">
        <v>38.57</v>
      </c>
      <c r="N31" s="41">
        <v>2.6</v>
      </c>
      <c r="O31" s="41">
        <v>0</v>
      </c>
      <c r="P31" s="41">
        <v>0.37</v>
      </c>
      <c r="Q31" s="41">
        <v>10.91</v>
      </c>
      <c r="R31" s="38"/>
      <c r="S31" s="38"/>
      <c r="T31" s="38"/>
      <c r="U31" s="38"/>
    </row>
    <row r="32" spans="1:21" customFormat="1">
      <c r="A32" s="40" t="s">
        <v>132</v>
      </c>
      <c r="B32" s="41">
        <v>7.18</v>
      </c>
      <c r="C32" s="41">
        <v>6.82</v>
      </c>
      <c r="D32" s="41">
        <v>13.96</v>
      </c>
      <c r="E32" s="41">
        <v>5.89</v>
      </c>
      <c r="F32" s="41">
        <v>2.02</v>
      </c>
      <c r="G32" s="41">
        <v>21.61</v>
      </c>
      <c r="H32" s="41">
        <v>9.76</v>
      </c>
      <c r="I32" s="41">
        <v>7.48</v>
      </c>
      <c r="J32" s="41">
        <v>0.43</v>
      </c>
      <c r="K32" s="41">
        <v>251.79</v>
      </c>
      <c r="L32" s="41">
        <v>22.65</v>
      </c>
      <c r="M32" s="41">
        <v>38.72</v>
      </c>
      <c r="N32" s="41">
        <v>2.7</v>
      </c>
      <c r="O32" s="41">
        <v>0</v>
      </c>
      <c r="P32" s="41">
        <v>0.36</v>
      </c>
      <c r="Q32" s="41">
        <v>10.33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6.67</v>
      </c>
      <c r="C34" s="18">
        <f t="shared" si="0"/>
        <v>6.78</v>
      </c>
      <c r="D34" s="18">
        <f t="shared" si="0"/>
        <v>13.8</v>
      </c>
      <c r="E34" s="18">
        <f t="shared" si="0"/>
        <v>5.49</v>
      </c>
      <c r="F34" s="18">
        <f t="shared" si="0"/>
        <v>2</v>
      </c>
      <c r="G34" s="18">
        <f t="shared" si="0"/>
        <v>19.34</v>
      </c>
      <c r="H34" s="18">
        <f t="shared" si="0"/>
        <v>9.39</v>
      </c>
      <c r="I34" s="18">
        <f t="shared" si="0"/>
        <v>5.2</v>
      </c>
      <c r="J34" s="18">
        <f t="shared" si="0"/>
        <v>0.16</v>
      </c>
      <c r="K34" s="18">
        <f t="shared" si="0"/>
        <v>30.61</v>
      </c>
      <c r="L34" s="18">
        <f t="shared" si="0"/>
        <v>10.199999999999999</v>
      </c>
      <c r="M34" s="18">
        <f t="shared" si="0"/>
        <v>7.33</v>
      </c>
      <c r="N34" s="18">
        <f t="shared" si="0"/>
        <v>2.6</v>
      </c>
      <c r="O34" s="18">
        <f t="shared" si="0"/>
        <v>0</v>
      </c>
      <c r="P34" s="18">
        <f t="shared" si="0"/>
        <v>0.26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11.75</v>
      </c>
      <c r="C35" s="3">
        <f t="shared" si="1"/>
        <v>8.92</v>
      </c>
      <c r="D35" s="3">
        <f t="shared" si="1"/>
        <v>19.73</v>
      </c>
      <c r="E35" s="3">
        <f t="shared" si="1"/>
        <v>8.5500000000000007</v>
      </c>
      <c r="F35" s="3">
        <f t="shared" si="1"/>
        <v>4.9000000000000004</v>
      </c>
      <c r="G35" s="3">
        <f t="shared" si="1"/>
        <v>56.47</v>
      </c>
      <c r="H35" s="3">
        <f t="shared" si="1"/>
        <v>23.87</v>
      </c>
      <c r="I35" s="3">
        <f t="shared" si="1"/>
        <v>7.48</v>
      </c>
      <c r="J35" s="3">
        <f t="shared" si="1"/>
        <v>1.04</v>
      </c>
      <c r="K35" s="3">
        <f t="shared" si="1"/>
        <v>356.9</v>
      </c>
      <c r="L35" s="3">
        <f t="shared" si="1"/>
        <v>27.55</v>
      </c>
      <c r="M35" s="3">
        <f t="shared" si="1"/>
        <v>49.08</v>
      </c>
      <c r="N35" s="3">
        <f t="shared" si="1"/>
        <v>286.2</v>
      </c>
      <c r="O35" s="3">
        <f t="shared" si="1"/>
        <v>4.5999999999999996</v>
      </c>
      <c r="P35" s="3">
        <f t="shared" si="1"/>
        <v>0.47</v>
      </c>
      <c r="Q35" s="3">
        <f t="shared" si="1"/>
        <v>15.72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8.7445833333333329</v>
      </c>
      <c r="C36" s="18">
        <f t="shared" si="2"/>
        <v>7.7641666666666653</v>
      </c>
      <c r="D36" s="18">
        <f t="shared" si="2"/>
        <v>16.40583333333333</v>
      </c>
      <c r="E36" s="18">
        <f t="shared" si="2"/>
        <v>6.7229166666666664</v>
      </c>
      <c r="F36" s="18">
        <f t="shared" si="2"/>
        <v>2.4133333333333336</v>
      </c>
      <c r="G36" s="18">
        <f t="shared" si="2"/>
        <v>37.812083333333327</v>
      </c>
      <c r="H36" s="18">
        <f t="shared" si="2"/>
        <v>17.542916666666663</v>
      </c>
      <c r="I36" s="18">
        <f t="shared" si="2"/>
        <v>6.1504166666666675</v>
      </c>
      <c r="J36" s="18">
        <f t="shared" si="2"/>
        <v>0.45041666666666663</v>
      </c>
      <c r="K36" s="18">
        <f t="shared" si="2"/>
        <v>273.98374999999999</v>
      </c>
      <c r="L36" s="18">
        <f t="shared" si="2"/>
        <v>21.950833333333332</v>
      </c>
      <c r="M36" s="18">
        <f t="shared" si="2"/>
        <v>36.083750000000002</v>
      </c>
      <c r="N36" s="18">
        <f t="shared" si="2"/>
        <v>43.641666666666659</v>
      </c>
      <c r="O36" s="18">
        <f t="shared" si="2"/>
        <v>0.74166666666666659</v>
      </c>
      <c r="P36" s="18">
        <f t="shared" si="2"/>
        <v>0.37999999999999989</v>
      </c>
      <c r="Q36" s="18">
        <f t="shared" si="2"/>
        <v>10.883749999999999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1.7951310456383134</v>
      </c>
      <c r="C37" s="18">
        <f t="shared" ref="C37:Q37" si="3">STDEV(C9:C32)</f>
        <v>0.65342520058046671</v>
      </c>
      <c r="D37" s="18">
        <f t="shared" si="3"/>
        <v>2.225269727992313</v>
      </c>
      <c r="E37" s="18">
        <f t="shared" si="3"/>
        <v>0.78778985923839007</v>
      </c>
      <c r="F37" s="18">
        <f t="shared" si="3"/>
        <v>0.70629262728866071</v>
      </c>
      <c r="G37" s="18">
        <f t="shared" si="3"/>
        <v>12.88188177556799</v>
      </c>
      <c r="H37" s="18">
        <f t="shared" si="3"/>
        <v>5.1207111251794108</v>
      </c>
      <c r="I37" s="18">
        <f t="shared" si="3"/>
        <v>0.61108939904337112</v>
      </c>
      <c r="J37" s="18">
        <f t="shared" si="3"/>
        <v>0.21949505623167218</v>
      </c>
      <c r="K37" s="18">
        <f t="shared" si="3"/>
        <v>89.506390775597168</v>
      </c>
      <c r="L37" s="18">
        <f t="shared" si="3"/>
        <v>4.653140983732702</v>
      </c>
      <c r="M37" s="18">
        <f t="shared" si="3"/>
        <v>11.67490873719102</v>
      </c>
      <c r="N37" s="18">
        <f t="shared" si="3"/>
        <v>74.237684773837813</v>
      </c>
      <c r="O37" s="18">
        <f t="shared" si="3"/>
        <v>1.3874959198268773</v>
      </c>
      <c r="P37" s="18">
        <f t="shared" si="3"/>
        <v>5.9270932827659849E-2</v>
      </c>
      <c r="Q37" s="18">
        <f t="shared" si="3"/>
        <v>1.2855680946908132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T15" sqref="T15"/>
    </sheetView>
  </sheetViews>
  <sheetFormatPr defaultColWidth="8.85546875" defaultRowHeight="15"/>
  <cols>
    <col min="1" max="1" width="15.140625" style="1" customWidth="1"/>
    <col min="2" max="2" width="14.42578125" style="1" customWidth="1"/>
    <col min="3" max="3" width="10.140625" style="1" customWidth="1"/>
    <col min="4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04/10/2025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133</v>
      </c>
      <c r="B9" s="41">
        <v>5.86</v>
      </c>
      <c r="C9" s="41">
        <v>6.74</v>
      </c>
      <c r="D9" s="41">
        <v>12.6</v>
      </c>
      <c r="E9" s="41">
        <v>6.15</v>
      </c>
      <c r="F9" s="41">
        <v>2</v>
      </c>
      <c r="G9" s="41">
        <v>21.61</v>
      </c>
      <c r="H9" s="41">
        <v>8.9700000000000006</v>
      </c>
      <c r="I9" s="41">
        <v>6.82</v>
      </c>
      <c r="J9" s="41">
        <v>0.42</v>
      </c>
      <c r="K9" s="41">
        <v>252.21</v>
      </c>
      <c r="L9" s="41">
        <v>22.68</v>
      </c>
      <c r="M9" s="41">
        <v>38.840000000000003</v>
      </c>
      <c r="N9" s="41">
        <v>2.7</v>
      </c>
      <c r="O9" s="41">
        <v>0</v>
      </c>
      <c r="P9" s="41">
        <v>0.32</v>
      </c>
      <c r="Q9" s="41">
        <v>10.39</v>
      </c>
      <c r="R9" s="38"/>
      <c r="S9" s="38"/>
      <c r="T9" s="38"/>
      <c r="U9" s="38"/>
    </row>
    <row r="10" spans="1:21" customFormat="1">
      <c r="A10" s="40" t="s">
        <v>134</v>
      </c>
      <c r="B10" s="41">
        <v>5.2</v>
      </c>
      <c r="C10" s="41">
        <v>6.42</v>
      </c>
      <c r="D10" s="41">
        <v>11.6</v>
      </c>
      <c r="E10" s="41">
        <v>6.18</v>
      </c>
      <c r="F10" s="41">
        <v>2.0099999999999998</v>
      </c>
      <c r="G10" s="41">
        <v>18.62</v>
      </c>
      <c r="H10" s="41">
        <v>6.5</v>
      </c>
      <c r="I10" s="41">
        <v>6.23</v>
      </c>
      <c r="J10" s="41">
        <v>0.55000000000000004</v>
      </c>
      <c r="K10" s="41">
        <v>252.91</v>
      </c>
      <c r="L10" s="41">
        <v>22.67</v>
      </c>
      <c r="M10" s="41">
        <v>38.89</v>
      </c>
      <c r="N10" s="41">
        <v>2.8</v>
      </c>
      <c r="O10" s="41">
        <v>0</v>
      </c>
      <c r="P10" s="41">
        <v>0.3</v>
      </c>
      <c r="Q10" s="41">
        <v>10</v>
      </c>
      <c r="R10" s="38"/>
      <c r="S10" s="38"/>
      <c r="T10" s="38"/>
      <c r="U10" s="38"/>
    </row>
    <row r="11" spans="1:21" customFormat="1">
      <c r="A11" s="40" t="s">
        <v>135</v>
      </c>
      <c r="B11" s="41">
        <v>4.6900000000000004</v>
      </c>
      <c r="C11" s="41">
        <v>6.23</v>
      </c>
      <c r="D11" s="41">
        <v>10.92</v>
      </c>
      <c r="E11" s="41">
        <v>5.69</v>
      </c>
      <c r="F11" s="41">
        <v>2</v>
      </c>
      <c r="G11" s="41">
        <v>18.62</v>
      </c>
      <c r="H11" s="41">
        <v>9.4700000000000006</v>
      </c>
      <c r="I11" s="41">
        <v>5.93</v>
      </c>
      <c r="J11" s="41">
        <v>0.51</v>
      </c>
      <c r="K11" s="41">
        <v>252</v>
      </c>
      <c r="L11" s="41">
        <v>22.41</v>
      </c>
      <c r="M11" s="41">
        <v>38.24</v>
      </c>
      <c r="N11" s="41">
        <v>2.7</v>
      </c>
      <c r="O11" s="41">
        <v>0</v>
      </c>
      <c r="P11" s="41">
        <v>0.28000000000000003</v>
      </c>
      <c r="Q11" s="41">
        <v>10</v>
      </c>
      <c r="R11" s="38"/>
      <c r="S11" s="38"/>
      <c r="T11" s="38"/>
      <c r="U11" s="38"/>
    </row>
    <row r="12" spans="1:21" customFormat="1">
      <c r="A12" s="40" t="s">
        <v>136</v>
      </c>
      <c r="B12" s="41">
        <v>4.3</v>
      </c>
      <c r="C12" s="41">
        <v>6.18</v>
      </c>
      <c r="D12" s="41">
        <v>10.44</v>
      </c>
      <c r="E12" s="41">
        <v>5.72</v>
      </c>
      <c r="F12" s="41">
        <v>2</v>
      </c>
      <c r="G12" s="41">
        <v>15.41</v>
      </c>
      <c r="H12" s="41">
        <v>9.4700000000000006</v>
      </c>
      <c r="I12" s="41">
        <v>5.89</v>
      </c>
      <c r="J12" s="41">
        <v>0.6</v>
      </c>
      <c r="K12" s="41">
        <v>254.35</v>
      </c>
      <c r="L12" s="41">
        <v>22.87</v>
      </c>
      <c r="M12" s="41">
        <v>39.4</v>
      </c>
      <c r="N12" s="41">
        <v>2.6</v>
      </c>
      <c r="O12" s="41">
        <v>0</v>
      </c>
      <c r="P12" s="41">
        <v>0.27</v>
      </c>
      <c r="Q12" s="41">
        <v>10</v>
      </c>
      <c r="R12" s="38"/>
      <c r="S12" s="38"/>
      <c r="T12" s="38"/>
      <c r="U12" s="38"/>
    </row>
    <row r="13" spans="1:21" customFormat="1">
      <c r="A13" s="40" t="s">
        <v>137</v>
      </c>
      <c r="B13" s="41">
        <v>4.59</v>
      </c>
      <c r="C13" s="41">
        <v>6.07</v>
      </c>
      <c r="D13" s="41">
        <v>10.48</v>
      </c>
      <c r="E13" s="41">
        <v>5.34</v>
      </c>
      <c r="F13" s="41">
        <v>2.04</v>
      </c>
      <c r="G13" s="41">
        <v>15.84</v>
      </c>
      <c r="H13" s="41">
        <v>6.73</v>
      </c>
      <c r="I13" s="41">
        <v>5.82</v>
      </c>
      <c r="J13" s="41">
        <v>0.57999999999999996</v>
      </c>
      <c r="K13" s="41">
        <v>252.68</v>
      </c>
      <c r="L13" s="41">
        <v>22.69</v>
      </c>
      <c r="M13" s="41">
        <v>38.799999999999997</v>
      </c>
      <c r="N13" s="41">
        <v>2.4</v>
      </c>
      <c r="O13" s="41">
        <v>0</v>
      </c>
      <c r="P13" s="41">
        <v>0.21</v>
      </c>
      <c r="Q13" s="41">
        <v>10</v>
      </c>
      <c r="R13" s="38"/>
      <c r="S13" s="38"/>
      <c r="T13" s="38"/>
      <c r="U13" s="38"/>
    </row>
    <row r="14" spans="1:21" customFormat="1">
      <c r="A14" s="40" t="s">
        <v>138</v>
      </c>
      <c r="B14" s="41">
        <v>4.9800000000000004</v>
      </c>
      <c r="C14" s="41">
        <v>5.79</v>
      </c>
      <c r="D14" s="41">
        <v>10.77</v>
      </c>
      <c r="E14" s="41">
        <v>5.52</v>
      </c>
      <c r="F14" s="41">
        <v>2.0099999999999998</v>
      </c>
      <c r="G14" s="41">
        <v>16</v>
      </c>
      <c r="H14" s="41">
        <v>5.17</v>
      </c>
      <c r="I14" s="41">
        <v>5.69</v>
      </c>
      <c r="J14" s="41">
        <v>0.46</v>
      </c>
      <c r="K14" s="41">
        <v>253.88</v>
      </c>
      <c r="L14" s="41">
        <v>22.74</v>
      </c>
      <c r="M14" s="41">
        <v>39.04</v>
      </c>
      <c r="N14" s="41">
        <v>3.1</v>
      </c>
      <c r="O14" s="41">
        <v>0</v>
      </c>
      <c r="P14" s="41">
        <v>0.19</v>
      </c>
      <c r="Q14" s="41">
        <v>11.03</v>
      </c>
      <c r="R14" s="38"/>
      <c r="S14" s="38"/>
      <c r="T14" s="38"/>
      <c r="U14" s="38"/>
    </row>
    <row r="15" spans="1:21" customFormat="1">
      <c r="A15" s="40" t="s">
        <v>139</v>
      </c>
      <c r="B15" s="41">
        <v>5.13</v>
      </c>
      <c r="C15" s="41">
        <v>5.79</v>
      </c>
      <c r="D15" s="41">
        <v>10.87</v>
      </c>
      <c r="E15" s="41">
        <v>5.3</v>
      </c>
      <c r="F15" s="41">
        <v>2</v>
      </c>
      <c r="G15" s="41">
        <v>16</v>
      </c>
      <c r="H15" s="41">
        <v>6.41</v>
      </c>
      <c r="I15" s="41">
        <v>5.47</v>
      </c>
      <c r="J15" s="41">
        <v>0.72</v>
      </c>
      <c r="K15" s="41">
        <v>255.44</v>
      </c>
      <c r="L15" s="41">
        <v>22.95</v>
      </c>
      <c r="M15" s="41">
        <v>39.24</v>
      </c>
      <c r="N15" s="41">
        <v>20.7</v>
      </c>
      <c r="O15" s="41">
        <v>0</v>
      </c>
      <c r="P15" s="41">
        <v>0.18</v>
      </c>
      <c r="Q15" s="41">
        <v>10</v>
      </c>
      <c r="R15" s="38"/>
      <c r="S15" s="38"/>
      <c r="T15" s="38"/>
      <c r="U15" s="38"/>
    </row>
    <row r="16" spans="1:21" customFormat="1">
      <c r="A16" s="40" t="s">
        <v>140</v>
      </c>
      <c r="B16" s="41">
        <v>5.22</v>
      </c>
      <c r="C16" s="41">
        <v>5.83</v>
      </c>
      <c r="D16" s="41">
        <v>11.05</v>
      </c>
      <c r="E16" s="41">
        <v>5.55</v>
      </c>
      <c r="F16" s="41">
        <v>2.06</v>
      </c>
      <c r="G16" s="41">
        <v>15.75</v>
      </c>
      <c r="H16" s="41">
        <v>6.41</v>
      </c>
      <c r="I16" s="41">
        <v>5.5</v>
      </c>
      <c r="J16" s="41">
        <v>0.65</v>
      </c>
      <c r="K16" s="41">
        <v>254.25</v>
      </c>
      <c r="L16" s="41">
        <v>23.04</v>
      </c>
      <c r="M16" s="41">
        <v>38.659999999999997</v>
      </c>
      <c r="N16" s="41">
        <v>63.8</v>
      </c>
      <c r="O16" s="41">
        <v>0</v>
      </c>
      <c r="P16" s="41">
        <v>0.2</v>
      </c>
      <c r="Q16" s="41">
        <v>10</v>
      </c>
      <c r="R16" s="38"/>
      <c r="S16" s="38"/>
      <c r="T16" s="38"/>
      <c r="U16" s="38"/>
    </row>
    <row r="17" spans="1:21" customFormat="1">
      <c r="A17" s="40" t="s">
        <v>141</v>
      </c>
      <c r="B17" s="41">
        <v>5.24</v>
      </c>
      <c r="C17" s="41">
        <v>6.17</v>
      </c>
      <c r="D17" s="41">
        <v>11.26</v>
      </c>
      <c r="E17" s="41">
        <v>5.29</v>
      </c>
      <c r="F17" s="41">
        <v>2.0299999999999998</v>
      </c>
      <c r="G17" s="41">
        <v>15.75</v>
      </c>
      <c r="H17" s="41">
        <v>4.99</v>
      </c>
      <c r="I17" s="41">
        <v>6.89</v>
      </c>
      <c r="J17" s="41">
        <v>0.74</v>
      </c>
      <c r="K17" s="41">
        <v>254.68</v>
      </c>
      <c r="L17" s="41">
        <v>23.98</v>
      </c>
      <c r="M17" s="41">
        <v>39.06</v>
      </c>
      <c r="N17" s="41">
        <v>152.80000000000001</v>
      </c>
      <c r="O17" s="41">
        <v>0</v>
      </c>
      <c r="P17" s="41">
        <v>0.26</v>
      </c>
      <c r="Q17" s="41">
        <v>10.24</v>
      </c>
      <c r="R17" s="38"/>
      <c r="S17" s="38"/>
      <c r="T17" s="38"/>
      <c r="U17" s="38"/>
    </row>
    <row r="18" spans="1:21" customFormat="1">
      <c r="A18" s="40" t="s">
        <v>142</v>
      </c>
      <c r="B18" s="41">
        <v>4.75</v>
      </c>
      <c r="C18" s="41">
        <v>6.34</v>
      </c>
      <c r="D18" s="41">
        <v>11.04</v>
      </c>
      <c r="E18" s="41">
        <v>5.48</v>
      </c>
      <c r="F18" s="41">
        <v>2</v>
      </c>
      <c r="G18" s="41">
        <v>18.899999999999999</v>
      </c>
      <c r="H18" s="41">
        <v>4.99</v>
      </c>
      <c r="I18" s="41">
        <v>7.29</v>
      </c>
      <c r="J18" s="41">
        <v>0.77</v>
      </c>
      <c r="K18" s="41">
        <v>258.76</v>
      </c>
      <c r="L18" s="41">
        <v>27.71</v>
      </c>
      <c r="M18" s="41">
        <v>39.6</v>
      </c>
      <c r="N18" s="41">
        <v>539.9</v>
      </c>
      <c r="O18" s="41">
        <v>0</v>
      </c>
      <c r="P18" s="41">
        <v>0.28999999999999998</v>
      </c>
      <c r="Q18" s="41">
        <v>12.84</v>
      </c>
      <c r="R18" s="38"/>
      <c r="S18" s="38"/>
      <c r="T18" s="38"/>
      <c r="U18" s="38"/>
    </row>
    <row r="19" spans="1:21" customFormat="1">
      <c r="A19" s="40" t="s">
        <v>143</v>
      </c>
      <c r="B19" s="41">
        <v>4.26</v>
      </c>
      <c r="C19" s="41">
        <v>6.6</v>
      </c>
      <c r="D19" s="41">
        <v>10.73</v>
      </c>
      <c r="E19" s="41">
        <v>5.47</v>
      </c>
      <c r="F19" s="41">
        <v>2.1</v>
      </c>
      <c r="G19" s="41">
        <v>21.38</v>
      </c>
      <c r="H19" s="41">
        <v>7.63</v>
      </c>
      <c r="I19" s="41">
        <v>7.45</v>
      </c>
      <c r="J19" s="41">
        <v>0.76</v>
      </c>
      <c r="K19" s="41">
        <v>266.81</v>
      </c>
      <c r="L19" s="41">
        <v>26.45</v>
      </c>
      <c r="M19" s="41">
        <v>40.97</v>
      </c>
      <c r="N19" s="41">
        <v>373.8</v>
      </c>
      <c r="O19" s="41">
        <v>0</v>
      </c>
      <c r="P19" s="41">
        <v>0.28999999999999998</v>
      </c>
      <c r="Q19" s="41">
        <v>10</v>
      </c>
      <c r="R19" s="38"/>
      <c r="S19" s="38"/>
      <c r="T19" s="38"/>
      <c r="U19" s="38"/>
    </row>
    <row r="20" spans="1:21" customFormat="1">
      <c r="A20" s="40" t="s">
        <v>144</v>
      </c>
      <c r="B20" s="41">
        <v>3.56</v>
      </c>
      <c r="C20" s="41">
        <v>6.55</v>
      </c>
      <c r="D20" s="41">
        <v>10.11</v>
      </c>
      <c r="E20" s="41">
        <v>5.42</v>
      </c>
      <c r="F20" s="41">
        <v>2.37</v>
      </c>
      <c r="G20" s="41">
        <v>21.38</v>
      </c>
      <c r="H20" s="41">
        <v>7.63</v>
      </c>
      <c r="I20" s="41">
        <v>7.45</v>
      </c>
      <c r="J20" s="41">
        <v>0.83</v>
      </c>
      <c r="K20" s="41">
        <v>264.83</v>
      </c>
      <c r="L20" s="41">
        <v>26.45</v>
      </c>
      <c r="M20" s="41">
        <v>40.5</v>
      </c>
      <c r="N20" s="41">
        <v>385.9</v>
      </c>
      <c r="O20" s="41">
        <v>0</v>
      </c>
      <c r="P20" s="41">
        <v>0.28000000000000003</v>
      </c>
      <c r="Q20" s="41">
        <v>10.210000000000001</v>
      </c>
      <c r="R20" s="38"/>
      <c r="S20" s="38"/>
      <c r="T20" s="38"/>
      <c r="U20" s="38"/>
    </row>
    <row r="21" spans="1:21" customFormat="1">
      <c r="A21" s="40" t="s">
        <v>145</v>
      </c>
      <c r="B21" s="41">
        <v>2.78</v>
      </c>
      <c r="C21" s="41">
        <v>6.48</v>
      </c>
      <c r="D21" s="41">
        <v>9.26</v>
      </c>
      <c r="E21" s="41">
        <v>5.3</v>
      </c>
      <c r="F21" s="41">
        <v>2.44</v>
      </c>
      <c r="G21" s="41">
        <v>18.98</v>
      </c>
      <c r="H21" s="41">
        <v>6.72</v>
      </c>
      <c r="I21" s="41">
        <v>6.94</v>
      </c>
      <c r="J21" s="41">
        <v>0.9</v>
      </c>
      <c r="K21" s="41">
        <v>262.85000000000002</v>
      </c>
      <c r="L21" s="41">
        <v>25.42</v>
      </c>
      <c r="M21" s="41">
        <v>39.46</v>
      </c>
      <c r="N21" s="41">
        <v>289.89999999999998</v>
      </c>
      <c r="O21" s="41">
        <v>0</v>
      </c>
      <c r="P21" s="41">
        <v>0.27</v>
      </c>
      <c r="Q21" s="41">
        <v>10.17</v>
      </c>
      <c r="R21" s="38"/>
      <c r="S21" s="38"/>
      <c r="T21" s="38"/>
      <c r="U21" s="38"/>
    </row>
    <row r="22" spans="1:21" customFormat="1">
      <c r="A22" s="40" t="s">
        <v>146</v>
      </c>
      <c r="B22" s="41">
        <v>2.81</v>
      </c>
      <c r="C22" s="41">
        <v>6.22</v>
      </c>
      <c r="D22" s="41">
        <v>9.0299999999999994</v>
      </c>
      <c r="E22" s="41">
        <v>5.1100000000000003</v>
      </c>
      <c r="F22" s="41">
        <v>4.29</v>
      </c>
      <c r="G22" s="41">
        <v>17.14</v>
      </c>
      <c r="H22" s="41">
        <v>5.24</v>
      </c>
      <c r="I22" s="41">
        <v>6.67</v>
      </c>
      <c r="J22" s="41">
        <v>0.69</v>
      </c>
      <c r="K22" s="41">
        <v>349.24</v>
      </c>
      <c r="L22" s="41">
        <v>28.22</v>
      </c>
      <c r="M22" s="41">
        <v>44.62</v>
      </c>
      <c r="N22" s="41">
        <v>352.4</v>
      </c>
      <c r="O22" s="41">
        <v>0</v>
      </c>
      <c r="P22" s="41">
        <v>0.25</v>
      </c>
      <c r="Q22" s="41">
        <v>11.09</v>
      </c>
      <c r="R22" s="38"/>
      <c r="S22" s="38"/>
      <c r="T22" s="38"/>
      <c r="U22" s="38"/>
    </row>
    <row r="23" spans="1:21" customFormat="1">
      <c r="A23" s="40" t="s">
        <v>147</v>
      </c>
      <c r="B23" s="41">
        <v>4.1100000000000003</v>
      </c>
      <c r="C23" s="41">
        <v>7.54</v>
      </c>
      <c r="D23" s="41">
        <v>11.65</v>
      </c>
      <c r="E23" s="41">
        <v>4.43</v>
      </c>
      <c r="F23" s="41">
        <v>5.04</v>
      </c>
      <c r="G23" s="41">
        <v>17.309999999999999</v>
      </c>
      <c r="H23" s="41">
        <v>4.17</v>
      </c>
      <c r="I23" s="41">
        <v>6.17</v>
      </c>
      <c r="J23" s="41">
        <v>0.5</v>
      </c>
      <c r="K23" s="41">
        <v>347.03</v>
      </c>
      <c r="L23" s="41">
        <v>20.49</v>
      </c>
      <c r="M23" s="41">
        <v>32.69</v>
      </c>
      <c r="N23" s="41">
        <v>135.4</v>
      </c>
      <c r="O23" s="41">
        <v>0.4</v>
      </c>
      <c r="P23" s="41">
        <v>0.23</v>
      </c>
      <c r="Q23" s="41">
        <v>10</v>
      </c>
      <c r="R23" s="38"/>
      <c r="S23" s="38"/>
      <c r="T23" s="38"/>
      <c r="U23" s="38"/>
    </row>
    <row r="24" spans="1:21" customFormat="1">
      <c r="A24" s="40" t="s">
        <v>148</v>
      </c>
      <c r="B24" s="41">
        <v>4.5</v>
      </c>
      <c r="C24" s="41">
        <v>7.12</v>
      </c>
      <c r="D24" s="41">
        <v>11.61</v>
      </c>
      <c r="E24" s="41">
        <v>4.2300000000000004</v>
      </c>
      <c r="F24" s="41">
        <v>3.47</v>
      </c>
      <c r="G24" s="41">
        <v>17.309999999999999</v>
      </c>
      <c r="H24" s="41">
        <v>7.05</v>
      </c>
      <c r="I24" s="41">
        <v>5.93</v>
      </c>
      <c r="J24" s="41">
        <v>0.17</v>
      </c>
      <c r="K24" s="41">
        <v>309.25</v>
      </c>
      <c r="L24" s="41">
        <v>20.25</v>
      </c>
      <c r="M24" s="41">
        <v>32.08</v>
      </c>
      <c r="N24" s="41">
        <v>77.2</v>
      </c>
      <c r="O24" s="41">
        <v>2.4</v>
      </c>
      <c r="P24" s="41">
        <v>0.23</v>
      </c>
      <c r="Q24" s="41">
        <v>10</v>
      </c>
      <c r="R24" s="38"/>
      <c r="S24" s="38"/>
      <c r="T24" s="38"/>
      <c r="U24" s="38"/>
    </row>
    <row r="25" spans="1:21" customFormat="1">
      <c r="A25" s="40" t="s">
        <v>149</v>
      </c>
      <c r="B25" s="41">
        <v>4.66</v>
      </c>
      <c r="C25" s="41">
        <v>6.38</v>
      </c>
      <c r="D25" s="41">
        <v>10.79</v>
      </c>
      <c r="E25" s="41">
        <v>4.43</v>
      </c>
      <c r="F25" s="41">
        <v>4.78</v>
      </c>
      <c r="G25" s="41">
        <v>19.36</v>
      </c>
      <c r="H25" s="41">
        <v>7.05</v>
      </c>
      <c r="I25" s="41">
        <v>5.48</v>
      </c>
      <c r="J25" s="41">
        <v>0.2</v>
      </c>
      <c r="K25" s="41">
        <v>227.81</v>
      </c>
      <c r="L25" s="41">
        <v>20.37</v>
      </c>
      <c r="M25" s="41">
        <v>32.909999999999997</v>
      </c>
      <c r="N25" s="41">
        <v>27</v>
      </c>
      <c r="O25" s="41">
        <v>0</v>
      </c>
      <c r="P25" s="41">
        <v>0.21</v>
      </c>
      <c r="Q25" s="41">
        <v>10</v>
      </c>
      <c r="R25" s="38"/>
      <c r="S25" s="38"/>
      <c r="T25" s="38"/>
      <c r="U25" s="38"/>
    </row>
    <row r="26" spans="1:21" customFormat="1">
      <c r="A26" s="40" t="s">
        <v>150</v>
      </c>
      <c r="B26" s="41">
        <v>4.96</v>
      </c>
      <c r="C26" s="41">
        <v>6.41</v>
      </c>
      <c r="D26" s="41">
        <v>11.28</v>
      </c>
      <c r="E26" s="41">
        <v>4.7699999999999996</v>
      </c>
      <c r="F26" s="41">
        <v>2.5499999999999998</v>
      </c>
      <c r="G26" s="41">
        <v>19.36</v>
      </c>
      <c r="H26" s="41">
        <v>4.9400000000000004</v>
      </c>
      <c r="I26" s="41">
        <v>5.63</v>
      </c>
      <c r="J26" s="41">
        <v>0.18</v>
      </c>
      <c r="K26" s="41">
        <v>168.88</v>
      </c>
      <c r="L26" s="41">
        <v>17.14</v>
      </c>
      <c r="M26" s="41">
        <v>25.1</v>
      </c>
      <c r="N26" s="41">
        <v>12.6</v>
      </c>
      <c r="O26" s="41">
        <v>0</v>
      </c>
      <c r="P26" s="41">
        <v>0.23</v>
      </c>
      <c r="Q26" s="41">
        <v>10</v>
      </c>
      <c r="R26" s="38"/>
      <c r="S26" s="38"/>
      <c r="T26" s="38"/>
      <c r="U26" s="38"/>
    </row>
    <row r="27" spans="1:21" customFormat="1">
      <c r="A27" s="40" t="s">
        <v>151</v>
      </c>
      <c r="B27" s="41">
        <v>5.12</v>
      </c>
      <c r="C27" s="41">
        <v>6.59</v>
      </c>
      <c r="D27" s="41">
        <v>11.66</v>
      </c>
      <c r="E27" s="41">
        <v>6.91</v>
      </c>
      <c r="F27" s="41">
        <v>2.06</v>
      </c>
      <c r="G27" s="41">
        <v>15.05</v>
      </c>
      <c r="H27" s="41">
        <v>3.46</v>
      </c>
      <c r="I27" s="41">
        <v>5.86</v>
      </c>
      <c r="J27" s="41">
        <v>0.14000000000000001</v>
      </c>
      <c r="K27" s="41">
        <v>213.98</v>
      </c>
      <c r="L27" s="41">
        <v>19.010000000000002</v>
      </c>
      <c r="M27" s="41">
        <v>29.96</v>
      </c>
      <c r="N27" s="41">
        <v>2.7</v>
      </c>
      <c r="O27" s="41">
        <v>0</v>
      </c>
      <c r="P27" s="41">
        <v>0.3</v>
      </c>
      <c r="Q27" s="41">
        <v>10</v>
      </c>
      <c r="R27" s="38"/>
      <c r="S27" s="38"/>
      <c r="T27" s="38"/>
      <c r="U27" s="38"/>
    </row>
    <row r="28" spans="1:21" customFormat="1">
      <c r="A28" s="40" t="s">
        <v>152</v>
      </c>
      <c r="B28" s="41">
        <v>4.8899999999999997</v>
      </c>
      <c r="C28" s="41">
        <v>6.58</v>
      </c>
      <c r="D28" s="41">
        <v>11.47</v>
      </c>
      <c r="E28" s="41">
        <v>7.01</v>
      </c>
      <c r="F28" s="41">
        <v>2</v>
      </c>
      <c r="G28" s="41">
        <v>19.86</v>
      </c>
      <c r="H28" s="41">
        <v>7.22</v>
      </c>
      <c r="I28" s="41">
        <v>5.72</v>
      </c>
      <c r="J28" s="41">
        <v>0.36</v>
      </c>
      <c r="K28" s="41">
        <v>246.87</v>
      </c>
      <c r="L28" s="41">
        <v>21.8</v>
      </c>
      <c r="M28" s="41">
        <v>36.700000000000003</v>
      </c>
      <c r="N28" s="41">
        <v>3.1</v>
      </c>
      <c r="O28" s="41">
        <v>0</v>
      </c>
      <c r="P28" s="41">
        <v>0.28999999999999998</v>
      </c>
      <c r="Q28" s="41">
        <v>10.51</v>
      </c>
      <c r="R28" s="38"/>
      <c r="S28" s="38"/>
      <c r="T28" s="38"/>
      <c r="U28" s="38"/>
    </row>
    <row r="29" spans="1:21" customFormat="1">
      <c r="A29" s="40" t="s">
        <v>153</v>
      </c>
      <c r="B29" s="41">
        <v>4.54</v>
      </c>
      <c r="C29" s="41">
        <v>6.27</v>
      </c>
      <c r="D29" s="41">
        <v>10.8</v>
      </c>
      <c r="E29" s="41">
        <v>7.42</v>
      </c>
      <c r="F29" s="41">
        <v>2</v>
      </c>
      <c r="G29" s="41">
        <v>19.86</v>
      </c>
      <c r="H29" s="41">
        <v>7.22</v>
      </c>
      <c r="I29" s="41">
        <v>5.61</v>
      </c>
      <c r="J29" s="41">
        <v>0.17</v>
      </c>
      <c r="K29" s="41">
        <v>226.76</v>
      </c>
      <c r="L29" s="41">
        <v>20.190000000000001</v>
      </c>
      <c r="M29" s="41">
        <v>32.67</v>
      </c>
      <c r="N29" s="41">
        <v>2.8</v>
      </c>
      <c r="O29" s="41">
        <v>0</v>
      </c>
      <c r="P29" s="41">
        <v>0.28000000000000003</v>
      </c>
      <c r="Q29" s="41">
        <v>10.02</v>
      </c>
      <c r="R29" s="38"/>
      <c r="S29" s="38"/>
      <c r="T29" s="38"/>
      <c r="U29" s="38"/>
    </row>
    <row r="30" spans="1:21" customFormat="1">
      <c r="A30" s="40" t="s">
        <v>154</v>
      </c>
      <c r="B30" s="41">
        <v>4.25</v>
      </c>
      <c r="C30" s="41">
        <v>5.99</v>
      </c>
      <c r="D30" s="41">
        <v>10.24</v>
      </c>
      <c r="E30" s="41">
        <v>7.31</v>
      </c>
      <c r="F30" s="41">
        <v>2.02</v>
      </c>
      <c r="G30" s="41">
        <v>14.06</v>
      </c>
      <c r="H30" s="41">
        <v>6.04</v>
      </c>
      <c r="I30" s="41">
        <v>5.34</v>
      </c>
      <c r="J30" s="41">
        <v>0.48</v>
      </c>
      <c r="K30" s="41">
        <v>254.46</v>
      </c>
      <c r="L30" s="41">
        <v>22.32</v>
      </c>
      <c r="M30" s="41">
        <v>38.11</v>
      </c>
      <c r="N30" s="41">
        <v>2.5</v>
      </c>
      <c r="O30" s="41">
        <v>0</v>
      </c>
      <c r="P30" s="41">
        <v>0.26</v>
      </c>
      <c r="Q30" s="41">
        <v>10.14</v>
      </c>
      <c r="R30" s="38"/>
      <c r="S30" s="38"/>
      <c r="T30" s="38"/>
      <c r="U30" s="38"/>
    </row>
    <row r="31" spans="1:21" customFormat="1">
      <c r="A31" s="40" t="s">
        <v>155</v>
      </c>
      <c r="B31" s="41">
        <v>3.89</v>
      </c>
      <c r="C31" s="41">
        <v>5.89</v>
      </c>
      <c r="D31" s="41">
        <v>9.77</v>
      </c>
      <c r="E31" s="41">
        <v>7.46</v>
      </c>
      <c r="F31" s="41">
        <v>2</v>
      </c>
      <c r="G31" s="41">
        <v>13.16</v>
      </c>
      <c r="H31" s="41">
        <v>6.04</v>
      </c>
      <c r="I31" s="41">
        <v>5.0199999999999996</v>
      </c>
      <c r="J31" s="41">
        <v>0.24</v>
      </c>
      <c r="K31" s="41">
        <v>248.66</v>
      </c>
      <c r="L31" s="41">
        <v>22.25</v>
      </c>
      <c r="M31" s="41">
        <v>37.83</v>
      </c>
      <c r="N31" s="41">
        <v>2.4</v>
      </c>
      <c r="O31" s="41">
        <v>0</v>
      </c>
      <c r="P31" s="41">
        <v>0.25</v>
      </c>
      <c r="Q31" s="41">
        <v>10</v>
      </c>
      <c r="R31" s="38"/>
      <c r="S31" s="38"/>
      <c r="T31" s="38"/>
      <c r="U31" s="38"/>
    </row>
    <row r="32" spans="1:21" customFormat="1">
      <c r="A32" s="40" t="s">
        <v>156</v>
      </c>
      <c r="B32" s="41">
        <v>4.18</v>
      </c>
      <c r="C32" s="41">
        <v>5.76</v>
      </c>
      <c r="D32" s="41">
        <v>9.84</v>
      </c>
      <c r="E32" s="41">
        <v>7.57</v>
      </c>
      <c r="F32" s="41">
        <v>2.35</v>
      </c>
      <c r="G32" s="41">
        <v>15.44</v>
      </c>
      <c r="H32" s="41">
        <v>4.4800000000000004</v>
      </c>
      <c r="I32" s="41">
        <v>4.8</v>
      </c>
      <c r="J32" s="41">
        <v>0.39</v>
      </c>
      <c r="K32" s="41">
        <v>252.59</v>
      </c>
      <c r="L32" s="41">
        <v>22.58</v>
      </c>
      <c r="M32" s="41">
        <v>38.61</v>
      </c>
      <c r="N32" s="41">
        <v>2.2000000000000002</v>
      </c>
      <c r="O32" s="41">
        <v>0</v>
      </c>
      <c r="P32" s="41">
        <v>0.24</v>
      </c>
      <c r="Q32" s="41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2.78</v>
      </c>
      <c r="C34" s="18">
        <f t="shared" si="0"/>
        <v>5.76</v>
      </c>
      <c r="D34" s="18">
        <f t="shared" si="0"/>
        <v>9.0299999999999994</v>
      </c>
      <c r="E34" s="18">
        <f t="shared" si="0"/>
        <v>4.2300000000000004</v>
      </c>
      <c r="F34" s="18">
        <f t="shared" si="0"/>
        <v>2</v>
      </c>
      <c r="G34" s="18">
        <f t="shared" si="0"/>
        <v>13.16</v>
      </c>
      <c r="H34" s="18">
        <f t="shared" si="0"/>
        <v>3.46</v>
      </c>
      <c r="I34" s="18">
        <f t="shared" si="0"/>
        <v>4.8</v>
      </c>
      <c r="J34" s="18">
        <f t="shared" si="0"/>
        <v>0.14000000000000001</v>
      </c>
      <c r="K34" s="18">
        <f t="shared" si="0"/>
        <v>168.88</v>
      </c>
      <c r="L34" s="18">
        <f t="shared" si="0"/>
        <v>17.14</v>
      </c>
      <c r="M34" s="18">
        <f t="shared" si="0"/>
        <v>25.1</v>
      </c>
      <c r="N34" s="18">
        <f t="shared" si="0"/>
        <v>2.2000000000000002</v>
      </c>
      <c r="O34" s="18">
        <f t="shared" si="0"/>
        <v>0</v>
      </c>
      <c r="P34" s="18">
        <f t="shared" si="0"/>
        <v>0.18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5.86</v>
      </c>
      <c r="C35" s="3">
        <f t="shared" si="1"/>
        <v>7.54</v>
      </c>
      <c r="D35" s="3">
        <f t="shared" si="1"/>
        <v>12.6</v>
      </c>
      <c r="E35" s="3">
        <f t="shared" si="1"/>
        <v>7.57</v>
      </c>
      <c r="F35" s="3">
        <f t="shared" si="1"/>
        <v>5.04</v>
      </c>
      <c r="G35" s="3">
        <f t="shared" si="1"/>
        <v>21.61</v>
      </c>
      <c r="H35" s="3">
        <f t="shared" si="1"/>
        <v>9.4700000000000006</v>
      </c>
      <c r="I35" s="3">
        <f t="shared" si="1"/>
        <v>7.45</v>
      </c>
      <c r="J35" s="3">
        <f t="shared" si="1"/>
        <v>0.9</v>
      </c>
      <c r="K35" s="3">
        <f t="shared" si="1"/>
        <v>349.24</v>
      </c>
      <c r="L35" s="3">
        <f t="shared" si="1"/>
        <v>28.22</v>
      </c>
      <c r="M35" s="3">
        <f t="shared" si="1"/>
        <v>44.62</v>
      </c>
      <c r="N35" s="3">
        <f t="shared" si="1"/>
        <v>539.9</v>
      </c>
      <c r="O35" s="3">
        <f t="shared" si="1"/>
        <v>2.4</v>
      </c>
      <c r="P35" s="3">
        <f t="shared" si="1"/>
        <v>0.32</v>
      </c>
      <c r="Q35" s="3">
        <f t="shared" si="1"/>
        <v>12.84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4.5195833333333333</v>
      </c>
      <c r="C36" s="18">
        <f t="shared" si="2"/>
        <v>6.3308333333333335</v>
      </c>
      <c r="D36" s="18">
        <f t="shared" si="2"/>
        <v>10.802916666666668</v>
      </c>
      <c r="E36" s="18">
        <f t="shared" si="2"/>
        <v>5.7941666666666656</v>
      </c>
      <c r="F36" s="18">
        <f t="shared" si="2"/>
        <v>2.4841666666666673</v>
      </c>
      <c r="G36" s="18">
        <f t="shared" si="2"/>
        <v>17.589583333333337</v>
      </c>
      <c r="H36" s="18">
        <f t="shared" si="2"/>
        <v>6.4166666666666643</v>
      </c>
      <c r="I36" s="18">
        <f t="shared" si="2"/>
        <v>6.0666666666666691</v>
      </c>
      <c r="J36" s="18">
        <f t="shared" si="2"/>
        <v>0.50041666666666662</v>
      </c>
      <c r="K36" s="18">
        <f t="shared" si="2"/>
        <v>257.54916666666662</v>
      </c>
      <c r="L36" s="18">
        <f t="shared" si="2"/>
        <v>22.778333333333332</v>
      </c>
      <c r="M36" s="18">
        <f t="shared" si="2"/>
        <v>37.165833333333339</v>
      </c>
      <c r="N36" s="18">
        <f t="shared" si="2"/>
        <v>102.64166666666665</v>
      </c>
      <c r="O36" s="18">
        <f t="shared" si="2"/>
        <v>0.11666666666666665</v>
      </c>
      <c r="P36" s="18">
        <f t="shared" si="2"/>
        <v>0.25458333333333338</v>
      </c>
      <c r="Q36" s="18">
        <f t="shared" si="2"/>
        <v>10.276666666666666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0.73397357591737211</v>
      </c>
      <c r="C37" s="18">
        <f t="shared" ref="C37:Q37" si="3">STDEV(C9:C32)</f>
        <v>0.42508225972890457</v>
      </c>
      <c r="D37" s="18">
        <f t="shared" si="3"/>
        <v>0.82205722410921311</v>
      </c>
      <c r="E37" s="18">
        <f t="shared" si="3"/>
        <v>0.99995181043308878</v>
      </c>
      <c r="F37" s="18">
        <f t="shared" si="3"/>
        <v>0.9213596600613696</v>
      </c>
      <c r="G37" s="18">
        <f t="shared" si="3"/>
        <v>2.3810090648014031</v>
      </c>
      <c r="H37" s="18">
        <f t="shared" si="3"/>
        <v>1.5799495497357443</v>
      </c>
      <c r="I37" s="18">
        <f t="shared" si="3"/>
        <v>0.74646801187564782</v>
      </c>
      <c r="J37" s="18">
        <f t="shared" si="3"/>
        <v>0.23223824286554398</v>
      </c>
      <c r="K37" s="18">
        <f t="shared" si="3"/>
        <v>36.847050960595986</v>
      </c>
      <c r="L37" s="18">
        <f t="shared" si="3"/>
        <v>2.6473590887765188</v>
      </c>
      <c r="M37" s="18">
        <f t="shared" si="3"/>
        <v>4.2011115678825597</v>
      </c>
      <c r="N37" s="18">
        <f t="shared" si="3"/>
        <v>159.97706606469151</v>
      </c>
      <c r="O37" s="18">
        <f t="shared" si="3"/>
        <v>0.49314136492196786</v>
      </c>
      <c r="P37" s="18">
        <f t="shared" si="3"/>
        <v>3.8105022682359962E-2</v>
      </c>
      <c r="Q37" s="18">
        <f t="shared" si="3"/>
        <v>0.62694335550709268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6"/>
  <sheetViews>
    <sheetView zoomScale="85" zoomScaleNormal="85" workbookViewId="0">
      <pane xSplit="2" ySplit="8" topLeftCell="C21" activePane="bottomRight" state="frozen"/>
      <selection activeCell="G19" sqref="G19"/>
      <selection pane="topRight" activeCell="G19" sqref="G19"/>
      <selection pane="bottomLeft" activeCell="G19" sqref="G19"/>
      <selection pane="bottomRight" activeCell="T13" sqref="T13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05/10/2025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157</v>
      </c>
      <c r="B9" s="41">
        <v>4.78</v>
      </c>
      <c r="C9" s="41">
        <v>5.63</v>
      </c>
      <c r="D9" s="41">
        <v>10.29</v>
      </c>
      <c r="E9" s="41">
        <v>7.42</v>
      </c>
      <c r="F9" s="41">
        <v>2.29</v>
      </c>
      <c r="G9" s="41">
        <v>15.44</v>
      </c>
      <c r="H9" s="41">
        <v>6.31</v>
      </c>
      <c r="I9" s="41">
        <v>4.83</v>
      </c>
      <c r="J9" s="41">
        <v>0.33</v>
      </c>
      <c r="K9" s="41">
        <v>252.78</v>
      </c>
      <c r="L9" s="41">
        <v>22.04</v>
      </c>
      <c r="M9" s="41">
        <v>37.369999999999997</v>
      </c>
      <c r="N9" s="41">
        <v>2.2999999999999998</v>
      </c>
      <c r="O9" s="41">
        <v>0</v>
      </c>
      <c r="P9" s="41">
        <v>0.19</v>
      </c>
      <c r="Q9" s="41">
        <v>10</v>
      </c>
      <c r="R9" s="38"/>
      <c r="S9" s="38"/>
      <c r="T9" s="38"/>
      <c r="U9" s="38"/>
    </row>
    <row r="10" spans="1:21" customFormat="1">
      <c r="A10" s="40" t="s">
        <v>158</v>
      </c>
      <c r="B10" s="41">
        <v>5.03</v>
      </c>
      <c r="C10" s="41">
        <v>5.65</v>
      </c>
      <c r="D10" s="41">
        <v>10.68</v>
      </c>
      <c r="E10" s="41">
        <v>7.25</v>
      </c>
      <c r="F10" s="41">
        <v>2.19</v>
      </c>
      <c r="G10" s="41">
        <v>13.22</v>
      </c>
      <c r="H10" s="41">
        <v>6.31</v>
      </c>
      <c r="I10" s="41">
        <v>4.8099999999999996</v>
      </c>
      <c r="J10" s="41">
        <v>0.27</v>
      </c>
      <c r="K10" s="41">
        <v>253.98</v>
      </c>
      <c r="L10" s="41">
        <v>22.28</v>
      </c>
      <c r="M10" s="41">
        <v>37.93</v>
      </c>
      <c r="N10" s="41">
        <v>2.1</v>
      </c>
      <c r="O10" s="41">
        <v>0</v>
      </c>
      <c r="P10" s="41">
        <v>0.18</v>
      </c>
      <c r="Q10" s="41">
        <v>10</v>
      </c>
      <c r="R10" s="38"/>
      <c r="S10" s="38"/>
      <c r="T10" s="38"/>
      <c r="U10" s="38"/>
    </row>
    <row r="11" spans="1:21" customFormat="1">
      <c r="A11" s="40" t="s">
        <v>159</v>
      </c>
      <c r="B11" s="41">
        <v>5.33</v>
      </c>
      <c r="C11" s="41">
        <v>5.69</v>
      </c>
      <c r="D11" s="41">
        <v>10.91</v>
      </c>
      <c r="E11" s="41">
        <v>6.09</v>
      </c>
      <c r="F11" s="41">
        <v>2.16</v>
      </c>
      <c r="G11" s="41">
        <v>15.54</v>
      </c>
      <c r="H11" s="41">
        <v>11.18</v>
      </c>
      <c r="I11" s="41">
        <v>4.76</v>
      </c>
      <c r="J11" s="41">
        <v>0.23</v>
      </c>
      <c r="K11" s="41">
        <v>247.58</v>
      </c>
      <c r="L11" s="41">
        <v>21.68</v>
      </c>
      <c r="M11" s="41">
        <v>36.450000000000003</v>
      </c>
      <c r="N11" s="41">
        <v>2.1</v>
      </c>
      <c r="O11" s="41">
        <v>0</v>
      </c>
      <c r="P11" s="41">
        <v>0.18</v>
      </c>
      <c r="Q11" s="41">
        <v>10</v>
      </c>
      <c r="R11" s="38"/>
      <c r="S11" s="38"/>
      <c r="T11" s="38"/>
      <c r="U11" s="38"/>
    </row>
    <row r="12" spans="1:21" customFormat="1">
      <c r="A12" s="40" t="s">
        <v>160</v>
      </c>
      <c r="B12" s="41">
        <v>5.59</v>
      </c>
      <c r="C12" s="41">
        <v>5.65</v>
      </c>
      <c r="D12" s="41">
        <v>11.25</v>
      </c>
      <c r="E12" s="41">
        <v>5.98</v>
      </c>
      <c r="F12" s="41">
        <v>2.0299999999999998</v>
      </c>
      <c r="G12" s="41">
        <v>15.54</v>
      </c>
      <c r="H12" s="41">
        <v>11.18</v>
      </c>
      <c r="I12" s="41">
        <v>4.66</v>
      </c>
      <c r="J12" s="41">
        <v>0.32</v>
      </c>
      <c r="K12" s="41">
        <v>249.91</v>
      </c>
      <c r="L12" s="41">
        <v>22.55</v>
      </c>
      <c r="M12" s="41">
        <v>38.61</v>
      </c>
      <c r="N12" s="41">
        <v>2.2999999999999998</v>
      </c>
      <c r="O12" s="41">
        <v>0</v>
      </c>
      <c r="P12" s="41">
        <v>0.18</v>
      </c>
      <c r="Q12" s="41">
        <v>10</v>
      </c>
      <c r="R12" s="38"/>
      <c r="S12" s="38"/>
      <c r="T12" s="38"/>
      <c r="U12" s="38"/>
    </row>
    <row r="13" spans="1:21" customFormat="1">
      <c r="A13" s="40" t="s">
        <v>161</v>
      </c>
      <c r="B13" s="41">
        <v>5.5</v>
      </c>
      <c r="C13" s="41">
        <v>5.79</v>
      </c>
      <c r="D13" s="41">
        <v>11.26</v>
      </c>
      <c r="E13" s="41">
        <v>6.42</v>
      </c>
      <c r="F13" s="41">
        <v>2</v>
      </c>
      <c r="G13" s="41">
        <v>15.51</v>
      </c>
      <c r="H13" s="41">
        <v>7.92</v>
      </c>
      <c r="I13" s="41">
        <v>4.55</v>
      </c>
      <c r="J13" s="41">
        <v>0.32</v>
      </c>
      <c r="K13" s="41">
        <v>256.18</v>
      </c>
      <c r="L13" s="41">
        <v>22.4</v>
      </c>
      <c r="M13" s="41">
        <v>38.15</v>
      </c>
      <c r="N13" s="41">
        <v>2.2000000000000002</v>
      </c>
      <c r="O13" s="41">
        <v>0</v>
      </c>
      <c r="P13" s="41">
        <v>0.21</v>
      </c>
      <c r="Q13" s="41">
        <v>10</v>
      </c>
      <c r="R13" s="38"/>
      <c r="S13" s="38"/>
      <c r="T13" s="38"/>
      <c r="U13" s="38"/>
    </row>
    <row r="14" spans="1:21" customFormat="1">
      <c r="A14" s="40" t="s">
        <v>162</v>
      </c>
      <c r="B14" s="41">
        <v>4.95</v>
      </c>
      <c r="C14" s="41">
        <v>5.81</v>
      </c>
      <c r="D14" s="41">
        <v>10.7</v>
      </c>
      <c r="E14" s="41">
        <v>6.37</v>
      </c>
      <c r="F14" s="41">
        <v>2</v>
      </c>
      <c r="G14" s="41">
        <v>14.37</v>
      </c>
      <c r="H14" s="41">
        <v>6.36</v>
      </c>
      <c r="I14" s="41">
        <v>4.24</v>
      </c>
      <c r="J14" s="41">
        <v>0.2</v>
      </c>
      <c r="K14" s="41">
        <v>261.69</v>
      </c>
      <c r="L14" s="41">
        <v>22.24</v>
      </c>
      <c r="M14" s="41">
        <v>37.72</v>
      </c>
      <c r="N14" s="41">
        <v>2.9</v>
      </c>
      <c r="O14" s="41">
        <v>0</v>
      </c>
      <c r="P14" s="41">
        <v>0.21</v>
      </c>
      <c r="Q14" s="41">
        <v>11.12</v>
      </c>
      <c r="R14" s="38"/>
      <c r="S14" s="38"/>
      <c r="T14" s="38"/>
      <c r="U14" s="38"/>
    </row>
    <row r="15" spans="1:21" customFormat="1">
      <c r="A15" s="40" t="s">
        <v>163</v>
      </c>
      <c r="B15" s="41">
        <v>4.6399999999999997</v>
      </c>
      <c r="C15" s="41">
        <v>5.78</v>
      </c>
      <c r="D15" s="41">
        <v>10.43</v>
      </c>
      <c r="E15" s="41">
        <v>6.49</v>
      </c>
      <c r="F15" s="41">
        <v>2</v>
      </c>
      <c r="G15" s="41">
        <v>13.68</v>
      </c>
      <c r="H15" s="41">
        <v>8.11</v>
      </c>
      <c r="I15" s="41">
        <v>4.0199999999999996</v>
      </c>
      <c r="J15" s="41">
        <v>0.41</v>
      </c>
      <c r="K15" s="41">
        <v>253.98</v>
      </c>
      <c r="L15" s="41">
        <v>22.98</v>
      </c>
      <c r="M15" s="41">
        <v>39.590000000000003</v>
      </c>
      <c r="N15" s="41">
        <v>21</v>
      </c>
      <c r="O15" s="41">
        <v>0</v>
      </c>
      <c r="P15" s="41">
        <v>0.2</v>
      </c>
      <c r="Q15" s="41">
        <v>10.24</v>
      </c>
      <c r="R15" s="38"/>
      <c r="S15" s="38"/>
      <c r="T15" s="38"/>
      <c r="U15" s="38"/>
    </row>
    <row r="16" spans="1:21" customFormat="1">
      <c r="A16" s="40" t="s">
        <v>164</v>
      </c>
      <c r="B16" s="41">
        <v>4.3899999999999997</v>
      </c>
      <c r="C16" s="41">
        <v>5.88</v>
      </c>
      <c r="D16" s="41">
        <v>10.14</v>
      </c>
      <c r="E16" s="41">
        <v>6.51</v>
      </c>
      <c r="F16" s="41">
        <v>2</v>
      </c>
      <c r="G16" s="41">
        <v>19.440000000000001</v>
      </c>
      <c r="H16" s="41">
        <v>8.6199999999999992</v>
      </c>
      <c r="I16" s="41">
        <v>4.12</v>
      </c>
      <c r="J16" s="41">
        <v>0.56000000000000005</v>
      </c>
      <c r="K16" s="41">
        <v>262.61</v>
      </c>
      <c r="L16" s="41">
        <v>24.22</v>
      </c>
      <c r="M16" s="41">
        <v>40.549999999999997</v>
      </c>
      <c r="N16" s="41">
        <v>95.7</v>
      </c>
      <c r="O16" s="41">
        <v>0</v>
      </c>
      <c r="P16" s="41">
        <v>0.23</v>
      </c>
      <c r="Q16" s="41">
        <v>10.130000000000001</v>
      </c>
      <c r="R16" s="38"/>
      <c r="S16" s="38"/>
      <c r="T16" s="38"/>
      <c r="U16" s="38"/>
    </row>
    <row r="17" spans="1:21" customFormat="1">
      <c r="A17" s="40" t="s">
        <v>165</v>
      </c>
      <c r="B17" s="41">
        <v>4.28</v>
      </c>
      <c r="C17" s="41">
        <v>6.13</v>
      </c>
      <c r="D17" s="41">
        <v>10.4</v>
      </c>
      <c r="E17" s="41">
        <v>6.56</v>
      </c>
      <c r="F17" s="41">
        <v>2</v>
      </c>
      <c r="G17" s="41">
        <v>19.440000000000001</v>
      </c>
      <c r="H17" s="41">
        <v>8.6199999999999992</v>
      </c>
      <c r="I17" s="41">
        <v>5.0999999999999996</v>
      </c>
      <c r="J17" s="41">
        <v>0.6</v>
      </c>
      <c r="K17" s="41">
        <v>263.13</v>
      </c>
      <c r="L17" s="41">
        <v>24.27</v>
      </c>
      <c r="M17" s="41">
        <v>39.78</v>
      </c>
      <c r="N17" s="41">
        <v>169.3</v>
      </c>
      <c r="O17" s="41">
        <v>0</v>
      </c>
      <c r="P17" s="41">
        <v>0.27</v>
      </c>
      <c r="Q17" s="41">
        <v>10</v>
      </c>
      <c r="R17" s="38"/>
      <c r="S17" s="38"/>
      <c r="T17" s="38"/>
      <c r="U17" s="38"/>
    </row>
    <row r="18" spans="1:21" customFormat="1">
      <c r="A18" s="40" t="s">
        <v>166</v>
      </c>
      <c r="B18" s="41">
        <v>4.4000000000000004</v>
      </c>
      <c r="C18" s="41">
        <v>6.05</v>
      </c>
      <c r="D18" s="41">
        <v>10.44</v>
      </c>
      <c r="E18" s="41">
        <v>6.61</v>
      </c>
      <c r="F18" s="41">
        <v>2.97</v>
      </c>
      <c r="G18" s="41">
        <v>28.81</v>
      </c>
      <c r="H18" s="41">
        <v>12.18</v>
      </c>
      <c r="I18" s="41">
        <v>6.25</v>
      </c>
      <c r="J18" s="41">
        <v>0.61</v>
      </c>
      <c r="K18" s="41">
        <v>253.43</v>
      </c>
      <c r="L18" s="41">
        <v>24.53</v>
      </c>
      <c r="M18" s="41">
        <v>38.08</v>
      </c>
      <c r="N18" s="41">
        <v>238.7</v>
      </c>
      <c r="O18" s="41">
        <v>0</v>
      </c>
      <c r="P18" s="41">
        <v>0.25</v>
      </c>
      <c r="Q18" s="41">
        <v>10</v>
      </c>
      <c r="R18" s="38"/>
      <c r="S18" s="38"/>
      <c r="T18" s="38"/>
      <c r="U18" s="38"/>
    </row>
    <row r="19" spans="1:21" customFormat="1">
      <c r="A19" s="40" t="s">
        <v>167</v>
      </c>
      <c r="B19" s="41">
        <v>4.45</v>
      </c>
      <c r="C19" s="41">
        <v>6.43</v>
      </c>
      <c r="D19" s="41">
        <v>10.78</v>
      </c>
      <c r="E19" s="41">
        <v>5.66</v>
      </c>
      <c r="F19" s="41">
        <v>3.53</v>
      </c>
      <c r="G19" s="41">
        <v>34.85</v>
      </c>
      <c r="H19" s="41">
        <v>16.47</v>
      </c>
      <c r="I19" s="41">
        <v>7.56</v>
      </c>
      <c r="J19" s="41">
        <v>0.66</v>
      </c>
      <c r="K19" s="41">
        <v>263.02</v>
      </c>
      <c r="L19" s="41">
        <v>25.68</v>
      </c>
      <c r="M19" s="41">
        <v>40.43</v>
      </c>
      <c r="N19" s="41">
        <v>453.1</v>
      </c>
      <c r="O19" s="41">
        <v>0</v>
      </c>
      <c r="P19" s="41">
        <v>0.27</v>
      </c>
      <c r="Q19" s="41">
        <v>10</v>
      </c>
      <c r="R19" s="38"/>
      <c r="S19" s="38"/>
      <c r="T19" s="38"/>
      <c r="U19" s="38"/>
    </row>
    <row r="20" spans="1:21" customFormat="1">
      <c r="A20" s="40" t="s">
        <v>168</v>
      </c>
      <c r="B20" s="41">
        <v>4.16</v>
      </c>
      <c r="C20" s="41">
        <v>6.83</v>
      </c>
      <c r="D20" s="41">
        <v>10.94</v>
      </c>
      <c r="E20" s="41">
        <v>5.41</v>
      </c>
      <c r="F20" s="41">
        <v>4.87</v>
      </c>
      <c r="G20" s="41">
        <v>37</v>
      </c>
      <c r="H20" s="41">
        <v>16.48</v>
      </c>
      <c r="I20" s="41">
        <v>7.5</v>
      </c>
      <c r="J20" s="41">
        <v>0.84</v>
      </c>
      <c r="K20" s="41">
        <v>301.38</v>
      </c>
      <c r="L20" s="41">
        <v>25.81</v>
      </c>
      <c r="M20" s="41">
        <v>42.78</v>
      </c>
      <c r="N20" s="41">
        <v>324</v>
      </c>
      <c r="O20" s="41">
        <v>3.2</v>
      </c>
      <c r="P20" s="41">
        <v>0.28000000000000003</v>
      </c>
      <c r="Q20" s="41">
        <v>10.31</v>
      </c>
      <c r="R20" s="38"/>
      <c r="S20" s="38"/>
      <c r="T20" s="38"/>
      <c r="U20" s="38"/>
    </row>
    <row r="21" spans="1:21" customFormat="1">
      <c r="A21" s="40" t="s">
        <v>169</v>
      </c>
      <c r="B21" s="41">
        <v>4.09</v>
      </c>
      <c r="C21" s="41">
        <v>6.78</v>
      </c>
      <c r="D21" s="41">
        <v>10.83</v>
      </c>
      <c r="E21" s="41">
        <v>5.51</v>
      </c>
      <c r="F21" s="41">
        <v>8.86</v>
      </c>
      <c r="G21" s="41">
        <v>37</v>
      </c>
      <c r="H21" s="41">
        <v>16.48</v>
      </c>
      <c r="I21" s="41">
        <v>7.32</v>
      </c>
      <c r="J21" s="41">
        <v>0.37</v>
      </c>
      <c r="K21" s="41">
        <v>199.22</v>
      </c>
      <c r="L21" s="41">
        <v>20.55</v>
      </c>
      <c r="M21" s="41">
        <v>25.25</v>
      </c>
      <c r="N21" s="41">
        <v>402.3</v>
      </c>
      <c r="O21" s="41">
        <v>0.2</v>
      </c>
      <c r="P21" s="41">
        <v>0.27</v>
      </c>
      <c r="Q21" s="41">
        <v>10</v>
      </c>
      <c r="R21" s="38"/>
      <c r="S21" s="38"/>
      <c r="T21" s="38"/>
      <c r="U21" s="38"/>
    </row>
    <row r="22" spans="1:21" customFormat="1">
      <c r="A22" s="40" t="s">
        <v>170</v>
      </c>
      <c r="B22" s="41">
        <v>4.37</v>
      </c>
      <c r="C22" s="41">
        <v>6.77</v>
      </c>
      <c r="D22" s="41">
        <v>11.12</v>
      </c>
      <c r="E22" s="41">
        <v>5.36</v>
      </c>
      <c r="F22" s="41">
        <v>3.43</v>
      </c>
      <c r="G22" s="41">
        <v>33.68</v>
      </c>
      <c r="H22" s="41">
        <v>11.77</v>
      </c>
      <c r="I22" s="41">
        <v>7.18</v>
      </c>
      <c r="J22" s="41">
        <v>0.88</v>
      </c>
      <c r="K22" s="41">
        <v>319.64999999999998</v>
      </c>
      <c r="L22" s="41">
        <v>20.66</v>
      </c>
      <c r="M22" s="41">
        <v>33.81</v>
      </c>
      <c r="N22" s="41">
        <v>40.299999999999997</v>
      </c>
      <c r="O22" s="41">
        <v>13.4</v>
      </c>
      <c r="P22" s="41">
        <v>0.28000000000000003</v>
      </c>
      <c r="Q22" s="41">
        <v>10.26</v>
      </c>
      <c r="R22" s="38"/>
      <c r="S22" s="38"/>
      <c r="T22" s="38"/>
      <c r="U22" s="38"/>
    </row>
    <row r="23" spans="1:21" customFormat="1">
      <c r="A23" s="40" t="s">
        <v>171</v>
      </c>
      <c r="B23" s="41">
        <v>3.94</v>
      </c>
      <c r="C23" s="41">
        <v>6.88</v>
      </c>
      <c r="D23" s="41">
        <v>10.65</v>
      </c>
      <c r="E23" s="41">
        <v>5.3</v>
      </c>
      <c r="F23" s="41">
        <v>2.09</v>
      </c>
      <c r="G23" s="41">
        <v>33.68</v>
      </c>
      <c r="H23" s="41">
        <v>10.43</v>
      </c>
      <c r="I23" s="41">
        <v>6.95</v>
      </c>
      <c r="J23" s="41">
        <v>0.33</v>
      </c>
      <c r="K23" s="41">
        <v>259.63</v>
      </c>
      <c r="L23" s="41">
        <v>20.51</v>
      </c>
      <c r="M23" s="41">
        <v>33.31</v>
      </c>
      <c r="N23" s="41">
        <v>8.9</v>
      </c>
      <c r="O23" s="41">
        <v>4.5999999999999996</v>
      </c>
      <c r="P23" s="41">
        <v>0.28999999999999998</v>
      </c>
      <c r="Q23" s="41">
        <v>10</v>
      </c>
      <c r="R23" s="38"/>
      <c r="S23" s="38"/>
      <c r="T23" s="38"/>
      <c r="U23" s="38"/>
    </row>
    <row r="24" spans="1:21" customFormat="1">
      <c r="A24" s="40" t="s">
        <v>172</v>
      </c>
      <c r="B24" s="41">
        <v>3.12</v>
      </c>
      <c r="C24" s="41">
        <v>6.9</v>
      </c>
      <c r="D24" s="41">
        <v>10.02</v>
      </c>
      <c r="E24" s="41">
        <v>5.53</v>
      </c>
      <c r="F24" s="41">
        <v>2.0099999999999998</v>
      </c>
      <c r="G24" s="41">
        <v>25.01</v>
      </c>
      <c r="H24" s="41">
        <v>9.93</v>
      </c>
      <c r="I24" s="41">
        <v>6.16</v>
      </c>
      <c r="J24" s="41">
        <v>0.26</v>
      </c>
      <c r="K24" s="41">
        <v>256.43</v>
      </c>
      <c r="L24" s="41">
        <v>23.21</v>
      </c>
      <c r="M24" s="41">
        <v>39.4</v>
      </c>
      <c r="N24" s="41">
        <v>37</v>
      </c>
      <c r="O24" s="41">
        <v>0</v>
      </c>
      <c r="P24" s="41">
        <v>0.28000000000000003</v>
      </c>
      <c r="Q24" s="41">
        <v>10</v>
      </c>
      <c r="R24" s="38"/>
      <c r="S24" s="38"/>
      <c r="T24" s="38"/>
      <c r="U24" s="38"/>
    </row>
    <row r="25" spans="1:21" customFormat="1">
      <c r="A25" s="40" t="s">
        <v>173</v>
      </c>
      <c r="B25" s="41">
        <v>2.91</v>
      </c>
      <c r="C25" s="41">
        <v>6.6</v>
      </c>
      <c r="D25" s="41">
        <v>9.49</v>
      </c>
      <c r="E25" s="41">
        <v>5.54</v>
      </c>
      <c r="F25" s="41">
        <v>2.02</v>
      </c>
      <c r="G25" s="41">
        <v>22.07</v>
      </c>
      <c r="H25" s="41">
        <v>7.35</v>
      </c>
      <c r="I25" s="41">
        <v>5.57</v>
      </c>
      <c r="J25" s="41">
        <v>0.34</v>
      </c>
      <c r="K25" s="41">
        <v>245.14</v>
      </c>
      <c r="L25" s="41">
        <v>21.95</v>
      </c>
      <c r="M25" s="41">
        <v>36.31</v>
      </c>
      <c r="N25" s="41">
        <v>36.6</v>
      </c>
      <c r="O25" s="41">
        <v>0</v>
      </c>
      <c r="P25" s="41">
        <v>0.25</v>
      </c>
      <c r="Q25" s="41">
        <v>10</v>
      </c>
      <c r="R25" s="38"/>
      <c r="S25" s="38"/>
      <c r="T25" s="38"/>
      <c r="U25" s="38"/>
    </row>
    <row r="26" spans="1:21" customFormat="1">
      <c r="A26" s="40" t="s">
        <v>174</v>
      </c>
      <c r="B26" s="41">
        <v>3.11</v>
      </c>
      <c r="C26" s="41">
        <v>6.48</v>
      </c>
      <c r="D26" s="41">
        <v>9.5</v>
      </c>
      <c r="E26" s="41">
        <v>5.8</v>
      </c>
      <c r="F26" s="41">
        <v>2</v>
      </c>
      <c r="G26" s="41">
        <v>18.53</v>
      </c>
      <c r="H26" s="41">
        <v>6.11</v>
      </c>
      <c r="I26" s="41">
        <v>5.22</v>
      </c>
      <c r="J26" s="41">
        <v>0.17</v>
      </c>
      <c r="K26" s="41">
        <v>241.23</v>
      </c>
      <c r="L26" s="41">
        <v>20.100000000000001</v>
      </c>
      <c r="M26" s="41">
        <v>32.4</v>
      </c>
      <c r="N26" s="41">
        <v>14.4</v>
      </c>
      <c r="O26" s="41">
        <v>0</v>
      </c>
      <c r="P26" s="41">
        <v>0.25</v>
      </c>
      <c r="Q26" s="41">
        <v>10</v>
      </c>
      <c r="R26" s="38"/>
      <c r="S26" s="38"/>
      <c r="T26" s="38"/>
      <c r="U26" s="38"/>
    </row>
    <row r="27" spans="1:21" customFormat="1">
      <c r="A27" s="40" t="s">
        <v>175</v>
      </c>
      <c r="B27" s="41">
        <v>4.2300000000000004</v>
      </c>
      <c r="C27" s="41">
        <v>6.62</v>
      </c>
      <c r="D27" s="41">
        <v>10.85</v>
      </c>
      <c r="E27" s="41">
        <v>4.87</v>
      </c>
      <c r="F27" s="41">
        <v>2</v>
      </c>
      <c r="G27" s="41">
        <v>13.53</v>
      </c>
      <c r="H27" s="41">
        <v>7.11</v>
      </c>
      <c r="I27" s="41">
        <v>4.9800000000000004</v>
      </c>
      <c r="J27" s="41">
        <v>0.16</v>
      </c>
      <c r="K27" s="41">
        <v>222.88</v>
      </c>
      <c r="L27" s="41">
        <v>20.48</v>
      </c>
      <c r="M27" s="41">
        <v>33.520000000000003</v>
      </c>
      <c r="N27" s="41">
        <v>2.7</v>
      </c>
      <c r="O27" s="41">
        <v>0</v>
      </c>
      <c r="P27" s="41">
        <v>0.27</v>
      </c>
      <c r="Q27" s="41">
        <v>10.23</v>
      </c>
      <c r="R27" s="38"/>
      <c r="S27" s="38"/>
      <c r="T27" s="38"/>
      <c r="U27" s="38"/>
    </row>
    <row r="28" spans="1:21" customFormat="1">
      <c r="A28" s="40" t="s">
        <v>176</v>
      </c>
      <c r="B28" s="41">
        <v>6.05</v>
      </c>
      <c r="C28" s="41">
        <v>7.34</v>
      </c>
      <c r="D28" s="41">
        <v>13.22</v>
      </c>
      <c r="E28" s="41">
        <v>4.59</v>
      </c>
      <c r="F28" s="41">
        <v>2</v>
      </c>
      <c r="G28" s="41">
        <v>34.619999999999997</v>
      </c>
      <c r="H28" s="41">
        <v>8.5299999999999994</v>
      </c>
      <c r="I28" s="41">
        <v>5.81</v>
      </c>
      <c r="J28" s="41">
        <v>0.17</v>
      </c>
      <c r="K28" s="41">
        <v>172.09</v>
      </c>
      <c r="L28" s="41">
        <v>16.89</v>
      </c>
      <c r="M28" s="41">
        <v>24.53</v>
      </c>
      <c r="N28" s="41">
        <v>2.7</v>
      </c>
      <c r="O28" s="41">
        <v>0</v>
      </c>
      <c r="P28" s="41">
        <v>0.28000000000000003</v>
      </c>
      <c r="Q28" s="41">
        <v>10</v>
      </c>
      <c r="R28" s="38"/>
      <c r="S28" s="38"/>
      <c r="T28" s="38"/>
      <c r="U28" s="38"/>
    </row>
    <row r="29" spans="1:21" customFormat="1">
      <c r="A29" s="40" t="s">
        <v>177</v>
      </c>
      <c r="B29" s="41">
        <v>6.93</v>
      </c>
      <c r="C29" s="41">
        <v>6.84</v>
      </c>
      <c r="D29" s="41">
        <v>13.77</v>
      </c>
      <c r="E29" s="41">
        <v>4.1399999999999997</v>
      </c>
      <c r="F29" s="41">
        <v>2</v>
      </c>
      <c r="G29" s="41">
        <v>37.81</v>
      </c>
      <c r="H29" s="41">
        <v>9.4700000000000006</v>
      </c>
      <c r="I29" s="41">
        <v>6.2</v>
      </c>
      <c r="J29" s="41">
        <v>0.31</v>
      </c>
      <c r="K29" s="41">
        <v>279.14999999999998</v>
      </c>
      <c r="L29" s="41">
        <v>22.26</v>
      </c>
      <c r="M29" s="41">
        <v>37.75</v>
      </c>
      <c r="N29" s="41">
        <v>3.6</v>
      </c>
      <c r="O29" s="41">
        <v>0</v>
      </c>
      <c r="P29" s="41">
        <v>0.32</v>
      </c>
      <c r="Q29" s="41">
        <v>10</v>
      </c>
      <c r="R29" s="38"/>
      <c r="S29" s="38"/>
      <c r="T29" s="38"/>
      <c r="U29" s="38"/>
    </row>
    <row r="30" spans="1:21" customFormat="1">
      <c r="A30" s="40" t="s">
        <v>178</v>
      </c>
      <c r="B30" s="41">
        <v>7.63</v>
      </c>
      <c r="C30" s="41">
        <v>6.93</v>
      </c>
      <c r="D30" s="41">
        <v>14.56</v>
      </c>
      <c r="E30" s="41">
        <v>4.58</v>
      </c>
      <c r="F30" s="41">
        <v>2</v>
      </c>
      <c r="G30" s="41">
        <v>37.81</v>
      </c>
      <c r="H30" s="41">
        <v>9.4700000000000006</v>
      </c>
      <c r="I30" s="41">
        <v>6.74</v>
      </c>
      <c r="J30" s="41">
        <v>0.18</v>
      </c>
      <c r="K30" s="41">
        <v>211.69</v>
      </c>
      <c r="L30" s="41">
        <v>19.23</v>
      </c>
      <c r="M30" s="41">
        <v>30.28</v>
      </c>
      <c r="N30" s="41">
        <v>3.3</v>
      </c>
      <c r="O30" s="41">
        <v>0</v>
      </c>
      <c r="P30" s="41">
        <v>0.34</v>
      </c>
      <c r="Q30" s="41">
        <v>10</v>
      </c>
      <c r="R30" s="38"/>
      <c r="S30" s="38"/>
      <c r="T30" s="38"/>
      <c r="U30" s="38"/>
    </row>
    <row r="31" spans="1:21" customFormat="1">
      <c r="A31" s="40" t="s">
        <v>179</v>
      </c>
      <c r="B31" s="41">
        <v>7.78</v>
      </c>
      <c r="C31" s="41">
        <v>6.89</v>
      </c>
      <c r="D31" s="41">
        <v>14.67</v>
      </c>
      <c r="E31" s="41">
        <v>4.38</v>
      </c>
      <c r="F31" s="41">
        <v>2</v>
      </c>
      <c r="G31" s="41">
        <v>39.17</v>
      </c>
      <c r="H31" s="41">
        <v>8.98</v>
      </c>
      <c r="I31" s="41">
        <v>6.95</v>
      </c>
      <c r="J31" s="41">
        <v>0.25</v>
      </c>
      <c r="K31" s="41">
        <v>276.20999999999998</v>
      </c>
      <c r="L31" s="41">
        <v>23.85</v>
      </c>
      <c r="M31" s="41">
        <v>41.76</v>
      </c>
      <c r="N31" s="41">
        <v>3</v>
      </c>
      <c r="O31" s="41">
        <v>0</v>
      </c>
      <c r="P31" s="41">
        <v>0.34</v>
      </c>
      <c r="Q31" s="41">
        <v>10</v>
      </c>
      <c r="R31" s="38"/>
      <c r="S31" s="38"/>
      <c r="T31" s="38"/>
      <c r="U31" s="38"/>
    </row>
    <row r="32" spans="1:21" customFormat="1">
      <c r="A32" s="40" t="s">
        <v>180</v>
      </c>
      <c r="B32" s="41">
        <v>7.65</v>
      </c>
      <c r="C32" s="41">
        <v>6.51</v>
      </c>
      <c r="D32" s="41">
        <v>14.16</v>
      </c>
      <c r="E32" s="41">
        <v>4.7300000000000004</v>
      </c>
      <c r="F32" s="41">
        <v>2</v>
      </c>
      <c r="G32" s="41">
        <v>39.17</v>
      </c>
      <c r="H32" s="41">
        <v>12</v>
      </c>
      <c r="I32" s="41">
        <v>6.74</v>
      </c>
      <c r="J32" s="41">
        <v>0.09</v>
      </c>
      <c r="K32" s="41">
        <v>251.47</v>
      </c>
      <c r="L32" s="41">
        <v>21.72</v>
      </c>
      <c r="M32" s="41">
        <v>36.6</v>
      </c>
      <c r="N32" s="41">
        <v>2.7</v>
      </c>
      <c r="O32" s="41">
        <v>0.2</v>
      </c>
      <c r="P32" s="41">
        <v>0.33</v>
      </c>
      <c r="Q32" s="41">
        <v>10.48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2.91</v>
      </c>
      <c r="C34" s="18">
        <f t="shared" si="0"/>
        <v>5.63</v>
      </c>
      <c r="D34" s="18">
        <f t="shared" si="0"/>
        <v>9.49</v>
      </c>
      <c r="E34" s="18">
        <f t="shared" si="0"/>
        <v>4.1399999999999997</v>
      </c>
      <c r="F34" s="18">
        <f t="shared" si="0"/>
        <v>2</v>
      </c>
      <c r="G34" s="18">
        <f t="shared" si="0"/>
        <v>13.22</v>
      </c>
      <c r="H34" s="18">
        <f t="shared" si="0"/>
        <v>6.11</v>
      </c>
      <c r="I34" s="18">
        <f t="shared" si="0"/>
        <v>4.0199999999999996</v>
      </c>
      <c r="J34" s="18">
        <f t="shared" si="0"/>
        <v>0.09</v>
      </c>
      <c r="K34" s="18">
        <f t="shared" si="0"/>
        <v>172.09</v>
      </c>
      <c r="L34" s="18">
        <f t="shared" si="0"/>
        <v>16.89</v>
      </c>
      <c r="M34" s="18">
        <f t="shared" si="0"/>
        <v>24.53</v>
      </c>
      <c r="N34" s="18">
        <f t="shared" si="0"/>
        <v>2.1</v>
      </c>
      <c r="O34" s="18">
        <f t="shared" si="0"/>
        <v>0</v>
      </c>
      <c r="P34" s="18">
        <f t="shared" si="0"/>
        <v>0.18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7.78</v>
      </c>
      <c r="C35" s="3">
        <f t="shared" si="1"/>
        <v>7.34</v>
      </c>
      <c r="D35" s="3">
        <f t="shared" si="1"/>
        <v>14.67</v>
      </c>
      <c r="E35" s="3">
        <f t="shared" si="1"/>
        <v>7.42</v>
      </c>
      <c r="F35" s="3">
        <f t="shared" si="1"/>
        <v>8.86</v>
      </c>
      <c r="G35" s="3">
        <f t="shared" si="1"/>
        <v>39.17</v>
      </c>
      <c r="H35" s="3">
        <f t="shared" si="1"/>
        <v>16.48</v>
      </c>
      <c r="I35" s="3">
        <f t="shared" si="1"/>
        <v>7.56</v>
      </c>
      <c r="J35" s="3">
        <f t="shared" si="1"/>
        <v>0.88</v>
      </c>
      <c r="K35" s="3">
        <f t="shared" si="1"/>
        <v>319.64999999999998</v>
      </c>
      <c r="L35" s="3">
        <f t="shared" si="1"/>
        <v>25.81</v>
      </c>
      <c r="M35" s="3">
        <f t="shared" si="1"/>
        <v>42.78</v>
      </c>
      <c r="N35" s="3">
        <f t="shared" si="1"/>
        <v>453.1</v>
      </c>
      <c r="O35" s="3">
        <f t="shared" si="1"/>
        <v>13.4</v>
      </c>
      <c r="P35" s="3">
        <f t="shared" si="1"/>
        <v>0.34</v>
      </c>
      <c r="Q35" s="3">
        <f t="shared" si="1"/>
        <v>11.12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4.9712500000000004</v>
      </c>
      <c r="C36" s="18">
        <f t="shared" si="2"/>
        <v>6.3691666666666658</v>
      </c>
      <c r="D36" s="18">
        <f t="shared" si="2"/>
        <v>11.294166666666669</v>
      </c>
      <c r="E36" s="18">
        <f t="shared" si="2"/>
        <v>5.7124999999999995</v>
      </c>
      <c r="F36" s="18">
        <f t="shared" si="2"/>
        <v>2.6020833333333333</v>
      </c>
      <c r="G36" s="18">
        <f t="shared" si="2"/>
        <v>25.621666666666666</v>
      </c>
      <c r="H36" s="18">
        <f t="shared" si="2"/>
        <v>9.8904166666666686</v>
      </c>
      <c r="I36" s="18">
        <f t="shared" si="2"/>
        <v>5.7591666666666681</v>
      </c>
      <c r="J36" s="18">
        <f t="shared" si="2"/>
        <v>0.36916666666666664</v>
      </c>
      <c r="K36" s="18">
        <f t="shared" si="2"/>
        <v>252.26916666666668</v>
      </c>
      <c r="L36" s="18">
        <f t="shared" si="2"/>
        <v>22.170416666666668</v>
      </c>
      <c r="M36" s="18">
        <f t="shared" si="2"/>
        <v>36.348333333333329</v>
      </c>
      <c r="N36" s="18">
        <f t="shared" si="2"/>
        <v>78.05</v>
      </c>
      <c r="O36" s="18">
        <f t="shared" si="2"/>
        <v>0.89999999999999991</v>
      </c>
      <c r="P36" s="18">
        <f t="shared" si="2"/>
        <v>0.25624999999999998</v>
      </c>
      <c r="Q36" s="18">
        <f t="shared" si="2"/>
        <v>10.115416666666667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1.3837325467262693</v>
      </c>
      <c r="C37" s="18">
        <f t="shared" ref="C37:Q37" si="3">STDEV(C9:C32)</f>
        <v>0.52841779144805523</v>
      </c>
      <c r="D37" s="18">
        <f t="shared" si="3"/>
        <v>1.5457681829311518</v>
      </c>
      <c r="E37" s="18">
        <f t="shared" si="3"/>
        <v>0.88850264857328098</v>
      </c>
      <c r="F37" s="18">
        <f t="shared" si="3"/>
        <v>1.504751833263593</v>
      </c>
      <c r="G37" s="18">
        <f t="shared" si="3"/>
        <v>10.102606493920987</v>
      </c>
      <c r="H37" s="18">
        <f t="shared" si="3"/>
        <v>3.140702606474997</v>
      </c>
      <c r="I37" s="18">
        <f t="shared" si="3"/>
        <v>1.1592273163683082</v>
      </c>
      <c r="J37" s="18">
        <f t="shared" si="3"/>
        <v>0.2136212956870511</v>
      </c>
      <c r="K37" s="18">
        <f t="shared" si="3"/>
        <v>30.018438814178488</v>
      </c>
      <c r="L37" s="18">
        <f t="shared" si="3"/>
        <v>2.0468989889622038</v>
      </c>
      <c r="M37" s="18">
        <f t="shared" si="3"/>
        <v>4.6359865200939909</v>
      </c>
      <c r="N37" s="18">
        <f t="shared" si="3"/>
        <v>136.07285452701595</v>
      </c>
      <c r="O37" s="18">
        <f t="shared" si="3"/>
        <v>2.8862492585722208</v>
      </c>
      <c r="P37" s="18">
        <f t="shared" si="3"/>
        <v>5.0114000473702729E-2</v>
      </c>
      <c r="Q37" s="18">
        <f t="shared" si="3"/>
        <v>0.25162047277366079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zoomScale="85" zoomScaleNormal="85" workbookViewId="0">
      <pane xSplit="2" ySplit="8" topLeftCell="C24" activePane="bottomRight" state="frozen"/>
      <selection activeCell="G19" sqref="G19"/>
      <selection pane="topRight" activeCell="G19" sqref="G19"/>
      <selection pane="bottomLeft" activeCell="G19" sqref="G19"/>
      <selection pane="bottomRight" activeCell="S14" sqref="S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06/10/2025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181</v>
      </c>
      <c r="B9" s="41">
        <v>6.81</v>
      </c>
      <c r="C9" s="41">
        <v>6.94</v>
      </c>
      <c r="D9" s="41">
        <v>13.66</v>
      </c>
      <c r="E9" s="41">
        <v>4.67</v>
      </c>
      <c r="F9" s="41">
        <v>2</v>
      </c>
      <c r="G9" s="41">
        <v>30.31</v>
      </c>
      <c r="H9" s="41">
        <v>12</v>
      </c>
      <c r="I9" s="41">
        <v>6.45</v>
      </c>
      <c r="J9" s="41">
        <v>0.14000000000000001</v>
      </c>
      <c r="K9" s="41">
        <v>317.43</v>
      </c>
      <c r="L9" s="41">
        <v>23.18</v>
      </c>
      <c r="M9" s="41">
        <v>40.25</v>
      </c>
      <c r="N9" s="41">
        <v>2.5</v>
      </c>
      <c r="O9" s="41">
        <v>0.2</v>
      </c>
      <c r="P9" s="41">
        <v>0.32</v>
      </c>
      <c r="Q9" s="41">
        <v>12.66</v>
      </c>
      <c r="R9" s="38"/>
      <c r="S9" s="38"/>
      <c r="T9" s="38"/>
      <c r="U9" s="38"/>
    </row>
    <row r="10" spans="1:21" customFormat="1">
      <c r="A10" s="40" t="s">
        <v>182</v>
      </c>
      <c r="B10" s="41">
        <v>6.75</v>
      </c>
      <c r="C10" s="41">
        <v>7.06</v>
      </c>
      <c r="D10" s="41">
        <v>13.81</v>
      </c>
      <c r="E10" s="41">
        <v>4.72</v>
      </c>
      <c r="F10" s="41">
        <v>2</v>
      </c>
      <c r="G10" s="41">
        <v>21.89</v>
      </c>
      <c r="H10" s="41">
        <v>8.5399999999999991</v>
      </c>
      <c r="I10" s="41">
        <v>5.84</v>
      </c>
      <c r="J10" s="41">
        <v>0.17</v>
      </c>
      <c r="K10" s="41">
        <v>238.71</v>
      </c>
      <c r="L10" s="41">
        <v>21.51</v>
      </c>
      <c r="M10" s="41">
        <v>36.049999999999997</v>
      </c>
      <c r="N10" s="41">
        <v>2.4</v>
      </c>
      <c r="O10" s="41">
        <v>0</v>
      </c>
      <c r="P10" s="41">
        <v>0.31</v>
      </c>
      <c r="Q10" s="41">
        <v>11.19</v>
      </c>
      <c r="R10" s="38"/>
      <c r="S10" s="38"/>
      <c r="T10" s="38"/>
      <c r="U10" s="38"/>
    </row>
    <row r="11" spans="1:21" customFormat="1">
      <c r="A11" s="40" t="s">
        <v>183</v>
      </c>
      <c r="B11" s="41">
        <v>6.17</v>
      </c>
      <c r="C11" s="41">
        <v>6.72</v>
      </c>
      <c r="D11" s="41">
        <v>12.88</v>
      </c>
      <c r="E11" s="41">
        <v>5.94</v>
      </c>
      <c r="F11" s="41">
        <v>2</v>
      </c>
      <c r="G11" s="41">
        <v>16.52</v>
      </c>
      <c r="H11" s="41">
        <v>8.43</v>
      </c>
      <c r="I11" s="41">
        <v>5.55</v>
      </c>
      <c r="J11" s="41">
        <v>0.35</v>
      </c>
      <c r="K11" s="41">
        <v>255.89</v>
      </c>
      <c r="L11" s="41">
        <v>22.05</v>
      </c>
      <c r="M11" s="41">
        <v>37.36</v>
      </c>
      <c r="N11" s="41">
        <v>2.9</v>
      </c>
      <c r="O11" s="41">
        <v>0</v>
      </c>
      <c r="P11" s="41">
        <v>0.3</v>
      </c>
      <c r="Q11" s="41">
        <v>15.43</v>
      </c>
      <c r="R11" s="38"/>
      <c r="S11" s="38"/>
      <c r="T11" s="38"/>
      <c r="U11" s="38"/>
    </row>
    <row r="12" spans="1:21" customFormat="1">
      <c r="A12" s="40" t="s">
        <v>184</v>
      </c>
      <c r="B12" s="41">
        <v>5.3</v>
      </c>
      <c r="C12" s="41">
        <v>6.36</v>
      </c>
      <c r="D12" s="41">
        <v>11.66</v>
      </c>
      <c r="E12" s="41">
        <v>6.09</v>
      </c>
      <c r="F12" s="41">
        <v>2</v>
      </c>
      <c r="G12" s="41">
        <v>13.98</v>
      </c>
      <c r="H12" s="41">
        <v>7.07</v>
      </c>
      <c r="I12" s="41">
        <v>5.2</v>
      </c>
      <c r="J12" s="41">
        <v>0.18</v>
      </c>
      <c r="K12" s="41">
        <v>254.85</v>
      </c>
      <c r="L12" s="41">
        <v>22.47</v>
      </c>
      <c r="M12" s="41">
        <v>38.409999999999997</v>
      </c>
      <c r="N12" s="41">
        <v>2.6</v>
      </c>
      <c r="O12" s="41">
        <v>0</v>
      </c>
      <c r="P12" s="41">
        <v>0.27</v>
      </c>
      <c r="Q12" s="41">
        <v>10.17</v>
      </c>
      <c r="R12" s="38"/>
      <c r="S12" s="38"/>
      <c r="T12" s="38"/>
      <c r="U12" s="38"/>
    </row>
    <row r="13" spans="1:21" customFormat="1">
      <c r="A13" s="40" t="s">
        <v>185</v>
      </c>
      <c r="B13" s="41">
        <v>4.7300000000000004</v>
      </c>
      <c r="C13" s="41">
        <v>6.02</v>
      </c>
      <c r="D13" s="41">
        <v>10.75</v>
      </c>
      <c r="E13" s="41">
        <v>6.12</v>
      </c>
      <c r="F13" s="41">
        <v>2</v>
      </c>
      <c r="G13" s="41">
        <v>13.98</v>
      </c>
      <c r="H13" s="41">
        <v>7.07</v>
      </c>
      <c r="I13" s="41">
        <v>4.7300000000000004</v>
      </c>
      <c r="J13" s="41">
        <v>0.2</v>
      </c>
      <c r="K13" s="41">
        <v>241.63</v>
      </c>
      <c r="L13" s="41">
        <v>21.46</v>
      </c>
      <c r="M13" s="41">
        <v>35.96</v>
      </c>
      <c r="N13" s="41">
        <v>2.6</v>
      </c>
      <c r="O13" s="41">
        <v>0</v>
      </c>
      <c r="P13" s="41">
        <v>0.25</v>
      </c>
      <c r="Q13" s="41">
        <v>10</v>
      </c>
      <c r="R13" s="38"/>
      <c r="S13" s="38"/>
      <c r="T13" s="38"/>
      <c r="U13" s="38"/>
    </row>
    <row r="14" spans="1:21" customFormat="1">
      <c r="A14" s="40" t="s">
        <v>186</v>
      </c>
      <c r="B14" s="41">
        <v>5.23</v>
      </c>
      <c r="C14" s="41">
        <v>5.76</v>
      </c>
      <c r="D14" s="41">
        <v>10.85</v>
      </c>
      <c r="E14" s="41">
        <v>5.51</v>
      </c>
      <c r="F14" s="41">
        <v>2</v>
      </c>
      <c r="G14" s="41">
        <v>11.48</v>
      </c>
      <c r="H14" s="41">
        <v>5.46</v>
      </c>
      <c r="I14" s="41">
        <v>4.84</v>
      </c>
      <c r="J14" s="41">
        <v>0.19</v>
      </c>
      <c r="K14" s="41">
        <v>250.26</v>
      </c>
      <c r="L14" s="41">
        <v>21.99</v>
      </c>
      <c r="M14" s="41">
        <v>37.200000000000003</v>
      </c>
      <c r="N14" s="41">
        <v>2.7</v>
      </c>
      <c r="O14" s="41">
        <v>0</v>
      </c>
      <c r="P14" s="41">
        <v>0.2</v>
      </c>
      <c r="Q14" s="41">
        <v>10</v>
      </c>
      <c r="R14" s="38"/>
      <c r="S14" s="38"/>
      <c r="T14" s="38"/>
      <c r="U14" s="38"/>
    </row>
    <row r="15" spans="1:21" customFormat="1">
      <c r="A15" s="40" t="s">
        <v>187</v>
      </c>
      <c r="B15" s="41">
        <v>5.61</v>
      </c>
      <c r="C15" s="41">
        <v>5.82</v>
      </c>
      <c r="D15" s="41">
        <v>11.42</v>
      </c>
      <c r="E15" s="41">
        <v>5.42</v>
      </c>
      <c r="F15" s="41">
        <v>2</v>
      </c>
      <c r="G15" s="41">
        <v>11.48</v>
      </c>
      <c r="H15" s="41">
        <v>4.1900000000000004</v>
      </c>
      <c r="I15" s="41">
        <v>4.91</v>
      </c>
      <c r="J15" s="41">
        <v>0.15</v>
      </c>
      <c r="K15" s="41">
        <v>245.68</v>
      </c>
      <c r="L15" s="41">
        <v>20.96</v>
      </c>
      <c r="M15" s="41">
        <v>34.64</v>
      </c>
      <c r="N15" s="41">
        <v>11.6</v>
      </c>
      <c r="O15" s="41">
        <v>0</v>
      </c>
      <c r="P15" s="41">
        <v>0.2</v>
      </c>
      <c r="Q15" s="41">
        <v>10</v>
      </c>
      <c r="R15" s="38"/>
      <c r="S15" s="38"/>
      <c r="T15" s="38"/>
      <c r="U15" s="38"/>
    </row>
    <row r="16" spans="1:21" customFormat="1">
      <c r="A16" s="40" t="s">
        <v>188</v>
      </c>
      <c r="B16" s="41">
        <v>6.04</v>
      </c>
      <c r="C16" s="41">
        <v>5.89</v>
      </c>
      <c r="D16" s="41">
        <v>11.82</v>
      </c>
      <c r="E16" s="41">
        <v>5.46</v>
      </c>
      <c r="F16" s="41">
        <v>2</v>
      </c>
      <c r="G16" s="41">
        <v>10.37</v>
      </c>
      <c r="H16" s="41">
        <v>3.98</v>
      </c>
      <c r="I16" s="41">
        <v>4.8499999999999996</v>
      </c>
      <c r="J16" s="41">
        <v>0.12</v>
      </c>
      <c r="K16" s="41">
        <v>229.29</v>
      </c>
      <c r="L16" s="41">
        <v>21.03</v>
      </c>
      <c r="M16" s="41">
        <v>34.450000000000003</v>
      </c>
      <c r="N16" s="41">
        <v>35.1</v>
      </c>
      <c r="O16" s="41">
        <v>0</v>
      </c>
      <c r="P16" s="41">
        <v>0.19</v>
      </c>
      <c r="Q16" s="41">
        <v>10</v>
      </c>
      <c r="R16" s="38"/>
      <c r="S16" s="38"/>
      <c r="T16" s="38"/>
      <c r="U16" s="38"/>
    </row>
    <row r="17" spans="1:21" customFormat="1">
      <c r="A17" s="40" t="s">
        <v>189</v>
      </c>
      <c r="B17" s="41">
        <v>6.33</v>
      </c>
      <c r="C17" s="41">
        <v>5.89</v>
      </c>
      <c r="D17" s="41">
        <v>12.2</v>
      </c>
      <c r="E17" s="41">
        <v>5.73</v>
      </c>
      <c r="F17" s="41">
        <v>2</v>
      </c>
      <c r="G17" s="41">
        <v>14.1</v>
      </c>
      <c r="H17" s="41">
        <v>9.2100000000000009</v>
      </c>
      <c r="I17" s="41">
        <v>4.96</v>
      </c>
      <c r="J17" s="41">
        <v>0.24</v>
      </c>
      <c r="K17" s="41">
        <v>245.59</v>
      </c>
      <c r="L17" s="41">
        <v>21.69</v>
      </c>
      <c r="M17" s="41">
        <v>35.57</v>
      </c>
      <c r="N17" s="41">
        <v>49.6</v>
      </c>
      <c r="O17" s="41">
        <v>0</v>
      </c>
      <c r="P17" s="41">
        <v>0.2</v>
      </c>
      <c r="Q17" s="41">
        <v>10</v>
      </c>
      <c r="R17" s="38"/>
      <c r="S17" s="38"/>
      <c r="T17" s="38"/>
      <c r="U17" s="38"/>
    </row>
    <row r="18" spans="1:21" customFormat="1">
      <c r="A18" s="40" t="s">
        <v>190</v>
      </c>
      <c r="B18" s="41">
        <v>6.38</v>
      </c>
      <c r="C18" s="41">
        <v>6.3</v>
      </c>
      <c r="D18" s="41">
        <v>12.31</v>
      </c>
      <c r="E18" s="41">
        <v>5.8</v>
      </c>
      <c r="F18" s="41">
        <v>2</v>
      </c>
      <c r="G18" s="41">
        <v>14.1</v>
      </c>
      <c r="H18" s="41">
        <v>9.2100000000000009</v>
      </c>
      <c r="I18" s="41">
        <v>5.0199999999999996</v>
      </c>
      <c r="J18" s="41">
        <v>0.34</v>
      </c>
      <c r="K18" s="41">
        <v>257.68</v>
      </c>
      <c r="L18" s="41">
        <v>22.71</v>
      </c>
      <c r="M18" s="41">
        <v>36.47</v>
      </c>
      <c r="N18" s="41">
        <v>114.4</v>
      </c>
      <c r="O18" s="41">
        <v>0</v>
      </c>
      <c r="P18" s="41">
        <v>0.27</v>
      </c>
      <c r="Q18" s="41">
        <v>10</v>
      </c>
      <c r="R18" s="38"/>
      <c r="S18" s="38"/>
      <c r="T18" s="38"/>
      <c r="U18" s="38"/>
    </row>
    <row r="19" spans="1:21" customFormat="1">
      <c r="A19" s="40" t="s">
        <v>191</v>
      </c>
      <c r="B19" s="41">
        <v>5.69</v>
      </c>
      <c r="C19" s="41">
        <v>7.01</v>
      </c>
      <c r="D19" s="41">
        <v>12.18</v>
      </c>
      <c r="E19" s="41">
        <v>6.39</v>
      </c>
      <c r="F19" s="41">
        <v>2.25</v>
      </c>
      <c r="G19" s="41">
        <v>16.75</v>
      </c>
      <c r="H19" s="41">
        <v>9.0500000000000007</v>
      </c>
      <c r="I19" s="41">
        <v>6.49</v>
      </c>
      <c r="J19" s="41">
        <v>0.46</v>
      </c>
      <c r="K19" s="41">
        <v>260.12</v>
      </c>
      <c r="L19" s="41">
        <v>23.42</v>
      </c>
      <c r="M19" s="41">
        <v>38.270000000000003</v>
      </c>
      <c r="N19" s="41">
        <v>118.4</v>
      </c>
      <c r="O19" s="41">
        <v>0</v>
      </c>
      <c r="P19" s="41">
        <v>0.37</v>
      </c>
      <c r="Q19" s="41">
        <v>10</v>
      </c>
      <c r="R19" s="38"/>
      <c r="S19" s="38"/>
      <c r="T19" s="38"/>
      <c r="U19" s="38"/>
    </row>
    <row r="20" spans="1:21" customFormat="1">
      <c r="A20" s="40" t="s">
        <v>192</v>
      </c>
      <c r="B20" s="41">
        <v>3.75</v>
      </c>
      <c r="C20" s="41">
        <v>7.96</v>
      </c>
      <c r="D20" s="41">
        <v>11.51</v>
      </c>
      <c r="E20" s="41">
        <v>5.26</v>
      </c>
      <c r="F20" s="41">
        <v>4.8</v>
      </c>
      <c r="G20" s="41">
        <v>0</v>
      </c>
      <c r="H20" s="41">
        <v>0</v>
      </c>
      <c r="I20" s="41">
        <v>10.24</v>
      </c>
      <c r="J20" s="41">
        <v>0.28999999999999998</v>
      </c>
      <c r="K20" s="41">
        <v>239.89</v>
      </c>
      <c r="L20" s="41">
        <v>22.12</v>
      </c>
      <c r="M20" s="41">
        <v>34.46</v>
      </c>
      <c r="N20" s="41">
        <v>149.30000000000001</v>
      </c>
      <c r="O20" s="41">
        <v>0</v>
      </c>
      <c r="P20" s="41">
        <v>0.39</v>
      </c>
      <c r="Q20" s="41">
        <v>10</v>
      </c>
      <c r="R20" s="38"/>
      <c r="S20" s="38"/>
      <c r="T20" s="38"/>
      <c r="U20" s="38"/>
    </row>
    <row r="21" spans="1:21" customFormat="1">
      <c r="A21" s="40" t="s">
        <v>193</v>
      </c>
      <c r="B21" s="41">
        <v>2.52</v>
      </c>
      <c r="C21" s="41">
        <v>7.73</v>
      </c>
      <c r="D21" s="41">
        <v>10.25</v>
      </c>
      <c r="E21" s="41">
        <v>5.97</v>
      </c>
      <c r="F21" s="41">
        <v>11.62</v>
      </c>
      <c r="G21" s="41">
        <v>39.869999999999997</v>
      </c>
      <c r="H21" s="41">
        <v>24.39</v>
      </c>
      <c r="I21" s="41">
        <v>10.37</v>
      </c>
      <c r="J21" s="41">
        <v>0.26</v>
      </c>
      <c r="K21" s="41">
        <v>276.25</v>
      </c>
      <c r="L21" s="41">
        <v>24.7</v>
      </c>
      <c r="M21" s="41">
        <v>33.49</v>
      </c>
      <c r="N21" s="41">
        <v>601.9</v>
      </c>
      <c r="O21" s="41">
        <v>0</v>
      </c>
      <c r="P21" s="41">
        <v>0.39</v>
      </c>
      <c r="Q21" s="41">
        <v>10</v>
      </c>
      <c r="R21" s="38"/>
      <c r="S21" s="38"/>
      <c r="T21" s="38"/>
      <c r="U21" s="38"/>
    </row>
    <row r="22" spans="1:21" customFormat="1">
      <c r="A22" s="40" t="s">
        <v>194</v>
      </c>
      <c r="B22" s="41">
        <v>2.02</v>
      </c>
      <c r="C22" s="41">
        <v>7.86</v>
      </c>
      <c r="D22" s="41">
        <v>9.82</v>
      </c>
      <c r="E22" s="41">
        <v>7.04</v>
      </c>
      <c r="F22" s="41">
        <v>12.17</v>
      </c>
      <c r="G22" s="41">
        <v>39.869999999999997</v>
      </c>
      <c r="H22" s="41">
        <v>24.39</v>
      </c>
      <c r="I22" s="41">
        <v>8.57</v>
      </c>
      <c r="J22" s="41">
        <v>0.28999999999999998</v>
      </c>
      <c r="K22" s="41">
        <v>243.79</v>
      </c>
      <c r="L22" s="41">
        <v>23.01</v>
      </c>
      <c r="M22" s="41">
        <v>33.74</v>
      </c>
      <c r="N22" s="41">
        <v>253.7</v>
      </c>
      <c r="O22" s="41">
        <v>0</v>
      </c>
      <c r="P22" s="41">
        <v>0.38</v>
      </c>
      <c r="Q22" s="41">
        <v>10</v>
      </c>
      <c r="R22" s="38"/>
      <c r="S22" s="38"/>
      <c r="T22" s="38"/>
      <c r="U22" s="38"/>
    </row>
    <row r="23" spans="1:21" customFormat="1">
      <c r="A23" s="40" t="s">
        <v>195</v>
      </c>
      <c r="B23" s="41">
        <v>2.06</v>
      </c>
      <c r="C23" s="41">
        <v>8.2899999999999991</v>
      </c>
      <c r="D23" s="41">
        <v>10.29</v>
      </c>
      <c r="E23" s="41">
        <v>8.14</v>
      </c>
      <c r="F23" s="41">
        <v>18.18</v>
      </c>
      <c r="G23" s="41">
        <v>35.090000000000003</v>
      </c>
      <c r="H23" s="41">
        <v>21.04</v>
      </c>
      <c r="I23" s="41">
        <v>8.7899999999999991</v>
      </c>
      <c r="J23" s="41">
        <v>0.23</v>
      </c>
      <c r="K23" s="41">
        <v>280.02</v>
      </c>
      <c r="L23" s="41">
        <v>22.19</v>
      </c>
      <c r="M23" s="41">
        <v>31.87</v>
      </c>
      <c r="N23" s="41">
        <v>396.7</v>
      </c>
      <c r="O23" s="41">
        <v>0</v>
      </c>
      <c r="P23" s="41">
        <v>0.46</v>
      </c>
      <c r="Q23" s="41">
        <v>10</v>
      </c>
      <c r="R23" s="38"/>
      <c r="S23" s="38"/>
      <c r="T23" s="38"/>
      <c r="U23" s="38"/>
    </row>
    <row r="24" spans="1:21" customFormat="1">
      <c r="A24" s="40" t="s">
        <v>196</v>
      </c>
      <c r="B24" s="41">
        <v>1.86</v>
      </c>
      <c r="C24" s="41">
        <v>7.35</v>
      </c>
      <c r="D24" s="41">
        <v>8.94</v>
      </c>
      <c r="E24" s="41">
        <v>4.8099999999999996</v>
      </c>
      <c r="F24" s="41">
        <v>11.62</v>
      </c>
      <c r="G24" s="41">
        <v>41.69</v>
      </c>
      <c r="H24" s="41">
        <v>21.04</v>
      </c>
      <c r="I24" s="41">
        <v>9.0500000000000007</v>
      </c>
      <c r="J24" s="41">
        <v>0.46</v>
      </c>
      <c r="K24" s="41">
        <v>255.15</v>
      </c>
      <c r="L24" s="41">
        <v>22.84</v>
      </c>
      <c r="M24" s="41">
        <v>38.590000000000003</v>
      </c>
      <c r="N24" s="41">
        <v>55.5</v>
      </c>
      <c r="O24" s="41">
        <v>0</v>
      </c>
      <c r="P24" s="41">
        <v>0.46</v>
      </c>
      <c r="Q24" s="41">
        <v>10</v>
      </c>
      <c r="R24" s="38"/>
      <c r="S24" s="38"/>
      <c r="T24" s="38"/>
      <c r="U24" s="38"/>
    </row>
    <row r="25" spans="1:21" customFormat="1">
      <c r="A25" s="40" t="s">
        <v>197</v>
      </c>
      <c r="B25" s="41">
        <v>2.42</v>
      </c>
      <c r="C25" s="41">
        <v>6.51</v>
      </c>
      <c r="D25" s="41">
        <v>8.5500000000000007</v>
      </c>
      <c r="E25" s="41">
        <v>4.45</v>
      </c>
      <c r="F25" s="41">
        <v>4.55</v>
      </c>
      <c r="G25" s="41">
        <v>41.69</v>
      </c>
      <c r="H25" s="41">
        <v>18.12</v>
      </c>
      <c r="I25" s="41">
        <v>9.1199999999999992</v>
      </c>
      <c r="J25" s="41">
        <v>0.36</v>
      </c>
      <c r="K25" s="41">
        <v>249.27</v>
      </c>
      <c r="L25" s="41">
        <v>22.45</v>
      </c>
      <c r="M25" s="41">
        <v>37.68</v>
      </c>
      <c r="N25" s="41">
        <v>32.700000000000003</v>
      </c>
      <c r="O25" s="41">
        <v>0</v>
      </c>
      <c r="P25" s="41">
        <v>0.46</v>
      </c>
      <c r="Q25" s="41">
        <v>10</v>
      </c>
      <c r="R25" s="38"/>
      <c r="S25" s="38"/>
      <c r="T25" s="38"/>
      <c r="U25" s="38"/>
    </row>
    <row r="26" spans="1:21" customFormat="1">
      <c r="A26" s="40" t="s">
        <v>198</v>
      </c>
      <c r="B26" s="41">
        <v>3.1</v>
      </c>
      <c r="C26" s="41">
        <v>6.25</v>
      </c>
      <c r="D26" s="41">
        <v>9.35</v>
      </c>
      <c r="E26" s="41">
        <v>4.3099999999999996</v>
      </c>
      <c r="F26" s="41">
        <v>3.04</v>
      </c>
      <c r="G26" s="41">
        <v>32.99</v>
      </c>
      <c r="H26" s="41">
        <v>13.19</v>
      </c>
      <c r="I26" s="41">
        <v>8.73</v>
      </c>
      <c r="J26" s="41">
        <v>0.34</v>
      </c>
      <c r="K26" s="41">
        <v>312.32</v>
      </c>
      <c r="L26" s="41">
        <v>24.89</v>
      </c>
      <c r="M26" s="41">
        <v>44.28</v>
      </c>
      <c r="N26" s="41">
        <v>5.0999999999999996</v>
      </c>
      <c r="O26" s="41">
        <v>0</v>
      </c>
      <c r="P26" s="41">
        <v>0.43</v>
      </c>
      <c r="Q26" s="41">
        <v>10</v>
      </c>
      <c r="R26" s="38"/>
      <c r="S26" s="38"/>
      <c r="T26" s="38"/>
      <c r="U26" s="38"/>
    </row>
    <row r="27" spans="1:21" customFormat="1">
      <c r="A27" s="40" t="s">
        <v>199</v>
      </c>
      <c r="B27" s="41">
        <v>4.71</v>
      </c>
      <c r="C27" s="41">
        <v>7.1</v>
      </c>
      <c r="D27" s="41">
        <v>11.61</v>
      </c>
      <c r="E27" s="41">
        <v>5.25</v>
      </c>
      <c r="F27" s="41">
        <v>2.67</v>
      </c>
      <c r="G27" s="41">
        <v>34.82</v>
      </c>
      <c r="H27" s="41">
        <v>9.41</v>
      </c>
      <c r="I27" s="41">
        <v>8.35</v>
      </c>
      <c r="J27" s="41">
        <v>0.56000000000000005</v>
      </c>
      <c r="K27" s="41">
        <v>319.3</v>
      </c>
      <c r="L27" s="41">
        <v>27.58</v>
      </c>
      <c r="M27" s="41">
        <v>51.01</v>
      </c>
      <c r="N27" s="41">
        <v>2.8</v>
      </c>
      <c r="O27" s="41">
        <v>0</v>
      </c>
      <c r="P27" s="41">
        <v>0.46</v>
      </c>
      <c r="Q27" s="41">
        <v>10</v>
      </c>
      <c r="R27" s="38"/>
      <c r="S27" s="38"/>
      <c r="T27" s="38"/>
      <c r="U27" s="38"/>
    </row>
    <row r="28" spans="1:21" customFormat="1">
      <c r="A28" s="40" t="s">
        <v>200</v>
      </c>
      <c r="B28" s="41">
        <v>4.97</v>
      </c>
      <c r="C28" s="41">
        <v>6.8</v>
      </c>
      <c r="D28" s="41">
        <v>11.76</v>
      </c>
      <c r="E28" s="41">
        <v>5.91</v>
      </c>
      <c r="F28" s="41">
        <v>2.23</v>
      </c>
      <c r="G28" s="41">
        <v>34.82</v>
      </c>
      <c r="H28" s="41">
        <v>9.3000000000000007</v>
      </c>
      <c r="I28" s="41">
        <v>8.4</v>
      </c>
      <c r="J28" s="41">
        <v>0.23</v>
      </c>
      <c r="K28" s="41">
        <v>211.55</v>
      </c>
      <c r="L28" s="41">
        <v>19.23</v>
      </c>
      <c r="M28" s="41">
        <v>30.37</v>
      </c>
      <c r="N28" s="41">
        <v>2.4</v>
      </c>
      <c r="O28" s="41">
        <v>0.2</v>
      </c>
      <c r="P28" s="41">
        <v>0.46</v>
      </c>
      <c r="Q28" s="41">
        <v>10</v>
      </c>
      <c r="R28" s="38"/>
      <c r="S28" s="38"/>
      <c r="T28" s="38"/>
      <c r="U28" s="38"/>
    </row>
    <row r="29" spans="1:21" customFormat="1">
      <c r="A29" s="40" t="s">
        <v>201</v>
      </c>
      <c r="B29" s="41">
        <v>6.85</v>
      </c>
      <c r="C29" s="41">
        <v>7.23</v>
      </c>
      <c r="D29" s="41">
        <v>14.07</v>
      </c>
      <c r="E29" s="41">
        <v>6.13</v>
      </c>
      <c r="F29" s="41">
        <v>2.02</v>
      </c>
      <c r="G29" s="41">
        <v>32.94</v>
      </c>
      <c r="H29" s="41">
        <v>9.3000000000000007</v>
      </c>
      <c r="I29" s="41">
        <v>8.61</v>
      </c>
      <c r="J29" s="41">
        <v>0.4</v>
      </c>
      <c r="K29" s="41">
        <v>240.19</v>
      </c>
      <c r="L29" s="41">
        <v>21.67</v>
      </c>
      <c r="M29" s="41">
        <v>36.44</v>
      </c>
      <c r="N29" s="41">
        <v>2.4</v>
      </c>
      <c r="O29" s="41">
        <v>0.2</v>
      </c>
      <c r="P29" s="41">
        <v>0.48</v>
      </c>
      <c r="Q29" s="41">
        <v>10</v>
      </c>
      <c r="R29" s="38"/>
      <c r="S29" s="38"/>
      <c r="T29" s="38"/>
      <c r="U29" s="38"/>
    </row>
    <row r="30" spans="1:21" customFormat="1">
      <c r="A30" s="40" t="s">
        <v>202</v>
      </c>
      <c r="B30" s="41">
        <v>7.03</v>
      </c>
      <c r="C30" s="41">
        <v>6.98</v>
      </c>
      <c r="D30" s="41">
        <v>13.9</v>
      </c>
      <c r="E30" s="41">
        <v>6.46</v>
      </c>
      <c r="F30" s="41">
        <v>2</v>
      </c>
      <c r="G30" s="41">
        <v>34.21</v>
      </c>
      <c r="H30" s="41">
        <v>8.52</v>
      </c>
      <c r="I30" s="41">
        <v>8.81</v>
      </c>
      <c r="J30" s="41">
        <v>0.16</v>
      </c>
      <c r="K30" s="41">
        <v>210.47</v>
      </c>
      <c r="L30" s="41">
        <v>19.43</v>
      </c>
      <c r="M30" s="41">
        <v>30.8</v>
      </c>
      <c r="N30" s="41">
        <v>2.2999999999999998</v>
      </c>
      <c r="O30" s="41">
        <v>0</v>
      </c>
      <c r="P30" s="41">
        <v>0.52</v>
      </c>
      <c r="Q30" s="41">
        <v>10</v>
      </c>
      <c r="R30" s="38"/>
      <c r="S30" s="38"/>
      <c r="T30" s="38"/>
      <c r="U30" s="38"/>
    </row>
    <row r="31" spans="1:21" customFormat="1">
      <c r="A31" s="40" t="s">
        <v>203</v>
      </c>
      <c r="B31" s="41">
        <v>6.97</v>
      </c>
      <c r="C31" s="41">
        <v>6.68</v>
      </c>
      <c r="D31" s="41">
        <v>13.66</v>
      </c>
      <c r="E31" s="41">
        <v>6.8</v>
      </c>
      <c r="F31" s="41">
        <v>2.0699999999999998</v>
      </c>
      <c r="G31" s="41">
        <v>34.21</v>
      </c>
      <c r="H31" s="41">
        <v>10.71</v>
      </c>
      <c r="I31" s="41">
        <v>9.4</v>
      </c>
      <c r="J31" s="41">
        <v>0.23</v>
      </c>
      <c r="K31" s="41">
        <v>250.39</v>
      </c>
      <c r="L31" s="41">
        <v>22.08</v>
      </c>
      <c r="M31" s="41">
        <v>37.47</v>
      </c>
      <c r="N31" s="41">
        <v>2.2999999999999998</v>
      </c>
      <c r="O31" s="41">
        <v>0</v>
      </c>
      <c r="P31" s="41">
        <v>0.56999999999999995</v>
      </c>
      <c r="Q31" s="41">
        <v>10</v>
      </c>
      <c r="R31" s="38"/>
      <c r="S31" s="38"/>
      <c r="T31" s="38"/>
      <c r="U31" s="38"/>
    </row>
    <row r="32" spans="1:21" customFormat="1">
      <c r="A32" s="40" t="s">
        <v>204</v>
      </c>
      <c r="B32" s="41">
        <v>6.71</v>
      </c>
      <c r="C32" s="41">
        <v>6.36</v>
      </c>
      <c r="D32" s="41">
        <v>13.07</v>
      </c>
      <c r="E32" s="41">
        <v>6.68</v>
      </c>
      <c r="F32" s="41">
        <v>2.02</v>
      </c>
      <c r="G32" s="41">
        <v>28.44</v>
      </c>
      <c r="H32" s="41">
        <v>10.98</v>
      </c>
      <c r="I32" s="41">
        <v>9.6199999999999992</v>
      </c>
      <c r="J32" s="41">
        <v>0.12</v>
      </c>
      <c r="K32" s="41">
        <v>260.41000000000003</v>
      </c>
      <c r="L32" s="41">
        <v>20.87</v>
      </c>
      <c r="M32" s="41">
        <v>34.44</v>
      </c>
      <c r="N32" s="41">
        <v>2.2000000000000002</v>
      </c>
      <c r="O32" s="41">
        <v>0</v>
      </c>
      <c r="P32" s="41">
        <v>0.59</v>
      </c>
      <c r="Q32" s="41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1.86</v>
      </c>
      <c r="C34" s="18">
        <f t="shared" si="0"/>
        <v>5.76</v>
      </c>
      <c r="D34" s="18">
        <f t="shared" si="0"/>
        <v>8.5500000000000007</v>
      </c>
      <c r="E34" s="18">
        <f t="shared" si="0"/>
        <v>4.3099999999999996</v>
      </c>
      <c r="F34" s="18">
        <f t="shared" si="0"/>
        <v>2</v>
      </c>
      <c r="G34" s="18">
        <f t="shared" si="0"/>
        <v>0</v>
      </c>
      <c r="H34" s="18">
        <f t="shared" si="0"/>
        <v>0</v>
      </c>
      <c r="I34" s="18">
        <f t="shared" si="0"/>
        <v>4.7300000000000004</v>
      </c>
      <c r="J34" s="18">
        <f t="shared" si="0"/>
        <v>0.12</v>
      </c>
      <c r="K34" s="18">
        <f t="shared" si="0"/>
        <v>210.47</v>
      </c>
      <c r="L34" s="18">
        <f t="shared" si="0"/>
        <v>19.23</v>
      </c>
      <c r="M34" s="18">
        <f t="shared" si="0"/>
        <v>30.37</v>
      </c>
      <c r="N34" s="18">
        <f t="shared" si="0"/>
        <v>2.2000000000000002</v>
      </c>
      <c r="O34" s="18">
        <f t="shared" si="0"/>
        <v>0</v>
      </c>
      <c r="P34" s="18">
        <f t="shared" si="0"/>
        <v>0.19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7.03</v>
      </c>
      <c r="C35" s="3">
        <f t="shared" si="1"/>
        <v>8.2899999999999991</v>
      </c>
      <c r="D35" s="3">
        <f t="shared" si="1"/>
        <v>14.07</v>
      </c>
      <c r="E35" s="3">
        <f t="shared" si="1"/>
        <v>8.14</v>
      </c>
      <c r="F35" s="3">
        <f t="shared" si="1"/>
        <v>18.18</v>
      </c>
      <c r="G35" s="3">
        <f t="shared" si="1"/>
        <v>41.69</v>
      </c>
      <c r="H35" s="3">
        <f t="shared" si="1"/>
        <v>24.39</v>
      </c>
      <c r="I35" s="3">
        <f t="shared" si="1"/>
        <v>10.37</v>
      </c>
      <c r="J35" s="3">
        <f t="shared" si="1"/>
        <v>0.56000000000000005</v>
      </c>
      <c r="K35" s="3">
        <f t="shared" si="1"/>
        <v>319.3</v>
      </c>
      <c r="L35" s="3">
        <f t="shared" si="1"/>
        <v>27.58</v>
      </c>
      <c r="M35" s="3">
        <f t="shared" si="1"/>
        <v>51.01</v>
      </c>
      <c r="N35" s="3">
        <f t="shared" si="1"/>
        <v>601.9</v>
      </c>
      <c r="O35" s="3">
        <f t="shared" si="1"/>
        <v>0.2</v>
      </c>
      <c r="P35" s="3">
        <f t="shared" si="1"/>
        <v>0.59</v>
      </c>
      <c r="Q35" s="3">
        <f t="shared" si="1"/>
        <v>15.43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5.0004166666666654</v>
      </c>
      <c r="C36" s="18">
        <f t="shared" si="2"/>
        <v>6.7862499999999999</v>
      </c>
      <c r="D36" s="18">
        <f t="shared" si="2"/>
        <v>11.679999999999998</v>
      </c>
      <c r="E36" s="18">
        <f t="shared" si="2"/>
        <v>5.7941666666666682</v>
      </c>
      <c r="F36" s="18">
        <f t="shared" si="2"/>
        <v>4.2183333333333337</v>
      </c>
      <c r="G36" s="18">
        <f t="shared" si="2"/>
        <v>25.233333333333338</v>
      </c>
      <c r="H36" s="18">
        <f t="shared" si="2"/>
        <v>11.025</v>
      </c>
      <c r="I36" s="18">
        <f t="shared" si="2"/>
        <v>7.3708333333333336</v>
      </c>
      <c r="J36" s="18">
        <f t="shared" si="2"/>
        <v>0.2695833333333334</v>
      </c>
      <c r="K36" s="18">
        <f t="shared" si="2"/>
        <v>256.08875</v>
      </c>
      <c r="L36" s="18">
        <f t="shared" si="2"/>
        <v>22.313749999999999</v>
      </c>
      <c r="M36" s="18">
        <f t="shared" si="2"/>
        <v>36.636249999999997</v>
      </c>
      <c r="N36" s="18">
        <f t="shared" si="2"/>
        <v>77.254166666666677</v>
      </c>
      <c r="O36" s="18">
        <f t="shared" si="2"/>
        <v>2.5000000000000005E-2</v>
      </c>
      <c r="P36" s="18">
        <f t="shared" si="2"/>
        <v>0.37208333333333332</v>
      </c>
      <c r="Q36" s="18">
        <f t="shared" si="2"/>
        <v>10.393749999999999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1.7854812508400835</v>
      </c>
      <c r="C37" s="18">
        <f t="shared" ref="C37:Q37" si="3">STDEV(C9:C32)</f>
        <v>0.71145785722604815</v>
      </c>
      <c r="D37" s="18">
        <f t="shared" si="3"/>
        <v>1.6037889918673354</v>
      </c>
      <c r="E37" s="18">
        <f t="shared" si="3"/>
        <v>0.89286016562634041</v>
      </c>
      <c r="F37" s="18">
        <f t="shared" si="3"/>
        <v>4.4144039596349334</v>
      </c>
      <c r="G37" s="18">
        <f t="shared" si="3"/>
        <v>12.272339583004516</v>
      </c>
      <c r="H37" s="18">
        <f t="shared" si="3"/>
        <v>6.366730783499893</v>
      </c>
      <c r="I37" s="18">
        <f t="shared" si="3"/>
        <v>2.0035813948520018</v>
      </c>
      <c r="J37" s="18">
        <f t="shared" si="3"/>
        <v>0.11830245565706872</v>
      </c>
      <c r="K37" s="18">
        <f t="shared" si="3"/>
        <v>28.154401202391224</v>
      </c>
      <c r="L37" s="18">
        <f t="shared" si="3"/>
        <v>1.7301842387445328</v>
      </c>
      <c r="M37" s="18">
        <f t="shared" si="3"/>
        <v>4.2986841389065455</v>
      </c>
      <c r="N37" s="18">
        <f t="shared" si="3"/>
        <v>147.18458384292322</v>
      </c>
      <c r="O37" s="18">
        <f t="shared" si="3"/>
        <v>6.7566392469217626E-2</v>
      </c>
      <c r="P37" s="18">
        <f t="shared" si="3"/>
        <v>0.12021644127831764</v>
      </c>
      <c r="Q37" s="18">
        <f t="shared" si="3"/>
        <v>1.220914883263339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J14" sqref="J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07/10/2025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205</v>
      </c>
      <c r="B9" s="41">
        <v>7.44</v>
      </c>
      <c r="C9" s="41">
        <v>6.2</v>
      </c>
      <c r="D9" s="41">
        <v>13.49</v>
      </c>
      <c r="E9" s="41">
        <v>6.83</v>
      </c>
      <c r="F9" s="41">
        <v>2.11</v>
      </c>
      <c r="G9" s="41">
        <v>33.53</v>
      </c>
      <c r="H9" s="41">
        <v>10.98</v>
      </c>
      <c r="I9" s="41">
        <v>9.94</v>
      </c>
      <c r="J9" s="41">
        <v>0.15</v>
      </c>
      <c r="K9" s="41">
        <v>209.93</v>
      </c>
      <c r="L9" s="41">
        <v>19.559999999999999</v>
      </c>
      <c r="M9" s="41">
        <v>31.19</v>
      </c>
      <c r="N9" s="41">
        <v>2.2000000000000002</v>
      </c>
      <c r="O9" s="41">
        <v>0</v>
      </c>
      <c r="P9" s="41">
        <v>0.66</v>
      </c>
      <c r="Q9" s="41">
        <v>10</v>
      </c>
      <c r="R9" s="38"/>
      <c r="S9" s="38"/>
      <c r="T9" s="38"/>
      <c r="U9" s="38"/>
    </row>
    <row r="10" spans="1:21" customFormat="1">
      <c r="A10" s="40" t="s">
        <v>206</v>
      </c>
      <c r="B10" s="41">
        <v>7.96</v>
      </c>
      <c r="C10" s="41">
        <v>6.14</v>
      </c>
      <c r="D10" s="41">
        <v>14</v>
      </c>
      <c r="E10" s="41">
        <v>6.53</v>
      </c>
      <c r="F10" s="41">
        <v>2</v>
      </c>
      <c r="G10" s="41">
        <v>33.53</v>
      </c>
      <c r="H10" s="41">
        <v>11.28</v>
      </c>
      <c r="I10" s="41">
        <v>10.220000000000001</v>
      </c>
      <c r="J10" s="41">
        <v>0.17</v>
      </c>
      <c r="K10" s="41">
        <v>256.20999999999998</v>
      </c>
      <c r="L10" s="41">
        <v>22.82</v>
      </c>
      <c r="M10" s="41">
        <v>39.340000000000003</v>
      </c>
      <c r="N10" s="41">
        <v>2.4</v>
      </c>
      <c r="O10" s="41">
        <v>0</v>
      </c>
      <c r="P10" s="41">
        <v>0.66</v>
      </c>
      <c r="Q10" s="41">
        <v>10</v>
      </c>
      <c r="R10" s="38"/>
      <c r="S10" s="38"/>
      <c r="T10" s="38"/>
      <c r="U10" s="38"/>
    </row>
    <row r="11" spans="1:21" customFormat="1">
      <c r="A11" s="40" t="s">
        <v>207</v>
      </c>
      <c r="B11" s="41">
        <v>8.7200000000000006</v>
      </c>
      <c r="C11" s="41">
        <v>6.36</v>
      </c>
      <c r="D11" s="41">
        <v>15.08</v>
      </c>
      <c r="E11" s="41">
        <v>5.79</v>
      </c>
      <c r="F11" s="41">
        <v>2</v>
      </c>
      <c r="G11" s="41">
        <v>32</v>
      </c>
      <c r="H11" s="41">
        <v>13.39</v>
      </c>
      <c r="I11" s="41">
        <v>10.78</v>
      </c>
      <c r="J11" s="41">
        <v>0.14000000000000001</v>
      </c>
      <c r="K11" s="41">
        <v>265.64</v>
      </c>
      <c r="L11" s="41">
        <v>22.77</v>
      </c>
      <c r="M11" s="41">
        <v>39.17</v>
      </c>
      <c r="N11" s="41">
        <v>2.4</v>
      </c>
      <c r="O11" s="41">
        <v>0</v>
      </c>
      <c r="P11" s="41">
        <v>0.67</v>
      </c>
      <c r="Q11" s="41">
        <v>10</v>
      </c>
      <c r="R11" s="38"/>
      <c r="S11" s="38"/>
      <c r="T11" s="38"/>
      <c r="U11" s="38"/>
    </row>
    <row r="12" spans="1:21" customFormat="1">
      <c r="A12" s="40" t="s">
        <v>208</v>
      </c>
      <c r="B12" s="41">
        <v>9.11</v>
      </c>
      <c r="C12" s="41">
        <v>6.41</v>
      </c>
      <c r="D12" s="41">
        <v>15.47</v>
      </c>
      <c r="E12" s="41">
        <v>5.88</v>
      </c>
      <c r="F12" s="41">
        <v>2</v>
      </c>
      <c r="G12" s="41">
        <v>36.19</v>
      </c>
      <c r="H12" s="41">
        <v>14.13</v>
      </c>
      <c r="I12" s="41">
        <v>11.41</v>
      </c>
      <c r="J12" s="41">
        <v>0.14000000000000001</v>
      </c>
      <c r="K12" s="41">
        <v>254.2</v>
      </c>
      <c r="L12" s="41">
        <v>22.85</v>
      </c>
      <c r="M12" s="41">
        <v>39.409999999999997</v>
      </c>
      <c r="N12" s="41">
        <v>2.4</v>
      </c>
      <c r="O12" s="41">
        <v>0</v>
      </c>
      <c r="P12" s="41">
        <v>0.67</v>
      </c>
      <c r="Q12" s="41">
        <v>10</v>
      </c>
      <c r="R12" s="38"/>
      <c r="S12" s="38"/>
      <c r="T12" s="38"/>
      <c r="U12" s="38"/>
    </row>
    <row r="13" spans="1:21" customFormat="1">
      <c r="A13" s="40" t="s">
        <v>209</v>
      </c>
      <c r="B13" s="41">
        <v>9.56</v>
      </c>
      <c r="C13" s="41">
        <v>6.47</v>
      </c>
      <c r="D13" s="41">
        <v>16.03</v>
      </c>
      <c r="E13" s="41">
        <v>6.15</v>
      </c>
      <c r="F13" s="41">
        <v>2</v>
      </c>
      <c r="G13" s="41">
        <v>36.19</v>
      </c>
      <c r="H13" s="41">
        <v>15.21</v>
      </c>
      <c r="I13" s="41">
        <v>11.66</v>
      </c>
      <c r="J13" s="41">
        <v>0.21</v>
      </c>
      <c r="K13" s="41">
        <v>296.08999999999997</v>
      </c>
      <c r="L13" s="41">
        <v>24.57</v>
      </c>
      <c r="M13" s="41">
        <v>43.6</v>
      </c>
      <c r="N13" s="41">
        <v>2.4</v>
      </c>
      <c r="O13" s="41">
        <v>0</v>
      </c>
      <c r="P13" s="41">
        <v>0.67</v>
      </c>
      <c r="Q13" s="41">
        <v>10</v>
      </c>
      <c r="R13" s="38"/>
      <c r="S13" s="38"/>
      <c r="T13" s="38"/>
      <c r="U13" s="38"/>
    </row>
    <row r="14" spans="1:21" customFormat="1">
      <c r="A14" s="40" t="s">
        <v>210</v>
      </c>
      <c r="B14" s="41">
        <v>9.68</v>
      </c>
      <c r="C14" s="41">
        <v>6.88</v>
      </c>
      <c r="D14" s="41">
        <v>16.36</v>
      </c>
      <c r="E14" s="41">
        <v>6.31</v>
      </c>
      <c r="F14" s="41">
        <v>2</v>
      </c>
      <c r="G14" s="41">
        <v>37.340000000000003</v>
      </c>
      <c r="H14" s="41">
        <v>15.21</v>
      </c>
      <c r="I14" s="41">
        <v>11.57</v>
      </c>
      <c r="J14" s="41">
        <v>0.11</v>
      </c>
      <c r="K14" s="41">
        <v>212.95</v>
      </c>
      <c r="L14" s="41">
        <v>18.27</v>
      </c>
      <c r="M14" s="41">
        <v>27.92</v>
      </c>
      <c r="N14" s="41">
        <v>3</v>
      </c>
      <c r="O14" s="41">
        <v>0</v>
      </c>
      <c r="P14" s="41">
        <v>0.61</v>
      </c>
      <c r="Q14" s="41">
        <v>10</v>
      </c>
      <c r="R14" s="38"/>
      <c r="S14" s="38"/>
      <c r="T14" s="38"/>
      <c r="U14" s="38"/>
    </row>
    <row r="15" spans="1:21" customFormat="1">
      <c r="A15" s="40" t="s">
        <v>211</v>
      </c>
      <c r="B15" s="41">
        <v>9.26</v>
      </c>
      <c r="C15" s="41">
        <v>6.81</v>
      </c>
      <c r="D15" s="41">
        <v>16.059999999999999</v>
      </c>
      <c r="E15" s="41">
        <v>6.37</v>
      </c>
      <c r="F15" s="41">
        <v>2</v>
      </c>
      <c r="G15" s="41">
        <v>37.340000000000003</v>
      </c>
      <c r="H15" s="41">
        <v>14.44</v>
      </c>
      <c r="I15" s="41">
        <v>11.38</v>
      </c>
      <c r="J15" s="41">
        <v>0.13</v>
      </c>
      <c r="K15" s="41">
        <v>232.57</v>
      </c>
      <c r="L15" s="41">
        <v>20.02</v>
      </c>
      <c r="M15" s="41">
        <v>31.64</v>
      </c>
      <c r="N15" s="41">
        <v>31.7</v>
      </c>
      <c r="O15" s="41">
        <v>0</v>
      </c>
      <c r="P15" s="41">
        <v>0.57999999999999996</v>
      </c>
      <c r="Q15" s="41">
        <v>10</v>
      </c>
      <c r="R15" s="38"/>
      <c r="S15" s="38"/>
      <c r="T15" s="38"/>
      <c r="U15" s="38"/>
    </row>
    <row r="16" spans="1:21" customFormat="1">
      <c r="A16" s="40" t="s">
        <v>212</v>
      </c>
      <c r="B16" s="41">
        <v>9.07</v>
      </c>
      <c r="C16" s="41">
        <v>6.68</v>
      </c>
      <c r="D16" s="41">
        <v>15.52</v>
      </c>
      <c r="E16" s="41">
        <v>6.42</v>
      </c>
      <c r="F16" s="41">
        <v>2.06</v>
      </c>
      <c r="G16" s="41">
        <v>34.89</v>
      </c>
      <c r="H16" s="41">
        <v>20.170000000000002</v>
      </c>
      <c r="I16" s="41">
        <v>12.27</v>
      </c>
      <c r="J16" s="41">
        <v>0.43</v>
      </c>
      <c r="K16" s="41">
        <v>263</v>
      </c>
      <c r="L16" s="41">
        <v>23.79</v>
      </c>
      <c r="M16" s="41">
        <v>39.65</v>
      </c>
      <c r="N16" s="41">
        <v>144.1</v>
      </c>
      <c r="O16" s="41">
        <v>0</v>
      </c>
      <c r="P16" s="41">
        <v>0.56999999999999995</v>
      </c>
      <c r="Q16" s="41">
        <v>10</v>
      </c>
      <c r="R16" s="38"/>
      <c r="S16" s="38"/>
      <c r="T16" s="38"/>
      <c r="U16" s="38"/>
    </row>
    <row r="17" spans="1:21" customFormat="1">
      <c r="A17" s="40" t="s">
        <v>213</v>
      </c>
      <c r="B17" s="41">
        <v>8.49</v>
      </c>
      <c r="C17" s="41">
        <v>6.74</v>
      </c>
      <c r="D17" s="41">
        <v>15.23</v>
      </c>
      <c r="E17" s="41">
        <v>6.33</v>
      </c>
      <c r="F17" s="41">
        <v>2.0299999999999998</v>
      </c>
      <c r="G17" s="41">
        <v>37.36</v>
      </c>
      <c r="H17" s="41">
        <v>20.170000000000002</v>
      </c>
      <c r="I17" s="41">
        <v>12.23</v>
      </c>
      <c r="J17" s="41">
        <v>0.59</v>
      </c>
      <c r="K17" s="41">
        <v>251.47</v>
      </c>
      <c r="L17" s="41">
        <v>23.96</v>
      </c>
      <c r="M17" s="41">
        <v>37.520000000000003</v>
      </c>
      <c r="N17" s="41">
        <v>206.4</v>
      </c>
      <c r="O17" s="41">
        <v>0</v>
      </c>
      <c r="P17" s="41">
        <v>0.55000000000000004</v>
      </c>
      <c r="Q17" s="41">
        <v>10</v>
      </c>
      <c r="R17" s="38"/>
      <c r="S17" s="38"/>
      <c r="T17" s="38"/>
      <c r="U17" s="38"/>
    </row>
    <row r="18" spans="1:21" customFormat="1">
      <c r="A18" s="40" t="s">
        <v>214</v>
      </c>
      <c r="B18" s="41">
        <v>7.37</v>
      </c>
      <c r="C18" s="41">
        <v>6.45</v>
      </c>
      <c r="D18" s="41">
        <v>13.82</v>
      </c>
      <c r="E18" s="41">
        <v>6.32</v>
      </c>
      <c r="F18" s="41">
        <v>2.02</v>
      </c>
      <c r="G18" s="41">
        <v>40.44</v>
      </c>
      <c r="H18" s="41">
        <v>21.71</v>
      </c>
      <c r="I18" s="41">
        <v>12.15</v>
      </c>
      <c r="J18" s="41">
        <v>0.56999999999999995</v>
      </c>
      <c r="K18" s="41">
        <v>261.37</v>
      </c>
      <c r="L18" s="41">
        <v>25.27</v>
      </c>
      <c r="M18" s="41">
        <v>37.65</v>
      </c>
      <c r="N18" s="41">
        <v>441.9</v>
      </c>
      <c r="O18" s="41">
        <v>0</v>
      </c>
      <c r="P18" s="41">
        <v>0.54</v>
      </c>
      <c r="Q18" s="41">
        <v>10</v>
      </c>
      <c r="R18" s="38"/>
      <c r="S18" s="38"/>
      <c r="T18" s="38"/>
      <c r="U18" s="38"/>
    </row>
    <row r="19" spans="1:21" customFormat="1">
      <c r="A19" s="40" t="s">
        <v>215</v>
      </c>
      <c r="B19" s="41">
        <v>6.08</v>
      </c>
      <c r="C19" s="41">
        <v>6.42</v>
      </c>
      <c r="D19" s="41">
        <v>12.49</v>
      </c>
      <c r="E19" s="41">
        <v>5.45</v>
      </c>
      <c r="F19" s="41">
        <v>2.36</v>
      </c>
      <c r="G19" s="41">
        <v>41.86</v>
      </c>
      <c r="H19" s="41">
        <v>21.71</v>
      </c>
      <c r="I19" s="41">
        <v>13.13</v>
      </c>
      <c r="J19" s="41">
        <v>0.57999999999999996</v>
      </c>
      <c r="K19" s="41">
        <v>267.55</v>
      </c>
      <c r="L19" s="41">
        <v>28.49</v>
      </c>
      <c r="M19" s="41">
        <v>40.93</v>
      </c>
      <c r="N19" s="41">
        <v>540.4</v>
      </c>
      <c r="O19" s="41">
        <v>0</v>
      </c>
      <c r="P19" s="41">
        <v>0.56999999999999995</v>
      </c>
      <c r="Q19" s="41">
        <v>10</v>
      </c>
      <c r="R19" s="38"/>
      <c r="S19" s="38"/>
      <c r="T19" s="38"/>
      <c r="U19" s="38"/>
    </row>
    <row r="20" spans="1:21" customFormat="1">
      <c r="A20" s="40" t="s">
        <v>216</v>
      </c>
      <c r="B20" s="41">
        <v>5.57</v>
      </c>
      <c r="C20" s="41">
        <v>6.67</v>
      </c>
      <c r="D20" s="41">
        <v>11.85</v>
      </c>
      <c r="E20" s="41">
        <v>4.8499999999999996</v>
      </c>
      <c r="F20" s="41">
        <v>4.41</v>
      </c>
      <c r="G20" s="41">
        <v>45</v>
      </c>
      <c r="H20" s="41">
        <v>23.25</v>
      </c>
      <c r="I20" s="41">
        <v>13.17</v>
      </c>
      <c r="J20" s="41">
        <v>0.43</v>
      </c>
      <c r="K20" s="41">
        <v>291.39</v>
      </c>
      <c r="L20" s="41">
        <v>28.27</v>
      </c>
      <c r="M20" s="41">
        <v>42.26</v>
      </c>
      <c r="N20" s="41">
        <v>618.29999999999995</v>
      </c>
      <c r="O20" s="41">
        <v>0</v>
      </c>
      <c r="P20" s="41">
        <v>0.56999999999999995</v>
      </c>
      <c r="Q20" s="41">
        <v>10</v>
      </c>
      <c r="R20" s="38"/>
      <c r="S20" s="38"/>
      <c r="T20" s="38"/>
      <c r="U20" s="38"/>
    </row>
    <row r="21" spans="1:21" customFormat="1">
      <c r="A21" s="40" t="s">
        <v>217</v>
      </c>
      <c r="B21" s="41">
        <v>4.79</v>
      </c>
      <c r="C21" s="41">
        <v>7.72</v>
      </c>
      <c r="D21" s="41">
        <v>12.04</v>
      </c>
      <c r="E21" s="41">
        <v>5.07</v>
      </c>
      <c r="F21" s="41">
        <v>10.55</v>
      </c>
      <c r="G21" s="41">
        <v>52.05</v>
      </c>
      <c r="H21" s="41">
        <v>23.25</v>
      </c>
      <c r="I21" s="41">
        <v>12.78</v>
      </c>
      <c r="J21" s="41">
        <v>0.31</v>
      </c>
      <c r="K21" s="41">
        <v>310.27999999999997</v>
      </c>
      <c r="L21" s="41">
        <v>25.31</v>
      </c>
      <c r="M21" s="41">
        <v>33.700000000000003</v>
      </c>
      <c r="N21" s="41">
        <v>504.1</v>
      </c>
      <c r="O21" s="41">
        <v>0</v>
      </c>
      <c r="P21" s="41">
        <v>0.54</v>
      </c>
      <c r="Q21" s="41">
        <v>11.06</v>
      </c>
      <c r="R21" s="38"/>
      <c r="S21" s="38"/>
      <c r="T21" s="38"/>
      <c r="U21" s="38"/>
    </row>
    <row r="22" spans="1:21" customFormat="1">
      <c r="A22" s="40" t="s">
        <v>218</v>
      </c>
      <c r="B22" s="41">
        <v>3.77</v>
      </c>
      <c r="C22" s="41">
        <v>7.7</v>
      </c>
      <c r="D22" s="41">
        <v>11.16</v>
      </c>
      <c r="E22" s="41">
        <v>5.73</v>
      </c>
      <c r="F22" s="41">
        <v>8.32</v>
      </c>
      <c r="G22" s="41">
        <v>55.42</v>
      </c>
      <c r="H22" s="41">
        <v>25.19</v>
      </c>
      <c r="I22" s="41">
        <v>11.61</v>
      </c>
      <c r="J22" s="41">
        <v>0.28999999999999998</v>
      </c>
      <c r="K22" s="41">
        <v>326.95</v>
      </c>
      <c r="L22" s="41">
        <v>24.51</v>
      </c>
      <c r="M22" s="41">
        <v>38.090000000000003</v>
      </c>
      <c r="N22" s="41">
        <v>284.5</v>
      </c>
      <c r="O22" s="41">
        <v>0</v>
      </c>
      <c r="P22" s="41">
        <v>0.5</v>
      </c>
      <c r="Q22" s="41">
        <v>11.83</v>
      </c>
      <c r="R22" s="38"/>
      <c r="S22" s="38"/>
      <c r="T22" s="38"/>
      <c r="U22" s="38"/>
    </row>
    <row r="23" spans="1:21" customFormat="1">
      <c r="A23" s="40" t="s">
        <v>219</v>
      </c>
      <c r="B23" s="41">
        <v>3.3</v>
      </c>
      <c r="C23" s="41">
        <v>7.66</v>
      </c>
      <c r="D23" s="41">
        <v>10.87</v>
      </c>
      <c r="E23" s="41">
        <v>6.57</v>
      </c>
      <c r="F23" s="41">
        <v>14.34</v>
      </c>
      <c r="G23" s="41">
        <v>55.42</v>
      </c>
      <c r="H23" s="41">
        <v>25.19</v>
      </c>
      <c r="I23" s="41">
        <v>10.37</v>
      </c>
      <c r="J23" s="41">
        <v>0.41</v>
      </c>
      <c r="K23" s="41">
        <v>243.85</v>
      </c>
      <c r="L23" s="41">
        <v>21.81</v>
      </c>
      <c r="M23" s="41">
        <v>34.69</v>
      </c>
      <c r="N23" s="41">
        <v>256.7</v>
      </c>
      <c r="O23" s="41">
        <v>0</v>
      </c>
      <c r="P23" s="41">
        <v>0.38</v>
      </c>
      <c r="Q23" s="41">
        <v>11.56</v>
      </c>
      <c r="R23" s="38"/>
      <c r="S23" s="38"/>
      <c r="T23" s="38"/>
      <c r="U23" s="38"/>
    </row>
    <row r="24" spans="1:21" customFormat="1">
      <c r="A24" s="40" t="s">
        <v>220</v>
      </c>
      <c r="B24" s="41">
        <v>2.95</v>
      </c>
      <c r="C24" s="41">
        <v>6.88</v>
      </c>
      <c r="D24" s="41">
        <v>9.83</v>
      </c>
      <c r="E24" s="41">
        <v>5.42</v>
      </c>
      <c r="F24" s="41">
        <v>6.98</v>
      </c>
      <c r="G24" s="41">
        <v>53.51</v>
      </c>
      <c r="H24" s="41">
        <v>24.05</v>
      </c>
      <c r="I24" s="41">
        <v>9.44</v>
      </c>
      <c r="J24" s="41">
        <v>0.27</v>
      </c>
      <c r="K24" s="41">
        <v>233.05</v>
      </c>
      <c r="L24" s="41">
        <v>20.89</v>
      </c>
      <c r="M24" s="41">
        <v>33.24</v>
      </c>
      <c r="N24" s="41">
        <v>82.3</v>
      </c>
      <c r="O24" s="41">
        <v>0</v>
      </c>
      <c r="P24" s="41">
        <v>0.34</v>
      </c>
      <c r="Q24" s="41">
        <v>11.37</v>
      </c>
      <c r="R24" s="38"/>
      <c r="S24" s="38"/>
      <c r="T24" s="38"/>
      <c r="U24" s="38"/>
    </row>
    <row r="25" spans="1:21" customFormat="1">
      <c r="A25" s="40" t="s">
        <v>221</v>
      </c>
      <c r="B25" s="41">
        <v>2.4</v>
      </c>
      <c r="C25" s="41">
        <v>6.37</v>
      </c>
      <c r="D25" s="41">
        <v>8.77</v>
      </c>
      <c r="E25" s="41">
        <v>5.41</v>
      </c>
      <c r="F25" s="41">
        <v>5.57</v>
      </c>
      <c r="G25" s="41">
        <v>53.11</v>
      </c>
      <c r="H25" s="41">
        <v>23.13</v>
      </c>
      <c r="I25" s="41">
        <v>8.85</v>
      </c>
      <c r="J25" s="41">
        <v>0.35</v>
      </c>
      <c r="K25" s="41">
        <v>229.51</v>
      </c>
      <c r="L25" s="41">
        <v>20.02</v>
      </c>
      <c r="M25" s="41">
        <v>31.27</v>
      </c>
      <c r="N25" s="41">
        <v>46.6</v>
      </c>
      <c r="O25" s="41">
        <v>0</v>
      </c>
      <c r="P25" s="41">
        <v>0.3</v>
      </c>
      <c r="Q25" s="41">
        <v>11.57</v>
      </c>
      <c r="R25" s="38"/>
      <c r="S25" s="38"/>
      <c r="T25" s="38"/>
      <c r="U25" s="38"/>
    </row>
    <row r="26" spans="1:21" customFormat="1">
      <c r="A26" s="40" t="s">
        <v>222</v>
      </c>
      <c r="B26" s="41">
        <v>2.35</v>
      </c>
      <c r="C26" s="41">
        <v>5.94</v>
      </c>
      <c r="D26" s="41">
        <v>8.2200000000000006</v>
      </c>
      <c r="E26" s="41">
        <v>5.39</v>
      </c>
      <c r="F26" s="41">
        <v>4.62</v>
      </c>
      <c r="G26" s="41">
        <v>53.11</v>
      </c>
      <c r="H26" s="41">
        <v>23.02</v>
      </c>
      <c r="I26" s="41">
        <v>7.94</v>
      </c>
      <c r="J26" s="41">
        <v>0.19</v>
      </c>
      <c r="K26" s="41">
        <v>168.51</v>
      </c>
      <c r="L26" s="41">
        <v>16.27</v>
      </c>
      <c r="M26" s="41">
        <v>22.91</v>
      </c>
      <c r="N26" s="41">
        <v>13.7</v>
      </c>
      <c r="O26" s="41">
        <v>0</v>
      </c>
      <c r="P26" s="41">
        <v>0.28000000000000003</v>
      </c>
      <c r="Q26" s="41">
        <v>11.53</v>
      </c>
      <c r="R26" s="38"/>
      <c r="S26" s="38"/>
      <c r="T26" s="38"/>
      <c r="U26" s="38"/>
    </row>
    <row r="27" spans="1:21" customFormat="1">
      <c r="A27" s="40" t="s">
        <v>223</v>
      </c>
      <c r="B27" s="41">
        <v>2.5299999999999998</v>
      </c>
      <c r="C27" s="41">
        <v>5.62</v>
      </c>
      <c r="D27" s="41">
        <v>8</v>
      </c>
      <c r="E27" s="41">
        <v>5.17</v>
      </c>
      <c r="F27" s="41">
        <v>3.82</v>
      </c>
      <c r="G27" s="41">
        <v>47.36</v>
      </c>
      <c r="H27" s="41">
        <v>23.26</v>
      </c>
      <c r="I27" s="41">
        <v>7.37</v>
      </c>
      <c r="J27" s="41">
        <v>0.16</v>
      </c>
      <c r="K27" s="41">
        <v>170.99</v>
      </c>
      <c r="L27" s="41">
        <v>17.239999999999998</v>
      </c>
      <c r="M27" s="41">
        <v>25.35</v>
      </c>
      <c r="N27" s="41">
        <v>2.4</v>
      </c>
      <c r="O27" s="41">
        <v>0</v>
      </c>
      <c r="P27" s="41">
        <v>0.27</v>
      </c>
      <c r="Q27" s="41">
        <v>10.07</v>
      </c>
      <c r="R27" s="38"/>
      <c r="S27" s="38"/>
      <c r="T27" s="38"/>
      <c r="U27" s="38"/>
    </row>
    <row r="28" spans="1:21" customFormat="1">
      <c r="A28" s="40" t="s">
        <v>224</v>
      </c>
      <c r="B28" s="41">
        <v>2.71</v>
      </c>
      <c r="C28" s="41">
        <v>5.63</v>
      </c>
      <c r="D28" s="41">
        <v>8.3000000000000007</v>
      </c>
      <c r="E28" s="41">
        <v>5.5</v>
      </c>
      <c r="F28" s="41">
        <v>2.42</v>
      </c>
      <c r="G28" s="41">
        <v>42.5</v>
      </c>
      <c r="H28" s="41">
        <v>24.45</v>
      </c>
      <c r="I28" s="41">
        <v>7.39</v>
      </c>
      <c r="J28" s="41">
        <v>0.12</v>
      </c>
      <c r="K28" s="41">
        <v>187.27</v>
      </c>
      <c r="L28" s="41">
        <v>17.36</v>
      </c>
      <c r="M28" s="41">
        <v>25.72</v>
      </c>
      <c r="N28" s="41">
        <v>2.2000000000000002</v>
      </c>
      <c r="O28" s="41">
        <v>0</v>
      </c>
      <c r="P28" s="41">
        <v>0.3</v>
      </c>
      <c r="Q28" s="41">
        <v>13.69</v>
      </c>
      <c r="R28" s="38"/>
      <c r="S28" s="38"/>
      <c r="T28" s="38"/>
      <c r="U28" s="38"/>
    </row>
    <row r="29" spans="1:21" customFormat="1">
      <c r="A29" s="40" t="s">
        <v>225</v>
      </c>
      <c r="B29" s="41">
        <v>3.12</v>
      </c>
      <c r="C29" s="41">
        <v>5.84</v>
      </c>
      <c r="D29" s="41">
        <v>8.7799999999999994</v>
      </c>
      <c r="E29" s="41">
        <v>5.43</v>
      </c>
      <c r="F29" s="41">
        <v>5.62</v>
      </c>
      <c r="G29" s="41">
        <v>42.5</v>
      </c>
      <c r="H29" s="41">
        <v>26.37</v>
      </c>
      <c r="I29" s="41">
        <v>8.24</v>
      </c>
      <c r="J29" s="41">
        <v>0.13</v>
      </c>
      <c r="K29" s="41">
        <v>195.94</v>
      </c>
      <c r="L29" s="41">
        <v>18.399999999999999</v>
      </c>
      <c r="M29" s="41">
        <v>28.32</v>
      </c>
      <c r="N29" s="41">
        <v>2.2000000000000002</v>
      </c>
      <c r="O29" s="41">
        <v>0</v>
      </c>
      <c r="P29" s="41">
        <v>0.36</v>
      </c>
      <c r="Q29" s="41">
        <v>10.89</v>
      </c>
      <c r="R29" s="38"/>
      <c r="S29" s="38"/>
      <c r="T29" s="38"/>
      <c r="U29" s="38"/>
    </row>
    <row r="30" spans="1:21" customFormat="1">
      <c r="A30" s="40" t="s">
        <v>226</v>
      </c>
      <c r="B30" s="41">
        <v>3.66</v>
      </c>
      <c r="C30" s="41">
        <v>5.91</v>
      </c>
      <c r="D30" s="41">
        <v>9.35</v>
      </c>
      <c r="E30" s="41">
        <v>5.37</v>
      </c>
      <c r="F30" s="41">
        <v>3.68</v>
      </c>
      <c r="G30" s="41">
        <v>42.24</v>
      </c>
      <c r="H30" s="41">
        <v>26.37</v>
      </c>
      <c r="I30" s="41">
        <v>8.36</v>
      </c>
      <c r="J30" s="41">
        <v>0.13</v>
      </c>
      <c r="K30" s="41">
        <v>172.34</v>
      </c>
      <c r="L30" s="41">
        <v>17.440000000000001</v>
      </c>
      <c r="M30" s="41">
        <v>25.92</v>
      </c>
      <c r="N30" s="41">
        <v>2.1</v>
      </c>
      <c r="O30" s="41">
        <v>0</v>
      </c>
      <c r="P30" s="41">
        <v>0.38</v>
      </c>
      <c r="Q30" s="41">
        <v>10.27</v>
      </c>
      <c r="R30" s="38"/>
      <c r="S30" s="38"/>
      <c r="T30" s="38"/>
      <c r="U30" s="38"/>
    </row>
    <row r="31" spans="1:21" customFormat="1">
      <c r="A31" s="40" t="s">
        <v>227</v>
      </c>
      <c r="B31" s="41">
        <v>4.1399999999999997</v>
      </c>
      <c r="C31" s="41">
        <v>5.76</v>
      </c>
      <c r="D31" s="41">
        <v>9.83</v>
      </c>
      <c r="E31" s="41">
        <v>5.01</v>
      </c>
      <c r="F31" s="41">
        <v>3.36</v>
      </c>
      <c r="G31" s="41">
        <v>45.61</v>
      </c>
      <c r="H31" s="41">
        <v>26.81</v>
      </c>
      <c r="I31" s="41">
        <v>8.52</v>
      </c>
      <c r="J31" s="41">
        <v>0.09</v>
      </c>
      <c r="K31" s="41">
        <v>215.94</v>
      </c>
      <c r="L31" s="41">
        <v>19.420000000000002</v>
      </c>
      <c r="M31" s="41">
        <v>30.88</v>
      </c>
      <c r="N31" s="41">
        <v>2.2000000000000002</v>
      </c>
      <c r="O31" s="41">
        <v>0</v>
      </c>
      <c r="P31" s="41">
        <v>0.38</v>
      </c>
      <c r="Q31" s="41">
        <v>11.97</v>
      </c>
      <c r="R31" s="38"/>
      <c r="S31" s="38"/>
      <c r="T31" s="38"/>
      <c r="U31" s="38"/>
    </row>
    <row r="32" spans="1:21" customFormat="1">
      <c r="A32" s="40" t="s">
        <v>228</v>
      </c>
      <c r="B32" s="41">
        <v>4.75</v>
      </c>
      <c r="C32" s="41">
        <v>5.75</v>
      </c>
      <c r="D32" s="41">
        <v>10.5</v>
      </c>
      <c r="E32" s="41">
        <v>5.36</v>
      </c>
      <c r="F32" s="41">
        <v>2.5099999999999998</v>
      </c>
      <c r="G32" s="41">
        <v>45.61</v>
      </c>
      <c r="H32" s="41">
        <v>26.81</v>
      </c>
      <c r="I32" s="41">
        <v>8.52</v>
      </c>
      <c r="J32" s="41">
        <v>0.15</v>
      </c>
      <c r="K32" s="41">
        <v>243.07</v>
      </c>
      <c r="L32" s="41">
        <v>21.14</v>
      </c>
      <c r="M32" s="41">
        <v>35.130000000000003</v>
      </c>
      <c r="N32" s="41">
        <v>2.2000000000000002</v>
      </c>
      <c r="O32" s="41">
        <v>0</v>
      </c>
      <c r="P32" s="41">
        <v>0.38</v>
      </c>
      <c r="Q32" s="41">
        <v>11.71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2.35</v>
      </c>
      <c r="C34" s="18">
        <f t="shared" si="0"/>
        <v>5.62</v>
      </c>
      <c r="D34" s="18">
        <f t="shared" si="0"/>
        <v>8</v>
      </c>
      <c r="E34" s="18">
        <f t="shared" si="0"/>
        <v>4.8499999999999996</v>
      </c>
      <c r="F34" s="18">
        <f t="shared" si="0"/>
        <v>2</v>
      </c>
      <c r="G34" s="18">
        <f t="shared" si="0"/>
        <v>32</v>
      </c>
      <c r="H34" s="18">
        <f t="shared" si="0"/>
        <v>10.98</v>
      </c>
      <c r="I34" s="18">
        <f t="shared" si="0"/>
        <v>7.37</v>
      </c>
      <c r="J34" s="18">
        <f t="shared" si="0"/>
        <v>0.09</v>
      </c>
      <c r="K34" s="18">
        <f t="shared" si="0"/>
        <v>168.51</v>
      </c>
      <c r="L34" s="18">
        <f t="shared" si="0"/>
        <v>16.27</v>
      </c>
      <c r="M34" s="18">
        <f t="shared" si="0"/>
        <v>22.91</v>
      </c>
      <c r="N34" s="18">
        <f t="shared" si="0"/>
        <v>2.1</v>
      </c>
      <c r="O34" s="18">
        <f t="shared" si="0"/>
        <v>0</v>
      </c>
      <c r="P34" s="18">
        <f t="shared" si="0"/>
        <v>0.27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9.68</v>
      </c>
      <c r="C35" s="3">
        <f t="shared" si="1"/>
        <v>7.72</v>
      </c>
      <c r="D35" s="3">
        <f t="shared" si="1"/>
        <v>16.36</v>
      </c>
      <c r="E35" s="3">
        <f t="shared" si="1"/>
        <v>6.83</v>
      </c>
      <c r="F35" s="3">
        <f t="shared" si="1"/>
        <v>14.34</v>
      </c>
      <c r="G35" s="3">
        <f t="shared" si="1"/>
        <v>55.42</v>
      </c>
      <c r="H35" s="3">
        <f t="shared" si="1"/>
        <v>26.81</v>
      </c>
      <c r="I35" s="3">
        <f t="shared" si="1"/>
        <v>13.17</v>
      </c>
      <c r="J35" s="3">
        <f t="shared" si="1"/>
        <v>0.59</v>
      </c>
      <c r="K35" s="3">
        <f t="shared" si="1"/>
        <v>326.95</v>
      </c>
      <c r="L35" s="3">
        <f t="shared" si="1"/>
        <v>28.49</v>
      </c>
      <c r="M35" s="3">
        <f t="shared" si="1"/>
        <v>43.6</v>
      </c>
      <c r="N35" s="3">
        <f t="shared" si="1"/>
        <v>618.29999999999995</v>
      </c>
      <c r="O35" s="3">
        <f t="shared" si="1"/>
        <v>0</v>
      </c>
      <c r="P35" s="3">
        <f t="shared" si="1"/>
        <v>0.67</v>
      </c>
      <c r="Q35" s="3">
        <f t="shared" si="1"/>
        <v>13.69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5.7824999999999998</v>
      </c>
      <c r="C36" s="18">
        <f t="shared" si="2"/>
        <v>6.4587499999999993</v>
      </c>
      <c r="D36" s="18">
        <f t="shared" si="2"/>
        <v>12.127083333333333</v>
      </c>
      <c r="E36" s="18">
        <f t="shared" si="2"/>
        <v>5.7774999999999999</v>
      </c>
      <c r="F36" s="18">
        <f t="shared" si="2"/>
        <v>4.1158333333333337</v>
      </c>
      <c r="G36" s="18">
        <f t="shared" si="2"/>
        <v>43.087916666666665</v>
      </c>
      <c r="H36" s="18">
        <f t="shared" si="2"/>
        <v>20.814583333333335</v>
      </c>
      <c r="I36" s="18">
        <f t="shared" si="2"/>
        <v>10.387499999999998</v>
      </c>
      <c r="J36" s="18">
        <f t="shared" si="2"/>
        <v>0.26041666666666669</v>
      </c>
      <c r="K36" s="18">
        <f t="shared" si="2"/>
        <v>240.00291666666661</v>
      </c>
      <c r="L36" s="18">
        <f t="shared" si="2"/>
        <v>21.685416666666669</v>
      </c>
      <c r="M36" s="18">
        <f t="shared" si="2"/>
        <v>33.979166666666664</v>
      </c>
      <c r="N36" s="18">
        <f t="shared" si="2"/>
        <v>133.28333333333327</v>
      </c>
      <c r="O36" s="18">
        <f t="shared" si="2"/>
        <v>0</v>
      </c>
      <c r="P36" s="18">
        <f t="shared" si="2"/>
        <v>0.48875000000000007</v>
      </c>
      <c r="Q36" s="18">
        <f t="shared" si="2"/>
        <v>10.729999999999999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2.6974726496578572</v>
      </c>
      <c r="C37" s="18">
        <f t="shared" ref="C37:Q37" si="3">STDEV(C9:C32)</f>
        <v>0.61678205931726982</v>
      </c>
      <c r="D37" s="18">
        <f t="shared" si="3"/>
        <v>2.8813213743556725</v>
      </c>
      <c r="E37" s="18">
        <f t="shared" si="3"/>
        <v>0.57020400620799938</v>
      </c>
      <c r="F37" s="18">
        <f t="shared" si="3"/>
        <v>3.1606836308768309</v>
      </c>
      <c r="G37" s="18">
        <f t="shared" si="3"/>
        <v>7.5338240068817219</v>
      </c>
      <c r="H37" s="18">
        <f t="shared" si="3"/>
        <v>5.1793217443873845</v>
      </c>
      <c r="I37" s="18">
        <f t="shared" si="3"/>
        <v>1.8766048204600621</v>
      </c>
      <c r="J37" s="18">
        <f t="shared" si="3"/>
        <v>0.16144669780421048</v>
      </c>
      <c r="K37" s="18">
        <f t="shared" si="3"/>
        <v>43.193222644618096</v>
      </c>
      <c r="L37" s="18">
        <f t="shared" si="3"/>
        <v>3.4249125398755766</v>
      </c>
      <c r="M37" s="18">
        <f t="shared" si="3"/>
        <v>5.9022323828742307</v>
      </c>
      <c r="N37" s="18">
        <f t="shared" si="3"/>
        <v>199.75827711352122</v>
      </c>
      <c r="O37" s="18">
        <f t="shared" si="3"/>
        <v>0</v>
      </c>
      <c r="P37" s="18">
        <f t="shared" si="3"/>
        <v>0.14109239957343991</v>
      </c>
      <c r="Q37" s="18">
        <f t="shared" si="3"/>
        <v>0.98002218253510442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H27" sqref="H27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08/10/2025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229</v>
      </c>
      <c r="B9" s="41">
        <v>4.8899999999999997</v>
      </c>
      <c r="C9" s="41">
        <v>5.63</v>
      </c>
      <c r="D9" s="41">
        <v>10.52</v>
      </c>
      <c r="E9" s="41">
        <v>5.47</v>
      </c>
      <c r="F9" s="41">
        <v>2.25</v>
      </c>
      <c r="G9" s="41">
        <v>41.81</v>
      </c>
      <c r="H9" s="41">
        <v>21.4</v>
      </c>
      <c r="I9" s="41">
        <v>8.49</v>
      </c>
      <c r="J9" s="41">
        <v>0.12</v>
      </c>
      <c r="K9" s="41">
        <v>211.33</v>
      </c>
      <c r="L9" s="41">
        <v>19.84</v>
      </c>
      <c r="M9" s="41">
        <v>31.92</v>
      </c>
      <c r="N9" s="41">
        <v>2.2000000000000002</v>
      </c>
      <c r="O9" s="41">
        <v>0</v>
      </c>
      <c r="P9" s="41">
        <v>0.38</v>
      </c>
      <c r="Q9" s="41">
        <v>10.44</v>
      </c>
      <c r="R9" s="38"/>
      <c r="S9" s="38"/>
      <c r="T9" s="38"/>
      <c r="U9" s="38"/>
    </row>
    <row r="10" spans="1:21" customFormat="1">
      <c r="A10" s="40" t="s">
        <v>230</v>
      </c>
      <c r="B10" s="41">
        <v>5.23</v>
      </c>
      <c r="C10" s="41">
        <v>6.05</v>
      </c>
      <c r="D10" s="41">
        <v>11.28</v>
      </c>
      <c r="E10" s="41">
        <v>5.74</v>
      </c>
      <c r="F10" s="41">
        <v>2</v>
      </c>
      <c r="G10" s="41">
        <v>36.93</v>
      </c>
      <c r="H10" s="41">
        <v>18.03</v>
      </c>
      <c r="I10" s="41">
        <v>8.1</v>
      </c>
      <c r="J10" s="41">
        <v>0.14000000000000001</v>
      </c>
      <c r="K10" s="41">
        <v>171.5</v>
      </c>
      <c r="L10" s="41">
        <v>16.36</v>
      </c>
      <c r="M10" s="41">
        <v>23.19</v>
      </c>
      <c r="N10" s="41">
        <v>2.1</v>
      </c>
      <c r="O10" s="41">
        <v>0</v>
      </c>
      <c r="P10" s="41">
        <v>0.31</v>
      </c>
      <c r="Q10" s="41">
        <v>10.199999999999999</v>
      </c>
      <c r="R10" s="38"/>
      <c r="S10" s="38"/>
      <c r="T10" s="38"/>
      <c r="U10" s="38"/>
    </row>
    <row r="11" spans="1:21" customFormat="1">
      <c r="A11" s="40" t="s">
        <v>231</v>
      </c>
      <c r="B11" s="41">
        <v>5.74</v>
      </c>
      <c r="C11" s="41">
        <v>6.16</v>
      </c>
      <c r="D11" s="41">
        <v>11.76</v>
      </c>
      <c r="E11" s="41">
        <v>5.89</v>
      </c>
      <c r="F11" s="41">
        <v>2</v>
      </c>
      <c r="G11" s="41">
        <v>41.37</v>
      </c>
      <c r="H11" s="41">
        <v>19.079999999999998</v>
      </c>
      <c r="I11" s="41">
        <v>7.9</v>
      </c>
      <c r="J11" s="41">
        <v>0.15</v>
      </c>
      <c r="K11" s="41">
        <v>202.85</v>
      </c>
      <c r="L11" s="41">
        <v>19.04</v>
      </c>
      <c r="M11" s="41">
        <v>29.9</v>
      </c>
      <c r="N11" s="41">
        <v>2.1</v>
      </c>
      <c r="O11" s="41">
        <v>0</v>
      </c>
      <c r="P11" s="41">
        <v>0.3</v>
      </c>
      <c r="Q11" s="41">
        <v>10.28</v>
      </c>
      <c r="R11" s="38"/>
      <c r="S11" s="38"/>
      <c r="T11" s="38"/>
      <c r="U11" s="38"/>
    </row>
    <row r="12" spans="1:21" customFormat="1">
      <c r="A12" s="40" t="s">
        <v>232</v>
      </c>
      <c r="B12" s="41">
        <v>6.42</v>
      </c>
      <c r="C12" s="41">
        <v>5.98</v>
      </c>
      <c r="D12" s="41">
        <v>12.32</v>
      </c>
      <c r="E12" s="41">
        <v>6.13</v>
      </c>
      <c r="F12" s="41">
        <v>2</v>
      </c>
      <c r="G12" s="41">
        <v>41.37</v>
      </c>
      <c r="H12" s="41">
        <v>19.079999999999998</v>
      </c>
      <c r="I12" s="41">
        <v>7.9</v>
      </c>
      <c r="J12" s="41">
        <v>0.18</v>
      </c>
      <c r="K12" s="41">
        <v>216.17</v>
      </c>
      <c r="L12" s="41">
        <v>19.059999999999999</v>
      </c>
      <c r="M12" s="41">
        <v>29.97</v>
      </c>
      <c r="N12" s="41">
        <v>2.1</v>
      </c>
      <c r="O12" s="41">
        <v>0</v>
      </c>
      <c r="P12" s="41">
        <v>0.3</v>
      </c>
      <c r="Q12" s="41">
        <v>11.01</v>
      </c>
      <c r="R12" s="38"/>
      <c r="S12" s="38"/>
      <c r="T12" s="38"/>
      <c r="U12" s="38"/>
    </row>
    <row r="13" spans="1:21" customFormat="1">
      <c r="A13" s="40" t="s">
        <v>233</v>
      </c>
      <c r="B13" s="41">
        <v>6.48</v>
      </c>
      <c r="C13" s="41">
        <v>5.75</v>
      </c>
      <c r="D13" s="41">
        <v>12.15</v>
      </c>
      <c r="E13" s="41">
        <v>6.16</v>
      </c>
      <c r="F13" s="41">
        <v>2.0099999999999998</v>
      </c>
      <c r="G13" s="41">
        <v>40.54</v>
      </c>
      <c r="H13" s="41">
        <v>15.52</v>
      </c>
      <c r="I13" s="41">
        <v>7.78</v>
      </c>
      <c r="J13" s="41">
        <v>0.12</v>
      </c>
      <c r="K13" s="41">
        <v>233.86</v>
      </c>
      <c r="L13" s="41">
        <v>20.010000000000002</v>
      </c>
      <c r="M13" s="41">
        <v>32.36</v>
      </c>
      <c r="N13" s="41">
        <v>2.2000000000000002</v>
      </c>
      <c r="O13" s="41">
        <v>0</v>
      </c>
      <c r="P13" s="41">
        <v>0.28000000000000003</v>
      </c>
      <c r="Q13" s="41">
        <v>10.87</v>
      </c>
      <c r="R13" s="38"/>
      <c r="S13" s="38"/>
      <c r="T13" s="38"/>
      <c r="U13" s="38"/>
    </row>
    <row r="14" spans="1:21" customFormat="1">
      <c r="A14" s="40" t="s">
        <v>234</v>
      </c>
      <c r="B14" s="41">
        <v>6.77</v>
      </c>
      <c r="C14" s="41">
        <v>5.58</v>
      </c>
      <c r="D14" s="41">
        <v>12.33</v>
      </c>
      <c r="E14" s="41">
        <v>6.19</v>
      </c>
      <c r="F14" s="41">
        <v>2</v>
      </c>
      <c r="G14" s="41">
        <v>39.36</v>
      </c>
      <c r="H14" s="41">
        <v>15.52</v>
      </c>
      <c r="I14" s="41">
        <v>7.87</v>
      </c>
      <c r="J14" s="41">
        <v>0.14000000000000001</v>
      </c>
      <c r="K14" s="41">
        <v>235.21</v>
      </c>
      <c r="L14" s="41">
        <v>21.98</v>
      </c>
      <c r="M14" s="41">
        <v>37.24</v>
      </c>
      <c r="N14" s="41">
        <v>3.1</v>
      </c>
      <c r="O14" s="41">
        <v>0</v>
      </c>
      <c r="P14" s="41">
        <v>0.3</v>
      </c>
      <c r="Q14" s="41">
        <v>11.15</v>
      </c>
      <c r="R14" s="38"/>
      <c r="S14" s="38"/>
      <c r="T14" s="38"/>
      <c r="U14" s="38"/>
    </row>
    <row r="15" spans="1:21" customFormat="1">
      <c r="A15" s="40" t="s">
        <v>235</v>
      </c>
      <c r="B15" s="41">
        <v>8.9600000000000009</v>
      </c>
      <c r="C15" s="41">
        <v>6.15</v>
      </c>
      <c r="D15" s="41">
        <v>15.11</v>
      </c>
      <c r="E15" s="41">
        <v>5.99</v>
      </c>
      <c r="F15" s="41">
        <v>2</v>
      </c>
      <c r="G15" s="41">
        <v>44.21</v>
      </c>
      <c r="H15" s="41">
        <v>17.59</v>
      </c>
      <c r="I15" s="41">
        <v>8.1300000000000008</v>
      </c>
      <c r="J15" s="41">
        <v>0.18</v>
      </c>
      <c r="K15" s="41">
        <v>182.37</v>
      </c>
      <c r="L15" s="41">
        <v>17.03</v>
      </c>
      <c r="M15" s="41">
        <v>24.37</v>
      </c>
      <c r="N15" s="41">
        <v>37.299999999999997</v>
      </c>
      <c r="O15" s="41">
        <v>0</v>
      </c>
      <c r="P15" s="41">
        <v>0.34</v>
      </c>
      <c r="Q15" s="41">
        <v>11.51</v>
      </c>
      <c r="R15" s="38"/>
      <c r="S15" s="38"/>
      <c r="T15" s="38"/>
      <c r="U15" s="38"/>
    </row>
    <row r="16" spans="1:21" customFormat="1">
      <c r="A16" s="40" t="s">
        <v>236</v>
      </c>
      <c r="B16" s="41">
        <v>10.27</v>
      </c>
      <c r="C16" s="41">
        <v>6.75</v>
      </c>
      <c r="D16" s="41">
        <v>17.02</v>
      </c>
      <c r="E16" s="41">
        <v>6.06</v>
      </c>
      <c r="F16" s="41">
        <v>2</v>
      </c>
      <c r="G16" s="41">
        <v>64.459999999999994</v>
      </c>
      <c r="H16" s="41">
        <v>27.84</v>
      </c>
      <c r="I16" s="41">
        <v>8.58</v>
      </c>
      <c r="J16" s="41">
        <v>0.27</v>
      </c>
      <c r="K16" s="41">
        <v>325.60000000000002</v>
      </c>
      <c r="L16" s="41">
        <v>18.48</v>
      </c>
      <c r="M16" s="41">
        <v>26.67</v>
      </c>
      <c r="N16" s="41">
        <v>149.19999999999999</v>
      </c>
      <c r="O16" s="41">
        <v>0</v>
      </c>
      <c r="P16" s="41">
        <v>0.36</v>
      </c>
      <c r="Q16" s="41">
        <v>11.42</v>
      </c>
      <c r="R16" s="38"/>
      <c r="S16" s="38"/>
      <c r="T16" s="38"/>
      <c r="U16" s="38"/>
    </row>
    <row r="17" spans="1:21" customFormat="1">
      <c r="A17" s="40" t="s">
        <v>237</v>
      </c>
      <c r="B17" s="41">
        <v>10.5</v>
      </c>
      <c r="C17" s="41">
        <v>7.6</v>
      </c>
      <c r="D17" s="41">
        <v>17.96</v>
      </c>
      <c r="E17" s="41">
        <v>7.28</v>
      </c>
      <c r="F17" s="41">
        <v>2.76</v>
      </c>
      <c r="G17" s="41">
        <v>81.8</v>
      </c>
      <c r="H17" s="41">
        <v>31.4</v>
      </c>
      <c r="I17" s="41">
        <v>8.6999999999999993</v>
      </c>
      <c r="J17" s="41">
        <v>0.3</v>
      </c>
      <c r="K17" s="41">
        <v>44.57</v>
      </c>
      <c r="L17" s="41">
        <v>14.13</v>
      </c>
      <c r="M17" s="41">
        <v>9.51</v>
      </c>
      <c r="N17" s="41">
        <v>343.3</v>
      </c>
      <c r="O17" s="41">
        <v>0</v>
      </c>
      <c r="P17" s="41">
        <v>0.38</v>
      </c>
      <c r="Q17" s="41">
        <v>10.67</v>
      </c>
      <c r="R17" s="38"/>
      <c r="S17" s="38"/>
      <c r="T17" s="38"/>
      <c r="U17" s="38"/>
    </row>
    <row r="18" spans="1:21" customFormat="1">
      <c r="A18" s="40" t="s">
        <v>238</v>
      </c>
      <c r="B18" s="41">
        <v>10.41</v>
      </c>
      <c r="C18" s="41">
        <v>8.39</v>
      </c>
      <c r="D18" s="41">
        <v>18.649999999999999</v>
      </c>
      <c r="E18" s="41">
        <v>9.4</v>
      </c>
      <c r="F18" s="41">
        <v>4.17</v>
      </c>
      <c r="G18" s="41">
        <v>90.9</v>
      </c>
      <c r="H18" s="41">
        <v>36.08</v>
      </c>
      <c r="I18" s="41">
        <v>8.42</v>
      </c>
      <c r="J18" s="41">
        <v>0.3</v>
      </c>
      <c r="K18" s="41">
        <v>357.67</v>
      </c>
      <c r="L18" s="41">
        <v>20.34</v>
      </c>
      <c r="M18" s="41">
        <v>20.67</v>
      </c>
      <c r="N18" s="41">
        <v>519.5</v>
      </c>
      <c r="O18" s="41">
        <v>0</v>
      </c>
      <c r="P18" s="41">
        <v>0.38</v>
      </c>
      <c r="Q18" s="41">
        <v>10.56</v>
      </c>
      <c r="R18" s="38"/>
      <c r="S18" s="38"/>
      <c r="T18" s="38"/>
      <c r="U18" s="38"/>
    </row>
    <row r="19" spans="1:21" customFormat="1">
      <c r="A19" s="40" t="s">
        <v>239</v>
      </c>
      <c r="B19" s="41">
        <v>9.9600000000000009</v>
      </c>
      <c r="C19" s="41">
        <v>8.6999999999999993</v>
      </c>
      <c r="D19" s="41">
        <v>18.66</v>
      </c>
      <c r="E19" s="41">
        <v>6.79</v>
      </c>
      <c r="F19" s="41">
        <v>5.9</v>
      </c>
      <c r="G19" s="41">
        <v>90.9</v>
      </c>
      <c r="H19" s="41">
        <v>36.08</v>
      </c>
      <c r="I19" s="41">
        <v>7.87</v>
      </c>
      <c r="J19" s="41">
        <v>0.3</v>
      </c>
      <c r="K19" s="41">
        <v>82.81</v>
      </c>
      <c r="L19" s="41">
        <v>20.9</v>
      </c>
      <c r="M19" s="41">
        <v>19.62</v>
      </c>
      <c r="N19" s="41">
        <v>676.5</v>
      </c>
      <c r="O19" s="41">
        <v>0</v>
      </c>
      <c r="P19" s="41">
        <v>0.36</v>
      </c>
      <c r="Q19" s="41">
        <v>10</v>
      </c>
      <c r="R19" s="38"/>
      <c r="S19" s="38"/>
      <c r="T19" s="38"/>
      <c r="U19" s="38"/>
    </row>
    <row r="20" spans="1:21" customFormat="1">
      <c r="A20" s="40" t="s">
        <v>240</v>
      </c>
      <c r="B20" s="41">
        <v>6.02</v>
      </c>
      <c r="C20" s="41">
        <v>11.01</v>
      </c>
      <c r="D20" s="41">
        <v>15.84</v>
      </c>
      <c r="E20" s="41">
        <v>9.8800000000000008</v>
      </c>
      <c r="F20" s="41">
        <v>5.9</v>
      </c>
      <c r="G20" s="41">
        <v>80.63</v>
      </c>
      <c r="H20" s="41">
        <v>31.63</v>
      </c>
      <c r="I20" s="41">
        <v>7.42</v>
      </c>
      <c r="J20" s="41">
        <v>0.33</v>
      </c>
      <c r="K20" s="41">
        <v>359.64</v>
      </c>
      <c r="L20" s="41">
        <v>29.73</v>
      </c>
      <c r="M20" s="41">
        <v>40.89</v>
      </c>
      <c r="N20" s="41">
        <v>678.6</v>
      </c>
      <c r="O20" s="41">
        <v>0</v>
      </c>
      <c r="P20" s="41">
        <v>0.27</v>
      </c>
      <c r="Q20" s="41">
        <v>10</v>
      </c>
      <c r="R20" s="38"/>
      <c r="S20" s="38"/>
      <c r="T20" s="38"/>
      <c r="U20" s="38"/>
    </row>
    <row r="21" spans="1:21" customFormat="1">
      <c r="A21" s="40" t="s">
        <v>241</v>
      </c>
      <c r="B21" s="41">
        <v>2.4500000000000002</v>
      </c>
      <c r="C21" s="41">
        <v>11.7</v>
      </c>
      <c r="D21" s="41">
        <v>14.14</v>
      </c>
      <c r="E21" s="41">
        <v>8.09</v>
      </c>
      <c r="F21" s="41">
        <v>5.9</v>
      </c>
      <c r="G21" s="41">
        <v>72.75</v>
      </c>
      <c r="H21" s="41">
        <v>29.38</v>
      </c>
      <c r="I21" s="41">
        <v>5.47</v>
      </c>
      <c r="J21" s="41">
        <v>1.1599999999999999</v>
      </c>
      <c r="K21" s="41">
        <v>311</v>
      </c>
      <c r="L21" s="41">
        <v>27.08</v>
      </c>
      <c r="M21" s="41">
        <v>46.95</v>
      </c>
      <c r="N21" s="41">
        <v>125.4</v>
      </c>
      <c r="O21" s="41">
        <v>5.2</v>
      </c>
      <c r="P21" s="41">
        <v>0.28000000000000003</v>
      </c>
      <c r="Q21" s="41">
        <v>10</v>
      </c>
      <c r="R21" s="38"/>
      <c r="S21" s="38"/>
      <c r="T21" s="38"/>
      <c r="U21" s="38"/>
    </row>
    <row r="22" spans="1:21" customFormat="1">
      <c r="A22" s="40" t="s">
        <v>242</v>
      </c>
      <c r="B22" s="41">
        <v>2.12</v>
      </c>
      <c r="C22" s="41">
        <v>10.17</v>
      </c>
      <c r="D22" s="41">
        <v>12.29</v>
      </c>
      <c r="E22" s="41">
        <v>4.5199999999999996</v>
      </c>
      <c r="F22" s="41">
        <v>5.9</v>
      </c>
      <c r="G22" s="41">
        <v>72.75</v>
      </c>
      <c r="H22" s="41">
        <v>29.38</v>
      </c>
      <c r="I22" s="41">
        <v>4.95</v>
      </c>
      <c r="J22" s="41">
        <v>0.28000000000000003</v>
      </c>
      <c r="K22" s="41">
        <v>232.68</v>
      </c>
      <c r="L22" s="41">
        <v>20.27</v>
      </c>
      <c r="M22" s="41">
        <v>25.46</v>
      </c>
      <c r="N22" s="41">
        <v>530.5</v>
      </c>
      <c r="O22" s="41">
        <v>0.6</v>
      </c>
      <c r="P22" s="41">
        <v>0.2</v>
      </c>
      <c r="Q22" s="41">
        <v>10</v>
      </c>
      <c r="R22" s="38"/>
      <c r="S22" s="38"/>
      <c r="T22" s="38"/>
      <c r="U22" s="38"/>
    </row>
    <row r="23" spans="1:21" customFormat="1">
      <c r="A23" s="40" t="s">
        <v>243</v>
      </c>
      <c r="B23" s="41">
        <v>2.44</v>
      </c>
      <c r="C23" s="41">
        <v>8.68</v>
      </c>
      <c r="D23" s="41">
        <v>11.13</v>
      </c>
      <c r="E23" s="41">
        <v>4.62</v>
      </c>
      <c r="F23" s="41">
        <v>5.9</v>
      </c>
      <c r="G23" s="41">
        <v>64.239999999999995</v>
      </c>
      <c r="H23" s="41">
        <v>24.34</v>
      </c>
      <c r="I23" s="41">
        <v>4.1399999999999997</v>
      </c>
      <c r="J23" s="41">
        <v>0.31</v>
      </c>
      <c r="K23" s="41">
        <v>74.66</v>
      </c>
      <c r="L23" s="41">
        <v>17.760000000000002</v>
      </c>
      <c r="M23" s="41">
        <v>15.4</v>
      </c>
      <c r="N23" s="41">
        <v>476.8</v>
      </c>
      <c r="O23" s="41">
        <v>0</v>
      </c>
      <c r="P23" s="41">
        <v>0.16</v>
      </c>
      <c r="Q23" s="41">
        <v>10</v>
      </c>
      <c r="R23" s="38"/>
      <c r="S23" s="38"/>
      <c r="T23" s="38"/>
      <c r="U23" s="38"/>
    </row>
    <row r="24" spans="1:21" customFormat="1">
      <c r="A24" s="40" t="s">
        <v>244</v>
      </c>
      <c r="B24" s="41">
        <v>3.62</v>
      </c>
      <c r="C24" s="41">
        <v>8.3000000000000007</v>
      </c>
      <c r="D24" s="41">
        <v>11.92</v>
      </c>
      <c r="E24" s="41">
        <v>5.49</v>
      </c>
      <c r="F24" s="41">
        <v>4.5999999999999996</v>
      </c>
      <c r="G24" s="41">
        <v>64.099999999999994</v>
      </c>
      <c r="H24" s="41">
        <v>24.89</v>
      </c>
      <c r="I24" s="41">
        <v>3.75</v>
      </c>
      <c r="J24" s="41">
        <v>0.48</v>
      </c>
      <c r="K24" s="41">
        <v>69.650000000000006</v>
      </c>
      <c r="L24" s="41">
        <v>12.37</v>
      </c>
      <c r="M24" s="41">
        <v>11.39</v>
      </c>
      <c r="N24" s="41">
        <v>66.5</v>
      </c>
      <c r="O24" s="41">
        <v>0</v>
      </c>
      <c r="P24" s="41">
        <v>0.22</v>
      </c>
      <c r="Q24" s="41">
        <v>10</v>
      </c>
      <c r="R24" s="38"/>
      <c r="S24" s="38"/>
      <c r="T24" s="38"/>
      <c r="U24" s="38"/>
    </row>
    <row r="25" spans="1:21" customFormat="1">
      <c r="A25" s="40" t="s">
        <v>245</v>
      </c>
      <c r="B25" s="41">
        <v>5.67</v>
      </c>
      <c r="C25" s="41">
        <v>12.12</v>
      </c>
      <c r="D25" s="41">
        <v>17.79</v>
      </c>
      <c r="E25" s="41">
        <v>5.77</v>
      </c>
      <c r="F25" s="41">
        <v>4.3</v>
      </c>
      <c r="G25" s="41">
        <v>67.290000000000006</v>
      </c>
      <c r="H25" s="41">
        <v>25.95</v>
      </c>
      <c r="I25" s="41">
        <v>3.88</v>
      </c>
      <c r="J25" s="41">
        <v>0.48</v>
      </c>
      <c r="K25" s="41">
        <v>126.36</v>
      </c>
      <c r="L25" s="41">
        <v>12.54</v>
      </c>
      <c r="M25" s="41">
        <v>13.34</v>
      </c>
      <c r="N25" s="41">
        <v>38.799999999999997</v>
      </c>
      <c r="O25" s="41">
        <v>0</v>
      </c>
      <c r="P25" s="41">
        <v>0.25</v>
      </c>
      <c r="Q25" s="41">
        <v>10</v>
      </c>
      <c r="R25" s="38"/>
      <c r="S25" s="38"/>
      <c r="T25" s="38"/>
      <c r="U25" s="38"/>
    </row>
    <row r="26" spans="1:21" customFormat="1">
      <c r="A26" s="40" t="s">
        <v>246</v>
      </c>
      <c r="B26" s="41">
        <v>6.16</v>
      </c>
      <c r="C26" s="41">
        <v>11.55</v>
      </c>
      <c r="D26" s="41">
        <v>17.71</v>
      </c>
      <c r="E26" s="41">
        <v>5.82</v>
      </c>
      <c r="F26" s="41">
        <v>4</v>
      </c>
      <c r="G26" s="41">
        <v>76.53</v>
      </c>
      <c r="H26" s="41">
        <v>26.42</v>
      </c>
      <c r="I26" s="41">
        <v>5.01</v>
      </c>
      <c r="J26" s="41">
        <v>0.31</v>
      </c>
      <c r="K26" s="41">
        <v>164.41</v>
      </c>
      <c r="L26" s="41">
        <v>15.95</v>
      </c>
      <c r="M26" s="41">
        <v>22.17</v>
      </c>
      <c r="N26" s="41">
        <v>9</v>
      </c>
      <c r="O26" s="41">
        <v>0</v>
      </c>
      <c r="P26" s="41">
        <v>0.33</v>
      </c>
      <c r="Q26" s="41">
        <v>10.02</v>
      </c>
      <c r="R26" s="38"/>
      <c r="S26" s="38"/>
      <c r="T26" s="38"/>
      <c r="U26" s="38"/>
    </row>
    <row r="27" spans="1:21" customFormat="1">
      <c r="A27" s="40" t="s">
        <v>247</v>
      </c>
      <c r="B27" s="41">
        <v>4.46</v>
      </c>
      <c r="C27" s="41">
        <v>8.08</v>
      </c>
      <c r="D27" s="41">
        <v>12.41</v>
      </c>
      <c r="E27" s="41">
        <v>4.76</v>
      </c>
      <c r="F27" s="41">
        <v>3.2</v>
      </c>
      <c r="G27" s="41">
        <v>76.53</v>
      </c>
      <c r="H27" s="41">
        <v>26.42</v>
      </c>
      <c r="I27" s="41">
        <v>4.87</v>
      </c>
      <c r="J27" s="41">
        <v>0.16</v>
      </c>
      <c r="K27" s="41">
        <v>212.09</v>
      </c>
      <c r="L27" s="41">
        <v>17.850000000000001</v>
      </c>
      <c r="M27" s="41">
        <v>26.95</v>
      </c>
      <c r="N27" s="41">
        <v>2.7</v>
      </c>
      <c r="O27" s="41">
        <v>0</v>
      </c>
      <c r="P27" s="41">
        <v>0.27</v>
      </c>
      <c r="Q27" s="41">
        <v>10.02</v>
      </c>
      <c r="R27" s="38"/>
      <c r="S27" s="38"/>
      <c r="T27" s="38"/>
      <c r="U27" s="38"/>
    </row>
    <row r="28" spans="1:21" customFormat="1">
      <c r="A28" s="40" t="s">
        <v>248</v>
      </c>
      <c r="B28" s="41">
        <v>4.55</v>
      </c>
      <c r="C28" s="41">
        <v>6.72</v>
      </c>
      <c r="D28" s="41">
        <v>10.97</v>
      </c>
      <c r="E28" s="41">
        <v>4.72</v>
      </c>
      <c r="F28" s="41">
        <v>3.2</v>
      </c>
      <c r="G28" s="41">
        <v>67.78</v>
      </c>
      <c r="H28" s="41">
        <v>23.3</v>
      </c>
      <c r="I28" s="41">
        <v>4.72</v>
      </c>
      <c r="J28" s="41">
        <v>0.13</v>
      </c>
      <c r="K28" s="41">
        <v>230.75</v>
      </c>
      <c r="L28" s="41">
        <v>17.84</v>
      </c>
      <c r="M28" s="41">
        <v>26.97</v>
      </c>
      <c r="N28" s="41">
        <v>2.4</v>
      </c>
      <c r="O28" s="41">
        <v>0</v>
      </c>
      <c r="P28" s="41">
        <v>0.27</v>
      </c>
      <c r="Q28" s="41">
        <v>10</v>
      </c>
      <c r="R28" s="38"/>
      <c r="S28" s="38"/>
      <c r="T28" s="38"/>
      <c r="U28" s="38"/>
    </row>
    <row r="29" spans="1:21" customFormat="1">
      <c r="A29" s="40" t="s">
        <v>249</v>
      </c>
      <c r="B29" s="41">
        <v>4.71</v>
      </c>
      <c r="C29" s="41">
        <v>6.53</v>
      </c>
      <c r="D29" s="41">
        <v>11.06</v>
      </c>
      <c r="E29" s="41">
        <v>5.01</v>
      </c>
      <c r="F29" s="41">
        <v>3.2</v>
      </c>
      <c r="G29" s="41">
        <v>51.72</v>
      </c>
      <c r="H29" s="41">
        <v>22.99</v>
      </c>
      <c r="I29" s="41">
        <v>5.0199999999999996</v>
      </c>
      <c r="J29" s="41">
        <v>0.19</v>
      </c>
      <c r="K29" s="41">
        <v>183.56</v>
      </c>
      <c r="L29" s="41">
        <v>17.68</v>
      </c>
      <c r="M29" s="41">
        <v>26.55</v>
      </c>
      <c r="N29" s="41">
        <v>2.4</v>
      </c>
      <c r="O29" s="41">
        <v>0</v>
      </c>
      <c r="P29" s="41">
        <v>0.26</v>
      </c>
      <c r="Q29" s="41">
        <v>10</v>
      </c>
      <c r="R29" s="38"/>
      <c r="S29" s="38"/>
      <c r="T29" s="38"/>
      <c r="U29" s="38"/>
    </row>
    <row r="30" spans="1:21" customFormat="1">
      <c r="A30" s="40" t="s">
        <v>250</v>
      </c>
      <c r="B30" s="41">
        <v>4.5999999999999996</v>
      </c>
      <c r="C30" s="41">
        <v>6.09</v>
      </c>
      <c r="D30" s="41">
        <v>10.68</v>
      </c>
      <c r="E30" s="41">
        <v>5.28</v>
      </c>
      <c r="F30" s="41">
        <v>3.2</v>
      </c>
      <c r="G30" s="41">
        <v>46.37</v>
      </c>
      <c r="H30" s="41">
        <v>22.28</v>
      </c>
      <c r="I30" s="41">
        <v>5.08</v>
      </c>
      <c r="J30" s="41">
        <v>0.2</v>
      </c>
      <c r="K30" s="41">
        <v>205.89</v>
      </c>
      <c r="L30" s="41">
        <v>18.32</v>
      </c>
      <c r="M30" s="41">
        <v>28.15</v>
      </c>
      <c r="N30" s="41">
        <v>2.2999999999999998</v>
      </c>
      <c r="O30" s="41">
        <v>0</v>
      </c>
      <c r="P30" s="41">
        <v>0.26</v>
      </c>
      <c r="Q30" s="41">
        <v>10</v>
      </c>
      <c r="R30" s="38"/>
      <c r="S30" s="38"/>
      <c r="T30" s="38"/>
      <c r="U30" s="38"/>
    </row>
    <row r="31" spans="1:21" customFormat="1">
      <c r="A31" s="40" t="s">
        <v>251</v>
      </c>
      <c r="B31" s="41">
        <v>4.76</v>
      </c>
      <c r="C31" s="41">
        <v>6.08</v>
      </c>
      <c r="D31" s="41">
        <v>10.8</v>
      </c>
      <c r="E31" s="41">
        <v>5.64</v>
      </c>
      <c r="F31" s="41">
        <v>3.2</v>
      </c>
      <c r="G31" s="41">
        <v>46.52</v>
      </c>
      <c r="H31" s="41">
        <v>24.59</v>
      </c>
      <c r="I31" s="41">
        <v>5.5</v>
      </c>
      <c r="J31" s="41">
        <v>0.18</v>
      </c>
      <c r="K31" s="41">
        <v>202.2</v>
      </c>
      <c r="L31" s="41">
        <v>20.03</v>
      </c>
      <c r="M31" s="41">
        <v>32.42</v>
      </c>
      <c r="N31" s="41">
        <v>2.2999999999999998</v>
      </c>
      <c r="O31" s="41">
        <v>0</v>
      </c>
      <c r="P31" s="41">
        <v>0.28999999999999998</v>
      </c>
      <c r="Q31" s="41">
        <v>10</v>
      </c>
      <c r="R31" s="38"/>
      <c r="S31" s="38"/>
      <c r="T31" s="38"/>
      <c r="U31" s="38"/>
    </row>
    <row r="32" spans="1:21" customFormat="1">
      <c r="A32" s="40" t="s">
        <v>252</v>
      </c>
      <c r="B32" s="41">
        <v>4.93</v>
      </c>
      <c r="C32" s="41">
        <v>5.94</v>
      </c>
      <c r="D32" s="41">
        <v>10.77</v>
      </c>
      <c r="E32" s="41">
        <v>5.82</v>
      </c>
      <c r="F32" s="41">
        <v>3.2</v>
      </c>
      <c r="G32" s="41">
        <v>49.73</v>
      </c>
      <c r="H32" s="41">
        <v>25.76</v>
      </c>
      <c r="I32" s="41">
        <v>6.02</v>
      </c>
      <c r="J32" s="41">
        <v>0.19</v>
      </c>
      <c r="K32" s="41">
        <v>247.17</v>
      </c>
      <c r="L32" s="41">
        <v>21.95</v>
      </c>
      <c r="M32" s="41">
        <v>37.19</v>
      </c>
      <c r="N32" s="41">
        <v>2.4</v>
      </c>
      <c r="O32" s="41">
        <v>0</v>
      </c>
      <c r="P32" s="41">
        <v>0.33</v>
      </c>
      <c r="Q32" s="41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2.12</v>
      </c>
      <c r="C34" s="18">
        <f t="shared" si="0"/>
        <v>5.58</v>
      </c>
      <c r="D34" s="18">
        <f t="shared" si="0"/>
        <v>10.52</v>
      </c>
      <c r="E34" s="18">
        <f t="shared" si="0"/>
        <v>4.5199999999999996</v>
      </c>
      <c r="F34" s="18">
        <f t="shared" si="0"/>
        <v>2</v>
      </c>
      <c r="G34" s="18">
        <f t="shared" si="0"/>
        <v>36.93</v>
      </c>
      <c r="H34" s="18">
        <f t="shared" si="0"/>
        <v>15.52</v>
      </c>
      <c r="I34" s="18">
        <f t="shared" si="0"/>
        <v>3.75</v>
      </c>
      <c r="J34" s="18">
        <f t="shared" si="0"/>
        <v>0.12</v>
      </c>
      <c r="K34" s="18">
        <f t="shared" si="0"/>
        <v>44.57</v>
      </c>
      <c r="L34" s="18">
        <f t="shared" si="0"/>
        <v>12.37</v>
      </c>
      <c r="M34" s="18">
        <f t="shared" si="0"/>
        <v>9.51</v>
      </c>
      <c r="N34" s="18">
        <f t="shared" si="0"/>
        <v>2.1</v>
      </c>
      <c r="O34" s="18">
        <f t="shared" si="0"/>
        <v>0</v>
      </c>
      <c r="P34" s="18">
        <f t="shared" si="0"/>
        <v>0.16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10.5</v>
      </c>
      <c r="C35" s="3">
        <f t="shared" si="1"/>
        <v>12.12</v>
      </c>
      <c r="D35" s="3">
        <f t="shared" si="1"/>
        <v>18.66</v>
      </c>
      <c r="E35" s="3">
        <f t="shared" si="1"/>
        <v>9.8800000000000008</v>
      </c>
      <c r="F35" s="3">
        <f t="shared" si="1"/>
        <v>5.9</v>
      </c>
      <c r="G35" s="3">
        <f t="shared" si="1"/>
        <v>90.9</v>
      </c>
      <c r="H35" s="3">
        <f t="shared" si="1"/>
        <v>36.08</v>
      </c>
      <c r="I35" s="3">
        <f t="shared" si="1"/>
        <v>8.6999999999999993</v>
      </c>
      <c r="J35" s="3">
        <f t="shared" si="1"/>
        <v>1.1599999999999999</v>
      </c>
      <c r="K35" s="3">
        <f t="shared" si="1"/>
        <v>359.64</v>
      </c>
      <c r="L35" s="3">
        <f t="shared" si="1"/>
        <v>29.73</v>
      </c>
      <c r="M35" s="3">
        <f t="shared" si="1"/>
        <v>46.95</v>
      </c>
      <c r="N35" s="3">
        <f t="shared" si="1"/>
        <v>678.6</v>
      </c>
      <c r="O35" s="3">
        <f t="shared" si="1"/>
        <v>5.2</v>
      </c>
      <c r="P35" s="3">
        <f t="shared" si="1"/>
        <v>0.38</v>
      </c>
      <c r="Q35" s="3">
        <f t="shared" si="1"/>
        <v>11.51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5.921666666666666</v>
      </c>
      <c r="C36" s="18">
        <f t="shared" si="2"/>
        <v>7.7379166666666679</v>
      </c>
      <c r="D36" s="18">
        <f t="shared" si="2"/>
        <v>13.552916666666668</v>
      </c>
      <c r="E36" s="18">
        <f t="shared" si="2"/>
        <v>6.1049999999999995</v>
      </c>
      <c r="F36" s="18">
        <f t="shared" si="2"/>
        <v>3.5329166666666669</v>
      </c>
      <c r="G36" s="18">
        <f t="shared" si="2"/>
        <v>60.441249999999997</v>
      </c>
      <c r="H36" s="18">
        <f t="shared" si="2"/>
        <v>24.789583333333329</v>
      </c>
      <c r="I36" s="18">
        <f t="shared" si="2"/>
        <v>6.4820833333333354</v>
      </c>
      <c r="J36" s="18">
        <f t="shared" si="2"/>
        <v>0.27500000000000002</v>
      </c>
      <c r="K36" s="18">
        <f t="shared" si="2"/>
        <v>203.5</v>
      </c>
      <c r="L36" s="18">
        <f t="shared" si="2"/>
        <v>19.022499999999997</v>
      </c>
      <c r="M36" s="18">
        <f t="shared" si="2"/>
        <v>26.635416666666657</v>
      </c>
      <c r="N36" s="18">
        <f t="shared" si="2"/>
        <v>153.32083333333335</v>
      </c>
      <c r="O36" s="18">
        <f t="shared" si="2"/>
        <v>0.24166666666666667</v>
      </c>
      <c r="P36" s="18">
        <f t="shared" si="2"/>
        <v>0.29499999999999998</v>
      </c>
      <c r="Q36" s="18">
        <f t="shared" si="2"/>
        <v>10.339583333333335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2.4849961362347162</v>
      </c>
      <c r="C37" s="18">
        <f t="shared" ref="C37:Q37" si="3">STDEV(C9:C32)</f>
        <v>2.135771888093621</v>
      </c>
      <c r="D37" s="18">
        <f t="shared" si="3"/>
        <v>2.9281534159835663</v>
      </c>
      <c r="E37" s="18">
        <f t="shared" si="3"/>
        <v>1.3625423806731469</v>
      </c>
      <c r="F37" s="18">
        <f t="shared" si="3"/>
        <v>1.4698875412962626</v>
      </c>
      <c r="G37" s="18">
        <f t="shared" si="3"/>
        <v>17.443749674808796</v>
      </c>
      <c r="H37" s="18">
        <f t="shared" si="3"/>
        <v>5.7580238753651924</v>
      </c>
      <c r="I37" s="18">
        <f t="shared" si="3"/>
        <v>1.7335963603387246</v>
      </c>
      <c r="J37" s="18">
        <f t="shared" si="3"/>
        <v>0.21429358163611603</v>
      </c>
      <c r="K37" s="18">
        <f t="shared" si="3"/>
        <v>84.450045383157729</v>
      </c>
      <c r="L37" s="18">
        <f t="shared" si="3"/>
        <v>3.8675891265973457</v>
      </c>
      <c r="M37" s="18">
        <f t="shared" si="3"/>
        <v>9.1128514027392313</v>
      </c>
      <c r="N37" s="18">
        <f t="shared" si="3"/>
        <v>237.37079960185326</v>
      </c>
      <c r="O37" s="18">
        <f t="shared" si="3"/>
        <v>1.0631849880620869</v>
      </c>
      <c r="P37" s="18">
        <f t="shared" si="3"/>
        <v>5.6951543094718636E-2</v>
      </c>
      <c r="Q37" s="18">
        <f t="shared" si="3"/>
        <v>0.49798270588677945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96"/>
  <sheetViews>
    <sheetView zoomScale="85" zoomScaleNormal="85" workbookViewId="0">
      <pane xSplit="2" ySplit="8" topLeftCell="C28" activePane="bottomRight" state="frozen"/>
      <selection activeCell="G19" sqref="G19"/>
      <selection pane="topRight" activeCell="G19" sqref="G19"/>
      <selection pane="bottomLeft" activeCell="G19" sqref="G19"/>
      <selection pane="bottomRight" activeCell="S35" sqref="S3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09/10/2025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253</v>
      </c>
      <c r="B9" s="41">
        <v>4.95</v>
      </c>
      <c r="C9" s="41">
        <v>5.64</v>
      </c>
      <c r="D9" s="41">
        <v>10.59</v>
      </c>
      <c r="E9" s="41">
        <v>6.03</v>
      </c>
      <c r="F9" s="27" t="s">
        <v>8</v>
      </c>
      <c r="G9" s="41">
        <v>49.73</v>
      </c>
      <c r="H9" s="41">
        <v>25.76</v>
      </c>
      <c r="I9" s="41">
        <v>6.26</v>
      </c>
      <c r="J9" s="41">
        <v>0.14000000000000001</v>
      </c>
      <c r="K9" s="41">
        <v>225.7</v>
      </c>
      <c r="L9" s="41">
        <v>19.05</v>
      </c>
      <c r="M9" s="41">
        <v>29.9</v>
      </c>
      <c r="N9" s="41">
        <v>2.4</v>
      </c>
      <c r="O9" s="41">
        <v>0</v>
      </c>
      <c r="P9" s="41">
        <v>0.32</v>
      </c>
      <c r="Q9" s="41">
        <v>10</v>
      </c>
      <c r="R9" s="38"/>
      <c r="S9" s="38"/>
      <c r="T9" s="38"/>
      <c r="U9" s="38"/>
    </row>
    <row r="10" spans="1:21" customFormat="1">
      <c r="A10" s="40" t="s">
        <v>254</v>
      </c>
      <c r="B10" s="41">
        <v>4.95</v>
      </c>
      <c r="C10" s="41">
        <v>5.54</v>
      </c>
      <c r="D10" s="41">
        <v>10.38</v>
      </c>
      <c r="E10" s="41">
        <v>6.08</v>
      </c>
      <c r="F10" s="27" t="s">
        <v>8</v>
      </c>
      <c r="G10" s="41">
        <v>40.61</v>
      </c>
      <c r="H10" s="41">
        <v>24.18</v>
      </c>
      <c r="I10" s="41">
        <v>6.92</v>
      </c>
      <c r="J10" s="41">
        <v>0.11</v>
      </c>
      <c r="K10" s="41">
        <v>204.9</v>
      </c>
      <c r="L10" s="41">
        <v>18.66</v>
      </c>
      <c r="M10" s="41">
        <v>29</v>
      </c>
      <c r="N10" s="41">
        <v>2.2000000000000002</v>
      </c>
      <c r="O10" s="41">
        <v>0</v>
      </c>
      <c r="P10" s="41">
        <v>0.32</v>
      </c>
      <c r="Q10" s="41">
        <v>10</v>
      </c>
      <c r="R10" s="38"/>
      <c r="S10" s="38"/>
      <c r="T10" s="38"/>
      <c r="U10" s="38"/>
    </row>
    <row r="11" spans="1:21" customFormat="1">
      <c r="A11" s="40" t="s">
        <v>255</v>
      </c>
      <c r="B11" s="41">
        <v>6.34</v>
      </c>
      <c r="C11" s="41">
        <v>5.89</v>
      </c>
      <c r="D11" s="41">
        <v>12.24</v>
      </c>
      <c r="E11" s="41">
        <v>4.88</v>
      </c>
      <c r="F11" s="27" t="s">
        <v>8</v>
      </c>
      <c r="G11" s="41">
        <v>39.83</v>
      </c>
      <c r="H11" s="41">
        <v>22.55</v>
      </c>
      <c r="I11" s="41">
        <v>7.43</v>
      </c>
      <c r="J11" s="41">
        <v>0.12</v>
      </c>
      <c r="K11" s="41">
        <v>198.44</v>
      </c>
      <c r="L11" s="41">
        <v>17.440000000000001</v>
      </c>
      <c r="M11" s="41">
        <v>25.95</v>
      </c>
      <c r="N11" s="41">
        <v>2.2000000000000002</v>
      </c>
      <c r="O11" s="41">
        <v>0</v>
      </c>
      <c r="P11" s="41">
        <v>0.33</v>
      </c>
      <c r="Q11" s="41">
        <v>10</v>
      </c>
      <c r="R11" s="38"/>
      <c r="S11" s="38"/>
      <c r="T11" s="38"/>
      <c r="U11" s="38"/>
    </row>
    <row r="12" spans="1:21" customFormat="1">
      <c r="A12" s="40" t="s">
        <v>256</v>
      </c>
      <c r="B12" s="41">
        <v>7.43</v>
      </c>
      <c r="C12" s="41">
        <v>6.02</v>
      </c>
      <c r="D12" s="41">
        <v>13.39</v>
      </c>
      <c r="E12" s="41">
        <v>4.97</v>
      </c>
      <c r="F12" s="27" t="s">
        <v>8</v>
      </c>
      <c r="G12" s="41">
        <v>43.82</v>
      </c>
      <c r="H12" s="41">
        <v>18.18</v>
      </c>
      <c r="I12" s="41">
        <v>7.49</v>
      </c>
      <c r="J12" s="41">
        <v>0.14000000000000001</v>
      </c>
      <c r="K12" s="41">
        <v>195.09</v>
      </c>
      <c r="L12" s="41">
        <v>17.97</v>
      </c>
      <c r="M12" s="41">
        <v>27.28</v>
      </c>
      <c r="N12" s="41">
        <v>2.2999999999999998</v>
      </c>
      <c r="O12" s="41">
        <v>0</v>
      </c>
      <c r="P12" s="41">
        <v>0.33</v>
      </c>
      <c r="Q12" s="41">
        <v>10</v>
      </c>
      <c r="R12" s="38"/>
      <c r="S12" s="38"/>
      <c r="T12" s="38"/>
      <c r="U12" s="38"/>
    </row>
    <row r="13" spans="1:21" customFormat="1">
      <c r="A13" s="40" t="s">
        <v>257</v>
      </c>
      <c r="B13" s="41">
        <v>9.4</v>
      </c>
      <c r="C13" s="41">
        <v>6.35</v>
      </c>
      <c r="D13" s="41">
        <v>15.75</v>
      </c>
      <c r="E13" s="41">
        <v>4.71</v>
      </c>
      <c r="F13" s="27" t="s">
        <v>8</v>
      </c>
      <c r="G13" s="41">
        <v>52.95</v>
      </c>
      <c r="H13" s="41">
        <v>16.96</v>
      </c>
      <c r="I13" s="41">
        <v>7.6</v>
      </c>
      <c r="J13" s="41">
        <v>0.16</v>
      </c>
      <c r="K13" s="41">
        <v>169.56</v>
      </c>
      <c r="L13" s="41">
        <v>16.440000000000001</v>
      </c>
      <c r="M13" s="41">
        <v>23.5</v>
      </c>
      <c r="N13" s="41">
        <v>2.2000000000000002</v>
      </c>
      <c r="O13" s="41">
        <v>0</v>
      </c>
      <c r="P13" s="41">
        <v>0.33</v>
      </c>
      <c r="Q13" s="41">
        <v>10</v>
      </c>
      <c r="R13" s="38"/>
      <c r="S13" s="38"/>
      <c r="T13" s="38"/>
      <c r="U13" s="38"/>
    </row>
    <row r="14" spans="1:21" customFormat="1">
      <c r="A14" s="40" t="s">
        <v>258</v>
      </c>
      <c r="B14" s="41">
        <v>11.21</v>
      </c>
      <c r="C14" s="41">
        <v>6.75</v>
      </c>
      <c r="D14" s="41">
        <v>17.96</v>
      </c>
      <c r="E14" s="41">
        <v>4.82</v>
      </c>
      <c r="F14" s="27" t="s">
        <v>8</v>
      </c>
      <c r="G14" s="41">
        <v>69.209999999999994</v>
      </c>
      <c r="H14" s="41">
        <v>20.57</v>
      </c>
      <c r="I14" s="41">
        <v>7.84</v>
      </c>
      <c r="J14" s="41">
        <v>0.14000000000000001</v>
      </c>
      <c r="K14" s="41">
        <v>58.27</v>
      </c>
      <c r="L14" s="41">
        <v>14.59</v>
      </c>
      <c r="M14" s="41">
        <v>18.61</v>
      </c>
      <c r="N14" s="41">
        <v>3.4</v>
      </c>
      <c r="O14" s="41">
        <v>0</v>
      </c>
      <c r="P14" s="41">
        <v>0.34</v>
      </c>
      <c r="Q14" s="41">
        <v>10</v>
      </c>
      <c r="R14" s="38"/>
      <c r="S14" s="38"/>
      <c r="T14" s="38"/>
      <c r="U14" s="38"/>
    </row>
    <row r="15" spans="1:21" customFormat="1">
      <c r="A15" s="40" t="s">
        <v>259</v>
      </c>
      <c r="B15" s="41">
        <v>13.27</v>
      </c>
      <c r="C15" s="41">
        <v>7.38</v>
      </c>
      <c r="D15" s="41">
        <v>20.65</v>
      </c>
      <c r="E15" s="41">
        <v>4.9800000000000004</v>
      </c>
      <c r="F15" s="27" t="s">
        <v>8</v>
      </c>
      <c r="G15" s="41">
        <v>78.91</v>
      </c>
      <c r="H15" s="41">
        <v>22.33</v>
      </c>
      <c r="I15" s="41">
        <v>7.97</v>
      </c>
      <c r="J15" s="41">
        <v>0.21</v>
      </c>
      <c r="K15" s="41">
        <v>321.12</v>
      </c>
      <c r="L15" s="41">
        <v>22.46</v>
      </c>
      <c r="M15" s="41">
        <v>37.74</v>
      </c>
      <c r="N15" s="41">
        <v>39.4</v>
      </c>
      <c r="O15" s="41">
        <v>0</v>
      </c>
      <c r="P15" s="41">
        <v>0.35</v>
      </c>
      <c r="Q15" s="41">
        <v>10</v>
      </c>
      <c r="R15" s="38"/>
      <c r="S15" s="38"/>
      <c r="T15" s="38"/>
      <c r="U15" s="38"/>
    </row>
    <row r="16" spans="1:21" customFormat="1">
      <c r="A16" s="40" t="s">
        <v>260</v>
      </c>
      <c r="B16" s="41">
        <v>13.92</v>
      </c>
      <c r="C16" s="41">
        <v>7.57</v>
      </c>
      <c r="D16" s="41">
        <v>21.5</v>
      </c>
      <c r="E16" s="41">
        <v>5.59</v>
      </c>
      <c r="F16" s="27" t="s">
        <v>8</v>
      </c>
      <c r="G16" s="41">
        <v>84.24</v>
      </c>
      <c r="H16" s="41">
        <v>26.95</v>
      </c>
      <c r="I16" s="41">
        <v>8.41</v>
      </c>
      <c r="J16" s="41">
        <v>0.4</v>
      </c>
      <c r="K16" s="41">
        <v>359.99</v>
      </c>
      <c r="L16" s="41">
        <v>18.21</v>
      </c>
      <c r="M16" s="41">
        <v>26.18</v>
      </c>
      <c r="N16" s="41">
        <v>136.4</v>
      </c>
      <c r="O16" s="41">
        <v>0</v>
      </c>
      <c r="P16" s="41">
        <v>0.37</v>
      </c>
      <c r="Q16" s="41">
        <v>10</v>
      </c>
      <c r="R16" s="38"/>
      <c r="S16" s="38"/>
      <c r="T16" s="38"/>
      <c r="U16" s="38"/>
    </row>
    <row r="17" spans="1:21" customFormat="1">
      <c r="A17" s="40" t="s">
        <v>261</v>
      </c>
      <c r="B17" s="41">
        <v>13.94</v>
      </c>
      <c r="C17" s="41">
        <v>7.84</v>
      </c>
      <c r="D17" s="41">
        <v>21.52</v>
      </c>
      <c r="E17" s="41">
        <v>6.06</v>
      </c>
      <c r="F17" s="27" t="s">
        <v>8</v>
      </c>
      <c r="G17" s="41">
        <v>84.36</v>
      </c>
      <c r="H17" s="41">
        <v>26.95</v>
      </c>
      <c r="I17" s="41">
        <v>8.49</v>
      </c>
      <c r="J17" s="41">
        <v>0.75</v>
      </c>
      <c r="K17" s="41">
        <v>30.62</v>
      </c>
      <c r="L17" s="41">
        <v>13.93</v>
      </c>
      <c r="M17" s="41">
        <v>12.33</v>
      </c>
      <c r="N17" s="41">
        <v>288.5</v>
      </c>
      <c r="O17" s="41">
        <v>0</v>
      </c>
      <c r="P17" s="41">
        <v>0.37</v>
      </c>
      <c r="Q17" s="41">
        <v>10</v>
      </c>
      <c r="R17" s="38"/>
      <c r="S17" s="38"/>
      <c r="T17" s="38"/>
      <c r="U17" s="38"/>
    </row>
    <row r="18" spans="1:21" customFormat="1">
      <c r="A18" s="40" t="s">
        <v>262</v>
      </c>
      <c r="B18" s="41">
        <v>12.98</v>
      </c>
      <c r="C18" s="41">
        <v>7.98</v>
      </c>
      <c r="D18" s="41">
        <v>20.76</v>
      </c>
      <c r="E18" s="41">
        <v>5.68</v>
      </c>
      <c r="F18" s="27" t="s">
        <v>8</v>
      </c>
      <c r="G18" s="41">
        <v>84.36</v>
      </c>
      <c r="H18" s="41">
        <v>31.43</v>
      </c>
      <c r="I18" s="41">
        <v>8.17</v>
      </c>
      <c r="J18" s="41">
        <v>0.84</v>
      </c>
      <c r="K18" s="41">
        <v>37.11</v>
      </c>
      <c r="L18" s="41">
        <v>13.76</v>
      </c>
      <c r="M18" s="41">
        <v>6.08</v>
      </c>
      <c r="N18" s="41">
        <v>434.1</v>
      </c>
      <c r="O18" s="41">
        <v>0</v>
      </c>
      <c r="P18" s="41">
        <v>0.37</v>
      </c>
      <c r="Q18" s="41">
        <v>10</v>
      </c>
      <c r="R18" s="38"/>
      <c r="S18" s="38"/>
      <c r="T18" s="38"/>
      <c r="U18" s="38"/>
    </row>
    <row r="19" spans="1:21" customFormat="1">
      <c r="A19" s="40" t="s">
        <v>263</v>
      </c>
      <c r="B19" s="41">
        <v>11.26</v>
      </c>
      <c r="C19" s="41">
        <v>8.3000000000000007</v>
      </c>
      <c r="D19" s="41">
        <v>19.28</v>
      </c>
      <c r="E19" s="41">
        <v>5.73</v>
      </c>
      <c r="F19" s="27" t="s">
        <v>8</v>
      </c>
      <c r="G19" s="41">
        <v>83.36</v>
      </c>
      <c r="H19" s="41">
        <v>31.43</v>
      </c>
      <c r="I19" s="41">
        <v>7.93</v>
      </c>
      <c r="J19" s="41">
        <v>0.59</v>
      </c>
      <c r="K19" s="41">
        <v>64.989999999999995</v>
      </c>
      <c r="L19" s="41">
        <v>13.62</v>
      </c>
      <c r="M19" s="41">
        <v>12.54</v>
      </c>
      <c r="N19" s="41">
        <v>286.60000000000002</v>
      </c>
      <c r="O19" s="41">
        <v>0</v>
      </c>
      <c r="P19" s="41">
        <v>0.38</v>
      </c>
      <c r="Q19" s="41">
        <v>10</v>
      </c>
      <c r="R19" s="38"/>
      <c r="S19" s="38"/>
      <c r="T19" s="38"/>
      <c r="U19" s="38"/>
    </row>
    <row r="20" spans="1:21" customFormat="1">
      <c r="A20" s="40" t="s">
        <v>264</v>
      </c>
      <c r="B20" s="41">
        <v>8.82</v>
      </c>
      <c r="C20" s="41">
        <v>8.1</v>
      </c>
      <c r="D20" s="41">
        <v>16.920000000000002</v>
      </c>
      <c r="E20" s="41">
        <v>5.58</v>
      </c>
      <c r="F20" s="27" t="s">
        <v>8</v>
      </c>
      <c r="G20" s="41">
        <v>83.19</v>
      </c>
      <c r="H20" s="41">
        <v>32.479999999999997</v>
      </c>
      <c r="I20" s="41">
        <v>7.61</v>
      </c>
      <c r="J20" s="41">
        <v>0.3</v>
      </c>
      <c r="K20" s="41">
        <v>91.98</v>
      </c>
      <c r="L20" s="41">
        <v>18.47</v>
      </c>
      <c r="M20" s="41">
        <v>23.64</v>
      </c>
      <c r="N20" s="41">
        <v>629.9</v>
      </c>
      <c r="O20" s="41">
        <v>0</v>
      </c>
      <c r="P20" s="41">
        <v>0.39</v>
      </c>
      <c r="Q20" s="41">
        <v>10</v>
      </c>
      <c r="R20" s="38"/>
      <c r="S20" s="38"/>
      <c r="T20" s="38"/>
      <c r="U20" s="38"/>
    </row>
    <row r="21" spans="1:21" customFormat="1">
      <c r="A21" s="40" t="s">
        <v>265</v>
      </c>
      <c r="B21" s="41">
        <v>6.93</v>
      </c>
      <c r="C21" s="41">
        <v>8.02</v>
      </c>
      <c r="D21" s="41">
        <v>14.5</v>
      </c>
      <c r="E21" s="41">
        <v>5.6</v>
      </c>
      <c r="F21" s="27" t="s">
        <v>8</v>
      </c>
      <c r="G21" s="41">
        <v>81.42</v>
      </c>
      <c r="H21" s="41">
        <v>32.479999999999997</v>
      </c>
      <c r="I21" s="41">
        <v>7.03</v>
      </c>
      <c r="J21" s="41">
        <v>0.54</v>
      </c>
      <c r="K21" s="41">
        <v>316.70999999999998</v>
      </c>
      <c r="L21" s="41">
        <v>24.83</v>
      </c>
      <c r="M21" s="41">
        <v>39.15</v>
      </c>
      <c r="N21" s="41">
        <v>603</v>
      </c>
      <c r="O21" s="41">
        <v>0</v>
      </c>
      <c r="P21" s="41">
        <v>0.37</v>
      </c>
      <c r="Q21" s="41">
        <v>10</v>
      </c>
      <c r="R21" s="38"/>
      <c r="S21" s="38"/>
      <c r="T21" s="38"/>
      <c r="U21" s="38"/>
    </row>
    <row r="22" spans="1:21" customFormat="1">
      <c r="A22" s="40" t="s">
        <v>266</v>
      </c>
      <c r="B22" s="41">
        <v>5.68</v>
      </c>
      <c r="C22" s="41">
        <v>8.49</v>
      </c>
      <c r="D22" s="41">
        <v>13.97</v>
      </c>
      <c r="E22" s="41">
        <v>6.4</v>
      </c>
      <c r="F22" s="27" t="s">
        <v>8</v>
      </c>
      <c r="G22" s="41">
        <v>79.48</v>
      </c>
      <c r="H22" s="41">
        <v>31.44</v>
      </c>
      <c r="I22" s="41">
        <v>6.82</v>
      </c>
      <c r="J22" s="41">
        <v>0.84</v>
      </c>
      <c r="K22" s="41">
        <v>337.31</v>
      </c>
      <c r="L22" s="41">
        <v>28.44</v>
      </c>
      <c r="M22" s="41">
        <v>48.23</v>
      </c>
      <c r="N22" s="41">
        <v>463.6</v>
      </c>
      <c r="O22" s="41">
        <v>0</v>
      </c>
      <c r="P22" s="41">
        <v>0.36</v>
      </c>
      <c r="Q22" s="41">
        <v>10</v>
      </c>
      <c r="R22" s="38"/>
      <c r="S22" s="38"/>
      <c r="T22" s="38"/>
      <c r="U22" s="38"/>
    </row>
    <row r="23" spans="1:21" customFormat="1">
      <c r="A23" s="40" t="s">
        <v>267</v>
      </c>
      <c r="B23" s="41">
        <v>4.55</v>
      </c>
      <c r="C23" s="41">
        <v>8.8699999999999992</v>
      </c>
      <c r="D23" s="41">
        <v>13.19</v>
      </c>
      <c r="E23" s="41">
        <v>6.02</v>
      </c>
      <c r="F23" s="27" t="s">
        <v>8</v>
      </c>
      <c r="G23" s="41">
        <v>75.22</v>
      </c>
      <c r="H23" s="41">
        <v>31.44</v>
      </c>
      <c r="I23" s="41">
        <v>6.48</v>
      </c>
      <c r="J23" s="41">
        <v>0.48</v>
      </c>
      <c r="K23" s="41">
        <v>33.4</v>
      </c>
      <c r="L23" s="41">
        <v>16.12</v>
      </c>
      <c r="M23" s="41">
        <v>18.690000000000001</v>
      </c>
      <c r="N23" s="41">
        <v>330.9</v>
      </c>
      <c r="O23" s="41">
        <v>0</v>
      </c>
      <c r="P23" s="41">
        <v>0.34</v>
      </c>
      <c r="Q23" s="41">
        <v>10</v>
      </c>
      <c r="R23" s="38"/>
      <c r="S23" s="38"/>
      <c r="T23" s="38"/>
      <c r="U23" s="38"/>
    </row>
    <row r="24" spans="1:21" customFormat="1">
      <c r="A24" s="40" t="s">
        <v>268</v>
      </c>
      <c r="B24" s="41">
        <v>5.19</v>
      </c>
      <c r="C24" s="41">
        <v>10.1</v>
      </c>
      <c r="D24" s="41">
        <v>15.29</v>
      </c>
      <c r="E24" s="41">
        <v>6.07</v>
      </c>
      <c r="F24" s="27" t="s">
        <v>8</v>
      </c>
      <c r="G24" s="41">
        <v>69.83</v>
      </c>
      <c r="H24" s="41">
        <v>28.27</v>
      </c>
      <c r="I24" s="41">
        <v>5.75</v>
      </c>
      <c r="J24" s="41">
        <v>0.28999999999999998</v>
      </c>
      <c r="K24" s="41">
        <v>356.29</v>
      </c>
      <c r="L24" s="41">
        <v>17</v>
      </c>
      <c r="M24" s="41">
        <v>22.22</v>
      </c>
      <c r="N24" s="41">
        <v>70.900000000000006</v>
      </c>
      <c r="O24" s="41">
        <v>0</v>
      </c>
      <c r="P24" s="41">
        <v>0.32</v>
      </c>
      <c r="Q24" s="41">
        <v>10</v>
      </c>
      <c r="R24" s="38"/>
      <c r="S24" s="38"/>
      <c r="T24" s="38"/>
      <c r="U24" s="38"/>
    </row>
    <row r="25" spans="1:21" customFormat="1">
      <c r="A25" s="40" t="s">
        <v>269</v>
      </c>
      <c r="B25" s="41">
        <v>3.75</v>
      </c>
      <c r="C25" s="41">
        <v>11.45</v>
      </c>
      <c r="D25" s="41">
        <v>14.96</v>
      </c>
      <c r="E25" s="41">
        <v>6.71</v>
      </c>
      <c r="F25" s="27" t="s">
        <v>8</v>
      </c>
      <c r="G25" s="41">
        <v>67.64</v>
      </c>
      <c r="H25" s="41">
        <v>32.01</v>
      </c>
      <c r="I25" s="41">
        <v>7.67</v>
      </c>
      <c r="J25" s="41">
        <v>0.51</v>
      </c>
      <c r="K25" s="41">
        <v>137.44999999999999</v>
      </c>
      <c r="L25" s="41">
        <v>13.17</v>
      </c>
      <c r="M25" s="41">
        <v>14.19</v>
      </c>
      <c r="N25" s="41">
        <v>61.9</v>
      </c>
      <c r="O25" s="41">
        <v>0</v>
      </c>
      <c r="P25" s="41">
        <v>0.47</v>
      </c>
      <c r="Q25" s="41">
        <v>10</v>
      </c>
      <c r="R25" s="38"/>
      <c r="S25" s="38"/>
      <c r="T25" s="38"/>
      <c r="U25" s="38"/>
    </row>
    <row r="26" spans="1:21" customFormat="1">
      <c r="A26" s="40" t="s">
        <v>270</v>
      </c>
      <c r="B26" s="41">
        <v>1.78</v>
      </c>
      <c r="C26" s="41">
        <v>8.27</v>
      </c>
      <c r="D26" s="41">
        <v>10.050000000000001</v>
      </c>
      <c r="E26" s="41">
        <v>1.69</v>
      </c>
      <c r="F26" s="27" t="s">
        <v>8</v>
      </c>
      <c r="G26" s="41">
        <v>66.22</v>
      </c>
      <c r="H26" s="41">
        <v>35.21</v>
      </c>
      <c r="I26" s="41">
        <v>7.6</v>
      </c>
      <c r="J26" s="41">
        <v>0.17</v>
      </c>
      <c r="K26" s="41">
        <v>164.77</v>
      </c>
      <c r="L26" s="41">
        <v>16.32</v>
      </c>
      <c r="M26" s="41">
        <v>22.53</v>
      </c>
      <c r="N26" s="41">
        <v>28.3</v>
      </c>
      <c r="O26" s="41">
        <v>0</v>
      </c>
      <c r="P26" s="41">
        <v>0.42</v>
      </c>
      <c r="Q26" s="41">
        <v>10</v>
      </c>
      <c r="R26" s="38"/>
      <c r="S26" s="38"/>
      <c r="T26" s="38"/>
      <c r="U26" s="38"/>
    </row>
    <row r="27" spans="1:21" customFormat="1">
      <c r="A27" s="40" t="s">
        <v>271</v>
      </c>
      <c r="B27" s="41">
        <v>1.34</v>
      </c>
      <c r="C27" s="41">
        <v>6.71</v>
      </c>
      <c r="D27" s="41">
        <v>7.85</v>
      </c>
      <c r="E27" s="41">
        <v>6.2</v>
      </c>
      <c r="F27" s="27" t="s">
        <v>8</v>
      </c>
      <c r="G27" s="41">
        <v>65.86</v>
      </c>
      <c r="H27" s="41">
        <v>35.21</v>
      </c>
      <c r="I27" s="41">
        <v>6.27</v>
      </c>
      <c r="J27" s="41">
        <v>0.16</v>
      </c>
      <c r="K27" s="41">
        <v>239.21</v>
      </c>
      <c r="L27" s="41">
        <v>20.96</v>
      </c>
      <c r="M27" s="41">
        <v>34.71</v>
      </c>
      <c r="N27" s="41">
        <v>2.6</v>
      </c>
      <c r="O27" s="41">
        <v>0</v>
      </c>
      <c r="P27" s="41">
        <v>0.4</v>
      </c>
      <c r="Q27" s="41">
        <v>10</v>
      </c>
      <c r="R27" s="38"/>
      <c r="S27" s="38"/>
      <c r="T27" s="38"/>
      <c r="U27" s="38"/>
    </row>
    <row r="28" spans="1:21" customFormat="1">
      <c r="A28" s="40" t="s">
        <v>272</v>
      </c>
      <c r="B28" s="41">
        <v>1.28</v>
      </c>
      <c r="C28" s="41">
        <v>6.17</v>
      </c>
      <c r="D28" s="41">
        <v>7.43</v>
      </c>
      <c r="E28" s="41">
        <v>6.16</v>
      </c>
      <c r="F28" s="27" t="s">
        <v>8</v>
      </c>
      <c r="G28" s="41">
        <v>53.93</v>
      </c>
      <c r="H28" s="41">
        <v>33.75</v>
      </c>
      <c r="I28" s="41">
        <v>5.9</v>
      </c>
      <c r="J28" s="41">
        <v>0.24</v>
      </c>
      <c r="K28" s="41">
        <v>246.92</v>
      </c>
      <c r="L28" s="41">
        <v>21.28</v>
      </c>
      <c r="M28" s="41">
        <v>35.5</v>
      </c>
      <c r="N28" s="41">
        <v>2.4</v>
      </c>
      <c r="O28" s="41">
        <v>0</v>
      </c>
      <c r="P28" s="41">
        <v>0.38</v>
      </c>
      <c r="Q28" s="41">
        <v>10</v>
      </c>
      <c r="R28" s="38"/>
      <c r="S28" s="38"/>
      <c r="T28" s="38"/>
      <c r="U28" s="38"/>
    </row>
    <row r="29" spans="1:21" customFormat="1">
      <c r="A29" s="40" t="s">
        <v>273</v>
      </c>
      <c r="B29" s="41">
        <v>1.46</v>
      </c>
      <c r="C29" s="41">
        <v>6.05</v>
      </c>
      <c r="D29" s="41">
        <v>7.42</v>
      </c>
      <c r="E29" s="41">
        <v>5.94</v>
      </c>
      <c r="F29" s="27" t="s">
        <v>8</v>
      </c>
      <c r="G29" s="41">
        <v>52.76</v>
      </c>
      <c r="H29" s="41">
        <v>31.24</v>
      </c>
      <c r="I29" s="41">
        <v>5.93</v>
      </c>
      <c r="J29" s="41">
        <v>1.19</v>
      </c>
      <c r="K29" s="41">
        <v>243.52</v>
      </c>
      <c r="L29" s="41">
        <v>20.72</v>
      </c>
      <c r="M29" s="41">
        <v>34.090000000000003</v>
      </c>
      <c r="N29" s="41">
        <v>3.4</v>
      </c>
      <c r="O29" s="41">
        <v>0</v>
      </c>
      <c r="P29" s="41">
        <v>0.39</v>
      </c>
      <c r="Q29" s="41">
        <v>10</v>
      </c>
      <c r="R29" s="38"/>
      <c r="S29" s="38"/>
      <c r="T29" s="38"/>
      <c r="U29" s="38"/>
    </row>
    <row r="30" spans="1:21" customFormat="1">
      <c r="A30" s="40" t="s">
        <v>274</v>
      </c>
      <c r="B30" s="41">
        <v>1.47</v>
      </c>
      <c r="C30" s="41">
        <v>6.71</v>
      </c>
      <c r="D30" s="41">
        <v>8.07</v>
      </c>
      <c r="E30" s="41">
        <v>6.13</v>
      </c>
      <c r="F30" s="27" t="s">
        <v>8</v>
      </c>
      <c r="G30" s="41">
        <v>48.81</v>
      </c>
      <c r="H30" s="41">
        <v>27.61</v>
      </c>
      <c r="I30" s="41">
        <v>5.87</v>
      </c>
      <c r="J30" s="41">
        <v>1.02</v>
      </c>
      <c r="K30" s="41">
        <v>28.85</v>
      </c>
      <c r="L30" s="41">
        <v>16.48</v>
      </c>
      <c r="M30" s="41">
        <v>23.14</v>
      </c>
      <c r="N30" s="41">
        <v>3.3</v>
      </c>
      <c r="O30" s="41">
        <v>0</v>
      </c>
      <c r="P30" s="41">
        <v>0.33</v>
      </c>
      <c r="Q30" s="41">
        <v>10</v>
      </c>
      <c r="R30" s="38"/>
      <c r="S30" s="38"/>
      <c r="T30" s="38"/>
      <c r="U30" s="38"/>
    </row>
    <row r="31" spans="1:21" customFormat="1">
      <c r="A31" s="40" t="s">
        <v>275</v>
      </c>
      <c r="B31" s="41">
        <v>1.46</v>
      </c>
      <c r="C31" s="41">
        <v>6.78</v>
      </c>
      <c r="D31" s="41">
        <v>8.23</v>
      </c>
      <c r="E31" s="41">
        <v>6.15</v>
      </c>
      <c r="F31" s="27" t="s">
        <v>8</v>
      </c>
      <c r="G31" s="41">
        <v>42.31</v>
      </c>
      <c r="H31" s="41">
        <v>24.77</v>
      </c>
      <c r="I31" s="41">
        <v>5.37</v>
      </c>
      <c r="J31" s="41">
        <v>0.25</v>
      </c>
      <c r="K31" s="41">
        <v>235.11</v>
      </c>
      <c r="L31" s="41">
        <v>20.329999999999998</v>
      </c>
      <c r="M31" s="41">
        <v>33.130000000000003</v>
      </c>
      <c r="N31" s="41">
        <v>2.5</v>
      </c>
      <c r="O31" s="41">
        <v>0</v>
      </c>
      <c r="P31" s="41">
        <v>0.32</v>
      </c>
      <c r="Q31" s="41">
        <v>12.27</v>
      </c>
      <c r="R31" s="38"/>
      <c r="S31" s="38"/>
      <c r="T31" s="38"/>
      <c r="U31" s="38"/>
    </row>
    <row r="32" spans="1:21" customFormat="1">
      <c r="A32" s="40" t="s">
        <v>276</v>
      </c>
      <c r="B32" s="41">
        <v>1.47</v>
      </c>
      <c r="C32" s="41">
        <v>6.4</v>
      </c>
      <c r="D32" s="41">
        <v>7.76</v>
      </c>
      <c r="E32" s="41">
        <v>6.07</v>
      </c>
      <c r="F32" s="27" t="s">
        <v>8</v>
      </c>
      <c r="G32" s="41">
        <v>38.81</v>
      </c>
      <c r="H32" s="41">
        <v>19.79</v>
      </c>
      <c r="I32" s="41">
        <v>5.0999999999999996</v>
      </c>
      <c r="J32" s="41">
        <v>0.14000000000000001</v>
      </c>
      <c r="K32" s="41">
        <v>250.41</v>
      </c>
      <c r="L32" s="41">
        <v>22.74</v>
      </c>
      <c r="M32" s="41">
        <v>39.049999999999997</v>
      </c>
      <c r="N32" s="41">
        <v>2.2999999999999998</v>
      </c>
      <c r="O32" s="41">
        <v>0</v>
      </c>
      <c r="P32" s="41">
        <v>0.3</v>
      </c>
      <c r="Q32" s="41">
        <v>11.07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1.28</v>
      </c>
      <c r="C34" s="18">
        <f t="shared" si="0"/>
        <v>5.54</v>
      </c>
      <c r="D34" s="18">
        <f t="shared" si="0"/>
        <v>7.42</v>
      </c>
      <c r="E34" s="18">
        <f t="shared" si="0"/>
        <v>1.69</v>
      </c>
      <c r="F34" s="18">
        <f t="shared" si="0"/>
        <v>0</v>
      </c>
      <c r="G34" s="18">
        <f t="shared" si="0"/>
        <v>38.81</v>
      </c>
      <c r="H34" s="18">
        <f t="shared" si="0"/>
        <v>16.96</v>
      </c>
      <c r="I34" s="18">
        <f t="shared" si="0"/>
        <v>5.0999999999999996</v>
      </c>
      <c r="J34" s="18">
        <f t="shared" si="0"/>
        <v>0.11</v>
      </c>
      <c r="K34" s="18">
        <f t="shared" si="0"/>
        <v>28.85</v>
      </c>
      <c r="L34" s="18">
        <f t="shared" si="0"/>
        <v>13.17</v>
      </c>
      <c r="M34" s="18">
        <f t="shared" si="0"/>
        <v>6.08</v>
      </c>
      <c r="N34" s="18">
        <f t="shared" si="0"/>
        <v>2.2000000000000002</v>
      </c>
      <c r="O34" s="18">
        <f t="shared" si="0"/>
        <v>0</v>
      </c>
      <c r="P34" s="18">
        <f t="shared" si="0"/>
        <v>0.3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13.94</v>
      </c>
      <c r="C35" s="3">
        <f t="shared" si="1"/>
        <v>11.45</v>
      </c>
      <c r="D35" s="3">
        <f t="shared" si="1"/>
        <v>21.52</v>
      </c>
      <c r="E35" s="3">
        <f t="shared" si="1"/>
        <v>6.71</v>
      </c>
      <c r="F35" s="3">
        <f t="shared" si="1"/>
        <v>0</v>
      </c>
      <c r="G35" s="3">
        <f t="shared" si="1"/>
        <v>84.36</v>
      </c>
      <c r="H35" s="3">
        <f t="shared" si="1"/>
        <v>35.21</v>
      </c>
      <c r="I35" s="3">
        <f t="shared" si="1"/>
        <v>8.49</v>
      </c>
      <c r="J35" s="3">
        <f t="shared" si="1"/>
        <v>1.19</v>
      </c>
      <c r="K35" s="3">
        <f t="shared" si="1"/>
        <v>359.99</v>
      </c>
      <c r="L35" s="3">
        <f t="shared" si="1"/>
        <v>28.44</v>
      </c>
      <c r="M35" s="3">
        <f t="shared" si="1"/>
        <v>48.23</v>
      </c>
      <c r="N35" s="3">
        <f t="shared" si="1"/>
        <v>629.9</v>
      </c>
      <c r="O35" s="3">
        <f t="shared" si="1"/>
        <v>0</v>
      </c>
      <c r="P35" s="3">
        <f t="shared" si="1"/>
        <v>0.47</v>
      </c>
      <c r="Q35" s="3">
        <f t="shared" si="1"/>
        <v>12.27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6.4512500000000017</v>
      </c>
      <c r="C36" s="18">
        <f t="shared" si="2"/>
        <v>7.390833333333334</v>
      </c>
      <c r="D36" s="18">
        <f t="shared" si="2"/>
        <v>13.735833333333334</v>
      </c>
      <c r="E36" s="18">
        <f t="shared" si="2"/>
        <v>5.5937499999999991</v>
      </c>
      <c r="F36" s="18" t="e">
        <f t="shared" si="2"/>
        <v>#DIV/0!</v>
      </c>
      <c r="G36" s="18">
        <f t="shared" si="2"/>
        <v>64.035833333333315</v>
      </c>
      <c r="H36" s="18">
        <f t="shared" si="2"/>
        <v>27.62458333333333</v>
      </c>
      <c r="I36" s="18">
        <f t="shared" si="2"/>
        <v>6.9962500000000007</v>
      </c>
      <c r="J36" s="18">
        <f t="shared" si="2"/>
        <v>0.4054166666666667</v>
      </c>
      <c r="K36" s="18">
        <f t="shared" si="2"/>
        <v>189.48833333333332</v>
      </c>
      <c r="L36" s="18">
        <f t="shared" si="2"/>
        <v>18.457916666666669</v>
      </c>
      <c r="M36" s="18">
        <f t="shared" si="2"/>
        <v>26.557500000000001</v>
      </c>
      <c r="N36" s="18">
        <f t="shared" si="2"/>
        <v>141.86250000000004</v>
      </c>
      <c r="O36" s="18">
        <f t="shared" si="2"/>
        <v>0</v>
      </c>
      <c r="P36" s="18">
        <f t="shared" si="2"/>
        <v>0.35833333333333339</v>
      </c>
      <c r="Q36" s="18">
        <f t="shared" si="2"/>
        <v>10.139166666666666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4.4428822533791363</v>
      </c>
      <c r="C37" s="18">
        <f t="shared" ref="C37:Q37" si="3">STDEV(C9:C32)</f>
        <v>1.4443109284260818</v>
      </c>
      <c r="D37" s="18">
        <f t="shared" si="3"/>
        <v>4.8237239057434209</v>
      </c>
      <c r="E37" s="18">
        <f t="shared" si="3"/>
        <v>0.98909186499097479</v>
      </c>
      <c r="F37" s="18" t="e">
        <f t="shared" si="3"/>
        <v>#DIV/0!</v>
      </c>
      <c r="G37" s="18">
        <f t="shared" si="3"/>
        <v>16.659669059990584</v>
      </c>
      <c r="H37" s="18">
        <f t="shared" si="3"/>
        <v>5.448617678039934</v>
      </c>
      <c r="I37" s="18">
        <f t="shared" si="3"/>
        <v>0.99795361267117422</v>
      </c>
      <c r="J37" s="18">
        <f t="shared" si="3"/>
        <v>0.31615872687577368</v>
      </c>
      <c r="K37" s="18">
        <f t="shared" si="3"/>
        <v>108.94132839232356</v>
      </c>
      <c r="L37" s="18">
        <f t="shared" si="3"/>
        <v>3.7776159714211444</v>
      </c>
      <c r="M37" s="18">
        <f t="shared" si="3"/>
        <v>10.075256496896786</v>
      </c>
      <c r="N37" s="18">
        <f t="shared" si="3"/>
        <v>206.99909853300875</v>
      </c>
      <c r="O37" s="18">
        <f t="shared" si="3"/>
        <v>0</v>
      </c>
      <c r="P37" s="18">
        <f t="shared" si="3"/>
        <v>3.8860583211478186E-2</v>
      </c>
      <c r="Q37" s="18">
        <f t="shared" si="3"/>
        <v>0.50359504665404786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6"/>
  <sheetViews>
    <sheetView zoomScale="85" zoomScaleNormal="85" workbookViewId="0">
      <pane xSplit="2" ySplit="8" topLeftCell="C25" activePane="bottomRight" state="frozen"/>
      <selection activeCell="G19" sqref="G19"/>
      <selection pane="topRight" activeCell="G19" sqref="G19"/>
      <selection pane="bottomLeft" activeCell="G19" sqref="G19"/>
      <selection pane="bottomRight" activeCell="F39" sqref="F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10/10/2025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277</v>
      </c>
      <c r="B9" s="41">
        <v>4.96</v>
      </c>
      <c r="C9" s="41">
        <v>6.78</v>
      </c>
      <c r="D9" s="41">
        <v>11.74</v>
      </c>
      <c r="E9" s="41">
        <v>6.38</v>
      </c>
      <c r="F9" s="27" t="s">
        <v>8</v>
      </c>
      <c r="G9" s="41">
        <v>38.81</v>
      </c>
      <c r="H9" s="41">
        <v>19.79</v>
      </c>
      <c r="I9" s="41">
        <v>4.9000000000000004</v>
      </c>
      <c r="J9" s="41">
        <v>0.34</v>
      </c>
      <c r="K9" s="41">
        <v>221.48</v>
      </c>
      <c r="L9" s="41">
        <v>18.579999999999998</v>
      </c>
      <c r="M9" s="41">
        <v>28.73</v>
      </c>
      <c r="N9" s="41">
        <v>2.4</v>
      </c>
      <c r="O9" s="41">
        <v>0</v>
      </c>
      <c r="P9" s="41">
        <v>0.31</v>
      </c>
      <c r="Q9" s="41">
        <v>10</v>
      </c>
      <c r="R9" s="38"/>
      <c r="S9" s="38"/>
      <c r="T9" s="38"/>
      <c r="U9" s="38"/>
    </row>
    <row r="10" spans="1:21" customFormat="1">
      <c r="A10" s="40" t="s">
        <v>278</v>
      </c>
      <c r="B10" s="41">
        <v>6.26</v>
      </c>
      <c r="C10" s="41">
        <v>6.95</v>
      </c>
      <c r="D10" s="41">
        <v>13.16</v>
      </c>
      <c r="E10" s="41">
        <v>6.44</v>
      </c>
      <c r="F10" s="27" t="s">
        <v>8</v>
      </c>
      <c r="G10" s="41">
        <v>46.6</v>
      </c>
      <c r="H10" s="41">
        <v>18.86</v>
      </c>
      <c r="I10" s="41">
        <v>5.01</v>
      </c>
      <c r="J10" s="41">
        <v>0.39</v>
      </c>
      <c r="K10" s="41">
        <v>29.93</v>
      </c>
      <c r="L10" s="41">
        <v>11.23</v>
      </c>
      <c r="M10" s="41">
        <v>9.91</v>
      </c>
      <c r="N10" s="41">
        <v>2.6</v>
      </c>
      <c r="O10" s="41">
        <v>0</v>
      </c>
      <c r="P10" s="41">
        <v>0.37</v>
      </c>
      <c r="Q10" s="41">
        <v>10</v>
      </c>
      <c r="R10" s="38"/>
      <c r="S10" s="38"/>
      <c r="T10" s="38"/>
      <c r="U10" s="38"/>
    </row>
    <row r="11" spans="1:21" customFormat="1">
      <c r="A11" s="40" t="s">
        <v>279</v>
      </c>
      <c r="B11" s="41">
        <v>7.53</v>
      </c>
      <c r="C11" s="41">
        <v>6.95</v>
      </c>
      <c r="D11" s="41">
        <v>14.1</v>
      </c>
      <c r="E11" s="41">
        <v>5</v>
      </c>
      <c r="F11" s="27" t="s">
        <v>8</v>
      </c>
      <c r="G11" s="41">
        <v>90.57</v>
      </c>
      <c r="H11" s="41">
        <v>23.39</v>
      </c>
      <c r="I11" s="41">
        <v>5.97</v>
      </c>
      <c r="J11" s="41">
        <v>0.46</v>
      </c>
      <c r="K11" s="41">
        <v>47.55</v>
      </c>
      <c r="L11" s="41">
        <v>8.68</v>
      </c>
      <c r="M11" s="41">
        <v>3.7</v>
      </c>
      <c r="N11" s="41">
        <v>2.4</v>
      </c>
      <c r="O11" s="41">
        <v>0</v>
      </c>
      <c r="P11" s="41">
        <v>0.44</v>
      </c>
      <c r="Q11" s="41">
        <v>10.01</v>
      </c>
      <c r="R11" s="38"/>
      <c r="S11" s="38"/>
      <c r="T11" s="38"/>
      <c r="U11" s="38"/>
    </row>
    <row r="12" spans="1:21" customFormat="1">
      <c r="A12" s="40" t="s">
        <v>280</v>
      </c>
      <c r="B12" s="41">
        <v>8.15</v>
      </c>
      <c r="C12" s="41">
        <v>6.55</v>
      </c>
      <c r="D12" s="41">
        <v>14.64</v>
      </c>
      <c r="E12" s="41">
        <v>4.74</v>
      </c>
      <c r="F12" s="27" t="s">
        <v>8</v>
      </c>
      <c r="G12" s="41">
        <v>90.57</v>
      </c>
      <c r="H12" s="41">
        <v>23.39</v>
      </c>
      <c r="I12" s="41">
        <v>6.17</v>
      </c>
      <c r="J12" s="41">
        <v>0.14000000000000001</v>
      </c>
      <c r="K12" s="41">
        <v>190.24</v>
      </c>
      <c r="L12" s="41">
        <v>18.18</v>
      </c>
      <c r="M12" s="41">
        <v>27.81</v>
      </c>
      <c r="N12" s="41">
        <v>2.2000000000000002</v>
      </c>
      <c r="O12" s="41">
        <v>0</v>
      </c>
      <c r="P12" s="41">
        <v>0.44</v>
      </c>
      <c r="Q12" s="41">
        <v>10</v>
      </c>
      <c r="R12" s="38"/>
      <c r="S12" s="38"/>
      <c r="T12" s="38"/>
      <c r="U12" s="38"/>
    </row>
    <row r="13" spans="1:21" customFormat="1">
      <c r="A13" s="40" t="s">
        <v>281</v>
      </c>
      <c r="B13" s="41">
        <v>8.67</v>
      </c>
      <c r="C13" s="41">
        <v>6.53</v>
      </c>
      <c r="D13" s="41">
        <v>15.14</v>
      </c>
      <c r="E13" s="41">
        <v>4.9800000000000004</v>
      </c>
      <c r="F13" s="27" t="s">
        <v>8</v>
      </c>
      <c r="G13" s="41">
        <v>68.58</v>
      </c>
      <c r="H13" s="41">
        <v>22.97</v>
      </c>
      <c r="I13" s="41">
        <v>6.11</v>
      </c>
      <c r="J13" s="41">
        <v>0.16</v>
      </c>
      <c r="K13" s="41">
        <v>202.49</v>
      </c>
      <c r="L13" s="41">
        <v>18.34</v>
      </c>
      <c r="M13" s="41">
        <v>28.2</v>
      </c>
      <c r="N13" s="41">
        <v>2.1</v>
      </c>
      <c r="O13" s="41">
        <v>0</v>
      </c>
      <c r="P13" s="41">
        <v>0.43</v>
      </c>
      <c r="Q13" s="41">
        <v>10</v>
      </c>
      <c r="R13" s="38"/>
      <c r="S13" s="38"/>
      <c r="T13" s="38"/>
      <c r="U13" s="38"/>
    </row>
    <row r="14" spans="1:21" customFormat="1">
      <c r="A14" s="40" t="s">
        <v>282</v>
      </c>
      <c r="B14" s="41">
        <v>9.52</v>
      </c>
      <c r="C14" s="41">
        <v>6.7</v>
      </c>
      <c r="D14" s="41">
        <v>16.23</v>
      </c>
      <c r="E14" s="41">
        <v>4.96</v>
      </c>
      <c r="F14" s="27" t="s">
        <v>8</v>
      </c>
      <c r="G14" s="41">
        <v>60.77</v>
      </c>
      <c r="H14" s="41">
        <v>21.09</v>
      </c>
      <c r="I14" s="41">
        <v>5.96</v>
      </c>
      <c r="J14" s="41">
        <v>0.13</v>
      </c>
      <c r="K14" s="41">
        <v>169.87</v>
      </c>
      <c r="L14" s="41">
        <v>16.16</v>
      </c>
      <c r="M14" s="41">
        <v>21.99</v>
      </c>
      <c r="N14" s="41">
        <v>3.1</v>
      </c>
      <c r="O14" s="41">
        <v>0</v>
      </c>
      <c r="P14" s="41">
        <v>0.42</v>
      </c>
      <c r="Q14" s="41">
        <v>10.07</v>
      </c>
      <c r="R14" s="38"/>
      <c r="S14" s="38"/>
      <c r="T14" s="38"/>
      <c r="U14" s="38"/>
    </row>
    <row r="15" spans="1:21" customFormat="1">
      <c r="A15" s="40" t="s">
        <v>283</v>
      </c>
      <c r="B15" s="41">
        <v>10.29</v>
      </c>
      <c r="C15" s="41">
        <v>6.86</v>
      </c>
      <c r="D15" s="41">
        <v>17.13</v>
      </c>
      <c r="E15" s="41">
        <v>4.8499999999999996</v>
      </c>
      <c r="F15" s="27" t="s">
        <v>8</v>
      </c>
      <c r="G15" s="41">
        <v>58.37</v>
      </c>
      <c r="H15" s="41">
        <v>24.45</v>
      </c>
      <c r="I15" s="41">
        <v>5.84</v>
      </c>
      <c r="J15" s="41">
        <v>0.14000000000000001</v>
      </c>
      <c r="K15" s="41">
        <v>213.15</v>
      </c>
      <c r="L15" s="41">
        <v>19.23</v>
      </c>
      <c r="M15" s="41">
        <v>30.12</v>
      </c>
      <c r="N15" s="41">
        <v>33.200000000000003</v>
      </c>
      <c r="O15" s="41">
        <v>0</v>
      </c>
      <c r="P15" s="41">
        <v>0.4</v>
      </c>
      <c r="Q15" s="41">
        <v>10</v>
      </c>
      <c r="R15" s="38"/>
      <c r="S15" s="38"/>
      <c r="T15" s="38"/>
      <c r="U15" s="38"/>
    </row>
    <row r="16" spans="1:21" customFormat="1">
      <c r="A16" s="40" t="s">
        <v>284</v>
      </c>
      <c r="B16" s="41">
        <v>10.4</v>
      </c>
      <c r="C16" s="41">
        <v>7.35</v>
      </c>
      <c r="D16" s="41">
        <v>17.75</v>
      </c>
      <c r="E16" s="41">
        <v>5.01</v>
      </c>
      <c r="F16" s="27" t="s">
        <v>8</v>
      </c>
      <c r="G16" s="41">
        <v>66.05</v>
      </c>
      <c r="H16" s="41">
        <v>24.45</v>
      </c>
      <c r="I16" s="41">
        <v>5.75</v>
      </c>
      <c r="J16" s="41">
        <v>0.39</v>
      </c>
      <c r="K16" s="41">
        <v>358.18</v>
      </c>
      <c r="L16" s="41">
        <v>18.82</v>
      </c>
      <c r="M16" s="41">
        <v>27.88</v>
      </c>
      <c r="N16" s="41">
        <v>55.5</v>
      </c>
      <c r="O16" s="41">
        <v>0</v>
      </c>
      <c r="P16" s="41">
        <v>0.37</v>
      </c>
      <c r="Q16" s="41">
        <v>14.71</v>
      </c>
      <c r="R16" s="38"/>
      <c r="S16" s="38"/>
      <c r="T16" s="38"/>
      <c r="U16" s="38"/>
    </row>
    <row r="17" spans="1:21" customFormat="1">
      <c r="A17" s="40" t="s">
        <v>285</v>
      </c>
      <c r="B17" s="41">
        <v>10.82</v>
      </c>
      <c r="C17" s="41">
        <v>7.74</v>
      </c>
      <c r="D17" s="41">
        <v>18.55</v>
      </c>
      <c r="E17" s="41">
        <v>4.96</v>
      </c>
      <c r="F17" s="27" t="s">
        <v>8</v>
      </c>
      <c r="G17" s="41">
        <v>72.180000000000007</v>
      </c>
      <c r="H17" s="41">
        <v>24.12</v>
      </c>
      <c r="I17" s="41">
        <v>6.11</v>
      </c>
      <c r="J17" s="41">
        <v>0.33</v>
      </c>
      <c r="K17" s="41">
        <v>58.7</v>
      </c>
      <c r="L17" s="41">
        <v>12.18</v>
      </c>
      <c r="M17" s="41">
        <v>10.96</v>
      </c>
      <c r="N17" s="41">
        <v>90</v>
      </c>
      <c r="O17" s="41">
        <v>0</v>
      </c>
      <c r="P17" s="41">
        <v>0.39</v>
      </c>
      <c r="Q17" s="41">
        <v>18.07</v>
      </c>
      <c r="R17" s="38"/>
      <c r="S17" s="38"/>
      <c r="T17" s="38"/>
      <c r="U17" s="38"/>
    </row>
    <row r="18" spans="1:21" customFormat="1">
      <c r="A18" s="40" t="s">
        <v>286</v>
      </c>
      <c r="B18" s="41">
        <v>10.64</v>
      </c>
      <c r="C18" s="41">
        <v>7.84</v>
      </c>
      <c r="D18" s="41">
        <v>18.399999999999999</v>
      </c>
      <c r="E18" s="41">
        <v>5.04</v>
      </c>
      <c r="F18" s="27" t="s">
        <v>8</v>
      </c>
      <c r="G18" s="41">
        <v>75.03</v>
      </c>
      <c r="H18" s="41">
        <v>26.35</v>
      </c>
      <c r="I18" s="41">
        <v>6.26</v>
      </c>
      <c r="J18" s="41">
        <v>0.63</v>
      </c>
      <c r="K18" s="41">
        <v>73.84</v>
      </c>
      <c r="L18" s="41">
        <v>13.29</v>
      </c>
      <c r="M18" s="41">
        <v>7.73</v>
      </c>
      <c r="N18" s="41">
        <v>324.8</v>
      </c>
      <c r="O18" s="41">
        <v>0</v>
      </c>
      <c r="P18" s="41">
        <v>0.4</v>
      </c>
      <c r="Q18" s="41">
        <v>26.01</v>
      </c>
      <c r="R18" s="38"/>
      <c r="S18" s="38"/>
      <c r="T18" s="38"/>
      <c r="U18" s="38"/>
    </row>
    <row r="19" spans="1:21" customFormat="1">
      <c r="A19" s="40" t="s">
        <v>287</v>
      </c>
      <c r="B19" s="41">
        <v>9.83</v>
      </c>
      <c r="C19" s="41">
        <v>7.97</v>
      </c>
      <c r="D19" s="41">
        <v>17.77</v>
      </c>
      <c r="E19" s="41">
        <v>5.0999999999999996</v>
      </c>
      <c r="F19" s="27" t="s">
        <v>8</v>
      </c>
      <c r="G19" s="41">
        <v>78.12</v>
      </c>
      <c r="H19" s="41">
        <v>28.88</v>
      </c>
      <c r="I19" s="41">
        <v>6.46</v>
      </c>
      <c r="J19" s="41">
        <v>0.34</v>
      </c>
      <c r="K19" s="41">
        <v>61.73</v>
      </c>
      <c r="L19" s="41">
        <v>13.64</v>
      </c>
      <c r="M19" s="41">
        <v>8.48</v>
      </c>
      <c r="N19" s="41">
        <v>370.3</v>
      </c>
      <c r="O19" s="41">
        <v>0</v>
      </c>
      <c r="P19" s="41">
        <v>0.41</v>
      </c>
      <c r="Q19" s="41">
        <v>48.5</v>
      </c>
      <c r="R19" s="38"/>
      <c r="S19" s="38"/>
      <c r="T19" s="38"/>
      <c r="U19" s="38"/>
    </row>
    <row r="20" spans="1:21" customFormat="1">
      <c r="A20" s="40" t="s">
        <v>288</v>
      </c>
      <c r="B20" s="41">
        <v>8.1</v>
      </c>
      <c r="C20" s="41">
        <v>8.16</v>
      </c>
      <c r="D20" s="41">
        <v>16.190000000000001</v>
      </c>
      <c r="E20" s="41">
        <v>5.37</v>
      </c>
      <c r="F20" s="27" t="s">
        <v>8</v>
      </c>
      <c r="G20" s="41">
        <v>79.819999999999993</v>
      </c>
      <c r="H20" s="41">
        <v>29.06</v>
      </c>
      <c r="I20" s="41">
        <v>6.41</v>
      </c>
      <c r="J20" s="41">
        <v>0.43</v>
      </c>
      <c r="K20" s="41">
        <v>65.900000000000006</v>
      </c>
      <c r="L20" s="41">
        <v>12.57</v>
      </c>
      <c r="M20" s="41">
        <v>7.32</v>
      </c>
      <c r="N20" s="41">
        <v>313.2</v>
      </c>
      <c r="O20" s="41">
        <v>0</v>
      </c>
      <c r="P20" s="41">
        <v>0.43</v>
      </c>
      <c r="Q20" s="41">
        <v>37.479999999999997</v>
      </c>
      <c r="R20" s="38"/>
      <c r="S20" s="38"/>
      <c r="T20" s="38"/>
      <c r="U20" s="38"/>
    </row>
    <row r="21" spans="1:21" customFormat="1">
      <c r="A21" s="40" t="s">
        <v>289</v>
      </c>
      <c r="B21" s="41">
        <v>6.42</v>
      </c>
      <c r="C21" s="41">
        <v>8.27</v>
      </c>
      <c r="D21" s="41">
        <v>14.47</v>
      </c>
      <c r="E21" s="41">
        <v>5.63</v>
      </c>
      <c r="F21" s="27" t="s">
        <v>8</v>
      </c>
      <c r="G21" s="41">
        <v>79.819999999999993</v>
      </c>
      <c r="H21" s="41">
        <v>33.549999999999997</v>
      </c>
      <c r="I21" s="41">
        <v>6.29</v>
      </c>
      <c r="J21" s="41">
        <v>0.35</v>
      </c>
      <c r="K21" s="41">
        <v>90.23</v>
      </c>
      <c r="L21" s="41">
        <v>12.79</v>
      </c>
      <c r="M21" s="41">
        <v>10.94</v>
      </c>
      <c r="N21" s="41">
        <v>204.1</v>
      </c>
      <c r="O21" s="41">
        <v>0</v>
      </c>
      <c r="P21" s="41">
        <v>0.45</v>
      </c>
      <c r="Q21" s="41">
        <v>13.65</v>
      </c>
      <c r="R21" s="38"/>
      <c r="S21" s="38"/>
      <c r="T21" s="38"/>
      <c r="U21" s="38"/>
    </row>
    <row r="22" spans="1:21" customFormat="1">
      <c r="A22" s="40" t="s">
        <v>290</v>
      </c>
      <c r="B22" s="41">
        <v>5.39</v>
      </c>
      <c r="C22" s="41">
        <v>8.4499999999999993</v>
      </c>
      <c r="D22" s="41">
        <v>13.84</v>
      </c>
      <c r="E22" s="41">
        <v>5.86</v>
      </c>
      <c r="F22" s="27" t="s">
        <v>8</v>
      </c>
      <c r="G22" s="41">
        <v>78.099999999999994</v>
      </c>
      <c r="H22" s="41">
        <v>36.25</v>
      </c>
      <c r="I22" s="41">
        <v>6.14</v>
      </c>
      <c r="J22" s="41">
        <v>0.33</v>
      </c>
      <c r="K22" s="41">
        <v>123.59</v>
      </c>
      <c r="L22" s="41">
        <v>13.74</v>
      </c>
      <c r="M22" s="41">
        <v>13.09</v>
      </c>
      <c r="N22" s="41">
        <v>265.89999999999998</v>
      </c>
      <c r="O22" s="41">
        <v>0</v>
      </c>
      <c r="P22" s="41">
        <v>0.43</v>
      </c>
      <c r="Q22" s="41">
        <v>10.33</v>
      </c>
      <c r="R22" s="38"/>
      <c r="S22" s="38"/>
      <c r="T22" s="38"/>
      <c r="U22" s="38"/>
    </row>
    <row r="23" spans="1:21" customFormat="1">
      <c r="A23" s="40" t="s">
        <v>291</v>
      </c>
      <c r="B23" s="41">
        <v>4.78</v>
      </c>
      <c r="C23" s="41">
        <v>10.01</v>
      </c>
      <c r="D23" s="41">
        <v>14.79</v>
      </c>
      <c r="E23" s="41">
        <v>6.68</v>
      </c>
      <c r="F23" s="27" t="s">
        <v>8</v>
      </c>
      <c r="G23" s="41">
        <v>77.89</v>
      </c>
      <c r="H23" s="41">
        <v>36.25</v>
      </c>
      <c r="I23" s="41">
        <v>5.96</v>
      </c>
      <c r="J23" s="41">
        <v>0.34</v>
      </c>
      <c r="K23" s="41">
        <v>50.8</v>
      </c>
      <c r="L23" s="41">
        <v>15.54</v>
      </c>
      <c r="M23" s="41">
        <v>18.54</v>
      </c>
      <c r="N23" s="41">
        <v>109.2</v>
      </c>
      <c r="O23" s="41">
        <v>0</v>
      </c>
      <c r="P23" s="41">
        <v>0.37</v>
      </c>
      <c r="Q23" s="41">
        <v>10</v>
      </c>
      <c r="R23" s="38"/>
      <c r="S23" s="38"/>
      <c r="T23" s="38"/>
      <c r="U23" s="38"/>
    </row>
    <row r="24" spans="1:21" customFormat="1">
      <c r="A24" s="40" t="s">
        <v>292</v>
      </c>
      <c r="B24" s="41">
        <v>5.27</v>
      </c>
      <c r="C24" s="41">
        <v>10.7</v>
      </c>
      <c r="D24" s="41">
        <v>15.92</v>
      </c>
      <c r="E24" s="41">
        <v>6.7</v>
      </c>
      <c r="F24" s="27" t="s">
        <v>8</v>
      </c>
      <c r="G24" s="41">
        <v>77.89</v>
      </c>
      <c r="H24" s="41">
        <v>37.54</v>
      </c>
      <c r="I24" s="41">
        <v>5.98</v>
      </c>
      <c r="J24" s="41">
        <v>0.45</v>
      </c>
      <c r="K24" s="41">
        <v>357.83</v>
      </c>
      <c r="L24" s="41">
        <v>16.989999999999998</v>
      </c>
      <c r="M24" s="41">
        <v>23.23</v>
      </c>
      <c r="N24" s="41">
        <v>52.9</v>
      </c>
      <c r="O24" s="41">
        <v>4.4000000000000004</v>
      </c>
      <c r="P24" s="41">
        <v>0.37</v>
      </c>
      <c r="Q24" s="41">
        <v>10</v>
      </c>
      <c r="R24" s="38"/>
      <c r="S24" s="38"/>
      <c r="T24" s="38"/>
      <c r="U24" s="38"/>
    </row>
    <row r="25" spans="1:21" customFormat="1">
      <c r="A25" s="40" t="s">
        <v>293</v>
      </c>
      <c r="B25" s="41">
        <v>5</v>
      </c>
      <c r="C25" s="41">
        <v>9.1199999999999992</v>
      </c>
      <c r="D25" s="41">
        <v>14.11</v>
      </c>
      <c r="E25" s="41">
        <v>4.8</v>
      </c>
      <c r="F25" s="27" t="s">
        <v>8</v>
      </c>
      <c r="G25" s="41">
        <v>75.14</v>
      </c>
      <c r="H25" s="41">
        <v>39.22</v>
      </c>
      <c r="I25" s="41">
        <v>5.88</v>
      </c>
      <c r="J25" s="41">
        <v>0.25</v>
      </c>
      <c r="K25" s="41">
        <v>201.86</v>
      </c>
      <c r="L25" s="41">
        <v>19.29</v>
      </c>
      <c r="M25" s="41">
        <v>29.47</v>
      </c>
      <c r="N25" s="41">
        <v>58.5</v>
      </c>
      <c r="O25" s="41">
        <v>3.4</v>
      </c>
      <c r="P25" s="41">
        <v>0.35</v>
      </c>
      <c r="Q25" s="41">
        <v>10</v>
      </c>
      <c r="R25" s="38"/>
      <c r="S25" s="38"/>
      <c r="T25" s="38"/>
      <c r="U25" s="38"/>
    </row>
    <row r="26" spans="1:21" customFormat="1">
      <c r="A26" s="40" t="s">
        <v>294</v>
      </c>
      <c r="B26" s="41">
        <v>4.4000000000000004</v>
      </c>
      <c r="C26" s="41">
        <v>7.39</v>
      </c>
      <c r="D26" s="41">
        <v>11.79</v>
      </c>
      <c r="E26" s="41">
        <v>4.78</v>
      </c>
      <c r="F26" s="27" t="s">
        <v>8</v>
      </c>
      <c r="G26" s="41">
        <v>68.900000000000006</v>
      </c>
      <c r="H26" s="41">
        <v>39.22</v>
      </c>
      <c r="I26" s="41">
        <v>5.78</v>
      </c>
      <c r="J26" s="41">
        <v>0.35</v>
      </c>
      <c r="K26" s="41">
        <v>144.44999999999999</v>
      </c>
      <c r="L26" s="41">
        <v>14.98</v>
      </c>
      <c r="M26" s="41">
        <v>19.440000000000001</v>
      </c>
      <c r="N26" s="41">
        <v>35.5</v>
      </c>
      <c r="O26" s="41">
        <v>0</v>
      </c>
      <c r="P26" s="41">
        <v>0.3</v>
      </c>
      <c r="Q26" s="41">
        <v>10</v>
      </c>
      <c r="R26" s="38"/>
      <c r="S26" s="38"/>
      <c r="T26" s="38"/>
      <c r="U26" s="38"/>
    </row>
    <row r="27" spans="1:21" customFormat="1">
      <c r="A27" s="40" t="s">
        <v>295</v>
      </c>
      <c r="B27" s="41">
        <v>3.92</v>
      </c>
      <c r="C27" s="41">
        <v>7.37</v>
      </c>
      <c r="D27" s="41">
        <v>11.29</v>
      </c>
      <c r="E27" s="41">
        <v>5.32</v>
      </c>
      <c r="F27" s="27" t="s">
        <v>8</v>
      </c>
      <c r="G27" s="41">
        <v>60.16</v>
      </c>
      <c r="H27" s="41">
        <v>33.15</v>
      </c>
      <c r="I27" s="41">
        <v>5.23</v>
      </c>
      <c r="J27" s="41">
        <v>0.17</v>
      </c>
      <c r="K27" s="41">
        <v>343.5</v>
      </c>
      <c r="L27" s="41">
        <v>17.489999999999998</v>
      </c>
      <c r="M27" s="41">
        <v>25.91</v>
      </c>
      <c r="N27" s="41">
        <v>3.6</v>
      </c>
      <c r="O27" s="41">
        <v>0</v>
      </c>
      <c r="P27" s="41">
        <v>0.3</v>
      </c>
      <c r="Q27" s="41">
        <v>10</v>
      </c>
      <c r="R27" s="38"/>
      <c r="S27" s="38"/>
      <c r="T27" s="38"/>
      <c r="U27" s="38"/>
    </row>
    <row r="28" spans="1:21" customFormat="1">
      <c r="A28" s="40" t="s">
        <v>296</v>
      </c>
      <c r="B28" s="41">
        <v>4.68</v>
      </c>
      <c r="C28" s="41">
        <v>7.52</v>
      </c>
      <c r="D28" s="41">
        <v>12.2</v>
      </c>
      <c r="E28" s="41">
        <v>5.57</v>
      </c>
      <c r="F28" s="27" t="s">
        <v>8</v>
      </c>
      <c r="G28" s="41">
        <v>53.85</v>
      </c>
      <c r="H28" s="41">
        <v>23.4</v>
      </c>
      <c r="I28" s="41">
        <v>5.77</v>
      </c>
      <c r="J28" s="41">
        <v>0.17</v>
      </c>
      <c r="K28" s="41">
        <v>186.77</v>
      </c>
      <c r="L28" s="41">
        <v>19.02</v>
      </c>
      <c r="M28" s="41">
        <v>29.87</v>
      </c>
      <c r="N28" s="41">
        <v>2.6</v>
      </c>
      <c r="O28" s="41">
        <v>0</v>
      </c>
      <c r="P28" s="41">
        <v>0.34</v>
      </c>
      <c r="Q28" s="41">
        <v>10.8</v>
      </c>
      <c r="R28" s="38"/>
      <c r="S28" s="38"/>
      <c r="T28" s="38"/>
      <c r="U28" s="38"/>
    </row>
    <row r="29" spans="1:21" customFormat="1">
      <c r="A29" s="40" t="s">
        <v>297</v>
      </c>
      <c r="B29" s="41">
        <v>6.2</v>
      </c>
      <c r="C29" s="41">
        <v>7.79</v>
      </c>
      <c r="D29" s="41">
        <v>13.99</v>
      </c>
      <c r="E29" s="41">
        <v>5.45</v>
      </c>
      <c r="F29" s="27" t="s">
        <v>8</v>
      </c>
      <c r="G29" s="41">
        <v>70.37</v>
      </c>
      <c r="H29" s="41">
        <v>25.74</v>
      </c>
      <c r="I29" s="41">
        <v>6.31</v>
      </c>
      <c r="J29" s="41">
        <v>0.24</v>
      </c>
      <c r="K29" s="41">
        <v>126.36</v>
      </c>
      <c r="L29" s="41">
        <v>13.66</v>
      </c>
      <c r="M29" s="41">
        <v>16.38</v>
      </c>
      <c r="N29" s="41">
        <v>2.5</v>
      </c>
      <c r="O29" s="41">
        <v>0</v>
      </c>
      <c r="P29" s="41">
        <v>0.38</v>
      </c>
      <c r="Q29" s="41">
        <v>10</v>
      </c>
      <c r="R29" s="38"/>
      <c r="S29" s="38"/>
      <c r="T29" s="38"/>
      <c r="U29" s="38"/>
    </row>
    <row r="30" spans="1:21" customFormat="1">
      <c r="A30" s="40" t="s">
        <v>298</v>
      </c>
      <c r="B30" s="41">
        <v>7.6</v>
      </c>
      <c r="C30" s="41">
        <v>7.93</v>
      </c>
      <c r="D30" s="41">
        <v>15.46</v>
      </c>
      <c r="E30" s="41">
        <v>5.52</v>
      </c>
      <c r="F30" s="27" t="s">
        <v>8</v>
      </c>
      <c r="G30" s="41">
        <v>85.95</v>
      </c>
      <c r="H30" s="41">
        <v>26.21</v>
      </c>
      <c r="I30" s="41">
        <v>6.57</v>
      </c>
      <c r="J30" s="41">
        <v>0.24</v>
      </c>
      <c r="K30" s="41">
        <v>46.02</v>
      </c>
      <c r="L30" s="41">
        <v>11.26</v>
      </c>
      <c r="M30" s="41">
        <v>10.02</v>
      </c>
      <c r="N30" s="41">
        <v>2.5</v>
      </c>
      <c r="O30" s="41">
        <v>0</v>
      </c>
      <c r="P30" s="41">
        <v>0.43</v>
      </c>
      <c r="Q30" s="41">
        <v>10.31</v>
      </c>
      <c r="R30" s="38"/>
      <c r="S30" s="38"/>
      <c r="T30" s="38"/>
      <c r="U30" s="38"/>
    </row>
    <row r="31" spans="1:21" customFormat="1">
      <c r="A31" s="40" t="s">
        <v>299</v>
      </c>
      <c r="B31" s="41">
        <v>8.98</v>
      </c>
      <c r="C31" s="41">
        <v>7.79</v>
      </c>
      <c r="D31" s="41">
        <v>16.54</v>
      </c>
      <c r="E31" s="41">
        <v>5.34</v>
      </c>
      <c r="F31" s="27" t="s">
        <v>8</v>
      </c>
      <c r="G31" s="41">
        <v>101.78</v>
      </c>
      <c r="H31" s="41">
        <v>28.68</v>
      </c>
      <c r="I31" s="41">
        <v>6.77</v>
      </c>
      <c r="J31" s="41">
        <v>0.27</v>
      </c>
      <c r="K31" s="41">
        <v>28.8</v>
      </c>
      <c r="L31" s="41">
        <v>11.82</v>
      </c>
      <c r="M31" s="41">
        <v>11.36</v>
      </c>
      <c r="N31" s="41">
        <v>2.5</v>
      </c>
      <c r="O31" s="41">
        <v>0</v>
      </c>
      <c r="P31" s="41">
        <v>0.44</v>
      </c>
      <c r="Q31" s="41">
        <v>10</v>
      </c>
      <c r="R31" s="38"/>
      <c r="S31" s="38"/>
      <c r="T31" s="38"/>
      <c r="U31" s="38"/>
    </row>
    <row r="32" spans="1:21" customFormat="1">
      <c r="A32" s="40" t="s">
        <v>300</v>
      </c>
      <c r="B32" s="41">
        <v>9.8699999999999992</v>
      </c>
      <c r="C32" s="41">
        <v>7.76</v>
      </c>
      <c r="D32" s="41">
        <v>17.55</v>
      </c>
      <c r="E32" s="41">
        <v>5.22</v>
      </c>
      <c r="F32" s="27" t="s">
        <v>8</v>
      </c>
      <c r="G32" s="41">
        <v>101.78</v>
      </c>
      <c r="H32" s="41">
        <v>34.69</v>
      </c>
      <c r="I32" s="41">
        <v>6.83</v>
      </c>
      <c r="J32" s="41">
        <v>0.44</v>
      </c>
      <c r="K32" s="41">
        <v>42.24</v>
      </c>
      <c r="L32" s="41">
        <v>10.54</v>
      </c>
      <c r="M32" s="41">
        <v>7.53</v>
      </c>
      <c r="N32" s="41">
        <v>2.4</v>
      </c>
      <c r="O32" s="41">
        <v>0</v>
      </c>
      <c r="P32" s="41">
        <v>0.44</v>
      </c>
      <c r="Q32" s="41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3.92</v>
      </c>
      <c r="C34" s="18">
        <f t="shared" si="0"/>
        <v>6.53</v>
      </c>
      <c r="D34" s="18">
        <f t="shared" si="0"/>
        <v>11.29</v>
      </c>
      <c r="E34" s="18">
        <f t="shared" si="0"/>
        <v>4.74</v>
      </c>
      <c r="F34" s="18">
        <f t="shared" si="0"/>
        <v>0</v>
      </c>
      <c r="G34" s="18">
        <f t="shared" si="0"/>
        <v>38.81</v>
      </c>
      <c r="H34" s="18">
        <f t="shared" si="0"/>
        <v>18.86</v>
      </c>
      <c r="I34" s="18">
        <f t="shared" si="0"/>
        <v>4.9000000000000004</v>
      </c>
      <c r="J34" s="18">
        <f t="shared" si="0"/>
        <v>0.13</v>
      </c>
      <c r="K34" s="18">
        <f t="shared" si="0"/>
        <v>28.8</v>
      </c>
      <c r="L34" s="18">
        <f t="shared" si="0"/>
        <v>8.68</v>
      </c>
      <c r="M34" s="18">
        <f t="shared" si="0"/>
        <v>3.7</v>
      </c>
      <c r="N34" s="18">
        <f t="shared" si="0"/>
        <v>2.1</v>
      </c>
      <c r="O34" s="18">
        <f t="shared" si="0"/>
        <v>0</v>
      </c>
      <c r="P34" s="18">
        <f t="shared" si="0"/>
        <v>0.3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10.82</v>
      </c>
      <c r="C35" s="3">
        <f t="shared" si="1"/>
        <v>10.7</v>
      </c>
      <c r="D35" s="3">
        <f t="shared" si="1"/>
        <v>18.55</v>
      </c>
      <c r="E35" s="3">
        <f t="shared" si="1"/>
        <v>6.7</v>
      </c>
      <c r="F35" s="3">
        <f t="shared" si="1"/>
        <v>0</v>
      </c>
      <c r="G35" s="3">
        <f t="shared" si="1"/>
        <v>101.78</v>
      </c>
      <c r="H35" s="3">
        <f t="shared" si="1"/>
        <v>39.22</v>
      </c>
      <c r="I35" s="3">
        <f t="shared" si="1"/>
        <v>6.83</v>
      </c>
      <c r="J35" s="3">
        <f t="shared" si="1"/>
        <v>0.63</v>
      </c>
      <c r="K35" s="3">
        <f t="shared" si="1"/>
        <v>358.18</v>
      </c>
      <c r="L35" s="3">
        <f t="shared" si="1"/>
        <v>19.29</v>
      </c>
      <c r="M35" s="3">
        <f t="shared" si="1"/>
        <v>30.12</v>
      </c>
      <c r="N35" s="3">
        <f t="shared" si="1"/>
        <v>370.3</v>
      </c>
      <c r="O35" s="3">
        <f t="shared" si="1"/>
        <v>4.4000000000000004</v>
      </c>
      <c r="P35" s="3">
        <f t="shared" si="1"/>
        <v>0.45</v>
      </c>
      <c r="Q35" s="3">
        <f t="shared" si="1"/>
        <v>48.5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7.4033333333333315</v>
      </c>
      <c r="C36" s="18">
        <f t="shared" si="2"/>
        <v>7.77</v>
      </c>
      <c r="D36" s="18">
        <f t="shared" si="2"/>
        <v>15.114583333333336</v>
      </c>
      <c r="E36" s="18">
        <f t="shared" si="2"/>
        <v>5.4041666666666659</v>
      </c>
      <c r="F36" s="18" t="e">
        <f t="shared" si="2"/>
        <v>#DIV/0!</v>
      </c>
      <c r="G36" s="18">
        <f t="shared" si="2"/>
        <v>73.212500000000006</v>
      </c>
      <c r="H36" s="18">
        <f t="shared" si="2"/>
        <v>28.362500000000001</v>
      </c>
      <c r="I36" s="18">
        <f t="shared" si="2"/>
        <v>6.019166666666667</v>
      </c>
      <c r="J36" s="18">
        <f t="shared" si="2"/>
        <v>0.3116666666666667</v>
      </c>
      <c r="K36" s="18">
        <f t="shared" si="2"/>
        <v>143.14625000000001</v>
      </c>
      <c r="L36" s="18">
        <f t="shared" si="2"/>
        <v>14.917500000000002</v>
      </c>
      <c r="M36" s="18">
        <f t="shared" si="2"/>
        <v>17.858750000000001</v>
      </c>
      <c r="N36" s="18">
        <f t="shared" si="2"/>
        <v>80.999999999999986</v>
      </c>
      <c r="O36" s="18">
        <f t="shared" si="2"/>
        <v>0.32500000000000001</v>
      </c>
      <c r="P36" s="18">
        <f t="shared" si="2"/>
        <v>0.39208333333333328</v>
      </c>
      <c r="Q36" s="18">
        <f t="shared" si="2"/>
        <v>14.164166666666667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2.2901351140445247</v>
      </c>
      <c r="C37" s="18">
        <f t="shared" ref="C37:Q37" si="3">STDEV(C9:C32)</f>
        <v>1.0263697104887193</v>
      </c>
      <c r="D37" s="18">
        <f t="shared" si="3"/>
        <v>2.1553189598851716</v>
      </c>
      <c r="E37" s="18">
        <f t="shared" si="3"/>
        <v>0.60077425889008995</v>
      </c>
      <c r="F37" s="18" t="e">
        <f t="shared" si="3"/>
        <v>#DIV/0!</v>
      </c>
      <c r="G37" s="18">
        <f t="shared" si="3"/>
        <v>15.457840911724171</v>
      </c>
      <c r="H37" s="18">
        <f t="shared" si="3"/>
        <v>6.3216386497008275</v>
      </c>
      <c r="I37" s="18">
        <f t="shared" si="3"/>
        <v>0.47955519849731276</v>
      </c>
      <c r="J37" s="18">
        <f t="shared" si="3"/>
        <v>0.1254787931733162</v>
      </c>
      <c r="K37" s="18">
        <f t="shared" si="3"/>
        <v>103.52108690094093</v>
      </c>
      <c r="L37" s="18">
        <f t="shared" si="3"/>
        <v>3.2155454605238587</v>
      </c>
      <c r="M37" s="18">
        <f t="shared" si="3"/>
        <v>9.0017763041765644</v>
      </c>
      <c r="N37" s="18">
        <f t="shared" si="3"/>
        <v>119.3053080199667</v>
      </c>
      <c r="O37" s="18">
        <f t="shared" si="3"/>
        <v>1.1109142337654194</v>
      </c>
      <c r="P37" s="18">
        <f t="shared" si="3"/>
        <v>4.6529949837541024E-2</v>
      </c>
      <c r="Q37" s="18">
        <f t="shared" si="3"/>
        <v>9.7334813990127689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F39" sqref="F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 ht="25.5" customHeight="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11/10/2025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301</v>
      </c>
      <c r="B9" s="41">
        <v>10.029999999999999</v>
      </c>
      <c r="C9" s="41">
        <v>7.64</v>
      </c>
      <c r="D9" s="41">
        <v>17.579999999999998</v>
      </c>
      <c r="E9" s="41">
        <v>5.35</v>
      </c>
      <c r="F9" s="27" t="s">
        <v>8</v>
      </c>
      <c r="G9" s="41">
        <v>94.66</v>
      </c>
      <c r="H9" s="41">
        <v>34.69</v>
      </c>
      <c r="I9" s="41">
        <v>6.76</v>
      </c>
      <c r="J9" s="41">
        <v>0.4</v>
      </c>
      <c r="K9" s="41">
        <v>51.3</v>
      </c>
      <c r="L9" s="41">
        <v>7.68</v>
      </c>
      <c r="M9" s="41">
        <v>1.1599999999999999</v>
      </c>
      <c r="N9" s="41">
        <v>2.5</v>
      </c>
      <c r="O9" s="41">
        <v>0</v>
      </c>
      <c r="P9" s="41">
        <v>0.43</v>
      </c>
      <c r="Q9" s="41">
        <v>10</v>
      </c>
      <c r="R9" s="38"/>
      <c r="S9" s="38"/>
      <c r="T9" s="38"/>
      <c r="U9" s="38"/>
    </row>
    <row r="10" spans="1:21" customFormat="1">
      <c r="A10" s="40" t="s">
        <v>302</v>
      </c>
      <c r="B10" s="41">
        <v>10.039999999999999</v>
      </c>
      <c r="C10" s="41">
        <v>7.53</v>
      </c>
      <c r="D10" s="41">
        <v>17.489999999999998</v>
      </c>
      <c r="E10" s="41">
        <v>5.33</v>
      </c>
      <c r="F10" s="27" t="s">
        <v>8</v>
      </c>
      <c r="G10" s="41">
        <v>87.86</v>
      </c>
      <c r="H10" s="41">
        <v>32.17</v>
      </c>
      <c r="I10" s="41">
        <v>6.63</v>
      </c>
      <c r="J10" s="41">
        <v>0.45</v>
      </c>
      <c r="K10" s="41">
        <v>34.26</v>
      </c>
      <c r="L10" s="41">
        <v>11.5</v>
      </c>
      <c r="M10" s="41">
        <v>10.71</v>
      </c>
      <c r="N10" s="41">
        <v>2.4</v>
      </c>
      <c r="O10" s="41">
        <v>0</v>
      </c>
      <c r="P10" s="41">
        <v>0.42</v>
      </c>
      <c r="Q10" s="41">
        <v>10</v>
      </c>
      <c r="R10" s="38"/>
      <c r="S10" s="38"/>
      <c r="T10" s="38"/>
      <c r="U10" s="38"/>
    </row>
    <row r="11" spans="1:21" customFormat="1">
      <c r="A11" s="40" t="s">
        <v>303</v>
      </c>
      <c r="B11" s="41">
        <v>10</v>
      </c>
      <c r="C11" s="41">
        <v>7.6</v>
      </c>
      <c r="D11" s="41">
        <v>17.399999999999999</v>
      </c>
      <c r="E11" s="41">
        <v>6.73</v>
      </c>
      <c r="F11" s="27" t="s">
        <v>8</v>
      </c>
      <c r="G11" s="41">
        <v>72.709999999999994</v>
      </c>
      <c r="H11" s="41">
        <v>27.43</v>
      </c>
      <c r="I11" s="41">
        <v>6.49</v>
      </c>
      <c r="J11" s="41">
        <v>0.32</v>
      </c>
      <c r="K11" s="41">
        <v>29.72</v>
      </c>
      <c r="L11" s="41">
        <v>14.28</v>
      </c>
      <c r="M11" s="41">
        <v>17.59</v>
      </c>
      <c r="N11" s="41">
        <v>2.2000000000000002</v>
      </c>
      <c r="O11" s="41">
        <v>0</v>
      </c>
      <c r="P11" s="41">
        <v>0.39</v>
      </c>
      <c r="Q11" s="41">
        <v>10</v>
      </c>
      <c r="R11" s="38"/>
      <c r="S11" s="38"/>
      <c r="T11" s="38"/>
      <c r="U11" s="38"/>
    </row>
    <row r="12" spans="1:21" customFormat="1">
      <c r="A12" s="40" t="s">
        <v>304</v>
      </c>
      <c r="B12" s="41">
        <v>9.9700000000000006</v>
      </c>
      <c r="C12" s="41">
        <v>7.62</v>
      </c>
      <c r="D12" s="41">
        <v>17.53</v>
      </c>
      <c r="E12" s="41">
        <v>6.75</v>
      </c>
      <c r="F12" s="27" t="s">
        <v>8</v>
      </c>
      <c r="G12" s="41">
        <v>75.34</v>
      </c>
      <c r="H12" s="41">
        <v>27.43</v>
      </c>
      <c r="I12" s="41">
        <v>6.23</v>
      </c>
      <c r="J12" s="41">
        <v>0.36</v>
      </c>
      <c r="K12" s="41">
        <v>39.72</v>
      </c>
      <c r="L12" s="41">
        <v>12.33</v>
      </c>
      <c r="M12" s="41">
        <v>12.71</v>
      </c>
      <c r="N12" s="41">
        <v>2.4</v>
      </c>
      <c r="O12" s="41">
        <v>0</v>
      </c>
      <c r="P12" s="41">
        <v>0.34</v>
      </c>
      <c r="Q12" s="41">
        <v>10</v>
      </c>
      <c r="R12" s="38"/>
      <c r="S12" s="38"/>
      <c r="T12" s="38"/>
      <c r="U12" s="38"/>
    </row>
    <row r="13" spans="1:21" customFormat="1">
      <c r="A13" s="40" t="s">
        <v>305</v>
      </c>
      <c r="B13" s="41">
        <v>10.43</v>
      </c>
      <c r="C13" s="41">
        <v>7.49</v>
      </c>
      <c r="D13" s="41">
        <v>17.82</v>
      </c>
      <c r="E13" s="41">
        <v>6.82</v>
      </c>
      <c r="F13" s="27" t="s">
        <v>8</v>
      </c>
      <c r="G13" s="41">
        <v>88</v>
      </c>
      <c r="H13" s="41">
        <v>26.69</v>
      </c>
      <c r="I13" s="41">
        <v>6.2</v>
      </c>
      <c r="J13" s="41">
        <v>0.25</v>
      </c>
      <c r="K13" s="41">
        <v>44.51</v>
      </c>
      <c r="L13" s="41">
        <v>11.46</v>
      </c>
      <c r="M13" s="41">
        <v>10.51</v>
      </c>
      <c r="N13" s="41">
        <v>2.2999999999999998</v>
      </c>
      <c r="O13" s="41">
        <v>0</v>
      </c>
      <c r="P13" s="41">
        <v>0.33</v>
      </c>
      <c r="Q13" s="41">
        <v>10</v>
      </c>
      <c r="R13" s="38"/>
      <c r="S13" s="38"/>
      <c r="T13" s="38"/>
      <c r="U13" s="38"/>
    </row>
    <row r="14" spans="1:21" customFormat="1">
      <c r="A14" s="40" t="s">
        <v>306</v>
      </c>
      <c r="B14" s="41">
        <v>11.17</v>
      </c>
      <c r="C14" s="41">
        <v>7.34</v>
      </c>
      <c r="D14" s="41">
        <v>18.510000000000002</v>
      </c>
      <c r="E14" s="41">
        <v>6.76</v>
      </c>
      <c r="F14" s="27" t="s">
        <v>8</v>
      </c>
      <c r="G14" s="41">
        <v>93.65</v>
      </c>
      <c r="H14" s="41">
        <v>28.47</v>
      </c>
      <c r="I14" s="41">
        <v>6.05</v>
      </c>
      <c r="J14" s="41">
        <v>0.25</v>
      </c>
      <c r="K14" s="41">
        <v>48.11</v>
      </c>
      <c r="L14" s="41">
        <v>13.63</v>
      </c>
      <c r="M14" s="41">
        <v>16.149999999999999</v>
      </c>
      <c r="N14" s="41">
        <v>3.4</v>
      </c>
      <c r="O14" s="41">
        <v>0</v>
      </c>
      <c r="P14" s="41">
        <v>0.33</v>
      </c>
      <c r="Q14" s="41">
        <v>10.79</v>
      </c>
      <c r="R14" s="38"/>
      <c r="S14" s="38"/>
      <c r="T14" s="38"/>
      <c r="U14" s="38"/>
    </row>
    <row r="15" spans="1:21" customFormat="1">
      <c r="A15" s="40" t="s">
        <v>307</v>
      </c>
      <c r="B15" s="41">
        <v>12.19</v>
      </c>
      <c r="C15" s="41">
        <v>7.4</v>
      </c>
      <c r="D15" s="41">
        <v>19.55</v>
      </c>
      <c r="E15" s="41">
        <v>7.08</v>
      </c>
      <c r="F15" s="27" t="s">
        <v>8</v>
      </c>
      <c r="G15" s="41">
        <v>99.75</v>
      </c>
      <c r="H15" s="41">
        <v>32.43</v>
      </c>
      <c r="I15" s="41">
        <v>6.09</v>
      </c>
      <c r="J15" s="41">
        <v>0.15</v>
      </c>
      <c r="K15" s="41">
        <v>349.95</v>
      </c>
      <c r="L15" s="41">
        <v>19.420000000000002</v>
      </c>
      <c r="M15" s="41">
        <v>29.84</v>
      </c>
      <c r="N15" s="41">
        <v>31.4</v>
      </c>
      <c r="O15" s="41">
        <v>0</v>
      </c>
      <c r="P15" s="41">
        <v>0.34</v>
      </c>
      <c r="Q15" s="41">
        <v>10.71</v>
      </c>
      <c r="R15" s="38"/>
      <c r="S15" s="38"/>
      <c r="T15" s="38"/>
      <c r="U15" s="38"/>
    </row>
    <row r="16" spans="1:21" customFormat="1">
      <c r="A16" s="40" t="s">
        <v>308</v>
      </c>
      <c r="B16" s="41">
        <v>12.8</v>
      </c>
      <c r="C16" s="41">
        <v>7.41</v>
      </c>
      <c r="D16" s="41">
        <v>19.93</v>
      </c>
      <c r="E16" s="41">
        <v>6.92</v>
      </c>
      <c r="F16" s="27" t="s">
        <v>8</v>
      </c>
      <c r="G16" s="41">
        <v>112.6</v>
      </c>
      <c r="H16" s="41">
        <v>33.590000000000003</v>
      </c>
      <c r="I16" s="41">
        <v>6.59</v>
      </c>
      <c r="J16" s="41">
        <v>0.37</v>
      </c>
      <c r="K16" s="41">
        <v>336.69</v>
      </c>
      <c r="L16" s="41">
        <v>27.51</v>
      </c>
      <c r="M16" s="41">
        <v>49.7</v>
      </c>
      <c r="N16" s="41">
        <v>64.2</v>
      </c>
      <c r="O16" s="41">
        <v>0</v>
      </c>
      <c r="P16" s="41">
        <v>0.39</v>
      </c>
      <c r="Q16" s="41">
        <v>10</v>
      </c>
      <c r="R16" s="38"/>
      <c r="S16" s="38"/>
      <c r="T16" s="38"/>
      <c r="U16" s="38"/>
    </row>
    <row r="17" spans="1:21" customFormat="1">
      <c r="A17" s="40" t="s">
        <v>309</v>
      </c>
      <c r="B17" s="41">
        <v>13.34</v>
      </c>
      <c r="C17" s="41">
        <v>7.37</v>
      </c>
      <c r="D17" s="41">
        <v>20.68</v>
      </c>
      <c r="E17" s="41">
        <v>6.76</v>
      </c>
      <c r="F17" s="27" t="s">
        <v>8</v>
      </c>
      <c r="G17" s="41">
        <v>113.35</v>
      </c>
      <c r="H17" s="41">
        <v>33.590000000000003</v>
      </c>
      <c r="I17" s="41">
        <v>6.94</v>
      </c>
      <c r="J17" s="41">
        <v>0.35</v>
      </c>
      <c r="K17" s="41">
        <v>339.1</v>
      </c>
      <c r="L17" s="41">
        <v>23.93</v>
      </c>
      <c r="M17" s="41">
        <v>39.130000000000003</v>
      </c>
      <c r="N17" s="41">
        <v>143.80000000000001</v>
      </c>
      <c r="O17" s="41">
        <v>0</v>
      </c>
      <c r="P17" s="41">
        <v>0.4</v>
      </c>
      <c r="Q17" s="41">
        <v>10</v>
      </c>
      <c r="R17" s="38"/>
      <c r="S17" s="38"/>
      <c r="T17" s="38"/>
      <c r="U17" s="38"/>
    </row>
    <row r="18" spans="1:21" customFormat="1">
      <c r="A18" s="40" t="s">
        <v>310</v>
      </c>
      <c r="B18" s="41">
        <v>13.28</v>
      </c>
      <c r="C18" s="41">
        <v>7.67</v>
      </c>
      <c r="D18" s="41">
        <v>20.67</v>
      </c>
      <c r="E18" s="41">
        <v>6.56</v>
      </c>
      <c r="F18" s="27" t="s">
        <v>8</v>
      </c>
      <c r="G18" s="41">
        <v>116.39</v>
      </c>
      <c r="H18" s="41">
        <v>35.4</v>
      </c>
      <c r="I18" s="41">
        <v>7.08</v>
      </c>
      <c r="J18" s="41">
        <v>0.22</v>
      </c>
      <c r="K18" s="41">
        <v>345.46</v>
      </c>
      <c r="L18" s="41">
        <v>20.239999999999998</v>
      </c>
      <c r="M18" s="41">
        <v>28.27</v>
      </c>
      <c r="N18" s="41">
        <v>213.5</v>
      </c>
      <c r="O18" s="41">
        <v>0</v>
      </c>
      <c r="P18" s="41">
        <v>0.41</v>
      </c>
      <c r="Q18" s="41">
        <v>10.74</v>
      </c>
      <c r="R18" s="38"/>
      <c r="S18" s="38"/>
      <c r="T18" s="38"/>
      <c r="U18" s="38"/>
    </row>
    <row r="19" spans="1:21" customFormat="1">
      <c r="A19" s="40" t="s">
        <v>311</v>
      </c>
      <c r="B19" s="41">
        <v>12.7</v>
      </c>
      <c r="C19" s="41">
        <v>10.199999999999999</v>
      </c>
      <c r="D19" s="41">
        <v>20.5</v>
      </c>
      <c r="E19" s="41">
        <v>6.52</v>
      </c>
      <c r="F19" s="27" t="s">
        <v>8</v>
      </c>
      <c r="G19" s="41">
        <v>116.39</v>
      </c>
      <c r="H19" s="41">
        <v>36.270000000000003</v>
      </c>
      <c r="I19" s="41">
        <v>7.22</v>
      </c>
      <c r="J19" s="41">
        <v>0.37</v>
      </c>
      <c r="K19" s="41">
        <v>353.05</v>
      </c>
      <c r="L19" s="41">
        <v>16.98</v>
      </c>
      <c r="M19" s="41">
        <v>19.98</v>
      </c>
      <c r="N19" s="41">
        <v>291.3</v>
      </c>
      <c r="O19" s="41">
        <v>0</v>
      </c>
      <c r="P19" s="41">
        <v>0.45</v>
      </c>
      <c r="Q19" s="41">
        <v>11.72</v>
      </c>
      <c r="R19" s="38"/>
      <c r="S19" s="38"/>
      <c r="T19" s="38"/>
      <c r="U19" s="38"/>
    </row>
    <row r="20" spans="1:21" customFormat="1">
      <c r="A20" s="40" t="s">
        <v>312</v>
      </c>
      <c r="B20" s="41">
        <v>7.3</v>
      </c>
      <c r="C20" s="41">
        <v>13.53</v>
      </c>
      <c r="D20" s="41">
        <v>19.3</v>
      </c>
      <c r="E20" s="41">
        <v>7.37</v>
      </c>
      <c r="F20" s="27" t="s">
        <v>8</v>
      </c>
      <c r="G20" s="41">
        <v>114.38</v>
      </c>
      <c r="H20" s="41">
        <v>36.270000000000003</v>
      </c>
      <c r="I20" s="41">
        <v>7.3</v>
      </c>
      <c r="J20" s="41">
        <v>0.39</v>
      </c>
      <c r="K20" s="41">
        <v>338.91</v>
      </c>
      <c r="L20" s="41">
        <v>25.46</v>
      </c>
      <c r="M20" s="41">
        <v>42.71</v>
      </c>
      <c r="N20" s="41">
        <v>507.8</v>
      </c>
      <c r="O20" s="41">
        <v>0</v>
      </c>
      <c r="P20" s="41">
        <v>0.45</v>
      </c>
      <c r="Q20" s="41">
        <v>10.44</v>
      </c>
      <c r="R20" s="38"/>
      <c r="S20" s="38"/>
      <c r="T20" s="38"/>
      <c r="U20" s="38"/>
    </row>
    <row r="21" spans="1:21" customFormat="1">
      <c r="A21" s="40" t="s">
        <v>313</v>
      </c>
      <c r="B21" s="41">
        <v>2.65</v>
      </c>
      <c r="C21" s="41">
        <v>15.37</v>
      </c>
      <c r="D21" s="41">
        <v>17.649999999999999</v>
      </c>
      <c r="E21" s="41">
        <v>6.8</v>
      </c>
      <c r="F21" s="27" t="s">
        <v>8</v>
      </c>
      <c r="G21" s="41">
        <v>111.16</v>
      </c>
      <c r="H21" s="41">
        <v>39.65</v>
      </c>
      <c r="I21" s="41">
        <v>7.23</v>
      </c>
      <c r="J21" s="41">
        <v>0.68</v>
      </c>
      <c r="K21" s="41">
        <v>315.64</v>
      </c>
      <c r="L21" s="41">
        <v>28.42</v>
      </c>
      <c r="M21" s="41">
        <v>43.17</v>
      </c>
      <c r="N21" s="41">
        <v>442</v>
      </c>
      <c r="O21" s="41">
        <v>0</v>
      </c>
      <c r="P21" s="41">
        <v>0.44</v>
      </c>
      <c r="Q21" s="41">
        <v>10.029999999999999</v>
      </c>
      <c r="R21" s="38"/>
      <c r="S21" s="38"/>
      <c r="T21" s="38"/>
      <c r="U21" s="38"/>
    </row>
    <row r="22" spans="1:21" customFormat="1">
      <c r="A22" s="40" t="s">
        <v>314</v>
      </c>
      <c r="B22" s="41">
        <v>2.66</v>
      </c>
      <c r="C22" s="41">
        <v>14.57</v>
      </c>
      <c r="D22" s="41">
        <v>17.059999999999999</v>
      </c>
      <c r="E22" s="41">
        <v>8</v>
      </c>
      <c r="F22" s="27" t="s">
        <v>8</v>
      </c>
      <c r="G22" s="41">
        <v>130.08000000000001</v>
      </c>
      <c r="H22" s="41">
        <v>39.65</v>
      </c>
      <c r="I22" s="41">
        <v>8.08</v>
      </c>
      <c r="J22" s="41">
        <v>0.76</v>
      </c>
      <c r="K22" s="41">
        <v>345.64</v>
      </c>
      <c r="L22" s="41">
        <v>27.86</v>
      </c>
      <c r="M22" s="41">
        <v>46.07</v>
      </c>
      <c r="N22" s="41">
        <v>249.1</v>
      </c>
      <c r="O22" s="41">
        <v>0</v>
      </c>
      <c r="P22" s="41">
        <v>0.47</v>
      </c>
      <c r="Q22" s="41">
        <v>10.19</v>
      </c>
      <c r="R22" s="38"/>
      <c r="S22" s="38"/>
      <c r="T22" s="38"/>
      <c r="U22" s="38"/>
    </row>
    <row r="23" spans="1:21" customFormat="1">
      <c r="A23" s="40" t="s">
        <v>315</v>
      </c>
      <c r="B23" s="41">
        <v>3.3</v>
      </c>
      <c r="C23" s="41">
        <v>12.5</v>
      </c>
      <c r="D23" s="41">
        <v>15.29</v>
      </c>
      <c r="E23" s="41">
        <v>6.44</v>
      </c>
      <c r="F23" s="27" t="s">
        <v>8</v>
      </c>
      <c r="G23" s="41">
        <v>130.08000000000001</v>
      </c>
      <c r="H23" s="41">
        <v>42.58</v>
      </c>
      <c r="I23" s="41">
        <v>7.84</v>
      </c>
      <c r="J23" s="41">
        <v>0.94</v>
      </c>
      <c r="K23" s="41">
        <v>332.23</v>
      </c>
      <c r="L23" s="41">
        <v>21.14</v>
      </c>
      <c r="M23" s="41">
        <v>31.37</v>
      </c>
      <c r="N23" s="41">
        <v>167.7</v>
      </c>
      <c r="O23" s="41">
        <v>0</v>
      </c>
      <c r="P23" s="41">
        <v>0.4</v>
      </c>
      <c r="Q23" s="41">
        <v>10</v>
      </c>
      <c r="R23" s="38"/>
      <c r="S23" s="38"/>
      <c r="T23" s="38"/>
      <c r="U23" s="38"/>
    </row>
    <row r="24" spans="1:21" customFormat="1">
      <c r="A24" s="40" t="s">
        <v>316</v>
      </c>
      <c r="B24" s="41">
        <v>2.4700000000000002</v>
      </c>
      <c r="C24" s="41">
        <v>11.19</v>
      </c>
      <c r="D24" s="41">
        <v>13.43</v>
      </c>
      <c r="E24" s="41">
        <v>4.16</v>
      </c>
      <c r="F24" s="27" t="s">
        <v>8</v>
      </c>
      <c r="G24" s="41">
        <v>121.12</v>
      </c>
      <c r="H24" s="41">
        <v>42.58</v>
      </c>
      <c r="I24" s="41">
        <v>6.67</v>
      </c>
      <c r="J24" s="41">
        <v>1.17</v>
      </c>
      <c r="K24" s="41">
        <v>36.1</v>
      </c>
      <c r="L24" s="41">
        <v>9.14</v>
      </c>
      <c r="M24" s="41">
        <v>3.85</v>
      </c>
      <c r="N24" s="41">
        <v>36.6</v>
      </c>
      <c r="O24" s="41">
        <v>0</v>
      </c>
      <c r="P24" s="41">
        <v>0.37</v>
      </c>
      <c r="Q24" s="41">
        <v>10.98</v>
      </c>
      <c r="R24" s="38"/>
      <c r="S24" s="38"/>
      <c r="T24" s="38"/>
      <c r="U24" s="38"/>
    </row>
    <row r="25" spans="1:21" customFormat="1">
      <c r="A25" s="40" t="s">
        <v>317</v>
      </c>
      <c r="B25" s="41">
        <v>2.82</v>
      </c>
      <c r="C25" s="41">
        <v>7.96</v>
      </c>
      <c r="D25" s="41">
        <v>10.54</v>
      </c>
      <c r="E25" s="41">
        <v>4.0999999999999996</v>
      </c>
      <c r="F25" s="27" t="s">
        <v>8</v>
      </c>
      <c r="G25" s="41">
        <v>99.02</v>
      </c>
      <c r="H25" s="41">
        <v>36.68</v>
      </c>
      <c r="I25" s="41">
        <v>6.1</v>
      </c>
      <c r="J25" s="41">
        <v>0.54</v>
      </c>
      <c r="K25" s="41">
        <v>105.3</v>
      </c>
      <c r="L25" s="41">
        <v>12.85</v>
      </c>
      <c r="M25" s="41">
        <v>13.67</v>
      </c>
      <c r="N25" s="41">
        <v>29.4</v>
      </c>
      <c r="O25" s="41">
        <v>0</v>
      </c>
      <c r="P25" s="41">
        <v>0.35</v>
      </c>
      <c r="Q25" s="41">
        <v>10.65</v>
      </c>
      <c r="R25" s="38"/>
      <c r="S25" s="38"/>
      <c r="T25" s="38"/>
      <c r="U25" s="38"/>
    </row>
    <row r="26" spans="1:21" customFormat="1">
      <c r="A26" s="40" t="s">
        <v>318</v>
      </c>
      <c r="B26" s="41">
        <v>3.84</v>
      </c>
      <c r="C26" s="41">
        <v>7.48</v>
      </c>
      <c r="D26" s="41">
        <v>11.05</v>
      </c>
      <c r="E26" s="41">
        <v>4.41</v>
      </c>
      <c r="F26" s="27" t="s">
        <v>8</v>
      </c>
      <c r="G26" s="41">
        <v>75.62</v>
      </c>
      <c r="H26" s="41">
        <v>26.51</v>
      </c>
      <c r="I26" s="41">
        <v>6.05</v>
      </c>
      <c r="J26" s="41">
        <v>0.56999999999999995</v>
      </c>
      <c r="K26" s="41">
        <v>52.92</v>
      </c>
      <c r="L26" s="41">
        <v>9.85</v>
      </c>
      <c r="M26" s="41">
        <v>6.24</v>
      </c>
      <c r="N26" s="41">
        <v>15.4</v>
      </c>
      <c r="O26" s="41">
        <v>0</v>
      </c>
      <c r="P26" s="41">
        <v>0.37</v>
      </c>
      <c r="Q26" s="41">
        <v>10.78</v>
      </c>
      <c r="R26" s="38"/>
      <c r="S26" s="38"/>
      <c r="T26" s="38"/>
      <c r="U26" s="38"/>
    </row>
    <row r="27" spans="1:21" customFormat="1">
      <c r="A27" s="40" t="s">
        <v>319</v>
      </c>
      <c r="B27" s="41">
        <v>5.48</v>
      </c>
      <c r="C27" s="41">
        <v>7.6</v>
      </c>
      <c r="D27" s="41">
        <v>12.94</v>
      </c>
      <c r="E27" s="41">
        <v>4.95</v>
      </c>
      <c r="F27" s="27" t="s">
        <v>8</v>
      </c>
      <c r="G27" s="41">
        <v>61.27</v>
      </c>
      <c r="H27" s="41">
        <v>22.07</v>
      </c>
      <c r="I27" s="41">
        <v>6.38</v>
      </c>
      <c r="J27" s="41">
        <v>0.65</v>
      </c>
      <c r="K27" s="41">
        <v>67.34</v>
      </c>
      <c r="L27" s="41">
        <v>10.39</v>
      </c>
      <c r="M27" s="41">
        <v>7.96</v>
      </c>
      <c r="N27" s="41">
        <v>2.5</v>
      </c>
      <c r="O27" s="41">
        <v>0</v>
      </c>
      <c r="P27" s="41">
        <v>0.37</v>
      </c>
      <c r="Q27" s="41">
        <v>10.43</v>
      </c>
      <c r="R27" s="38"/>
      <c r="S27" s="38"/>
      <c r="T27" s="38"/>
      <c r="U27" s="38"/>
    </row>
    <row r="28" spans="1:21" customFormat="1">
      <c r="A28" s="40" t="s">
        <v>320</v>
      </c>
      <c r="B28" s="41">
        <v>7.37</v>
      </c>
      <c r="C28" s="41">
        <v>7.8</v>
      </c>
      <c r="D28" s="41">
        <v>14.95</v>
      </c>
      <c r="E28" s="41">
        <v>5.37</v>
      </c>
      <c r="F28" s="27" t="s">
        <v>8</v>
      </c>
      <c r="G28" s="41">
        <v>67.27</v>
      </c>
      <c r="H28" s="41">
        <v>22.31</v>
      </c>
      <c r="I28" s="41">
        <v>6.52</v>
      </c>
      <c r="J28" s="41">
        <v>0.86</v>
      </c>
      <c r="K28" s="41">
        <v>38.58</v>
      </c>
      <c r="L28" s="41">
        <v>8.6</v>
      </c>
      <c r="M28" s="41">
        <v>3.3</v>
      </c>
      <c r="N28" s="41">
        <v>2.4</v>
      </c>
      <c r="O28" s="41">
        <v>0</v>
      </c>
      <c r="P28" s="41">
        <v>0.38</v>
      </c>
      <c r="Q28" s="41">
        <v>10.58</v>
      </c>
      <c r="R28" s="38"/>
      <c r="S28" s="38"/>
      <c r="T28" s="38"/>
      <c r="U28" s="38"/>
    </row>
    <row r="29" spans="1:21" customFormat="1">
      <c r="A29" s="40" t="s">
        <v>321</v>
      </c>
      <c r="B29" s="41">
        <v>8.4</v>
      </c>
      <c r="C29" s="41">
        <v>7.56</v>
      </c>
      <c r="D29" s="41">
        <v>15.86</v>
      </c>
      <c r="E29" s="41">
        <v>5.44</v>
      </c>
      <c r="F29" s="27" t="s">
        <v>8</v>
      </c>
      <c r="G29" s="41">
        <v>67.27</v>
      </c>
      <c r="H29" s="41">
        <v>22.31</v>
      </c>
      <c r="I29" s="41">
        <v>6.62</v>
      </c>
      <c r="J29" s="41">
        <v>0.59</v>
      </c>
      <c r="K29" s="41">
        <v>44.19</v>
      </c>
      <c r="L29" s="41">
        <v>10.34</v>
      </c>
      <c r="M29" s="41">
        <v>7.87</v>
      </c>
      <c r="N29" s="41">
        <v>2.4</v>
      </c>
      <c r="O29" s="41">
        <v>0</v>
      </c>
      <c r="P29" s="41">
        <v>0.39</v>
      </c>
      <c r="Q29" s="41">
        <v>10.16</v>
      </c>
      <c r="R29" s="38"/>
      <c r="S29" s="38"/>
      <c r="T29" s="38"/>
      <c r="U29" s="38"/>
    </row>
    <row r="30" spans="1:21" customFormat="1">
      <c r="A30" s="40" t="s">
        <v>322</v>
      </c>
      <c r="B30" s="41">
        <v>9.5500000000000007</v>
      </c>
      <c r="C30" s="41">
        <v>7.47</v>
      </c>
      <c r="D30" s="41">
        <v>17.02</v>
      </c>
      <c r="E30" s="41">
        <v>5.7</v>
      </c>
      <c r="F30" s="27" t="s">
        <v>8</v>
      </c>
      <c r="G30" s="41">
        <v>59.37</v>
      </c>
      <c r="H30" s="41">
        <v>16.72</v>
      </c>
      <c r="I30" s="41">
        <v>6.78</v>
      </c>
      <c r="J30" s="41">
        <v>0.45</v>
      </c>
      <c r="K30" s="41">
        <v>40.98</v>
      </c>
      <c r="L30" s="41">
        <v>10.51</v>
      </c>
      <c r="M30" s="41">
        <v>8.16</v>
      </c>
      <c r="N30" s="41">
        <v>2.4</v>
      </c>
      <c r="O30" s="41">
        <v>0</v>
      </c>
      <c r="P30" s="41">
        <v>0.39</v>
      </c>
      <c r="Q30" s="41">
        <v>10</v>
      </c>
      <c r="R30" s="38"/>
      <c r="S30" s="38"/>
      <c r="T30" s="38"/>
      <c r="U30" s="38"/>
    </row>
    <row r="31" spans="1:21" customFormat="1">
      <c r="A31" s="40" t="s">
        <v>323</v>
      </c>
      <c r="B31" s="41">
        <v>11.08</v>
      </c>
      <c r="C31" s="41">
        <v>8.32</v>
      </c>
      <c r="D31" s="41">
        <v>19.399999999999999</v>
      </c>
      <c r="E31" s="41">
        <v>6.19</v>
      </c>
      <c r="F31" s="27" t="s">
        <v>8</v>
      </c>
      <c r="G31" s="41">
        <v>64.040000000000006</v>
      </c>
      <c r="H31" s="41">
        <v>21.12</v>
      </c>
      <c r="I31" s="41">
        <v>6.78</v>
      </c>
      <c r="J31" s="41">
        <v>0.31</v>
      </c>
      <c r="K31" s="41">
        <v>48.29</v>
      </c>
      <c r="L31" s="41">
        <v>10.84</v>
      </c>
      <c r="M31" s="41">
        <v>8.85</v>
      </c>
      <c r="N31" s="41">
        <v>2.2000000000000002</v>
      </c>
      <c r="O31" s="41">
        <v>0</v>
      </c>
      <c r="P31" s="41">
        <v>0.38</v>
      </c>
      <c r="Q31" s="41">
        <v>10</v>
      </c>
      <c r="R31" s="38"/>
      <c r="S31" s="38"/>
      <c r="T31" s="38"/>
      <c r="U31" s="38"/>
    </row>
    <row r="32" spans="1:21" customFormat="1">
      <c r="A32" s="40" t="s">
        <v>324</v>
      </c>
      <c r="B32" s="41">
        <v>12.5</v>
      </c>
      <c r="C32" s="41">
        <v>8.31</v>
      </c>
      <c r="D32" s="41">
        <v>20.69</v>
      </c>
      <c r="E32" s="41">
        <v>6.44</v>
      </c>
      <c r="F32" s="27" t="s">
        <v>8</v>
      </c>
      <c r="G32" s="41">
        <v>68.900000000000006</v>
      </c>
      <c r="H32" s="41">
        <v>21.12</v>
      </c>
      <c r="I32" s="41">
        <v>6.84</v>
      </c>
      <c r="J32" s="41">
        <v>0.2</v>
      </c>
      <c r="K32" s="41">
        <v>354.57</v>
      </c>
      <c r="L32" s="41">
        <v>18.32</v>
      </c>
      <c r="M32" s="41">
        <v>27.75</v>
      </c>
      <c r="N32" s="41">
        <v>2.2000000000000002</v>
      </c>
      <c r="O32" s="41">
        <v>0</v>
      </c>
      <c r="P32" s="41">
        <v>0.39</v>
      </c>
      <c r="Q32" s="41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2.4700000000000002</v>
      </c>
      <c r="C34" s="18">
        <f t="shared" si="0"/>
        <v>7.34</v>
      </c>
      <c r="D34" s="18">
        <f t="shared" si="0"/>
        <v>10.54</v>
      </c>
      <c r="E34" s="18">
        <f t="shared" si="0"/>
        <v>4.0999999999999996</v>
      </c>
      <c r="F34" s="18">
        <f t="shared" si="0"/>
        <v>0</v>
      </c>
      <c r="G34" s="18">
        <f t="shared" si="0"/>
        <v>59.37</v>
      </c>
      <c r="H34" s="18">
        <f t="shared" si="0"/>
        <v>16.72</v>
      </c>
      <c r="I34" s="18">
        <f t="shared" si="0"/>
        <v>6.05</v>
      </c>
      <c r="J34" s="18">
        <f t="shared" si="0"/>
        <v>0.15</v>
      </c>
      <c r="K34" s="18">
        <f t="shared" si="0"/>
        <v>29.72</v>
      </c>
      <c r="L34" s="18">
        <f t="shared" si="0"/>
        <v>7.68</v>
      </c>
      <c r="M34" s="18">
        <f t="shared" si="0"/>
        <v>1.1599999999999999</v>
      </c>
      <c r="N34" s="18">
        <f t="shared" si="0"/>
        <v>2.2000000000000002</v>
      </c>
      <c r="O34" s="18">
        <f t="shared" si="0"/>
        <v>0</v>
      </c>
      <c r="P34" s="18">
        <f t="shared" si="0"/>
        <v>0.33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13.34</v>
      </c>
      <c r="C35" s="3">
        <f t="shared" si="1"/>
        <v>15.37</v>
      </c>
      <c r="D35" s="3">
        <f t="shared" si="1"/>
        <v>20.69</v>
      </c>
      <c r="E35" s="3">
        <f t="shared" si="1"/>
        <v>8</v>
      </c>
      <c r="F35" s="3">
        <f t="shared" si="1"/>
        <v>0</v>
      </c>
      <c r="G35" s="3">
        <f t="shared" si="1"/>
        <v>130.08000000000001</v>
      </c>
      <c r="H35" s="3">
        <f t="shared" si="1"/>
        <v>42.58</v>
      </c>
      <c r="I35" s="3">
        <f t="shared" si="1"/>
        <v>8.08</v>
      </c>
      <c r="J35" s="3">
        <f t="shared" si="1"/>
        <v>1.17</v>
      </c>
      <c r="K35" s="3">
        <f t="shared" si="1"/>
        <v>354.57</v>
      </c>
      <c r="L35" s="3">
        <f t="shared" si="1"/>
        <v>28.42</v>
      </c>
      <c r="M35" s="3">
        <f t="shared" si="1"/>
        <v>49.7</v>
      </c>
      <c r="N35" s="3">
        <f t="shared" si="1"/>
        <v>507.8</v>
      </c>
      <c r="O35" s="3">
        <f t="shared" si="1"/>
        <v>0</v>
      </c>
      <c r="P35" s="3">
        <f t="shared" si="1"/>
        <v>0.47</v>
      </c>
      <c r="Q35" s="3">
        <f t="shared" si="1"/>
        <v>11.72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8.5570833333333347</v>
      </c>
      <c r="C36" s="18">
        <f t="shared" si="2"/>
        <v>8.9554166666666664</v>
      </c>
      <c r="D36" s="18">
        <f t="shared" si="2"/>
        <v>17.201666666666668</v>
      </c>
      <c r="E36" s="18">
        <f t="shared" si="2"/>
        <v>6.1229166666666659</v>
      </c>
      <c r="F36" s="18" t="e">
        <f t="shared" si="2"/>
        <v>#DIV/0!</v>
      </c>
      <c r="G36" s="18">
        <f t="shared" si="2"/>
        <v>93.344999999999985</v>
      </c>
      <c r="H36" s="18">
        <f t="shared" si="2"/>
        <v>30.738749999999992</v>
      </c>
      <c r="I36" s="18">
        <f t="shared" si="2"/>
        <v>6.7279166666666663</v>
      </c>
      <c r="J36" s="18">
        <f t="shared" si="2"/>
        <v>0.48333333333333323</v>
      </c>
      <c r="K36" s="18">
        <f t="shared" si="2"/>
        <v>170.52333333333334</v>
      </c>
      <c r="L36" s="18">
        <f t="shared" si="2"/>
        <v>15.945</v>
      </c>
      <c r="M36" s="18">
        <f t="shared" si="2"/>
        <v>20.280000000000005</v>
      </c>
      <c r="N36" s="18">
        <f t="shared" si="2"/>
        <v>92.5625</v>
      </c>
      <c r="O36" s="18">
        <f t="shared" si="2"/>
        <v>0</v>
      </c>
      <c r="P36" s="18">
        <f t="shared" si="2"/>
        <v>0.39083333333333342</v>
      </c>
      <c r="Q36" s="18">
        <f t="shared" si="2"/>
        <v>10.341666666666667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3.8291348542306567</v>
      </c>
      <c r="C37" s="18">
        <f t="shared" ref="C37:Q37" si="3">STDEV(C9:C32)</f>
        <v>2.511976493878294</v>
      </c>
      <c r="D37" s="18">
        <f t="shared" si="3"/>
        <v>2.9283021741596786</v>
      </c>
      <c r="E37" s="18">
        <f t="shared" si="3"/>
        <v>1.0298901552515514</v>
      </c>
      <c r="F37" s="18" t="e">
        <f t="shared" si="3"/>
        <v>#DIV/0!</v>
      </c>
      <c r="G37" s="18">
        <f t="shared" si="3"/>
        <v>23.088147909978552</v>
      </c>
      <c r="H37" s="18">
        <f t="shared" si="3"/>
        <v>7.3849590458374532</v>
      </c>
      <c r="I37" s="18">
        <f t="shared" si="3"/>
        <v>0.53510648405281191</v>
      </c>
      <c r="J37" s="18">
        <f t="shared" si="3"/>
        <v>0.25451858506782488</v>
      </c>
      <c r="K37" s="18">
        <f t="shared" si="3"/>
        <v>148.13584252495986</v>
      </c>
      <c r="L37" s="18">
        <f t="shared" si="3"/>
        <v>6.7376379553513672</v>
      </c>
      <c r="M37" s="18">
        <f t="shared" si="3"/>
        <v>15.128107442195423</v>
      </c>
      <c r="N37" s="18">
        <f t="shared" si="3"/>
        <v>146.92634597411165</v>
      </c>
      <c r="O37" s="18">
        <f t="shared" si="3"/>
        <v>0</v>
      </c>
      <c r="P37" s="18">
        <f t="shared" si="3"/>
        <v>3.8664292780702492E-2</v>
      </c>
      <c r="Q37" s="18">
        <f t="shared" si="3"/>
        <v>0.44727840436856869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>COUNT(F9:F32)+24</f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60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6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F38" sqref="F3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12/10/2025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325</v>
      </c>
      <c r="B9" s="41">
        <v>13.12</v>
      </c>
      <c r="C9" s="41">
        <v>8.5299999999999994</v>
      </c>
      <c r="D9" s="41">
        <v>21.33</v>
      </c>
      <c r="E9" s="41">
        <v>6.6</v>
      </c>
      <c r="F9" s="28" t="s">
        <v>15</v>
      </c>
      <c r="G9" s="41">
        <v>68.900000000000006</v>
      </c>
      <c r="H9" s="41">
        <v>20.98</v>
      </c>
      <c r="I9" s="41">
        <v>6.84</v>
      </c>
      <c r="J9" s="41">
        <v>0.27</v>
      </c>
      <c r="K9" s="41">
        <v>39.83</v>
      </c>
      <c r="L9" s="41">
        <v>14.88</v>
      </c>
      <c r="M9" s="41">
        <v>19.079999999999998</v>
      </c>
      <c r="N9" s="41">
        <v>2.2999999999999998</v>
      </c>
      <c r="O9" s="41">
        <v>0</v>
      </c>
      <c r="P9" s="41">
        <v>0.38</v>
      </c>
      <c r="Q9" s="41">
        <v>10</v>
      </c>
      <c r="R9" s="38"/>
      <c r="S9" s="38"/>
      <c r="T9" s="38"/>
      <c r="U9" s="38"/>
    </row>
    <row r="10" spans="1:21" customFormat="1">
      <c r="A10" s="40" t="s">
        <v>326</v>
      </c>
      <c r="B10" s="41">
        <v>13.2</v>
      </c>
      <c r="C10" s="41">
        <v>8.1199999999999992</v>
      </c>
      <c r="D10" s="41">
        <v>21.28</v>
      </c>
      <c r="E10" s="41">
        <v>6.8</v>
      </c>
      <c r="F10" s="28" t="s">
        <v>15</v>
      </c>
      <c r="G10" s="41">
        <v>66.89</v>
      </c>
      <c r="H10" s="41">
        <v>19.43</v>
      </c>
      <c r="I10" s="41">
        <v>6.65</v>
      </c>
      <c r="J10" s="41">
        <v>0.33</v>
      </c>
      <c r="K10" s="41">
        <v>44.89</v>
      </c>
      <c r="L10" s="41">
        <v>12.36</v>
      </c>
      <c r="M10" s="41">
        <v>12.77</v>
      </c>
      <c r="N10" s="41">
        <v>2.4</v>
      </c>
      <c r="O10" s="41">
        <v>0</v>
      </c>
      <c r="P10" s="41">
        <v>0.36</v>
      </c>
      <c r="Q10" s="41">
        <v>10</v>
      </c>
      <c r="R10" s="38"/>
      <c r="S10" s="38"/>
      <c r="T10" s="38"/>
      <c r="U10" s="38"/>
    </row>
    <row r="11" spans="1:21" customFormat="1">
      <c r="A11" s="40" t="s">
        <v>327</v>
      </c>
      <c r="B11" s="41">
        <v>12.81</v>
      </c>
      <c r="C11" s="41">
        <v>7.9</v>
      </c>
      <c r="D11" s="41">
        <v>20.71</v>
      </c>
      <c r="E11" s="41">
        <v>5.39</v>
      </c>
      <c r="F11" s="28" t="s">
        <v>15</v>
      </c>
      <c r="G11" s="41">
        <v>59.06</v>
      </c>
      <c r="H11" s="41">
        <v>18.87</v>
      </c>
      <c r="I11" s="41">
        <v>6.31</v>
      </c>
      <c r="J11" s="41">
        <v>0.45</v>
      </c>
      <c r="K11" s="41">
        <v>41.43</v>
      </c>
      <c r="L11" s="41">
        <v>8.1</v>
      </c>
      <c r="M11" s="41">
        <v>2.0499999999999998</v>
      </c>
      <c r="N11" s="41">
        <v>2.4</v>
      </c>
      <c r="O11" s="41">
        <v>0</v>
      </c>
      <c r="P11" s="41">
        <v>0.34</v>
      </c>
      <c r="Q11" s="41">
        <v>10</v>
      </c>
      <c r="R11" s="38"/>
      <c r="S11" s="38"/>
      <c r="T11" s="38"/>
      <c r="U11" s="38"/>
    </row>
    <row r="12" spans="1:21" customFormat="1">
      <c r="A12" s="40" t="s">
        <v>328</v>
      </c>
      <c r="B12" s="41">
        <v>12.68</v>
      </c>
      <c r="C12" s="41">
        <v>7.5</v>
      </c>
      <c r="D12" s="41">
        <v>19.829999999999998</v>
      </c>
      <c r="E12" s="41">
        <v>5.47</v>
      </c>
      <c r="F12" s="28" t="s">
        <v>15</v>
      </c>
      <c r="G12" s="41">
        <v>55.12</v>
      </c>
      <c r="H12" s="41">
        <v>18.22</v>
      </c>
      <c r="I12" s="41">
        <v>6.03</v>
      </c>
      <c r="J12" s="41">
        <v>0.34</v>
      </c>
      <c r="K12" s="41">
        <v>45.77</v>
      </c>
      <c r="L12" s="41">
        <v>10.01</v>
      </c>
      <c r="M12" s="41">
        <v>6.91</v>
      </c>
      <c r="N12" s="41">
        <v>2.4</v>
      </c>
      <c r="O12" s="41">
        <v>0</v>
      </c>
      <c r="P12" s="41">
        <v>0.36</v>
      </c>
      <c r="Q12" s="41">
        <v>10</v>
      </c>
      <c r="R12" s="38"/>
      <c r="S12" s="38"/>
      <c r="T12" s="38"/>
      <c r="U12" s="38"/>
    </row>
    <row r="13" spans="1:21" customFormat="1">
      <c r="A13" s="40" t="s">
        <v>329</v>
      </c>
      <c r="B13" s="41">
        <v>13.5</v>
      </c>
      <c r="C13" s="41">
        <v>7.32</v>
      </c>
      <c r="D13" s="41">
        <v>20.82</v>
      </c>
      <c r="E13" s="41">
        <v>5.25</v>
      </c>
      <c r="F13" s="28" t="s">
        <v>15</v>
      </c>
      <c r="G13" s="41">
        <v>55.12</v>
      </c>
      <c r="H13" s="41">
        <v>18.61</v>
      </c>
      <c r="I13" s="41">
        <v>6</v>
      </c>
      <c r="J13" s="41">
        <v>0.28000000000000003</v>
      </c>
      <c r="K13" s="41">
        <v>42.68</v>
      </c>
      <c r="L13" s="41">
        <v>10.76</v>
      </c>
      <c r="M13" s="41">
        <v>8.74</v>
      </c>
      <c r="N13" s="41">
        <v>2.4</v>
      </c>
      <c r="O13" s="41">
        <v>0</v>
      </c>
      <c r="P13" s="41">
        <v>0.34</v>
      </c>
      <c r="Q13" s="41">
        <v>10</v>
      </c>
      <c r="R13" s="38"/>
      <c r="S13" s="38"/>
      <c r="T13" s="38"/>
      <c r="U13" s="38"/>
    </row>
    <row r="14" spans="1:21" customFormat="1">
      <c r="A14" s="40" t="s">
        <v>330</v>
      </c>
      <c r="B14" s="41">
        <v>14.63</v>
      </c>
      <c r="C14" s="41">
        <v>7.49</v>
      </c>
      <c r="D14" s="41">
        <v>22.12</v>
      </c>
      <c r="E14" s="41">
        <v>5.29</v>
      </c>
      <c r="F14" s="28" t="s">
        <v>15</v>
      </c>
      <c r="G14" s="41">
        <v>54.58</v>
      </c>
      <c r="H14" s="41">
        <v>18.739999999999998</v>
      </c>
      <c r="I14" s="41">
        <v>6.1</v>
      </c>
      <c r="J14" s="41">
        <v>0.25</v>
      </c>
      <c r="K14" s="41">
        <v>81.66</v>
      </c>
      <c r="L14" s="41">
        <v>11.2</v>
      </c>
      <c r="M14" s="41">
        <v>10.01</v>
      </c>
      <c r="N14" s="41">
        <v>3.1</v>
      </c>
      <c r="O14" s="41">
        <v>0</v>
      </c>
      <c r="P14" s="41">
        <v>0.34</v>
      </c>
      <c r="Q14" s="41">
        <v>10</v>
      </c>
      <c r="R14" s="38"/>
      <c r="S14" s="38"/>
      <c r="T14" s="38"/>
      <c r="U14" s="38"/>
    </row>
    <row r="15" spans="1:21" customFormat="1">
      <c r="A15" s="40" t="s">
        <v>331</v>
      </c>
      <c r="B15" s="41">
        <v>15.67</v>
      </c>
      <c r="C15" s="41">
        <v>7.7</v>
      </c>
      <c r="D15" s="41">
        <v>23.29</v>
      </c>
      <c r="E15" s="41">
        <v>5.37</v>
      </c>
      <c r="F15" s="28" t="s">
        <v>15</v>
      </c>
      <c r="G15" s="41">
        <v>52.74</v>
      </c>
      <c r="H15" s="41">
        <v>18.739999999999998</v>
      </c>
      <c r="I15" s="41">
        <v>6.35</v>
      </c>
      <c r="J15" s="41">
        <v>0.33</v>
      </c>
      <c r="K15" s="41">
        <v>34.130000000000003</v>
      </c>
      <c r="L15" s="41">
        <v>12.52</v>
      </c>
      <c r="M15" s="41">
        <v>12.73</v>
      </c>
      <c r="N15" s="41">
        <v>36.700000000000003</v>
      </c>
      <c r="O15" s="41">
        <v>0</v>
      </c>
      <c r="P15" s="41">
        <v>0.35</v>
      </c>
      <c r="Q15" s="41">
        <v>10</v>
      </c>
      <c r="R15" s="38"/>
      <c r="S15" s="38"/>
      <c r="T15" s="38"/>
      <c r="U15" s="38"/>
    </row>
    <row r="16" spans="1:21" customFormat="1">
      <c r="A16" s="40" t="s">
        <v>332</v>
      </c>
      <c r="B16" s="41">
        <v>15.97</v>
      </c>
      <c r="C16" s="41">
        <v>7.93</v>
      </c>
      <c r="D16" s="41">
        <v>23.89</v>
      </c>
      <c r="E16" s="41">
        <v>5.36</v>
      </c>
      <c r="F16" s="28" t="s">
        <v>15</v>
      </c>
      <c r="G16" s="41">
        <v>55</v>
      </c>
      <c r="H16" s="41">
        <v>22.25</v>
      </c>
      <c r="I16" s="41">
        <v>6.45</v>
      </c>
      <c r="J16" s="41">
        <v>0.41</v>
      </c>
      <c r="K16" s="41">
        <v>50.35</v>
      </c>
      <c r="L16" s="41">
        <v>17.25</v>
      </c>
      <c r="M16" s="41">
        <v>23.5</v>
      </c>
      <c r="N16" s="41">
        <v>111.6</v>
      </c>
      <c r="O16" s="41">
        <v>0</v>
      </c>
      <c r="P16" s="41">
        <v>0.36</v>
      </c>
      <c r="Q16" s="41">
        <v>10</v>
      </c>
      <c r="R16" s="38"/>
      <c r="S16" s="38"/>
      <c r="T16" s="38"/>
      <c r="U16" s="38"/>
    </row>
    <row r="17" spans="1:21" customFormat="1">
      <c r="A17" s="40" t="s">
        <v>333</v>
      </c>
      <c r="B17" s="41">
        <v>15.62</v>
      </c>
      <c r="C17" s="41">
        <v>8.7799999999999994</v>
      </c>
      <c r="D17" s="41">
        <v>23.8</v>
      </c>
      <c r="E17" s="41">
        <v>5.14</v>
      </c>
      <c r="F17" s="28" t="s">
        <v>15</v>
      </c>
      <c r="G17" s="41">
        <v>55</v>
      </c>
      <c r="H17" s="41">
        <v>22.25</v>
      </c>
      <c r="I17" s="41">
        <v>6.51</v>
      </c>
      <c r="J17" s="41">
        <v>0.67</v>
      </c>
      <c r="K17" s="41">
        <v>51.89</v>
      </c>
      <c r="L17" s="41">
        <v>10.41</v>
      </c>
      <c r="M17" s="41">
        <v>1.72</v>
      </c>
      <c r="N17" s="41">
        <v>279.39999999999998</v>
      </c>
      <c r="O17" s="41">
        <v>0</v>
      </c>
      <c r="P17" s="41">
        <v>0.32</v>
      </c>
      <c r="Q17" s="41">
        <v>10</v>
      </c>
      <c r="R17" s="38"/>
      <c r="S17" s="38"/>
      <c r="T17" s="38"/>
      <c r="U17" s="38"/>
    </row>
    <row r="18" spans="1:21" customFormat="1">
      <c r="A18" s="40" t="s">
        <v>334</v>
      </c>
      <c r="B18" s="41">
        <v>15.08</v>
      </c>
      <c r="C18" s="41">
        <v>9.2200000000000006</v>
      </c>
      <c r="D18" s="41">
        <v>24.3</v>
      </c>
      <c r="E18" s="41">
        <v>5.01</v>
      </c>
      <c r="F18" s="28" t="s">
        <v>15</v>
      </c>
      <c r="G18" s="41">
        <v>55.24</v>
      </c>
      <c r="H18" s="41">
        <v>23.2</v>
      </c>
      <c r="I18" s="41">
        <v>6.32</v>
      </c>
      <c r="J18" s="41">
        <v>0.47</v>
      </c>
      <c r="K18" s="41">
        <v>61.33</v>
      </c>
      <c r="L18" s="41">
        <v>14.68</v>
      </c>
      <c r="M18" s="41">
        <v>8.36</v>
      </c>
      <c r="N18" s="41">
        <v>457</v>
      </c>
      <c r="O18" s="41">
        <v>0</v>
      </c>
      <c r="P18" s="41">
        <v>0.32</v>
      </c>
      <c r="Q18" s="41">
        <v>10</v>
      </c>
      <c r="R18" s="38"/>
      <c r="S18" s="38"/>
      <c r="T18" s="38"/>
      <c r="U18" s="38"/>
    </row>
    <row r="19" spans="1:21" customFormat="1">
      <c r="A19" s="40" t="s">
        <v>335</v>
      </c>
      <c r="B19" s="41">
        <v>14.59</v>
      </c>
      <c r="C19" s="41">
        <v>9.16</v>
      </c>
      <c r="D19" s="41">
        <v>23.74</v>
      </c>
      <c r="E19" s="41">
        <v>6.57</v>
      </c>
      <c r="F19" s="28" t="s">
        <v>15</v>
      </c>
      <c r="G19" s="41">
        <v>59.21</v>
      </c>
      <c r="H19" s="41">
        <v>23.2</v>
      </c>
      <c r="I19" s="41">
        <v>6.08</v>
      </c>
      <c r="J19" s="41">
        <v>0.34</v>
      </c>
      <c r="K19" s="41">
        <v>87</v>
      </c>
      <c r="L19" s="41">
        <v>16.64</v>
      </c>
      <c r="M19" s="41">
        <v>10.97</v>
      </c>
      <c r="N19" s="41">
        <v>542.1</v>
      </c>
      <c r="O19" s="41">
        <v>0</v>
      </c>
      <c r="P19" s="41">
        <v>0.34</v>
      </c>
      <c r="Q19" s="41">
        <v>10</v>
      </c>
      <c r="R19" s="38"/>
      <c r="S19" s="38"/>
      <c r="T19" s="38"/>
      <c r="U19" s="38"/>
    </row>
    <row r="20" spans="1:21" customFormat="1">
      <c r="A20" s="40" t="s">
        <v>336</v>
      </c>
      <c r="B20" s="41">
        <v>11.58</v>
      </c>
      <c r="C20" s="41">
        <v>8.92</v>
      </c>
      <c r="D20" s="41">
        <v>20.5</v>
      </c>
      <c r="E20" s="41">
        <v>6.44</v>
      </c>
      <c r="F20" s="28" t="s">
        <v>15</v>
      </c>
      <c r="G20" s="41">
        <v>59.21</v>
      </c>
      <c r="H20" s="41">
        <v>22.04</v>
      </c>
      <c r="I20" s="41">
        <v>6.19</v>
      </c>
      <c r="J20" s="41">
        <v>0.37</v>
      </c>
      <c r="K20" s="41">
        <v>84.92</v>
      </c>
      <c r="L20" s="41">
        <v>15.48</v>
      </c>
      <c r="M20" s="41">
        <v>8.93</v>
      </c>
      <c r="N20" s="41">
        <v>543.70000000000005</v>
      </c>
      <c r="O20" s="41">
        <v>0</v>
      </c>
      <c r="P20" s="41">
        <v>0.34</v>
      </c>
      <c r="Q20" s="41">
        <v>10</v>
      </c>
      <c r="R20" s="38"/>
      <c r="S20" s="38"/>
      <c r="T20" s="38"/>
      <c r="U20" s="38"/>
    </row>
    <row r="21" spans="1:21" customFormat="1">
      <c r="A21" s="40" t="s">
        <v>337</v>
      </c>
      <c r="B21" s="41">
        <v>7.73</v>
      </c>
      <c r="C21" s="41">
        <v>8.7200000000000006</v>
      </c>
      <c r="D21" s="41">
        <v>16.45</v>
      </c>
      <c r="E21" s="41">
        <v>6.56</v>
      </c>
      <c r="F21" s="28" t="s">
        <v>15</v>
      </c>
      <c r="G21" s="41">
        <v>55.61</v>
      </c>
      <c r="H21" s="41">
        <v>20.34</v>
      </c>
      <c r="I21" s="41">
        <v>6.04</v>
      </c>
      <c r="J21" s="41">
        <v>0.76</v>
      </c>
      <c r="K21" s="41">
        <v>157.58000000000001</v>
      </c>
      <c r="L21" s="41">
        <v>19.809999999999999</v>
      </c>
      <c r="M21" s="41">
        <v>18.46</v>
      </c>
      <c r="N21" s="41">
        <v>570</v>
      </c>
      <c r="O21" s="41">
        <v>0</v>
      </c>
      <c r="P21" s="41">
        <v>0.35</v>
      </c>
      <c r="Q21" s="41">
        <v>10</v>
      </c>
      <c r="R21" s="38"/>
      <c r="S21" s="38"/>
      <c r="T21" s="38"/>
      <c r="U21" s="38"/>
    </row>
    <row r="22" spans="1:21" customFormat="1">
      <c r="A22" s="40" t="s">
        <v>338</v>
      </c>
      <c r="B22" s="41">
        <v>4.75</v>
      </c>
      <c r="C22" s="41">
        <v>8.1300000000000008</v>
      </c>
      <c r="D22" s="41">
        <v>12.88</v>
      </c>
      <c r="E22" s="41">
        <v>6.99</v>
      </c>
      <c r="F22" s="28" t="s">
        <v>15</v>
      </c>
      <c r="G22" s="41">
        <v>53.69</v>
      </c>
      <c r="H22" s="41">
        <v>21.1</v>
      </c>
      <c r="I22" s="41">
        <v>5.98</v>
      </c>
      <c r="J22" s="41">
        <v>0.53</v>
      </c>
      <c r="K22" s="41">
        <v>56.51</v>
      </c>
      <c r="L22" s="41">
        <v>12.98</v>
      </c>
      <c r="M22" s="41">
        <v>6.12</v>
      </c>
      <c r="N22" s="41">
        <v>367.6</v>
      </c>
      <c r="O22" s="41">
        <v>0</v>
      </c>
      <c r="P22" s="41">
        <v>0.37</v>
      </c>
      <c r="Q22" s="41">
        <v>10</v>
      </c>
      <c r="R22" s="38"/>
      <c r="S22" s="38"/>
      <c r="T22" s="38"/>
      <c r="U22" s="38"/>
    </row>
    <row r="23" spans="1:21" customFormat="1">
      <c r="A23" s="40" t="s">
        <v>339</v>
      </c>
      <c r="B23" s="41">
        <v>4.04</v>
      </c>
      <c r="C23" s="41">
        <v>7.67</v>
      </c>
      <c r="D23" s="41">
        <v>11.58</v>
      </c>
      <c r="E23" s="41">
        <v>6.29</v>
      </c>
      <c r="F23" s="28" t="s">
        <v>15</v>
      </c>
      <c r="G23" s="41">
        <v>53.69</v>
      </c>
      <c r="H23" s="41">
        <v>21.1</v>
      </c>
      <c r="I23" s="41">
        <v>5.88</v>
      </c>
      <c r="J23" s="41">
        <v>0.56000000000000005</v>
      </c>
      <c r="K23" s="41">
        <v>44.92</v>
      </c>
      <c r="L23" s="41">
        <v>12.03</v>
      </c>
      <c r="M23" s="41">
        <v>10.37</v>
      </c>
      <c r="N23" s="41">
        <v>268.5</v>
      </c>
      <c r="O23" s="41">
        <v>0</v>
      </c>
      <c r="P23" s="41">
        <v>0.35</v>
      </c>
      <c r="Q23" s="41">
        <v>10</v>
      </c>
      <c r="R23" s="38"/>
      <c r="S23" s="38"/>
      <c r="T23" s="38"/>
      <c r="U23" s="38"/>
    </row>
    <row r="24" spans="1:21" customFormat="1">
      <c r="A24" s="40" t="s">
        <v>340</v>
      </c>
      <c r="B24" s="41">
        <v>3.6</v>
      </c>
      <c r="C24" s="41">
        <v>7.53</v>
      </c>
      <c r="D24" s="41">
        <v>11</v>
      </c>
      <c r="E24" s="41">
        <v>6.62</v>
      </c>
      <c r="F24" s="28" t="s">
        <v>15</v>
      </c>
      <c r="G24" s="41">
        <v>51.96</v>
      </c>
      <c r="H24" s="41">
        <v>19.760000000000002</v>
      </c>
      <c r="I24" s="41">
        <v>5.74</v>
      </c>
      <c r="J24" s="41">
        <v>0.36</v>
      </c>
      <c r="K24" s="41">
        <v>117.45</v>
      </c>
      <c r="L24" s="41">
        <v>14.72</v>
      </c>
      <c r="M24" s="41">
        <v>17.38</v>
      </c>
      <c r="N24" s="41">
        <v>67.8</v>
      </c>
      <c r="O24" s="41">
        <v>0</v>
      </c>
      <c r="P24" s="41">
        <v>0.35</v>
      </c>
      <c r="Q24" s="41">
        <v>10</v>
      </c>
      <c r="R24" s="38"/>
      <c r="S24" s="38"/>
      <c r="T24" s="38"/>
      <c r="U24" s="38"/>
    </row>
    <row r="25" spans="1:21" customFormat="1">
      <c r="A25" s="40" t="s">
        <v>341</v>
      </c>
      <c r="B25" s="41">
        <v>3.82</v>
      </c>
      <c r="C25" s="41">
        <v>9.74</v>
      </c>
      <c r="D25" s="41">
        <v>13.56</v>
      </c>
      <c r="E25" s="41">
        <v>7.43</v>
      </c>
      <c r="F25" s="28" t="s">
        <v>15</v>
      </c>
      <c r="G25" s="41">
        <v>52.46</v>
      </c>
      <c r="H25" s="41">
        <v>19.920000000000002</v>
      </c>
      <c r="I25" s="41">
        <v>5.79</v>
      </c>
      <c r="J25" s="41">
        <v>0.5</v>
      </c>
      <c r="K25" s="41">
        <v>62.34</v>
      </c>
      <c r="L25" s="41">
        <v>10.98</v>
      </c>
      <c r="M25" s="41">
        <v>8.59</v>
      </c>
      <c r="N25" s="41">
        <v>38.9</v>
      </c>
      <c r="O25" s="41">
        <v>0</v>
      </c>
      <c r="P25" s="41">
        <v>0.35</v>
      </c>
      <c r="Q25" s="41">
        <v>10</v>
      </c>
      <c r="R25" s="38"/>
      <c r="S25" s="38"/>
      <c r="T25" s="38"/>
      <c r="U25" s="38"/>
    </row>
    <row r="26" spans="1:21" customFormat="1">
      <c r="A26" s="40" t="s">
        <v>342</v>
      </c>
      <c r="B26" s="41">
        <v>3.81</v>
      </c>
      <c r="C26" s="41">
        <v>9.98</v>
      </c>
      <c r="D26" s="41">
        <v>13.37</v>
      </c>
      <c r="E26" s="41">
        <v>7.25</v>
      </c>
      <c r="F26" s="28" t="s">
        <v>15</v>
      </c>
      <c r="G26" s="41">
        <v>52.46</v>
      </c>
      <c r="H26" s="41">
        <v>19.920000000000002</v>
      </c>
      <c r="I26" s="41">
        <v>6.49</v>
      </c>
      <c r="J26" s="41">
        <v>0.35</v>
      </c>
      <c r="K26" s="41">
        <v>105.33</v>
      </c>
      <c r="L26" s="41">
        <v>11.39</v>
      </c>
      <c r="M26" s="41">
        <v>10.64</v>
      </c>
      <c r="N26" s="41">
        <v>13.3</v>
      </c>
      <c r="O26" s="41">
        <v>0</v>
      </c>
      <c r="P26" s="41">
        <v>0.37</v>
      </c>
      <c r="Q26" s="41">
        <v>10</v>
      </c>
      <c r="R26" s="38"/>
      <c r="S26" s="38"/>
      <c r="T26" s="38"/>
      <c r="U26" s="38"/>
    </row>
    <row r="27" spans="1:21" customFormat="1">
      <c r="A27" s="40" t="s">
        <v>343</v>
      </c>
      <c r="B27" s="41">
        <v>3.22</v>
      </c>
      <c r="C27" s="41">
        <v>8.58</v>
      </c>
      <c r="D27" s="41">
        <v>11.8</v>
      </c>
      <c r="E27" s="41">
        <v>6.36</v>
      </c>
      <c r="F27" s="28" t="s">
        <v>15</v>
      </c>
      <c r="G27" s="41">
        <v>53.35</v>
      </c>
      <c r="H27" s="41">
        <v>21.04</v>
      </c>
      <c r="I27" s="41">
        <v>6.34</v>
      </c>
      <c r="J27" s="41">
        <v>0.2</v>
      </c>
      <c r="K27" s="41">
        <v>143.65</v>
      </c>
      <c r="L27" s="41">
        <v>14.19</v>
      </c>
      <c r="M27" s="41">
        <v>17.77</v>
      </c>
      <c r="N27" s="41">
        <v>2.6</v>
      </c>
      <c r="O27" s="41">
        <v>0</v>
      </c>
      <c r="P27" s="41">
        <v>0.36</v>
      </c>
      <c r="Q27" s="41">
        <v>10</v>
      </c>
      <c r="R27" s="38"/>
      <c r="S27" s="38"/>
      <c r="T27" s="38"/>
      <c r="U27" s="38"/>
    </row>
    <row r="28" spans="1:21" customFormat="1">
      <c r="A28" s="40" t="s">
        <v>344</v>
      </c>
      <c r="B28" s="41">
        <v>3.38</v>
      </c>
      <c r="C28" s="41">
        <v>8.2200000000000006</v>
      </c>
      <c r="D28" s="41">
        <v>11.48</v>
      </c>
      <c r="E28" s="41">
        <v>6.34</v>
      </c>
      <c r="F28" s="28" t="s">
        <v>15</v>
      </c>
      <c r="G28" s="41">
        <v>66.069999999999993</v>
      </c>
      <c r="H28" s="41">
        <v>22.05</v>
      </c>
      <c r="I28" s="41">
        <v>6.78</v>
      </c>
      <c r="J28" s="41">
        <v>0.23</v>
      </c>
      <c r="K28" s="41">
        <v>156.43</v>
      </c>
      <c r="L28" s="41">
        <v>15.37</v>
      </c>
      <c r="M28" s="41">
        <v>20.75</v>
      </c>
      <c r="N28" s="41">
        <v>2.6</v>
      </c>
      <c r="O28" s="41">
        <v>0</v>
      </c>
      <c r="P28" s="41">
        <v>0.42</v>
      </c>
      <c r="Q28" s="41">
        <v>10</v>
      </c>
      <c r="R28" s="38"/>
      <c r="S28" s="38"/>
      <c r="T28" s="38"/>
      <c r="U28" s="38"/>
    </row>
    <row r="29" spans="1:21" customFormat="1">
      <c r="A29" s="40" t="s">
        <v>345</v>
      </c>
      <c r="B29" s="41">
        <v>3.99</v>
      </c>
      <c r="C29" s="41">
        <v>8.14</v>
      </c>
      <c r="D29" s="41">
        <v>12.03</v>
      </c>
      <c r="E29" s="41">
        <v>6.55</v>
      </c>
      <c r="F29" s="28" t="s">
        <v>15</v>
      </c>
      <c r="G29" s="41">
        <v>91.28</v>
      </c>
      <c r="H29" s="41">
        <v>23.94</v>
      </c>
      <c r="I29" s="41">
        <v>7.62</v>
      </c>
      <c r="J29" s="41">
        <v>0.14000000000000001</v>
      </c>
      <c r="K29" s="41">
        <v>107.37</v>
      </c>
      <c r="L29" s="41">
        <v>11.09</v>
      </c>
      <c r="M29" s="41">
        <v>9.83</v>
      </c>
      <c r="N29" s="41">
        <v>2.2999999999999998</v>
      </c>
      <c r="O29" s="41">
        <v>0</v>
      </c>
      <c r="P29" s="41">
        <v>0.47</v>
      </c>
      <c r="Q29" s="41">
        <v>10</v>
      </c>
      <c r="R29" s="38"/>
      <c r="S29" s="38"/>
      <c r="T29" s="38"/>
      <c r="U29" s="38"/>
    </row>
    <row r="30" spans="1:21" customFormat="1">
      <c r="A30" s="40" t="s">
        <v>346</v>
      </c>
      <c r="B30" s="41">
        <v>5.0599999999999996</v>
      </c>
      <c r="C30" s="41">
        <v>8.17</v>
      </c>
      <c r="D30" s="41">
        <v>13.09</v>
      </c>
      <c r="E30" s="41">
        <v>6.79</v>
      </c>
      <c r="F30" s="28" t="s">
        <v>15</v>
      </c>
      <c r="G30" s="41">
        <v>91.28</v>
      </c>
      <c r="H30" s="41">
        <v>24.63</v>
      </c>
      <c r="I30" s="41">
        <v>8.18</v>
      </c>
      <c r="J30" s="41">
        <v>0.22</v>
      </c>
      <c r="K30" s="41">
        <v>68.5</v>
      </c>
      <c r="L30" s="41">
        <v>13.9</v>
      </c>
      <c r="M30" s="41">
        <v>16.760000000000002</v>
      </c>
      <c r="N30" s="41">
        <v>2.2000000000000002</v>
      </c>
      <c r="O30" s="41">
        <v>0</v>
      </c>
      <c r="P30" s="41">
        <v>0.5</v>
      </c>
      <c r="Q30" s="41">
        <v>10</v>
      </c>
      <c r="R30" s="38"/>
      <c r="S30" s="38"/>
      <c r="T30" s="38"/>
      <c r="U30" s="38"/>
    </row>
    <row r="31" spans="1:21" customFormat="1">
      <c r="A31" s="40" t="s">
        <v>347</v>
      </c>
      <c r="B31" s="41">
        <v>6.15</v>
      </c>
      <c r="C31" s="41">
        <v>8.1300000000000008</v>
      </c>
      <c r="D31" s="41">
        <v>14.09</v>
      </c>
      <c r="E31" s="41">
        <v>6.86</v>
      </c>
      <c r="F31" s="28" t="s">
        <v>15</v>
      </c>
      <c r="G31" s="41">
        <v>84.76</v>
      </c>
      <c r="H31" s="41">
        <v>25.17</v>
      </c>
      <c r="I31" s="41">
        <v>8.4</v>
      </c>
      <c r="J31" s="41">
        <v>0.14000000000000001</v>
      </c>
      <c r="K31" s="41">
        <v>141.61000000000001</v>
      </c>
      <c r="L31" s="41">
        <v>14.16</v>
      </c>
      <c r="M31" s="41">
        <v>17.57</v>
      </c>
      <c r="N31" s="41">
        <v>2.4</v>
      </c>
      <c r="O31" s="41">
        <v>0</v>
      </c>
      <c r="P31" s="41">
        <v>0.54</v>
      </c>
      <c r="Q31" s="41">
        <v>10</v>
      </c>
      <c r="R31" s="38"/>
      <c r="S31" s="38"/>
      <c r="T31" s="38"/>
      <c r="U31" s="38"/>
    </row>
    <row r="32" spans="1:21" customFormat="1">
      <c r="A32" s="40" t="s">
        <v>348</v>
      </c>
      <c r="B32" s="41">
        <v>7.48</v>
      </c>
      <c r="C32" s="41">
        <v>7.58</v>
      </c>
      <c r="D32" s="41">
        <v>14.66</v>
      </c>
      <c r="E32" s="41">
        <v>6.95</v>
      </c>
      <c r="F32" s="28" t="s">
        <v>15</v>
      </c>
      <c r="G32" s="41">
        <v>80.489999999999995</v>
      </c>
      <c r="H32" s="41">
        <v>25.46</v>
      </c>
      <c r="I32" s="41">
        <v>8.56</v>
      </c>
      <c r="J32" s="41">
        <v>0.13</v>
      </c>
      <c r="K32" s="41">
        <v>142.5</v>
      </c>
      <c r="L32" s="41">
        <v>12.89</v>
      </c>
      <c r="M32" s="41">
        <v>14.4</v>
      </c>
      <c r="N32" s="41">
        <v>2.2999999999999998</v>
      </c>
      <c r="O32" s="41">
        <v>0</v>
      </c>
      <c r="P32" s="41">
        <v>0.54</v>
      </c>
      <c r="Q32" s="41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3.22</v>
      </c>
      <c r="C34" s="18">
        <f t="shared" si="0"/>
        <v>7.32</v>
      </c>
      <c r="D34" s="18">
        <f t="shared" si="0"/>
        <v>11</v>
      </c>
      <c r="E34" s="18">
        <f t="shared" si="0"/>
        <v>5.01</v>
      </c>
      <c r="F34" s="18">
        <f t="shared" si="0"/>
        <v>0</v>
      </c>
      <c r="G34" s="18">
        <f t="shared" si="0"/>
        <v>51.96</v>
      </c>
      <c r="H34" s="18">
        <f t="shared" si="0"/>
        <v>18.22</v>
      </c>
      <c r="I34" s="18">
        <f t="shared" si="0"/>
        <v>5.74</v>
      </c>
      <c r="J34" s="18">
        <f t="shared" si="0"/>
        <v>0.13</v>
      </c>
      <c r="K34" s="18">
        <f t="shared" si="0"/>
        <v>34.130000000000003</v>
      </c>
      <c r="L34" s="18">
        <f t="shared" si="0"/>
        <v>8.1</v>
      </c>
      <c r="M34" s="18">
        <f t="shared" si="0"/>
        <v>1.72</v>
      </c>
      <c r="N34" s="18">
        <f t="shared" si="0"/>
        <v>2.2000000000000002</v>
      </c>
      <c r="O34" s="18">
        <f t="shared" si="0"/>
        <v>0</v>
      </c>
      <c r="P34" s="18">
        <f t="shared" si="0"/>
        <v>0.32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15.97</v>
      </c>
      <c r="C35" s="3">
        <f t="shared" si="1"/>
        <v>9.98</v>
      </c>
      <c r="D35" s="3">
        <f t="shared" si="1"/>
        <v>24.3</v>
      </c>
      <c r="E35" s="3">
        <f t="shared" si="1"/>
        <v>7.43</v>
      </c>
      <c r="F35" s="3">
        <f t="shared" si="1"/>
        <v>0</v>
      </c>
      <c r="G35" s="3">
        <f t="shared" si="1"/>
        <v>91.28</v>
      </c>
      <c r="H35" s="3">
        <f t="shared" si="1"/>
        <v>25.46</v>
      </c>
      <c r="I35" s="3">
        <f t="shared" si="1"/>
        <v>8.56</v>
      </c>
      <c r="J35" s="3">
        <f t="shared" si="1"/>
        <v>0.76</v>
      </c>
      <c r="K35" s="3">
        <f t="shared" si="1"/>
        <v>157.58000000000001</v>
      </c>
      <c r="L35" s="3">
        <f t="shared" si="1"/>
        <v>19.809999999999999</v>
      </c>
      <c r="M35" s="3">
        <f t="shared" si="1"/>
        <v>23.5</v>
      </c>
      <c r="N35" s="3">
        <f t="shared" si="1"/>
        <v>570</v>
      </c>
      <c r="O35" s="3">
        <f t="shared" si="1"/>
        <v>0</v>
      </c>
      <c r="P35" s="3">
        <f t="shared" si="1"/>
        <v>0.54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9.3949999999999996</v>
      </c>
      <c r="C36" s="18">
        <f t="shared" si="2"/>
        <v>8.298333333333332</v>
      </c>
      <c r="D36" s="18">
        <f t="shared" si="2"/>
        <v>17.566666666666666</v>
      </c>
      <c r="E36" s="18">
        <f t="shared" si="2"/>
        <v>6.2366666666666672</v>
      </c>
      <c r="F36" s="18" t="e">
        <f t="shared" si="2"/>
        <v>#DIV/0!</v>
      </c>
      <c r="G36" s="18">
        <f t="shared" si="2"/>
        <v>61.798750000000005</v>
      </c>
      <c r="H36" s="18">
        <f t="shared" si="2"/>
        <v>21.290000000000003</v>
      </c>
      <c r="I36" s="18">
        <f t="shared" si="2"/>
        <v>6.567916666666668</v>
      </c>
      <c r="J36" s="18">
        <f t="shared" si="2"/>
        <v>0.35958333333333342</v>
      </c>
      <c r="K36" s="18">
        <f t="shared" si="2"/>
        <v>82.086250000000007</v>
      </c>
      <c r="L36" s="18">
        <f t="shared" si="2"/>
        <v>13.241666666666665</v>
      </c>
      <c r="M36" s="18">
        <f t="shared" si="2"/>
        <v>12.267083333333334</v>
      </c>
      <c r="N36" s="18">
        <f t="shared" si="2"/>
        <v>138.58333333333334</v>
      </c>
      <c r="O36" s="18">
        <f t="shared" si="2"/>
        <v>0</v>
      </c>
      <c r="P36" s="18">
        <f t="shared" si="2"/>
        <v>0.37999999999999989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4.9602559541252287</v>
      </c>
      <c r="C37" s="18">
        <f t="shared" ref="C37:Q37" si="3">STDEV(C9:C32)</f>
        <v>0.72126499180661552</v>
      </c>
      <c r="D37" s="18">
        <f t="shared" si="3"/>
        <v>4.9135621247342804</v>
      </c>
      <c r="E37" s="18">
        <f t="shared" si="3"/>
        <v>0.7402565164488093</v>
      </c>
      <c r="F37" s="18" t="e">
        <f t="shared" si="3"/>
        <v>#DIV/0!</v>
      </c>
      <c r="G37" s="18">
        <f t="shared" si="3"/>
        <v>12.513685139113477</v>
      </c>
      <c r="H37" s="18">
        <f t="shared" si="3"/>
        <v>2.157466307863281</v>
      </c>
      <c r="I37" s="18">
        <f t="shared" si="3"/>
        <v>0.80776115263741533</v>
      </c>
      <c r="J37" s="18">
        <f t="shared" si="3"/>
        <v>0.16265405183920287</v>
      </c>
      <c r="K37" s="18">
        <f t="shared" si="3"/>
        <v>41.507040451774152</v>
      </c>
      <c r="L37" s="18">
        <f t="shared" si="3"/>
        <v>2.6438651986071218</v>
      </c>
      <c r="M37" s="18">
        <f t="shared" si="3"/>
        <v>5.6955134739445601</v>
      </c>
      <c r="N37" s="18">
        <f t="shared" si="3"/>
        <v>205.12459981502795</v>
      </c>
      <c r="O37" s="18">
        <f t="shared" si="3"/>
        <v>0</v>
      </c>
      <c r="P37" s="18">
        <f t="shared" si="3"/>
        <v>6.4874460708155335E-2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0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&lt;90%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LESS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96"/>
  <sheetViews>
    <sheetView zoomScale="85" zoomScaleNormal="85" workbookViewId="0">
      <pane xSplit="2" ySplit="8" topLeftCell="C27" activePane="bottomRight" state="frozen"/>
      <selection activeCell="G19" sqref="G19"/>
      <selection pane="topRight" activeCell="G19" sqref="G19"/>
      <selection pane="bottomLeft" activeCell="G19" sqref="G19"/>
      <selection pane="bottomRight" activeCell="I30" sqref="I30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13/10/2025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349</v>
      </c>
      <c r="B9" s="41">
        <v>8.7100000000000009</v>
      </c>
      <c r="C9" s="41">
        <v>7.26</v>
      </c>
      <c r="D9" s="41">
        <v>15.97</v>
      </c>
      <c r="E9" s="41">
        <v>6.71</v>
      </c>
      <c r="F9" s="28" t="s">
        <v>15</v>
      </c>
      <c r="G9" s="41">
        <v>76.209999999999994</v>
      </c>
      <c r="H9" s="41">
        <v>25.46</v>
      </c>
      <c r="I9" s="41">
        <v>8.5500000000000007</v>
      </c>
      <c r="J9" s="41">
        <v>0.14000000000000001</v>
      </c>
      <c r="K9" s="41">
        <v>165.53</v>
      </c>
      <c r="L9" s="41">
        <v>16.66</v>
      </c>
      <c r="M9" s="41">
        <v>23.75</v>
      </c>
      <c r="N9" s="41">
        <v>2.2999999999999998</v>
      </c>
      <c r="O9" s="41">
        <v>0</v>
      </c>
      <c r="P9" s="41">
        <v>0.55000000000000004</v>
      </c>
      <c r="Q9" s="41">
        <v>10.02</v>
      </c>
      <c r="R9" s="38"/>
      <c r="S9" s="38"/>
      <c r="T9" s="38"/>
      <c r="U9" s="38"/>
    </row>
    <row r="10" spans="1:21" customFormat="1">
      <c r="A10" s="40" t="s">
        <v>350</v>
      </c>
      <c r="B10" s="41">
        <v>9.66</v>
      </c>
      <c r="C10" s="41">
        <v>7.58</v>
      </c>
      <c r="D10" s="41">
        <v>17.239999999999998</v>
      </c>
      <c r="E10" s="41">
        <v>7.05</v>
      </c>
      <c r="F10" s="28" t="s">
        <v>15</v>
      </c>
      <c r="G10" s="41">
        <v>75.56</v>
      </c>
      <c r="H10" s="41">
        <v>24.6</v>
      </c>
      <c r="I10" s="41">
        <v>8.5299999999999994</v>
      </c>
      <c r="J10" s="41">
        <v>0.25</v>
      </c>
      <c r="K10" s="41">
        <v>28.91</v>
      </c>
      <c r="L10" s="41">
        <v>13.78</v>
      </c>
      <c r="M10" s="41">
        <v>16.309999999999999</v>
      </c>
      <c r="N10" s="41">
        <v>2.4</v>
      </c>
      <c r="O10" s="41">
        <v>0</v>
      </c>
      <c r="P10" s="41">
        <v>0.54</v>
      </c>
      <c r="Q10" s="41">
        <v>10.029999999999999</v>
      </c>
      <c r="R10" s="38"/>
      <c r="S10" s="38"/>
      <c r="T10" s="38"/>
      <c r="U10" s="38"/>
    </row>
    <row r="11" spans="1:21" customFormat="1">
      <c r="A11" s="40" t="s">
        <v>351</v>
      </c>
      <c r="B11" s="41">
        <v>10.39</v>
      </c>
      <c r="C11" s="41">
        <v>7.45</v>
      </c>
      <c r="D11" s="41">
        <v>17.739999999999998</v>
      </c>
      <c r="E11" s="41">
        <v>5.84</v>
      </c>
      <c r="F11" s="28" t="s">
        <v>15</v>
      </c>
      <c r="G11" s="41">
        <v>79.67</v>
      </c>
      <c r="H11" s="41">
        <v>27.12</v>
      </c>
      <c r="I11" s="41">
        <v>8.5399999999999991</v>
      </c>
      <c r="J11" s="41">
        <v>0.39</v>
      </c>
      <c r="K11" s="41">
        <v>43.63</v>
      </c>
      <c r="L11" s="41">
        <v>8.83</v>
      </c>
      <c r="M11" s="41">
        <v>3.87</v>
      </c>
      <c r="N11" s="41">
        <v>2.4</v>
      </c>
      <c r="O11" s="41">
        <v>0</v>
      </c>
      <c r="P11" s="41">
        <v>0.54</v>
      </c>
      <c r="Q11" s="41">
        <v>10</v>
      </c>
      <c r="R11" s="38"/>
      <c r="S11" s="38"/>
      <c r="T11" s="38"/>
      <c r="U11" s="38"/>
    </row>
    <row r="12" spans="1:21" customFormat="1">
      <c r="A12" s="40" t="s">
        <v>352</v>
      </c>
      <c r="B12" s="41">
        <v>10.45</v>
      </c>
      <c r="C12" s="41">
        <v>7.71</v>
      </c>
      <c r="D12" s="41">
        <v>17.89</v>
      </c>
      <c r="E12" s="41">
        <v>6.02</v>
      </c>
      <c r="F12" s="28" t="s">
        <v>15</v>
      </c>
      <c r="G12" s="41">
        <v>79.67</v>
      </c>
      <c r="H12" s="41">
        <v>27.12</v>
      </c>
      <c r="I12" s="41">
        <v>8.43</v>
      </c>
      <c r="J12" s="41">
        <v>0.43</v>
      </c>
      <c r="K12" s="41">
        <v>39.78</v>
      </c>
      <c r="L12" s="41">
        <v>7.6</v>
      </c>
      <c r="M12" s="41">
        <v>0.8</v>
      </c>
      <c r="N12" s="41">
        <v>2.4</v>
      </c>
      <c r="O12" s="41">
        <v>0</v>
      </c>
      <c r="P12" s="41">
        <v>0.53</v>
      </c>
      <c r="Q12" s="41">
        <v>10</v>
      </c>
      <c r="R12" s="38"/>
      <c r="S12" s="38"/>
      <c r="T12" s="38"/>
      <c r="U12" s="38"/>
    </row>
    <row r="13" spans="1:21" customFormat="1">
      <c r="A13" s="40" t="s">
        <v>353</v>
      </c>
      <c r="B13" s="41">
        <v>10</v>
      </c>
      <c r="C13" s="41">
        <v>8.1300000000000008</v>
      </c>
      <c r="D13" s="41">
        <v>18.059999999999999</v>
      </c>
      <c r="E13" s="41">
        <v>5.46</v>
      </c>
      <c r="F13" s="28" t="s">
        <v>15</v>
      </c>
      <c r="G13" s="41">
        <v>68.069999999999993</v>
      </c>
      <c r="H13" s="41">
        <v>25.15</v>
      </c>
      <c r="I13" s="41">
        <v>8.3000000000000007</v>
      </c>
      <c r="J13" s="41">
        <v>0.47</v>
      </c>
      <c r="K13" s="41">
        <v>45.27</v>
      </c>
      <c r="L13" s="41">
        <v>7.69</v>
      </c>
      <c r="M13" s="41">
        <v>1.19</v>
      </c>
      <c r="N13" s="41">
        <v>2.2999999999999998</v>
      </c>
      <c r="O13" s="41">
        <v>0</v>
      </c>
      <c r="P13" s="41">
        <v>0.46</v>
      </c>
      <c r="Q13" s="41">
        <v>10</v>
      </c>
      <c r="R13" s="38"/>
      <c r="S13" s="38"/>
      <c r="T13" s="38"/>
      <c r="U13" s="38"/>
    </row>
    <row r="14" spans="1:21" customFormat="1">
      <c r="A14" s="40" t="s">
        <v>354</v>
      </c>
      <c r="B14" s="41">
        <v>9.68</v>
      </c>
      <c r="C14" s="41">
        <v>8.23</v>
      </c>
      <c r="D14" s="41">
        <v>17.829999999999998</v>
      </c>
      <c r="E14" s="41">
        <v>5.33</v>
      </c>
      <c r="F14" s="28" t="s">
        <v>15</v>
      </c>
      <c r="G14" s="41">
        <v>67.64</v>
      </c>
      <c r="H14" s="41">
        <v>23.76</v>
      </c>
      <c r="I14" s="41">
        <v>8.02</v>
      </c>
      <c r="J14" s="41">
        <v>0.31</v>
      </c>
      <c r="K14" s="41">
        <v>58.46</v>
      </c>
      <c r="L14" s="41">
        <v>9.15</v>
      </c>
      <c r="M14" s="41">
        <v>4.91</v>
      </c>
      <c r="N14" s="41">
        <v>3.1</v>
      </c>
      <c r="O14" s="41">
        <v>0</v>
      </c>
      <c r="P14" s="41">
        <v>0.44</v>
      </c>
      <c r="Q14" s="41">
        <v>10</v>
      </c>
      <c r="R14" s="38"/>
      <c r="S14" s="38"/>
      <c r="T14" s="38"/>
      <c r="U14" s="38"/>
    </row>
    <row r="15" spans="1:21" customFormat="1">
      <c r="A15" s="40" t="s">
        <v>355</v>
      </c>
      <c r="B15" s="41">
        <v>9.89</v>
      </c>
      <c r="C15" s="41">
        <v>8.5299999999999994</v>
      </c>
      <c r="D15" s="41">
        <v>18.420000000000002</v>
      </c>
      <c r="E15" s="41">
        <v>5.45</v>
      </c>
      <c r="F15" s="28" t="s">
        <v>15</v>
      </c>
      <c r="G15" s="41">
        <v>61.97</v>
      </c>
      <c r="H15" s="41">
        <v>22.48</v>
      </c>
      <c r="I15" s="41">
        <v>7.79</v>
      </c>
      <c r="J15" s="41">
        <v>0.41</v>
      </c>
      <c r="K15" s="41">
        <v>50.23</v>
      </c>
      <c r="L15" s="41">
        <v>8.2200000000000006</v>
      </c>
      <c r="M15" s="41">
        <v>2.17</v>
      </c>
      <c r="N15" s="41">
        <v>41.5</v>
      </c>
      <c r="O15" s="41">
        <v>0</v>
      </c>
      <c r="P15" s="41">
        <v>0.42</v>
      </c>
      <c r="Q15" s="41">
        <v>10</v>
      </c>
      <c r="R15" s="38"/>
      <c r="S15" s="38"/>
      <c r="T15" s="38"/>
      <c r="U15" s="38"/>
    </row>
    <row r="16" spans="1:21" customFormat="1">
      <c r="A16" s="40" t="s">
        <v>356</v>
      </c>
      <c r="B16" s="41">
        <v>9.98</v>
      </c>
      <c r="C16" s="41">
        <v>8.51</v>
      </c>
      <c r="D16" s="41">
        <v>18.48</v>
      </c>
      <c r="E16" s="41">
        <v>5.47</v>
      </c>
      <c r="F16" s="28" t="s">
        <v>15</v>
      </c>
      <c r="G16" s="41">
        <v>59.56</v>
      </c>
      <c r="H16" s="41">
        <v>23.92</v>
      </c>
      <c r="I16" s="41">
        <v>7.94</v>
      </c>
      <c r="J16" s="41">
        <v>0.4</v>
      </c>
      <c r="K16" s="41">
        <v>50.35</v>
      </c>
      <c r="L16" s="41">
        <v>9.5</v>
      </c>
      <c r="M16" s="41">
        <v>4.08</v>
      </c>
      <c r="N16" s="41">
        <v>141.6</v>
      </c>
      <c r="O16" s="41">
        <v>0</v>
      </c>
      <c r="P16" s="41">
        <v>0.43</v>
      </c>
      <c r="Q16" s="41">
        <v>10</v>
      </c>
      <c r="R16" s="38"/>
      <c r="S16" s="38"/>
      <c r="T16" s="38"/>
      <c r="U16" s="38"/>
    </row>
    <row r="17" spans="1:21" customFormat="1">
      <c r="A17" s="40" t="s">
        <v>357</v>
      </c>
      <c r="B17" s="41">
        <v>9.4499999999999993</v>
      </c>
      <c r="C17" s="41">
        <v>8.4</v>
      </c>
      <c r="D17" s="41">
        <v>17.850000000000001</v>
      </c>
      <c r="E17" s="41">
        <v>5.96</v>
      </c>
      <c r="F17" s="28" t="s">
        <v>15</v>
      </c>
      <c r="G17" s="41">
        <v>61.4</v>
      </c>
      <c r="H17" s="41">
        <v>25.05</v>
      </c>
      <c r="I17" s="41">
        <v>7.93</v>
      </c>
      <c r="J17" s="41">
        <v>0.4</v>
      </c>
      <c r="K17" s="41">
        <v>70.180000000000007</v>
      </c>
      <c r="L17" s="41">
        <v>13.97</v>
      </c>
      <c r="M17" s="41">
        <v>10.31</v>
      </c>
      <c r="N17" s="41">
        <v>320</v>
      </c>
      <c r="O17" s="41">
        <v>0</v>
      </c>
      <c r="P17" s="41">
        <v>0.45</v>
      </c>
      <c r="Q17" s="41">
        <v>10</v>
      </c>
      <c r="R17" s="38"/>
      <c r="S17" s="38"/>
      <c r="T17" s="38"/>
      <c r="U17" s="38"/>
    </row>
    <row r="18" spans="1:21" customFormat="1">
      <c r="A18" s="40" t="s">
        <v>358</v>
      </c>
      <c r="B18" s="41">
        <v>8.3800000000000008</v>
      </c>
      <c r="C18" s="41">
        <v>7.97</v>
      </c>
      <c r="D18" s="41">
        <v>16.27</v>
      </c>
      <c r="E18" s="41">
        <v>6.2</v>
      </c>
      <c r="F18" s="28" t="s">
        <v>15</v>
      </c>
      <c r="G18" s="41">
        <v>61.4</v>
      </c>
      <c r="H18" s="41">
        <v>25.05</v>
      </c>
      <c r="I18" s="41">
        <v>7.88</v>
      </c>
      <c r="J18" s="41">
        <v>0.32</v>
      </c>
      <c r="K18" s="41">
        <v>134.88999999999999</v>
      </c>
      <c r="L18" s="41">
        <v>17.75</v>
      </c>
      <c r="M18" s="41">
        <v>16.22</v>
      </c>
      <c r="N18" s="41">
        <v>498.3</v>
      </c>
      <c r="O18" s="41">
        <v>0</v>
      </c>
      <c r="P18" s="41">
        <v>0.45</v>
      </c>
      <c r="Q18" s="41">
        <v>10</v>
      </c>
      <c r="R18" s="38"/>
      <c r="S18" s="38"/>
      <c r="T18" s="38"/>
      <c r="U18" s="38"/>
    </row>
    <row r="19" spans="1:21" customFormat="1">
      <c r="A19" s="40" t="s">
        <v>359</v>
      </c>
      <c r="B19" s="41">
        <v>6.77</v>
      </c>
      <c r="C19" s="41">
        <v>9.33</v>
      </c>
      <c r="D19" s="41">
        <v>14.49</v>
      </c>
      <c r="E19" s="41">
        <v>6.51</v>
      </c>
      <c r="F19" s="28" t="s">
        <v>15</v>
      </c>
      <c r="G19" s="41">
        <v>58.43</v>
      </c>
      <c r="H19" s="41">
        <v>24.26</v>
      </c>
      <c r="I19" s="41">
        <v>7.79</v>
      </c>
      <c r="J19" s="41">
        <v>0.36</v>
      </c>
      <c r="K19" s="41">
        <v>159.55000000000001</v>
      </c>
      <c r="L19" s="41">
        <v>21.95</v>
      </c>
      <c r="M19" s="41">
        <v>24.9</v>
      </c>
      <c r="N19" s="41">
        <v>594.4</v>
      </c>
      <c r="O19" s="41">
        <v>0</v>
      </c>
      <c r="P19" s="41">
        <v>0.42</v>
      </c>
      <c r="Q19" s="41">
        <v>10</v>
      </c>
      <c r="R19" s="38"/>
      <c r="S19" s="38"/>
      <c r="T19" s="38"/>
      <c r="U19" s="38"/>
    </row>
    <row r="20" spans="1:21" customFormat="1">
      <c r="A20" s="40" t="s">
        <v>360</v>
      </c>
      <c r="B20" s="41">
        <v>2.2599999999999998</v>
      </c>
      <c r="C20" s="41">
        <v>10.37</v>
      </c>
      <c r="D20" s="41">
        <v>12.4</v>
      </c>
      <c r="E20" s="41">
        <v>6.27</v>
      </c>
      <c r="F20" s="28" t="s">
        <v>15</v>
      </c>
      <c r="G20" s="41">
        <v>50.1</v>
      </c>
      <c r="H20" s="41">
        <v>21.27</v>
      </c>
      <c r="I20" s="41">
        <v>7.12</v>
      </c>
      <c r="J20" s="41">
        <v>0.35</v>
      </c>
      <c r="K20" s="41">
        <v>133.19</v>
      </c>
      <c r="L20" s="41">
        <v>19.7</v>
      </c>
      <c r="M20" s="41">
        <v>18.14</v>
      </c>
      <c r="N20" s="41">
        <v>569.1</v>
      </c>
      <c r="O20" s="41">
        <v>0</v>
      </c>
      <c r="P20" s="41">
        <v>0.39</v>
      </c>
      <c r="Q20" s="41">
        <v>10</v>
      </c>
      <c r="R20" s="38"/>
      <c r="S20" s="38"/>
      <c r="T20" s="38"/>
      <c r="U20" s="38"/>
    </row>
    <row r="21" spans="1:21" customFormat="1">
      <c r="A21" s="40" t="s">
        <v>361</v>
      </c>
      <c r="B21" s="41">
        <v>1.98</v>
      </c>
      <c r="C21" s="41">
        <v>10.01</v>
      </c>
      <c r="D21" s="41">
        <v>11.92</v>
      </c>
      <c r="E21" s="41">
        <v>5.2</v>
      </c>
      <c r="F21" s="28" t="s">
        <v>15</v>
      </c>
      <c r="G21" s="41">
        <v>0</v>
      </c>
      <c r="H21" s="41">
        <v>0</v>
      </c>
      <c r="I21" s="41">
        <v>8.57</v>
      </c>
      <c r="J21" s="41">
        <v>0.35</v>
      </c>
      <c r="K21" s="41">
        <v>72.540000000000006</v>
      </c>
      <c r="L21" s="41">
        <v>15.73</v>
      </c>
      <c r="M21" s="41">
        <v>12.18</v>
      </c>
      <c r="N21" s="41">
        <v>409.8</v>
      </c>
      <c r="O21" s="41">
        <v>0</v>
      </c>
      <c r="P21" s="41">
        <v>0.3</v>
      </c>
      <c r="Q21" s="41">
        <v>10</v>
      </c>
      <c r="R21" s="38"/>
      <c r="S21" s="38"/>
      <c r="T21" s="38"/>
      <c r="U21" s="38"/>
    </row>
    <row r="22" spans="1:21" customFormat="1">
      <c r="A22" s="40" t="s">
        <v>362</v>
      </c>
      <c r="B22" s="41">
        <v>2.0699999999999998</v>
      </c>
      <c r="C22" s="41">
        <v>8.8800000000000008</v>
      </c>
      <c r="D22" s="41">
        <v>10.77</v>
      </c>
      <c r="E22" s="41">
        <v>5.2</v>
      </c>
      <c r="F22" s="28" t="s">
        <v>15</v>
      </c>
      <c r="G22" s="41">
        <v>7.33</v>
      </c>
      <c r="H22" s="41">
        <v>5.76</v>
      </c>
      <c r="I22" s="41">
        <v>14.62</v>
      </c>
      <c r="J22" s="41">
        <v>0.3</v>
      </c>
      <c r="K22" s="41">
        <v>144.07</v>
      </c>
      <c r="L22" s="41">
        <v>17.920000000000002</v>
      </c>
      <c r="M22" s="41">
        <v>17.809999999999999</v>
      </c>
      <c r="N22" s="41">
        <v>463.6</v>
      </c>
      <c r="O22" s="41">
        <v>0</v>
      </c>
      <c r="P22" s="41">
        <v>0.3</v>
      </c>
      <c r="Q22" s="41">
        <v>10</v>
      </c>
      <c r="R22" s="38"/>
      <c r="S22" s="38"/>
      <c r="T22" s="38"/>
      <c r="U22" s="38"/>
    </row>
    <row r="23" spans="1:21" customFormat="1">
      <c r="A23" s="40" t="s">
        <v>363</v>
      </c>
      <c r="B23" s="41">
        <v>2.19</v>
      </c>
      <c r="C23" s="41">
        <v>11.01</v>
      </c>
      <c r="D23" s="41">
        <v>13.2</v>
      </c>
      <c r="E23" s="41">
        <v>6.77</v>
      </c>
      <c r="F23" s="28" t="s">
        <v>15</v>
      </c>
      <c r="G23" s="41">
        <v>39.049999999999997</v>
      </c>
      <c r="H23" s="41">
        <v>9.25</v>
      </c>
      <c r="I23" s="41">
        <v>16.75</v>
      </c>
      <c r="J23" s="41">
        <v>0.41</v>
      </c>
      <c r="K23" s="41">
        <v>109.42</v>
      </c>
      <c r="L23" s="41">
        <v>14.69</v>
      </c>
      <c r="M23" s="41">
        <v>12.19</v>
      </c>
      <c r="N23" s="41">
        <v>298.60000000000002</v>
      </c>
      <c r="O23" s="41">
        <v>0</v>
      </c>
      <c r="P23" s="41">
        <v>0.27</v>
      </c>
      <c r="Q23" s="41">
        <v>10</v>
      </c>
      <c r="R23" s="38"/>
      <c r="S23" s="38"/>
      <c r="T23" s="38"/>
      <c r="U23" s="38"/>
    </row>
    <row r="24" spans="1:21" customFormat="1">
      <c r="A24" s="40" t="s">
        <v>364</v>
      </c>
      <c r="B24" s="41">
        <v>2.09</v>
      </c>
      <c r="C24" s="41">
        <v>10.09</v>
      </c>
      <c r="D24" s="41">
        <v>12.04</v>
      </c>
      <c r="E24" s="41">
        <v>5.46</v>
      </c>
      <c r="F24" s="28" t="s">
        <v>15</v>
      </c>
      <c r="G24" s="41">
        <v>39.049999999999997</v>
      </c>
      <c r="H24" s="41">
        <v>11.11</v>
      </c>
      <c r="I24" s="41">
        <v>11.09</v>
      </c>
      <c r="J24" s="41">
        <v>0.41</v>
      </c>
      <c r="K24" s="41">
        <v>70.84</v>
      </c>
      <c r="L24" s="41">
        <v>11.28</v>
      </c>
      <c r="M24" s="41">
        <v>8.98</v>
      </c>
      <c r="N24" s="41">
        <v>65.7</v>
      </c>
      <c r="O24" s="41">
        <v>0</v>
      </c>
      <c r="P24" s="41">
        <v>0.26</v>
      </c>
      <c r="Q24" s="41">
        <v>10</v>
      </c>
      <c r="R24" s="38"/>
      <c r="S24" s="38"/>
      <c r="T24" s="38"/>
      <c r="U24" s="38"/>
    </row>
    <row r="25" spans="1:21" customFormat="1">
      <c r="A25" s="40" t="s">
        <v>365</v>
      </c>
      <c r="B25" s="41">
        <v>2.64</v>
      </c>
      <c r="C25" s="41">
        <v>12.12</v>
      </c>
      <c r="D25" s="41">
        <v>14.77</v>
      </c>
      <c r="E25" s="41">
        <v>5.07</v>
      </c>
      <c r="F25" s="28" t="s">
        <v>15</v>
      </c>
      <c r="G25" s="41">
        <v>40.43</v>
      </c>
      <c r="H25" s="41">
        <v>12.59</v>
      </c>
      <c r="I25" s="41">
        <v>6.15</v>
      </c>
      <c r="J25" s="41">
        <v>0.54</v>
      </c>
      <c r="K25" s="41">
        <v>75.64</v>
      </c>
      <c r="L25" s="41">
        <v>11.49</v>
      </c>
      <c r="M25" s="41">
        <v>10.119999999999999</v>
      </c>
      <c r="N25" s="41">
        <v>35.4</v>
      </c>
      <c r="O25" s="41">
        <v>0</v>
      </c>
      <c r="P25" s="41">
        <v>0.27</v>
      </c>
      <c r="Q25" s="41">
        <v>10</v>
      </c>
      <c r="R25" s="38"/>
      <c r="S25" s="38"/>
      <c r="T25" s="38"/>
      <c r="U25" s="38"/>
    </row>
    <row r="26" spans="1:21" customFormat="1">
      <c r="A26" s="40" t="s">
        <v>366</v>
      </c>
      <c r="B26" s="41">
        <v>2.86</v>
      </c>
      <c r="C26" s="41">
        <v>12.16</v>
      </c>
      <c r="D26" s="41">
        <v>15.02</v>
      </c>
      <c r="E26" s="41">
        <v>5.21</v>
      </c>
      <c r="F26" s="28" t="s">
        <v>15</v>
      </c>
      <c r="G26" s="41">
        <v>46.51</v>
      </c>
      <c r="H26" s="41">
        <v>18.48</v>
      </c>
      <c r="I26" s="41">
        <v>4.59</v>
      </c>
      <c r="J26" s="41">
        <v>0.22</v>
      </c>
      <c r="K26" s="41">
        <v>125.88</v>
      </c>
      <c r="L26" s="41">
        <v>12.94</v>
      </c>
      <c r="M26" s="41">
        <v>14.36</v>
      </c>
      <c r="N26" s="41">
        <v>10.7</v>
      </c>
      <c r="O26" s="41">
        <v>0</v>
      </c>
      <c r="P26" s="41">
        <v>0.34</v>
      </c>
      <c r="Q26" s="41">
        <v>10</v>
      </c>
      <c r="R26" s="38"/>
      <c r="S26" s="38"/>
      <c r="T26" s="38"/>
      <c r="U26" s="38"/>
    </row>
    <row r="27" spans="1:21" customFormat="1">
      <c r="A27" s="40" t="s">
        <v>367</v>
      </c>
      <c r="B27" s="41">
        <v>3.06</v>
      </c>
      <c r="C27" s="41">
        <v>13.63</v>
      </c>
      <c r="D27" s="41">
        <v>16.36</v>
      </c>
      <c r="E27" s="41">
        <v>5.35</v>
      </c>
      <c r="F27" s="28" t="s">
        <v>15</v>
      </c>
      <c r="G27" s="41">
        <v>59.77</v>
      </c>
      <c r="H27" s="41">
        <v>18.48</v>
      </c>
      <c r="I27" s="41">
        <v>5.86</v>
      </c>
      <c r="J27" s="41">
        <v>0.18</v>
      </c>
      <c r="K27" s="41">
        <v>130.82</v>
      </c>
      <c r="L27" s="41">
        <v>13.61</v>
      </c>
      <c r="M27" s="41">
        <v>16.04</v>
      </c>
      <c r="N27" s="41">
        <v>2.5</v>
      </c>
      <c r="O27" s="41">
        <v>0</v>
      </c>
      <c r="P27" s="41">
        <v>0.47</v>
      </c>
      <c r="Q27" s="41">
        <v>10</v>
      </c>
      <c r="R27" s="38"/>
      <c r="S27" s="38"/>
      <c r="T27" s="38"/>
      <c r="U27" s="38"/>
    </row>
    <row r="28" spans="1:21" customFormat="1">
      <c r="A28" s="40" t="s">
        <v>368</v>
      </c>
      <c r="B28" s="41">
        <v>3.33</v>
      </c>
      <c r="C28" s="41">
        <v>10.220000000000001</v>
      </c>
      <c r="D28" s="41">
        <v>13.33</v>
      </c>
      <c r="E28" s="41">
        <v>5.67</v>
      </c>
      <c r="F28" s="28" t="s">
        <v>15</v>
      </c>
      <c r="G28" s="41">
        <v>61.14</v>
      </c>
      <c r="H28" s="41">
        <v>19.22</v>
      </c>
      <c r="I28" s="41">
        <v>6.13</v>
      </c>
      <c r="J28" s="41">
        <v>0.21</v>
      </c>
      <c r="K28" s="41">
        <v>93.85</v>
      </c>
      <c r="L28" s="41">
        <v>10.74</v>
      </c>
      <c r="M28" s="41">
        <v>8.84</v>
      </c>
      <c r="N28" s="41">
        <v>2.4</v>
      </c>
      <c r="O28" s="41">
        <v>0</v>
      </c>
      <c r="P28" s="41">
        <v>0.45</v>
      </c>
      <c r="Q28" s="41">
        <v>10</v>
      </c>
      <c r="R28" s="38"/>
      <c r="S28" s="38"/>
      <c r="T28" s="38"/>
      <c r="U28" s="38"/>
    </row>
    <row r="29" spans="1:21" customFormat="1">
      <c r="A29" s="40" t="s">
        <v>369</v>
      </c>
      <c r="B29" s="41">
        <v>3.61</v>
      </c>
      <c r="C29" s="41">
        <v>9.1300000000000008</v>
      </c>
      <c r="D29" s="41">
        <v>12.74</v>
      </c>
      <c r="E29" s="41">
        <v>5.8</v>
      </c>
      <c r="F29" s="28" t="s">
        <v>15</v>
      </c>
      <c r="G29" s="41">
        <v>61.14</v>
      </c>
      <c r="H29" s="41">
        <v>21.32</v>
      </c>
      <c r="I29" s="41">
        <v>6.22</v>
      </c>
      <c r="J29" s="41">
        <v>0.23</v>
      </c>
      <c r="K29" s="41">
        <v>101.39</v>
      </c>
      <c r="L29" s="41">
        <v>11.56</v>
      </c>
      <c r="M29" s="41">
        <v>10.92</v>
      </c>
      <c r="N29" s="41">
        <v>2.2999999999999998</v>
      </c>
      <c r="O29" s="41">
        <v>0</v>
      </c>
      <c r="P29" s="41">
        <v>0.46</v>
      </c>
      <c r="Q29" s="41">
        <v>10</v>
      </c>
      <c r="R29" s="38"/>
      <c r="S29" s="38"/>
      <c r="T29" s="38"/>
      <c r="U29" s="38"/>
    </row>
    <row r="30" spans="1:21" customFormat="1">
      <c r="A30" s="40" t="s">
        <v>370</v>
      </c>
      <c r="B30" s="41">
        <v>4.34</v>
      </c>
      <c r="C30" s="41">
        <v>9.17</v>
      </c>
      <c r="D30" s="41">
        <v>13.51</v>
      </c>
      <c r="E30" s="41">
        <v>5.8</v>
      </c>
      <c r="F30" s="28" t="s">
        <v>15</v>
      </c>
      <c r="G30" s="41">
        <v>66.14</v>
      </c>
      <c r="H30" s="41">
        <v>21.99</v>
      </c>
      <c r="I30" s="41">
        <v>6.66</v>
      </c>
      <c r="J30" s="41">
        <v>0.43</v>
      </c>
      <c r="K30" s="41">
        <v>48.23</v>
      </c>
      <c r="L30" s="41">
        <v>7.68</v>
      </c>
      <c r="M30" s="41">
        <v>1.06</v>
      </c>
      <c r="N30" s="41">
        <v>2.2000000000000002</v>
      </c>
      <c r="O30" s="41">
        <v>0</v>
      </c>
      <c r="P30" s="41">
        <v>0.48</v>
      </c>
      <c r="Q30" s="41">
        <v>10</v>
      </c>
      <c r="R30" s="38"/>
      <c r="S30" s="38"/>
      <c r="T30" s="38"/>
      <c r="U30" s="38"/>
    </row>
    <row r="31" spans="1:21" customFormat="1">
      <c r="A31" s="40" t="s">
        <v>371</v>
      </c>
      <c r="B31" s="41">
        <v>5.04</v>
      </c>
      <c r="C31" s="41">
        <v>9.0299999999999994</v>
      </c>
      <c r="D31" s="41">
        <v>14.06</v>
      </c>
      <c r="E31" s="41">
        <v>5.8</v>
      </c>
      <c r="F31" s="28" t="s">
        <v>15</v>
      </c>
      <c r="G31" s="41">
        <v>67.45</v>
      </c>
      <c r="H31" s="41">
        <v>23.13</v>
      </c>
      <c r="I31" s="41">
        <v>6.52</v>
      </c>
      <c r="J31" s="41">
        <v>0.39</v>
      </c>
      <c r="K31" s="41">
        <v>75.78</v>
      </c>
      <c r="L31" s="41">
        <v>11.12</v>
      </c>
      <c r="M31" s="41">
        <v>9.85</v>
      </c>
      <c r="N31" s="41">
        <v>2.2999999999999998</v>
      </c>
      <c r="O31" s="41">
        <v>0</v>
      </c>
      <c r="P31" s="41">
        <v>0.48</v>
      </c>
      <c r="Q31" s="41">
        <v>10</v>
      </c>
      <c r="R31" s="38"/>
      <c r="S31" s="38"/>
      <c r="T31" s="38"/>
      <c r="U31" s="38"/>
    </row>
    <row r="32" spans="1:21" customFormat="1">
      <c r="A32" s="40" t="s">
        <v>372</v>
      </c>
      <c r="B32" s="41">
        <v>5.15</v>
      </c>
      <c r="C32" s="41">
        <v>8.1</v>
      </c>
      <c r="D32" s="41">
        <v>13.2</v>
      </c>
      <c r="E32" s="41">
        <v>5.8</v>
      </c>
      <c r="F32" s="28" t="s">
        <v>15</v>
      </c>
      <c r="G32" s="41">
        <v>70.290000000000006</v>
      </c>
      <c r="H32" s="41">
        <v>23.16</v>
      </c>
      <c r="I32" s="41">
        <v>6.49</v>
      </c>
      <c r="J32" s="41">
        <v>0.14000000000000001</v>
      </c>
      <c r="K32" s="41">
        <v>139.33000000000001</v>
      </c>
      <c r="L32" s="41">
        <v>14.42</v>
      </c>
      <c r="M32" s="41">
        <v>18.22</v>
      </c>
      <c r="N32" s="41">
        <v>2.2999999999999998</v>
      </c>
      <c r="O32" s="41">
        <v>0</v>
      </c>
      <c r="P32" s="41">
        <v>0.45</v>
      </c>
      <c r="Q32" s="41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1.98</v>
      </c>
      <c r="C34" s="18">
        <f t="shared" si="0"/>
        <v>7.26</v>
      </c>
      <c r="D34" s="18">
        <f t="shared" si="0"/>
        <v>10.77</v>
      </c>
      <c r="E34" s="18">
        <f t="shared" si="0"/>
        <v>5.07</v>
      </c>
      <c r="F34" s="18">
        <f t="shared" si="0"/>
        <v>0</v>
      </c>
      <c r="G34" s="18">
        <f t="shared" si="0"/>
        <v>0</v>
      </c>
      <c r="H34" s="18">
        <f t="shared" si="0"/>
        <v>0</v>
      </c>
      <c r="I34" s="18">
        <f t="shared" si="0"/>
        <v>4.59</v>
      </c>
      <c r="J34" s="18">
        <f t="shared" si="0"/>
        <v>0.14000000000000001</v>
      </c>
      <c r="K34" s="18">
        <f t="shared" si="0"/>
        <v>28.91</v>
      </c>
      <c r="L34" s="18">
        <f t="shared" si="0"/>
        <v>7.6</v>
      </c>
      <c r="M34" s="18">
        <f t="shared" si="0"/>
        <v>0.8</v>
      </c>
      <c r="N34" s="18">
        <f t="shared" si="0"/>
        <v>2.2000000000000002</v>
      </c>
      <c r="O34" s="18">
        <f t="shared" si="0"/>
        <v>0</v>
      </c>
      <c r="P34" s="18">
        <f t="shared" si="0"/>
        <v>0.26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10.45</v>
      </c>
      <c r="C35" s="3">
        <f t="shared" si="1"/>
        <v>13.63</v>
      </c>
      <c r="D35" s="3">
        <f t="shared" si="1"/>
        <v>18.48</v>
      </c>
      <c r="E35" s="3">
        <f t="shared" si="1"/>
        <v>7.05</v>
      </c>
      <c r="F35" s="3">
        <f t="shared" si="1"/>
        <v>0</v>
      </c>
      <c r="G35" s="3">
        <f t="shared" si="1"/>
        <v>79.67</v>
      </c>
      <c r="H35" s="3">
        <f t="shared" si="1"/>
        <v>27.12</v>
      </c>
      <c r="I35" s="3">
        <f t="shared" si="1"/>
        <v>16.75</v>
      </c>
      <c r="J35" s="3">
        <f t="shared" si="1"/>
        <v>0.54</v>
      </c>
      <c r="K35" s="3">
        <f t="shared" si="1"/>
        <v>165.53</v>
      </c>
      <c r="L35" s="3">
        <f t="shared" si="1"/>
        <v>21.95</v>
      </c>
      <c r="M35" s="3">
        <f t="shared" si="1"/>
        <v>24.9</v>
      </c>
      <c r="N35" s="3">
        <f t="shared" si="1"/>
        <v>594.4</v>
      </c>
      <c r="O35" s="3">
        <f t="shared" si="1"/>
        <v>0</v>
      </c>
      <c r="P35" s="3">
        <f t="shared" si="1"/>
        <v>0.55000000000000004</v>
      </c>
      <c r="Q35" s="3">
        <f t="shared" si="1"/>
        <v>10.029999999999999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5.9991666666666674</v>
      </c>
      <c r="C36" s="18">
        <f t="shared" si="2"/>
        <v>9.2924999999999986</v>
      </c>
      <c r="D36" s="18">
        <f t="shared" si="2"/>
        <v>15.148333333333332</v>
      </c>
      <c r="E36" s="18">
        <f t="shared" si="2"/>
        <v>5.8083333333333336</v>
      </c>
      <c r="F36" s="18" t="e">
        <f t="shared" si="2"/>
        <v>#DIV/0!</v>
      </c>
      <c r="G36" s="18">
        <f t="shared" si="2"/>
        <v>56.582500000000003</v>
      </c>
      <c r="H36" s="18">
        <f t="shared" si="2"/>
        <v>19.98875</v>
      </c>
      <c r="I36" s="18">
        <f t="shared" si="2"/>
        <v>8.1862500000000029</v>
      </c>
      <c r="J36" s="18">
        <f t="shared" si="2"/>
        <v>0.33499999999999996</v>
      </c>
      <c r="K36" s="18">
        <f t="shared" si="2"/>
        <v>90.323333333333338</v>
      </c>
      <c r="L36" s="18">
        <f t="shared" si="2"/>
        <v>12.832500000000001</v>
      </c>
      <c r="M36" s="18">
        <f t="shared" si="2"/>
        <v>11.134166666666664</v>
      </c>
      <c r="N36" s="18">
        <f t="shared" si="2"/>
        <v>144.9</v>
      </c>
      <c r="O36" s="18">
        <f t="shared" si="2"/>
        <v>0</v>
      </c>
      <c r="P36" s="18">
        <f t="shared" si="2"/>
        <v>0.42291666666666666</v>
      </c>
      <c r="Q36" s="18">
        <f t="shared" si="2"/>
        <v>10.002083333333333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3.3681344554730774</v>
      </c>
      <c r="C37" s="18">
        <f t="shared" ref="C37:Q37" si="3">STDEV(C9:C32)</f>
        <v>1.6423663998342017</v>
      </c>
      <c r="D37" s="18">
        <f t="shared" si="3"/>
        <v>2.4204646817010977</v>
      </c>
      <c r="E37" s="18">
        <f t="shared" si="3"/>
        <v>0.54351246269193243</v>
      </c>
      <c r="F37" s="18" t="e">
        <f t="shared" si="3"/>
        <v>#DIV/0!</v>
      </c>
      <c r="G37" s="18">
        <f t="shared" si="3"/>
        <v>20.053182822294016</v>
      </c>
      <c r="H37" s="18">
        <f t="shared" si="3"/>
        <v>7.1270893580332846</v>
      </c>
      <c r="I37" s="18">
        <f t="shared" si="3"/>
        <v>2.6704889838835575</v>
      </c>
      <c r="J37" s="18">
        <f t="shared" si="3"/>
        <v>0.10632190661423913</v>
      </c>
      <c r="K37" s="18">
        <f t="shared" si="3"/>
        <v>42.233197293399257</v>
      </c>
      <c r="L37" s="18">
        <f t="shared" si="3"/>
        <v>3.99813244446432</v>
      </c>
      <c r="M37" s="18">
        <f t="shared" si="3"/>
        <v>6.9905345423941547</v>
      </c>
      <c r="N37" s="18">
        <f t="shared" si="3"/>
        <v>210.95382968998115</v>
      </c>
      <c r="O37" s="18">
        <f t="shared" si="3"/>
        <v>0</v>
      </c>
      <c r="P37" s="18">
        <f t="shared" si="3"/>
        <v>8.8783036308925187E-2</v>
      </c>
      <c r="Q37" s="18">
        <f t="shared" si="3"/>
        <v>7.2106000875923129E-3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0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&lt;90%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LESS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96"/>
  <sheetViews>
    <sheetView zoomScale="85" zoomScaleNormal="85" workbookViewId="0">
      <pane xSplit="1" ySplit="8" topLeftCell="B18" activePane="bottomRight" state="frozen"/>
      <selection activeCell="G19" sqref="G19"/>
      <selection pane="topRight" activeCell="G19" sqref="G19"/>
      <selection pane="bottomLeft" activeCell="G19" sqref="G19"/>
      <selection pane="bottomRight" activeCell="E39" sqref="E3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14/10/2025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373</v>
      </c>
      <c r="B9" s="41">
        <v>5.33</v>
      </c>
      <c r="C9" s="41">
        <v>7.43</v>
      </c>
      <c r="D9" s="41">
        <v>12.71</v>
      </c>
      <c r="E9" s="24" t="s">
        <v>14</v>
      </c>
      <c r="F9" s="41">
        <v>14.6</v>
      </c>
      <c r="G9" s="41">
        <v>70.290000000000006</v>
      </c>
      <c r="H9" s="41">
        <v>25.2</v>
      </c>
      <c r="I9" s="41">
        <v>6.44</v>
      </c>
      <c r="J9" s="41">
        <v>0.21</v>
      </c>
      <c r="K9" s="41">
        <v>104.83</v>
      </c>
      <c r="L9" s="41">
        <v>11.85</v>
      </c>
      <c r="M9" s="41">
        <v>11.71</v>
      </c>
      <c r="N9" s="41">
        <v>2.2000000000000002</v>
      </c>
      <c r="O9" s="41">
        <v>0</v>
      </c>
      <c r="P9" s="41">
        <v>0.44</v>
      </c>
      <c r="Q9" s="41">
        <v>10</v>
      </c>
      <c r="R9" s="38"/>
      <c r="S9" s="38"/>
      <c r="T9" s="38"/>
      <c r="U9" s="38"/>
    </row>
    <row r="10" spans="1:21" customFormat="1">
      <c r="A10" s="40" t="s">
        <v>374</v>
      </c>
      <c r="B10" s="41">
        <v>5.73</v>
      </c>
      <c r="C10" s="41">
        <v>7.38</v>
      </c>
      <c r="D10" s="41">
        <v>13</v>
      </c>
      <c r="E10" s="24" t="s">
        <v>14</v>
      </c>
      <c r="F10" s="41">
        <v>15.3</v>
      </c>
      <c r="G10" s="41">
        <v>60.42</v>
      </c>
      <c r="H10" s="41">
        <v>25.2</v>
      </c>
      <c r="I10" s="41">
        <v>6.41</v>
      </c>
      <c r="J10" s="41">
        <v>0.11</v>
      </c>
      <c r="K10" s="41">
        <v>166.83</v>
      </c>
      <c r="L10" s="41">
        <v>16.61</v>
      </c>
      <c r="M10" s="41">
        <v>23.72</v>
      </c>
      <c r="N10" s="41">
        <v>2.1</v>
      </c>
      <c r="O10" s="41">
        <v>0</v>
      </c>
      <c r="P10" s="41">
        <v>0.43</v>
      </c>
      <c r="Q10" s="41">
        <v>10</v>
      </c>
      <c r="R10" s="38"/>
      <c r="S10" s="38"/>
      <c r="T10" s="38"/>
      <c r="U10" s="38"/>
    </row>
    <row r="11" spans="1:21" customFormat="1">
      <c r="A11" s="40" t="s">
        <v>375</v>
      </c>
      <c r="B11" s="41">
        <v>6.58</v>
      </c>
      <c r="C11" s="41">
        <v>7.22</v>
      </c>
      <c r="D11" s="41">
        <v>13.76</v>
      </c>
      <c r="E11" s="24" t="s">
        <v>14</v>
      </c>
      <c r="F11" s="41">
        <v>12.6</v>
      </c>
      <c r="G11" s="41">
        <v>58.1</v>
      </c>
      <c r="H11" s="41">
        <v>23.32</v>
      </c>
      <c r="I11" s="41">
        <v>6.22</v>
      </c>
      <c r="J11" s="41">
        <v>0.15</v>
      </c>
      <c r="K11" s="41">
        <v>124.31</v>
      </c>
      <c r="L11" s="41">
        <v>12.2</v>
      </c>
      <c r="M11" s="41">
        <v>12.68</v>
      </c>
      <c r="N11" s="41">
        <v>2.1</v>
      </c>
      <c r="O11" s="41">
        <v>0</v>
      </c>
      <c r="P11" s="41">
        <v>0.41</v>
      </c>
      <c r="Q11" s="41">
        <v>10</v>
      </c>
      <c r="R11" s="38"/>
      <c r="S11" s="38"/>
      <c r="T11" s="38"/>
      <c r="U11" s="38"/>
    </row>
    <row r="12" spans="1:21" customFormat="1">
      <c r="A12" s="40" t="s">
        <v>376</v>
      </c>
      <c r="B12" s="41">
        <v>6.81</v>
      </c>
      <c r="C12" s="41">
        <v>7.13</v>
      </c>
      <c r="D12" s="41">
        <v>13.8</v>
      </c>
      <c r="E12" s="24" t="s">
        <v>14</v>
      </c>
      <c r="F12" s="41">
        <v>11.3</v>
      </c>
      <c r="G12" s="41">
        <v>58.45</v>
      </c>
      <c r="H12" s="41">
        <v>23.44</v>
      </c>
      <c r="I12" s="41">
        <v>6.16</v>
      </c>
      <c r="J12" s="41">
        <v>0.21</v>
      </c>
      <c r="K12" s="41">
        <v>80.290000000000006</v>
      </c>
      <c r="L12" s="41">
        <v>11.5</v>
      </c>
      <c r="M12" s="41">
        <v>10.84</v>
      </c>
      <c r="N12" s="41">
        <v>2.1</v>
      </c>
      <c r="O12" s="41">
        <v>0</v>
      </c>
      <c r="P12" s="41">
        <v>0.4</v>
      </c>
      <c r="Q12" s="41">
        <v>10</v>
      </c>
      <c r="R12" s="38"/>
      <c r="S12" s="38"/>
      <c r="T12" s="38"/>
      <c r="U12" s="38"/>
    </row>
    <row r="13" spans="1:21" customFormat="1">
      <c r="A13" s="40" t="s">
        <v>377</v>
      </c>
      <c r="B13" s="41">
        <v>7.71</v>
      </c>
      <c r="C13" s="41">
        <v>6.97</v>
      </c>
      <c r="D13" s="41">
        <v>14.51</v>
      </c>
      <c r="E13" s="24" t="s">
        <v>14</v>
      </c>
      <c r="F13" s="41">
        <v>11.3</v>
      </c>
      <c r="G13" s="41">
        <v>62.21</v>
      </c>
      <c r="H13" s="41">
        <v>23.44</v>
      </c>
      <c r="I13" s="41">
        <v>6.22</v>
      </c>
      <c r="J13" s="41">
        <v>0.35</v>
      </c>
      <c r="K13" s="41">
        <v>51.17</v>
      </c>
      <c r="L13" s="41">
        <v>7.68</v>
      </c>
      <c r="M13" s="41">
        <v>1.1299999999999999</v>
      </c>
      <c r="N13" s="41">
        <v>2.1</v>
      </c>
      <c r="O13" s="41">
        <v>0</v>
      </c>
      <c r="P13" s="41">
        <v>0.44</v>
      </c>
      <c r="Q13" s="41">
        <v>10</v>
      </c>
      <c r="R13" s="38"/>
      <c r="S13" s="38"/>
      <c r="T13" s="38"/>
      <c r="U13" s="38"/>
    </row>
    <row r="14" spans="1:21" customFormat="1">
      <c r="A14" s="40" t="s">
        <v>378</v>
      </c>
      <c r="B14" s="41">
        <v>8.99</v>
      </c>
      <c r="C14" s="41">
        <v>6.87</v>
      </c>
      <c r="D14" s="41">
        <v>15.86</v>
      </c>
      <c r="E14" s="24" t="s">
        <v>14</v>
      </c>
      <c r="F14" s="41">
        <v>11.3</v>
      </c>
      <c r="G14" s="41">
        <v>62.45</v>
      </c>
      <c r="H14" s="41">
        <v>22.68</v>
      </c>
      <c r="I14" s="41">
        <v>6.33</v>
      </c>
      <c r="J14" s="41">
        <v>0.34</v>
      </c>
      <c r="K14" s="41">
        <v>48.02</v>
      </c>
      <c r="L14" s="41">
        <v>7.62</v>
      </c>
      <c r="M14" s="41">
        <v>0.96</v>
      </c>
      <c r="N14" s="41">
        <v>3.1</v>
      </c>
      <c r="O14" s="41">
        <v>0</v>
      </c>
      <c r="P14" s="41">
        <v>0.46</v>
      </c>
      <c r="Q14" s="41">
        <v>10</v>
      </c>
      <c r="R14" s="38"/>
      <c r="S14" s="38"/>
      <c r="T14" s="38"/>
      <c r="U14" s="38"/>
    </row>
    <row r="15" spans="1:21" customFormat="1">
      <c r="A15" s="40" t="s">
        <v>379</v>
      </c>
      <c r="B15" s="41">
        <v>10</v>
      </c>
      <c r="C15" s="41">
        <v>6.98</v>
      </c>
      <c r="D15" s="41">
        <v>16.97</v>
      </c>
      <c r="E15" s="24" t="s">
        <v>14</v>
      </c>
      <c r="F15" s="41">
        <v>11.3</v>
      </c>
      <c r="G15" s="41">
        <v>68.959999999999994</v>
      </c>
      <c r="H15" s="41">
        <v>26.58</v>
      </c>
      <c r="I15" s="41">
        <v>6.66</v>
      </c>
      <c r="J15" s="41">
        <v>0.5</v>
      </c>
      <c r="K15" s="41">
        <v>40.54</v>
      </c>
      <c r="L15" s="41">
        <v>7.27</v>
      </c>
      <c r="M15" s="41">
        <v>-0.78</v>
      </c>
      <c r="N15" s="41">
        <v>36.200000000000003</v>
      </c>
      <c r="O15" s="41">
        <v>0</v>
      </c>
      <c r="P15" s="41">
        <v>0.47</v>
      </c>
      <c r="Q15" s="41">
        <v>10</v>
      </c>
      <c r="R15" s="38"/>
      <c r="S15" s="38"/>
      <c r="T15" s="38"/>
      <c r="U15" s="38"/>
    </row>
    <row r="16" spans="1:21" customFormat="1">
      <c r="A16" s="40" t="s">
        <v>380</v>
      </c>
      <c r="B16" s="41">
        <v>10.29</v>
      </c>
      <c r="C16" s="41">
        <v>7.16</v>
      </c>
      <c r="D16" s="41">
        <v>17.38</v>
      </c>
      <c r="E16" s="24" t="s">
        <v>14</v>
      </c>
      <c r="F16" s="41">
        <v>12.3</v>
      </c>
      <c r="G16" s="41">
        <v>69.5</v>
      </c>
      <c r="H16" s="41">
        <v>29.59</v>
      </c>
      <c r="I16" s="41">
        <v>7.12</v>
      </c>
      <c r="J16" s="41">
        <v>0.44</v>
      </c>
      <c r="K16" s="41">
        <v>84.19</v>
      </c>
      <c r="L16" s="41">
        <v>11.51</v>
      </c>
      <c r="M16" s="41">
        <v>7.71</v>
      </c>
      <c r="N16" s="41">
        <v>134.19999999999999</v>
      </c>
      <c r="O16" s="41">
        <v>0</v>
      </c>
      <c r="P16" s="41">
        <v>0.49</v>
      </c>
      <c r="Q16" s="41">
        <v>10</v>
      </c>
      <c r="R16" s="38"/>
      <c r="S16" s="38"/>
      <c r="T16" s="38"/>
      <c r="U16" s="38"/>
    </row>
    <row r="17" spans="1:21" customFormat="1">
      <c r="A17" s="40" t="s">
        <v>381</v>
      </c>
      <c r="B17" s="41">
        <v>9.94</v>
      </c>
      <c r="C17" s="41">
        <v>7.44</v>
      </c>
      <c r="D17" s="41">
        <v>17.12</v>
      </c>
      <c r="E17" s="24" t="s">
        <v>14</v>
      </c>
      <c r="F17" s="41">
        <v>12.9</v>
      </c>
      <c r="G17" s="41">
        <v>70.47</v>
      </c>
      <c r="H17" s="41">
        <v>29.59</v>
      </c>
      <c r="I17" s="41">
        <v>7.36</v>
      </c>
      <c r="J17" s="41">
        <v>0.45</v>
      </c>
      <c r="K17" s="41">
        <v>84.31</v>
      </c>
      <c r="L17" s="41">
        <v>11.65</v>
      </c>
      <c r="M17" s="41">
        <v>8.2899999999999991</v>
      </c>
      <c r="N17" s="41">
        <v>175.5</v>
      </c>
      <c r="O17" s="41">
        <v>0</v>
      </c>
      <c r="P17" s="41">
        <v>0.49</v>
      </c>
      <c r="Q17" s="41">
        <v>10</v>
      </c>
      <c r="R17" s="38"/>
      <c r="S17" s="38"/>
      <c r="T17" s="38"/>
      <c r="U17" s="38"/>
    </row>
    <row r="18" spans="1:21" customFormat="1">
      <c r="A18" s="40" t="s">
        <v>382</v>
      </c>
      <c r="B18" s="41">
        <v>8.89</v>
      </c>
      <c r="C18" s="41">
        <v>8.24</v>
      </c>
      <c r="D18" s="41">
        <v>16.55</v>
      </c>
      <c r="E18" s="41">
        <v>6.71</v>
      </c>
      <c r="F18" s="41">
        <v>13.5</v>
      </c>
      <c r="G18" s="41">
        <v>71.92</v>
      </c>
      <c r="H18" s="41">
        <v>28.19</v>
      </c>
      <c r="I18" s="41">
        <v>7.39</v>
      </c>
      <c r="J18" s="41">
        <v>0.39</v>
      </c>
      <c r="K18" s="41">
        <v>59.39</v>
      </c>
      <c r="L18" s="41">
        <v>16.37</v>
      </c>
      <c r="M18" s="41">
        <v>12.16</v>
      </c>
      <c r="N18" s="41">
        <v>473.9</v>
      </c>
      <c r="O18" s="41">
        <v>0</v>
      </c>
      <c r="P18" s="41">
        <v>0.46</v>
      </c>
      <c r="Q18" s="41">
        <v>10</v>
      </c>
      <c r="R18" s="38"/>
      <c r="S18" s="38"/>
      <c r="T18" s="38"/>
      <c r="U18" s="38"/>
    </row>
    <row r="19" spans="1:21" customFormat="1">
      <c r="A19" s="40" t="s">
        <v>383</v>
      </c>
      <c r="B19" s="41">
        <v>5.76</v>
      </c>
      <c r="C19" s="41">
        <v>9.67</v>
      </c>
      <c r="D19" s="41">
        <v>14.71</v>
      </c>
      <c r="E19" s="41">
        <v>5.57</v>
      </c>
      <c r="F19" s="41">
        <v>11.3</v>
      </c>
      <c r="G19" s="41">
        <v>71.92</v>
      </c>
      <c r="H19" s="41">
        <v>25.9</v>
      </c>
      <c r="I19" s="41">
        <v>7.76</v>
      </c>
      <c r="J19" s="41">
        <v>0.32</v>
      </c>
      <c r="K19" s="41">
        <v>120.78</v>
      </c>
      <c r="L19" s="41">
        <v>18.88</v>
      </c>
      <c r="M19" s="41">
        <v>15.69</v>
      </c>
      <c r="N19" s="41">
        <v>582.9</v>
      </c>
      <c r="O19" s="41">
        <v>0</v>
      </c>
      <c r="P19" s="41">
        <v>0.44</v>
      </c>
      <c r="Q19" s="41">
        <v>10</v>
      </c>
      <c r="R19" s="38"/>
      <c r="S19" s="38"/>
      <c r="T19" s="38"/>
      <c r="U19" s="38"/>
    </row>
    <row r="20" spans="1:21" customFormat="1">
      <c r="A20" s="40" t="s">
        <v>384</v>
      </c>
      <c r="B20" s="41">
        <v>2.16</v>
      </c>
      <c r="C20" s="41">
        <v>9.02</v>
      </c>
      <c r="D20" s="41">
        <v>10.95</v>
      </c>
      <c r="E20" s="41">
        <v>6.48</v>
      </c>
      <c r="F20" s="41">
        <v>36.450000000000003</v>
      </c>
      <c r="G20" s="41">
        <v>40.44</v>
      </c>
      <c r="H20" s="41">
        <v>8.81</v>
      </c>
      <c r="I20" s="41">
        <v>7.62</v>
      </c>
      <c r="J20" s="41">
        <v>0.45</v>
      </c>
      <c r="K20" s="41">
        <v>121.73</v>
      </c>
      <c r="L20" s="41">
        <v>19.07</v>
      </c>
      <c r="M20" s="41">
        <v>14.34</v>
      </c>
      <c r="N20" s="41">
        <v>698.9</v>
      </c>
      <c r="O20" s="41">
        <v>0</v>
      </c>
      <c r="P20" s="41">
        <v>0.37</v>
      </c>
      <c r="Q20" s="41">
        <v>10</v>
      </c>
      <c r="R20" s="38"/>
      <c r="S20" s="38"/>
      <c r="T20" s="38"/>
      <c r="U20" s="38"/>
    </row>
    <row r="21" spans="1:21" customFormat="1">
      <c r="A21" s="40" t="s">
        <v>385</v>
      </c>
      <c r="B21" s="41">
        <v>2.3199999999999998</v>
      </c>
      <c r="C21" s="41">
        <v>9.0399999999999991</v>
      </c>
      <c r="D21" s="41">
        <v>11.25</v>
      </c>
      <c r="E21" s="41">
        <v>5.17</v>
      </c>
      <c r="F21" s="41">
        <v>26.33</v>
      </c>
      <c r="G21" s="41">
        <v>33.340000000000003</v>
      </c>
      <c r="H21" s="41">
        <v>8.4700000000000006</v>
      </c>
      <c r="I21" s="41">
        <v>6.38</v>
      </c>
      <c r="J21" s="41">
        <v>0.43</v>
      </c>
      <c r="K21" s="41">
        <v>156.99</v>
      </c>
      <c r="L21" s="41">
        <v>19.190000000000001</v>
      </c>
      <c r="M21" s="41">
        <v>21.08</v>
      </c>
      <c r="N21" s="41">
        <v>541.29999999999995</v>
      </c>
      <c r="O21" s="41">
        <v>0</v>
      </c>
      <c r="P21" s="41">
        <v>0.31</v>
      </c>
      <c r="Q21" s="41">
        <v>10</v>
      </c>
      <c r="R21" s="38"/>
      <c r="S21" s="38"/>
      <c r="T21" s="38"/>
      <c r="U21" s="38"/>
    </row>
    <row r="22" spans="1:21" customFormat="1">
      <c r="A22" s="40" t="s">
        <v>386</v>
      </c>
      <c r="B22" s="41">
        <v>2.0099999999999998</v>
      </c>
      <c r="C22" s="41">
        <v>9.0500000000000007</v>
      </c>
      <c r="D22" s="41">
        <v>10.89</v>
      </c>
      <c r="E22" s="41">
        <v>5.26</v>
      </c>
      <c r="F22" s="41">
        <v>26.63</v>
      </c>
      <c r="G22" s="41">
        <v>31.03</v>
      </c>
      <c r="H22" s="41">
        <v>6.44</v>
      </c>
      <c r="I22" s="41">
        <v>5.29</v>
      </c>
      <c r="J22" s="41">
        <v>0.25</v>
      </c>
      <c r="K22" s="41">
        <v>134.13999999999999</v>
      </c>
      <c r="L22" s="41">
        <v>17.75</v>
      </c>
      <c r="M22" s="41">
        <v>17.87</v>
      </c>
      <c r="N22" s="41">
        <v>449.4</v>
      </c>
      <c r="O22" s="41">
        <v>0</v>
      </c>
      <c r="P22" s="41">
        <v>0.28000000000000003</v>
      </c>
      <c r="Q22" s="41">
        <v>10</v>
      </c>
      <c r="R22" s="38"/>
      <c r="S22" s="38"/>
      <c r="T22" s="38"/>
      <c r="U22" s="38"/>
    </row>
    <row r="23" spans="1:21" customFormat="1">
      <c r="A23" s="40" t="s">
        <v>387</v>
      </c>
      <c r="B23" s="41">
        <v>2.62</v>
      </c>
      <c r="C23" s="41">
        <v>10.81</v>
      </c>
      <c r="D23" s="41">
        <v>13.24</v>
      </c>
      <c r="E23" s="41">
        <v>2.3199999999999998</v>
      </c>
      <c r="F23" s="41">
        <v>31.9</v>
      </c>
      <c r="G23" s="41">
        <v>27.85</v>
      </c>
      <c r="H23" s="41">
        <v>6.44</v>
      </c>
      <c r="I23" s="41">
        <v>4.6399999999999997</v>
      </c>
      <c r="J23" s="41">
        <v>0.55000000000000004</v>
      </c>
      <c r="K23" s="41">
        <v>79.22</v>
      </c>
      <c r="L23" s="41">
        <v>12.93</v>
      </c>
      <c r="M23" s="41">
        <v>11.7</v>
      </c>
      <c r="N23" s="41">
        <v>486.3</v>
      </c>
      <c r="O23" s="41">
        <v>0</v>
      </c>
      <c r="P23" s="41">
        <v>0.3</v>
      </c>
      <c r="Q23" s="41">
        <v>10</v>
      </c>
      <c r="R23" s="38"/>
      <c r="S23" s="38"/>
      <c r="T23" s="38"/>
      <c r="U23" s="38"/>
    </row>
    <row r="24" spans="1:21" customFormat="1">
      <c r="A24" s="40" t="s">
        <v>388</v>
      </c>
      <c r="B24" s="41">
        <v>4.1100000000000003</v>
      </c>
      <c r="C24" s="41">
        <v>11.82</v>
      </c>
      <c r="D24" s="41">
        <v>14.51</v>
      </c>
      <c r="E24" s="41">
        <v>2.81</v>
      </c>
      <c r="F24" s="41">
        <v>26.91</v>
      </c>
      <c r="G24" s="41">
        <v>24.71</v>
      </c>
      <c r="H24" s="41">
        <v>5.61</v>
      </c>
      <c r="I24" s="41">
        <v>3.66</v>
      </c>
      <c r="J24" s="41">
        <v>0.4</v>
      </c>
      <c r="K24" s="41">
        <v>66.28</v>
      </c>
      <c r="L24" s="41">
        <v>11.23</v>
      </c>
      <c r="M24" s="41">
        <v>8.93</v>
      </c>
      <c r="N24" s="41">
        <v>60.8</v>
      </c>
      <c r="O24" s="41">
        <v>0</v>
      </c>
      <c r="P24" s="41">
        <v>0.26</v>
      </c>
      <c r="Q24" s="41">
        <v>10</v>
      </c>
      <c r="R24" s="38"/>
      <c r="S24" s="38"/>
      <c r="T24" s="38"/>
      <c r="U24" s="38"/>
    </row>
    <row r="25" spans="1:21" customFormat="1">
      <c r="A25" s="40" t="s">
        <v>389</v>
      </c>
      <c r="B25" s="41">
        <v>2.96</v>
      </c>
      <c r="C25" s="41">
        <v>11.33</v>
      </c>
      <c r="D25" s="41">
        <v>14.29</v>
      </c>
      <c r="E25" s="41">
        <v>0.89</v>
      </c>
      <c r="F25" s="41">
        <v>19.93</v>
      </c>
      <c r="G25" s="41">
        <v>26.24</v>
      </c>
      <c r="H25" s="41">
        <v>5.84</v>
      </c>
      <c r="I25" s="41">
        <v>3.92</v>
      </c>
      <c r="J25" s="41">
        <v>0.31</v>
      </c>
      <c r="K25" s="41">
        <v>71.69</v>
      </c>
      <c r="L25" s="41">
        <v>11.68</v>
      </c>
      <c r="M25" s="41">
        <v>10.56</v>
      </c>
      <c r="N25" s="41">
        <v>33.9</v>
      </c>
      <c r="O25" s="41">
        <v>0</v>
      </c>
      <c r="P25" s="41">
        <v>0.3</v>
      </c>
      <c r="Q25" s="41">
        <v>10</v>
      </c>
      <c r="R25" s="38"/>
      <c r="S25" s="38"/>
      <c r="T25" s="38"/>
      <c r="U25" s="38"/>
    </row>
    <row r="26" spans="1:21" customFormat="1">
      <c r="A26" s="40" t="s">
        <v>390</v>
      </c>
      <c r="B26" s="41">
        <v>5.85</v>
      </c>
      <c r="C26" s="41">
        <v>21.58</v>
      </c>
      <c r="D26" s="41">
        <v>24.14</v>
      </c>
      <c r="E26" s="41">
        <v>0.86</v>
      </c>
      <c r="F26" s="41">
        <v>12.26</v>
      </c>
      <c r="G26" s="41">
        <v>33</v>
      </c>
      <c r="H26" s="41">
        <v>6.15</v>
      </c>
      <c r="I26" s="41">
        <v>5.53</v>
      </c>
      <c r="J26" s="41">
        <v>0.33</v>
      </c>
      <c r="K26" s="41">
        <v>66.64</v>
      </c>
      <c r="L26" s="41">
        <v>9.34</v>
      </c>
      <c r="M26" s="41">
        <v>5.26</v>
      </c>
      <c r="N26" s="41">
        <v>10.9</v>
      </c>
      <c r="O26" s="41">
        <v>0</v>
      </c>
      <c r="P26" s="41">
        <v>0.52</v>
      </c>
      <c r="Q26" s="41">
        <v>10</v>
      </c>
      <c r="R26" s="38"/>
      <c r="S26" s="38"/>
      <c r="T26" s="38"/>
      <c r="U26" s="38"/>
    </row>
    <row r="27" spans="1:21" customFormat="1">
      <c r="A27" s="40" t="s">
        <v>391</v>
      </c>
      <c r="B27" s="41">
        <v>6.19</v>
      </c>
      <c r="C27" s="41">
        <v>23.76</v>
      </c>
      <c r="D27" s="41">
        <v>17.37</v>
      </c>
      <c r="E27" s="41">
        <v>3.44</v>
      </c>
      <c r="F27" s="41">
        <v>12.26</v>
      </c>
      <c r="G27" s="41">
        <v>46.8</v>
      </c>
      <c r="H27" s="41">
        <v>6.95</v>
      </c>
      <c r="I27" s="41">
        <v>8.1199999999999992</v>
      </c>
      <c r="J27" s="41">
        <v>0.32</v>
      </c>
      <c r="K27" s="41">
        <v>59.46</v>
      </c>
      <c r="L27" s="41">
        <v>8.9600000000000009</v>
      </c>
      <c r="M27" s="41">
        <v>4.4000000000000004</v>
      </c>
      <c r="N27" s="41">
        <v>2.5</v>
      </c>
      <c r="O27" s="41">
        <v>0</v>
      </c>
      <c r="P27" s="41">
        <v>0.55000000000000004</v>
      </c>
      <c r="Q27" s="41">
        <v>10</v>
      </c>
      <c r="R27" s="38"/>
      <c r="S27" s="38"/>
      <c r="T27" s="38"/>
      <c r="U27" s="38"/>
    </row>
    <row r="28" spans="1:21" customFormat="1">
      <c r="A28" s="40" t="s">
        <v>392</v>
      </c>
      <c r="B28" s="41">
        <v>5.93</v>
      </c>
      <c r="C28" s="41">
        <v>12.18</v>
      </c>
      <c r="D28" s="41">
        <v>11.04</v>
      </c>
      <c r="E28" s="41">
        <v>4.01</v>
      </c>
      <c r="F28" s="41">
        <v>12.26</v>
      </c>
      <c r="G28" s="41">
        <v>68.17</v>
      </c>
      <c r="H28" s="41">
        <v>8.11</v>
      </c>
      <c r="I28" s="41">
        <v>8.25</v>
      </c>
      <c r="J28" s="41">
        <v>0.24</v>
      </c>
      <c r="K28" s="41">
        <v>99.75</v>
      </c>
      <c r="L28" s="41">
        <v>12.13</v>
      </c>
      <c r="M28" s="41">
        <v>12.43</v>
      </c>
      <c r="N28" s="41">
        <v>2.4</v>
      </c>
      <c r="O28" s="41">
        <v>0</v>
      </c>
      <c r="P28" s="41">
        <v>0.54</v>
      </c>
      <c r="Q28" s="41">
        <v>10</v>
      </c>
      <c r="R28" s="38"/>
      <c r="S28" s="38"/>
      <c r="T28" s="38"/>
      <c r="U28" s="38"/>
    </row>
    <row r="29" spans="1:21" customFormat="1">
      <c r="A29" s="40" t="s">
        <v>393</v>
      </c>
      <c r="B29" s="41">
        <v>5.57</v>
      </c>
      <c r="C29" s="41">
        <v>8.91</v>
      </c>
      <c r="D29" s="41">
        <v>9.1199999999999992</v>
      </c>
      <c r="E29" s="41">
        <v>4.63</v>
      </c>
      <c r="F29" s="41">
        <v>12.26</v>
      </c>
      <c r="G29" s="41">
        <v>68.17</v>
      </c>
      <c r="H29" s="41">
        <v>8.48</v>
      </c>
      <c r="I29" s="41">
        <v>8.1300000000000008</v>
      </c>
      <c r="J29" s="41">
        <v>0.24</v>
      </c>
      <c r="K29" s="41">
        <v>105.84</v>
      </c>
      <c r="L29" s="41">
        <v>12.17</v>
      </c>
      <c r="M29" s="41">
        <v>12.57</v>
      </c>
      <c r="N29" s="41">
        <v>2.4</v>
      </c>
      <c r="O29" s="41">
        <v>0</v>
      </c>
      <c r="P29" s="41">
        <v>0.53</v>
      </c>
      <c r="Q29" s="41">
        <v>10</v>
      </c>
      <c r="R29" s="38"/>
      <c r="S29" s="38"/>
      <c r="T29" s="38"/>
      <c r="U29" s="38"/>
    </row>
    <row r="30" spans="1:21" customFormat="1">
      <c r="A30" s="40" t="s">
        <v>394</v>
      </c>
      <c r="B30" s="41">
        <v>4.83</v>
      </c>
      <c r="C30" s="41">
        <v>8.0299999999999994</v>
      </c>
      <c r="D30" s="41">
        <v>8.07</v>
      </c>
      <c r="E30" s="41">
        <v>4.6900000000000004</v>
      </c>
      <c r="F30" s="41">
        <v>12.26</v>
      </c>
      <c r="G30" s="41">
        <v>59.62</v>
      </c>
      <c r="H30" s="41">
        <v>8.48</v>
      </c>
      <c r="I30" s="41">
        <v>7.86</v>
      </c>
      <c r="J30" s="41">
        <v>0.32</v>
      </c>
      <c r="K30" s="41">
        <v>53.15</v>
      </c>
      <c r="L30" s="41">
        <v>9.6999999999999993</v>
      </c>
      <c r="M30" s="41">
        <v>6.16</v>
      </c>
      <c r="N30" s="41">
        <v>2.2000000000000002</v>
      </c>
      <c r="O30" s="41">
        <v>0</v>
      </c>
      <c r="P30" s="41">
        <v>0.53</v>
      </c>
      <c r="Q30" s="41">
        <v>10</v>
      </c>
      <c r="R30" s="38"/>
      <c r="S30" s="38"/>
      <c r="T30" s="38"/>
      <c r="U30" s="38"/>
    </row>
    <row r="31" spans="1:21" customFormat="1">
      <c r="A31" s="40" t="s">
        <v>395</v>
      </c>
      <c r="B31" s="41">
        <v>4.8499999999999996</v>
      </c>
      <c r="C31" s="41">
        <v>7.82</v>
      </c>
      <c r="D31" s="41">
        <v>7.97</v>
      </c>
      <c r="E31" s="41">
        <v>5.17</v>
      </c>
      <c r="F31" s="41">
        <v>12.26</v>
      </c>
      <c r="G31" s="41">
        <v>51.74</v>
      </c>
      <c r="H31" s="41">
        <v>9.0299999999999994</v>
      </c>
      <c r="I31" s="41">
        <v>7.82</v>
      </c>
      <c r="J31" s="41">
        <v>0.37</v>
      </c>
      <c r="K31" s="41">
        <v>86.11</v>
      </c>
      <c r="L31" s="41">
        <v>10.86</v>
      </c>
      <c r="M31" s="41">
        <v>9.2799999999999994</v>
      </c>
      <c r="N31" s="41">
        <v>2.2999999999999998</v>
      </c>
      <c r="O31" s="41">
        <v>0</v>
      </c>
      <c r="P31" s="41">
        <v>0.52</v>
      </c>
      <c r="Q31" s="41">
        <v>10</v>
      </c>
      <c r="R31" s="38"/>
      <c r="S31" s="38"/>
      <c r="T31" s="38"/>
      <c r="U31" s="38"/>
    </row>
    <row r="32" spans="1:21" customFormat="1">
      <c r="A32" s="40" t="s">
        <v>396</v>
      </c>
      <c r="B32" s="41">
        <v>4.59</v>
      </c>
      <c r="C32" s="41">
        <v>7.53</v>
      </c>
      <c r="D32" s="41">
        <v>7.61</v>
      </c>
      <c r="E32" s="41">
        <v>5.63</v>
      </c>
      <c r="F32" s="41">
        <v>12.26</v>
      </c>
      <c r="G32" s="41">
        <v>51.74</v>
      </c>
      <c r="H32" s="41">
        <v>9.0299999999999994</v>
      </c>
      <c r="I32" s="41">
        <v>7.78</v>
      </c>
      <c r="J32" s="41">
        <v>0.21</v>
      </c>
      <c r="K32" s="41">
        <v>155.30000000000001</v>
      </c>
      <c r="L32" s="41">
        <v>15.25</v>
      </c>
      <c r="M32" s="41">
        <v>20.39</v>
      </c>
      <c r="N32" s="41">
        <v>2.2999999999999998</v>
      </c>
      <c r="O32" s="41">
        <v>0</v>
      </c>
      <c r="P32" s="41">
        <v>0.52</v>
      </c>
      <c r="Q32" s="41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2.0099999999999998</v>
      </c>
      <c r="C34" s="18">
        <f t="shared" si="0"/>
        <v>6.87</v>
      </c>
      <c r="D34" s="18">
        <f t="shared" si="0"/>
        <v>7.61</v>
      </c>
      <c r="E34" s="18">
        <f t="shared" si="0"/>
        <v>0.86</v>
      </c>
      <c r="F34" s="18">
        <f t="shared" si="0"/>
        <v>11.3</v>
      </c>
      <c r="G34" s="18">
        <f t="shared" si="0"/>
        <v>24.71</v>
      </c>
      <c r="H34" s="18">
        <f t="shared" si="0"/>
        <v>5.61</v>
      </c>
      <c r="I34" s="18">
        <f t="shared" si="0"/>
        <v>3.66</v>
      </c>
      <c r="J34" s="18">
        <f t="shared" si="0"/>
        <v>0.11</v>
      </c>
      <c r="K34" s="18">
        <f t="shared" si="0"/>
        <v>40.54</v>
      </c>
      <c r="L34" s="18">
        <f t="shared" si="0"/>
        <v>7.27</v>
      </c>
      <c r="M34" s="18">
        <f t="shared" si="0"/>
        <v>-0.78</v>
      </c>
      <c r="N34" s="18">
        <f t="shared" si="0"/>
        <v>2.1</v>
      </c>
      <c r="O34" s="18">
        <f t="shared" si="0"/>
        <v>0</v>
      </c>
      <c r="P34" s="18">
        <f t="shared" si="0"/>
        <v>0.26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10.29</v>
      </c>
      <c r="C35" s="3">
        <f t="shared" si="1"/>
        <v>23.76</v>
      </c>
      <c r="D35" s="3">
        <f t="shared" si="1"/>
        <v>24.14</v>
      </c>
      <c r="E35" s="3">
        <f t="shared" si="1"/>
        <v>6.71</v>
      </c>
      <c r="F35" s="3">
        <f t="shared" si="1"/>
        <v>36.450000000000003</v>
      </c>
      <c r="G35" s="3">
        <f t="shared" si="1"/>
        <v>71.92</v>
      </c>
      <c r="H35" s="3">
        <f t="shared" si="1"/>
        <v>29.59</v>
      </c>
      <c r="I35" s="3">
        <f t="shared" si="1"/>
        <v>8.25</v>
      </c>
      <c r="J35" s="3">
        <f t="shared" si="1"/>
        <v>0.55000000000000004</v>
      </c>
      <c r="K35" s="3">
        <f t="shared" si="1"/>
        <v>166.83</v>
      </c>
      <c r="L35" s="3">
        <f t="shared" si="1"/>
        <v>19.190000000000001</v>
      </c>
      <c r="M35" s="3">
        <f t="shared" si="1"/>
        <v>23.72</v>
      </c>
      <c r="N35" s="3">
        <f t="shared" si="1"/>
        <v>698.9</v>
      </c>
      <c r="O35" s="3">
        <f t="shared" si="1"/>
        <v>0</v>
      </c>
      <c r="P35" s="3">
        <f t="shared" si="1"/>
        <v>0.55000000000000004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5.8341666666666656</v>
      </c>
      <c r="C36" s="18">
        <f t="shared" si="2"/>
        <v>9.723749999999999</v>
      </c>
      <c r="D36" s="18">
        <f t="shared" si="2"/>
        <v>13.617500000000001</v>
      </c>
      <c r="E36" s="18">
        <f t="shared" si="2"/>
        <v>4.2426666666666666</v>
      </c>
      <c r="F36" s="18">
        <f t="shared" si="2"/>
        <v>16.31958333333333</v>
      </c>
      <c r="G36" s="18">
        <f t="shared" si="2"/>
        <v>53.647500000000001</v>
      </c>
      <c r="H36" s="18">
        <f t="shared" si="2"/>
        <v>15.873749999999999</v>
      </c>
      <c r="I36" s="18">
        <f t="shared" si="2"/>
        <v>6.6279166666666676</v>
      </c>
      <c r="J36" s="18">
        <f t="shared" si="2"/>
        <v>0.32875000000000004</v>
      </c>
      <c r="K36" s="18">
        <f t="shared" si="2"/>
        <v>92.54000000000002</v>
      </c>
      <c r="L36" s="18">
        <f t="shared" si="2"/>
        <v>12.641666666666667</v>
      </c>
      <c r="M36" s="18">
        <f t="shared" si="2"/>
        <v>10.795</v>
      </c>
      <c r="N36" s="18">
        <f t="shared" si="2"/>
        <v>154.66666666666671</v>
      </c>
      <c r="O36" s="18">
        <f t="shared" si="2"/>
        <v>0</v>
      </c>
      <c r="P36" s="18">
        <f t="shared" si="2"/>
        <v>0.43583333333333324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2.5059059225664546</v>
      </c>
      <c r="C37" s="18">
        <f t="shared" ref="C37:Q37" si="3">STDEV(C9:C32)</f>
        <v>4.3044848325802088</v>
      </c>
      <c r="D37" s="18">
        <f t="shared" si="3"/>
        <v>3.7678597892310548</v>
      </c>
      <c r="E37" s="18">
        <f t="shared" si="3"/>
        <v>1.8325488364830109</v>
      </c>
      <c r="F37" s="18">
        <f t="shared" si="3"/>
        <v>7.4444706525784374</v>
      </c>
      <c r="G37" s="18">
        <f t="shared" si="3"/>
        <v>16.475903946963445</v>
      </c>
      <c r="H37" s="18">
        <f t="shared" si="3"/>
        <v>9.4628099570164039</v>
      </c>
      <c r="I37" s="18">
        <f t="shared" si="3"/>
        <v>1.300153767383136</v>
      </c>
      <c r="J37" s="18">
        <f t="shared" si="3"/>
        <v>0.11152354011597702</v>
      </c>
      <c r="K37" s="18">
        <f t="shared" si="3"/>
        <v>36.608791175130911</v>
      </c>
      <c r="L37" s="18">
        <f t="shared" si="3"/>
        <v>3.6624732278786056</v>
      </c>
      <c r="M37" s="18">
        <f t="shared" si="3"/>
        <v>6.2663337870268929</v>
      </c>
      <c r="N37" s="18">
        <f t="shared" si="3"/>
        <v>234.54824045694576</v>
      </c>
      <c r="O37" s="18">
        <f t="shared" si="3"/>
        <v>0</v>
      </c>
      <c r="P37" s="18">
        <f t="shared" si="3"/>
        <v>8.977830989463069E-2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>COUNT(E9:E32)+9</f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M14" sqref="M14:M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15/10/2025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397</v>
      </c>
      <c r="B9" s="41">
        <v>4.6399999999999997</v>
      </c>
      <c r="C9" s="41">
        <v>6.88</v>
      </c>
      <c r="D9" s="41">
        <v>7.07</v>
      </c>
      <c r="E9" s="41">
        <v>5.46</v>
      </c>
      <c r="F9" s="41">
        <v>2</v>
      </c>
      <c r="G9" s="41">
        <v>51.07</v>
      </c>
      <c r="H9" s="41">
        <v>8.9700000000000006</v>
      </c>
      <c r="I9" s="41">
        <v>7.62</v>
      </c>
      <c r="J9" s="41">
        <v>0.14000000000000001</v>
      </c>
      <c r="K9" s="41">
        <v>191.45</v>
      </c>
      <c r="L9" s="41">
        <v>16.36</v>
      </c>
      <c r="M9" s="41">
        <v>23.1</v>
      </c>
      <c r="N9" s="41">
        <v>2.2999999999999998</v>
      </c>
      <c r="O9" s="41">
        <v>0</v>
      </c>
      <c r="P9" s="41">
        <v>0.54</v>
      </c>
      <c r="Q9" s="41">
        <v>10</v>
      </c>
      <c r="R9" s="38"/>
      <c r="S9" s="38"/>
      <c r="T9" s="38"/>
      <c r="U9" s="38"/>
    </row>
    <row r="10" spans="1:21" customFormat="1">
      <c r="A10" s="40" t="s">
        <v>398</v>
      </c>
      <c r="B10" s="41">
        <v>5.67</v>
      </c>
      <c r="C10" s="41">
        <v>6.67</v>
      </c>
      <c r="D10" s="41">
        <v>7.9</v>
      </c>
      <c r="E10" s="41">
        <v>5.62</v>
      </c>
      <c r="F10" s="41">
        <v>2</v>
      </c>
      <c r="G10" s="41">
        <v>51.07</v>
      </c>
      <c r="H10" s="41">
        <v>8.9700000000000006</v>
      </c>
      <c r="I10" s="41">
        <v>7.61</v>
      </c>
      <c r="J10" s="41">
        <v>0.21</v>
      </c>
      <c r="K10" s="41">
        <v>113.45</v>
      </c>
      <c r="L10" s="41">
        <v>13.25</v>
      </c>
      <c r="M10" s="41">
        <v>15.35</v>
      </c>
      <c r="N10" s="41">
        <v>2.1</v>
      </c>
      <c r="O10" s="41">
        <v>0</v>
      </c>
      <c r="P10" s="41">
        <v>0.52</v>
      </c>
      <c r="Q10" s="41">
        <v>10</v>
      </c>
      <c r="R10" s="38"/>
      <c r="S10" s="38"/>
      <c r="T10" s="38"/>
      <c r="U10" s="38"/>
    </row>
    <row r="11" spans="1:21" customFormat="1">
      <c r="A11" s="40" t="s">
        <v>399</v>
      </c>
      <c r="B11" s="41">
        <v>6.46</v>
      </c>
      <c r="C11" s="41">
        <v>6.46</v>
      </c>
      <c r="D11" s="41">
        <v>8.5500000000000007</v>
      </c>
      <c r="E11" s="41">
        <v>6.48</v>
      </c>
      <c r="F11" s="41">
        <v>2</v>
      </c>
      <c r="G11" s="41">
        <v>48.42</v>
      </c>
      <c r="H11" s="41">
        <v>8.86</v>
      </c>
      <c r="I11" s="41">
        <v>7.58</v>
      </c>
      <c r="J11" s="41">
        <v>0.08</v>
      </c>
      <c r="K11" s="41">
        <v>207.73</v>
      </c>
      <c r="L11" s="41">
        <v>19.41</v>
      </c>
      <c r="M11" s="41">
        <v>30.82</v>
      </c>
      <c r="N11" s="41">
        <v>2.1</v>
      </c>
      <c r="O11" s="41">
        <v>0</v>
      </c>
      <c r="P11" s="41">
        <v>0.51</v>
      </c>
      <c r="Q11" s="41">
        <v>10</v>
      </c>
      <c r="R11" s="38"/>
      <c r="S11" s="38"/>
      <c r="T11" s="38"/>
      <c r="U11" s="38"/>
    </row>
    <row r="12" spans="1:21" customFormat="1">
      <c r="A12" s="40" t="s">
        <v>400</v>
      </c>
      <c r="B12" s="41">
        <v>7.58</v>
      </c>
      <c r="C12" s="41">
        <v>6.56</v>
      </c>
      <c r="D12" s="41">
        <v>9.51</v>
      </c>
      <c r="E12" s="41">
        <v>6.77</v>
      </c>
      <c r="F12" s="41">
        <v>2</v>
      </c>
      <c r="G12" s="41">
        <v>48.42</v>
      </c>
      <c r="H12" s="41">
        <v>9.61</v>
      </c>
      <c r="I12" s="41">
        <v>7.54</v>
      </c>
      <c r="J12" s="41">
        <v>0.11</v>
      </c>
      <c r="K12" s="41">
        <v>156.15</v>
      </c>
      <c r="L12" s="41">
        <v>16.2</v>
      </c>
      <c r="M12" s="41">
        <v>22.59</v>
      </c>
      <c r="N12" s="41">
        <v>2.1</v>
      </c>
      <c r="O12" s="41">
        <v>0</v>
      </c>
      <c r="P12" s="41">
        <v>0.5</v>
      </c>
      <c r="Q12" s="41">
        <v>10</v>
      </c>
      <c r="R12" s="38"/>
      <c r="S12" s="38"/>
      <c r="T12" s="38"/>
      <c r="U12" s="38"/>
    </row>
    <row r="13" spans="1:21" customFormat="1">
      <c r="A13" s="40" t="s">
        <v>401</v>
      </c>
      <c r="B13" s="41">
        <v>8.17</v>
      </c>
      <c r="C13" s="41">
        <v>6.72</v>
      </c>
      <c r="D13" s="41">
        <v>10.07</v>
      </c>
      <c r="E13" s="41">
        <v>6.97</v>
      </c>
      <c r="F13" s="41">
        <v>2</v>
      </c>
      <c r="G13" s="41">
        <v>40.99</v>
      </c>
      <c r="H13" s="41">
        <v>9.61</v>
      </c>
      <c r="I13" s="41">
        <v>7.45</v>
      </c>
      <c r="J13" s="41">
        <v>0.12</v>
      </c>
      <c r="K13" s="41">
        <v>128.78</v>
      </c>
      <c r="L13" s="41">
        <v>15.31</v>
      </c>
      <c r="M13" s="41">
        <v>20.58</v>
      </c>
      <c r="N13" s="41">
        <v>2.1</v>
      </c>
      <c r="O13" s="41">
        <v>0</v>
      </c>
      <c r="P13" s="41">
        <v>0.49</v>
      </c>
      <c r="Q13" s="41">
        <v>10</v>
      </c>
      <c r="R13" s="38"/>
      <c r="S13" s="38"/>
      <c r="T13" s="38"/>
      <c r="U13" s="38"/>
    </row>
    <row r="14" spans="1:21" customFormat="1">
      <c r="A14" s="40" t="s">
        <v>402</v>
      </c>
      <c r="B14" s="41">
        <v>8.9600000000000009</v>
      </c>
      <c r="C14" s="41">
        <v>7.27</v>
      </c>
      <c r="D14" s="41">
        <v>10.99</v>
      </c>
      <c r="E14" s="41">
        <v>7.29</v>
      </c>
      <c r="F14" s="41">
        <v>2</v>
      </c>
      <c r="G14" s="41">
        <v>43.72</v>
      </c>
      <c r="H14" s="41">
        <v>9</v>
      </c>
      <c r="I14" s="41">
        <v>7.31</v>
      </c>
      <c r="J14" s="41">
        <v>0.35</v>
      </c>
      <c r="K14" s="41">
        <v>53.02</v>
      </c>
      <c r="L14" s="41">
        <v>8.49</v>
      </c>
      <c r="M14" s="41">
        <v>3.16</v>
      </c>
      <c r="N14" s="41">
        <v>3.1</v>
      </c>
      <c r="O14" s="41">
        <v>0</v>
      </c>
      <c r="P14" s="41">
        <v>0.46</v>
      </c>
      <c r="Q14" s="41">
        <v>10</v>
      </c>
      <c r="R14" s="38"/>
      <c r="S14" s="38"/>
      <c r="T14" s="38"/>
      <c r="U14" s="38"/>
    </row>
    <row r="15" spans="1:21" customFormat="1">
      <c r="A15" s="40" t="s">
        <v>403</v>
      </c>
      <c r="B15" s="41">
        <v>9.86</v>
      </c>
      <c r="C15" s="41">
        <v>7.55</v>
      </c>
      <c r="D15" s="41">
        <v>11.85</v>
      </c>
      <c r="E15" s="41">
        <v>7.63</v>
      </c>
      <c r="F15" s="41">
        <v>2</v>
      </c>
      <c r="G15" s="41">
        <v>48.47</v>
      </c>
      <c r="H15" s="41">
        <v>9.6999999999999993</v>
      </c>
      <c r="I15" s="41">
        <v>7.61</v>
      </c>
      <c r="J15" s="41">
        <v>0.46</v>
      </c>
      <c r="K15" s="41">
        <v>45.47</v>
      </c>
      <c r="L15" s="41">
        <v>7.23</v>
      </c>
      <c r="M15" s="41">
        <v>3.16</v>
      </c>
      <c r="N15" s="41">
        <v>36.200000000000003</v>
      </c>
      <c r="O15" s="41">
        <v>0</v>
      </c>
      <c r="P15" s="41">
        <v>0.48</v>
      </c>
      <c r="Q15" s="41">
        <v>10</v>
      </c>
      <c r="R15" s="38"/>
      <c r="S15" s="38"/>
      <c r="T15" s="38"/>
      <c r="U15" s="38"/>
    </row>
    <row r="16" spans="1:21" customFormat="1">
      <c r="A16" s="40" t="s">
        <v>404</v>
      </c>
      <c r="B16" s="41">
        <v>9.98</v>
      </c>
      <c r="C16" s="41">
        <v>7.73</v>
      </c>
      <c r="D16" s="41">
        <v>12.02</v>
      </c>
      <c r="E16" s="41">
        <v>7.77</v>
      </c>
      <c r="F16" s="41">
        <v>2</v>
      </c>
      <c r="G16" s="41">
        <v>54.58</v>
      </c>
      <c r="H16" s="41">
        <v>11.15</v>
      </c>
      <c r="I16" s="41">
        <v>8.2100000000000009</v>
      </c>
      <c r="J16" s="41">
        <v>0.38</v>
      </c>
      <c r="K16" s="41">
        <v>104.8</v>
      </c>
      <c r="L16" s="41">
        <v>13.41</v>
      </c>
      <c r="M16" s="41">
        <v>13.12</v>
      </c>
      <c r="N16" s="41">
        <v>149.6</v>
      </c>
      <c r="O16" s="41">
        <v>0</v>
      </c>
      <c r="P16" s="41">
        <v>0.49</v>
      </c>
      <c r="Q16" s="41">
        <v>10</v>
      </c>
      <c r="R16" s="38"/>
      <c r="S16" s="38"/>
      <c r="T16" s="38"/>
      <c r="U16" s="38"/>
    </row>
    <row r="17" spans="1:21" customFormat="1">
      <c r="A17" s="40" t="s">
        <v>405</v>
      </c>
      <c r="B17" s="41">
        <v>8.6999999999999993</v>
      </c>
      <c r="C17" s="41">
        <v>7.88</v>
      </c>
      <c r="D17" s="41">
        <v>10.87</v>
      </c>
      <c r="E17" s="41">
        <v>7.57</v>
      </c>
      <c r="F17" s="41">
        <v>2</v>
      </c>
      <c r="G17" s="41">
        <v>54.58</v>
      </c>
      <c r="H17" s="41">
        <v>11.15</v>
      </c>
      <c r="I17" s="41">
        <v>8.48</v>
      </c>
      <c r="J17" s="41">
        <v>0.62</v>
      </c>
      <c r="K17" s="41">
        <v>47.58</v>
      </c>
      <c r="L17" s="41">
        <v>10.79</v>
      </c>
      <c r="M17" s="41">
        <v>3.11</v>
      </c>
      <c r="N17" s="41">
        <v>321</v>
      </c>
      <c r="O17" s="41">
        <v>0</v>
      </c>
      <c r="P17" s="41">
        <v>0.49</v>
      </c>
      <c r="Q17" s="41">
        <v>10</v>
      </c>
      <c r="R17" s="38"/>
      <c r="S17" s="38"/>
      <c r="T17" s="38"/>
      <c r="U17" s="38"/>
    </row>
    <row r="18" spans="1:21" customFormat="1">
      <c r="A18" s="40" t="s">
        <v>406</v>
      </c>
      <c r="B18" s="41">
        <v>6.61</v>
      </c>
      <c r="C18" s="41">
        <v>8.15</v>
      </c>
      <c r="D18" s="41">
        <v>9.4499999999999993</v>
      </c>
      <c r="E18" s="41">
        <v>7.3</v>
      </c>
      <c r="F18" s="41">
        <v>2</v>
      </c>
      <c r="G18" s="41">
        <v>53.25</v>
      </c>
      <c r="H18" s="41">
        <v>10.4</v>
      </c>
      <c r="I18" s="41">
        <v>8.4700000000000006</v>
      </c>
      <c r="J18" s="41">
        <v>0.42</v>
      </c>
      <c r="K18" s="41">
        <v>85.75</v>
      </c>
      <c r="L18" s="41">
        <v>16.21</v>
      </c>
      <c r="M18" s="41">
        <v>12.45</v>
      </c>
      <c r="N18" s="41">
        <v>477.2</v>
      </c>
      <c r="O18" s="41">
        <v>0</v>
      </c>
      <c r="P18" s="41">
        <v>0.52</v>
      </c>
      <c r="Q18" s="41">
        <v>10</v>
      </c>
      <c r="R18" s="38"/>
      <c r="S18" s="38"/>
      <c r="T18" s="38"/>
      <c r="U18" s="38"/>
    </row>
    <row r="19" spans="1:21" customFormat="1">
      <c r="A19" s="40" t="s">
        <v>407</v>
      </c>
      <c r="B19" s="41">
        <v>5.0199999999999996</v>
      </c>
      <c r="C19" s="41">
        <v>7.83</v>
      </c>
      <c r="D19" s="41">
        <v>8.1199999999999992</v>
      </c>
      <c r="E19" s="41">
        <v>7.46</v>
      </c>
      <c r="F19" s="41">
        <v>2.8</v>
      </c>
      <c r="G19" s="41">
        <v>48.94</v>
      </c>
      <c r="H19" s="41">
        <v>9.61</v>
      </c>
      <c r="I19" s="41">
        <v>8.26</v>
      </c>
      <c r="J19" s="41">
        <v>0.25</v>
      </c>
      <c r="K19" s="41">
        <v>110.21</v>
      </c>
      <c r="L19" s="41">
        <v>18.170000000000002</v>
      </c>
      <c r="M19" s="41">
        <v>13.61</v>
      </c>
      <c r="N19" s="41">
        <v>596.20000000000005</v>
      </c>
      <c r="O19" s="41">
        <v>0</v>
      </c>
      <c r="P19" s="41">
        <v>0.51</v>
      </c>
      <c r="Q19" s="41">
        <v>10</v>
      </c>
      <c r="R19" s="38"/>
      <c r="S19" s="38"/>
      <c r="T19" s="38"/>
      <c r="U19" s="38"/>
    </row>
    <row r="20" spans="1:21" customFormat="1">
      <c r="A20" s="40" t="s">
        <v>408</v>
      </c>
      <c r="B20" s="41">
        <v>3.94</v>
      </c>
      <c r="C20" s="41">
        <v>7.28</v>
      </c>
      <c r="D20" s="41">
        <v>6.96</v>
      </c>
      <c r="E20" s="41">
        <v>7.41</v>
      </c>
      <c r="F20" s="41">
        <v>2.79</v>
      </c>
      <c r="G20" s="41">
        <v>41.03</v>
      </c>
      <c r="H20" s="41">
        <v>9.61</v>
      </c>
      <c r="I20" s="41">
        <v>8.02</v>
      </c>
      <c r="J20" s="41">
        <v>0.28999999999999998</v>
      </c>
      <c r="K20" s="41">
        <v>120.86</v>
      </c>
      <c r="L20" s="41">
        <v>19.22</v>
      </c>
      <c r="M20" s="41">
        <v>14.46</v>
      </c>
      <c r="N20" s="41">
        <v>700.1</v>
      </c>
      <c r="O20" s="41">
        <v>0</v>
      </c>
      <c r="P20" s="41">
        <v>0.48</v>
      </c>
      <c r="Q20" s="41">
        <v>10</v>
      </c>
      <c r="R20" s="38"/>
      <c r="S20" s="38"/>
      <c r="T20" s="38"/>
      <c r="U20" s="38"/>
    </row>
    <row r="21" spans="1:21" customFormat="1">
      <c r="A21" s="40" t="s">
        <v>409</v>
      </c>
      <c r="B21" s="41">
        <v>3.38</v>
      </c>
      <c r="C21" s="41">
        <v>6.8</v>
      </c>
      <c r="D21" s="41">
        <v>6.27</v>
      </c>
      <c r="E21" s="41">
        <v>6.67</v>
      </c>
      <c r="F21" s="41">
        <v>2.78</v>
      </c>
      <c r="G21" s="41">
        <v>37.79</v>
      </c>
      <c r="H21" s="41">
        <v>8.43</v>
      </c>
      <c r="I21" s="41">
        <v>7.68</v>
      </c>
      <c r="J21" s="41">
        <v>0.37</v>
      </c>
      <c r="K21" s="41">
        <v>139.05000000000001</v>
      </c>
      <c r="L21" s="41">
        <v>20.239999999999998</v>
      </c>
      <c r="M21" s="41">
        <v>18.260000000000002</v>
      </c>
      <c r="N21" s="41">
        <v>686.9</v>
      </c>
      <c r="O21" s="41">
        <v>0</v>
      </c>
      <c r="P21" s="41">
        <v>0.47</v>
      </c>
      <c r="Q21" s="41">
        <v>10</v>
      </c>
      <c r="R21" s="38"/>
      <c r="S21" s="38"/>
      <c r="T21" s="38"/>
      <c r="U21" s="38"/>
    </row>
    <row r="22" spans="1:21" customFormat="1">
      <c r="A22" s="40" t="s">
        <v>410</v>
      </c>
      <c r="B22" s="41">
        <v>3.19</v>
      </c>
      <c r="C22" s="41">
        <v>7</v>
      </c>
      <c r="D22" s="41">
        <v>6.21</v>
      </c>
      <c r="E22" s="41">
        <v>6.41</v>
      </c>
      <c r="F22" s="41">
        <v>4.04</v>
      </c>
      <c r="G22" s="41">
        <v>33.6</v>
      </c>
      <c r="H22" s="41">
        <v>8.33</v>
      </c>
      <c r="I22" s="41">
        <v>7.41</v>
      </c>
      <c r="J22" s="41">
        <v>0.54</v>
      </c>
      <c r="K22" s="41">
        <v>102.13</v>
      </c>
      <c r="L22" s="41">
        <v>16.57</v>
      </c>
      <c r="M22" s="41">
        <v>13.26</v>
      </c>
      <c r="N22" s="41">
        <v>438.9</v>
      </c>
      <c r="O22" s="41">
        <v>0</v>
      </c>
      <c r="P22" s="41">
        <v>0.43</v>
      </c>
      <c r="Q22" s="41">
        <v>10</v>
      </c>
      <c r="R22" s="38"/>
      <c r="S22" s="38"/>
      <c r="T22" s="38"/>
      <c r="U22" s="38"/>
    </row>
    <row r="23" spans="1:21" customFormat="1">
      <c r="A23" s="40" t="s">
        <v>411</v>
      </c>
      <c r="B23" s="41">
        <v>3.15</v>
      </c>
      <c r="C23" s="41">
        <v>6.89</v>
      </c>
      <c r="D23" s="41">
        <v>6.13</v>
      </c>
      <c r="E23" s="41">
        <v>5.81</v>
      </c>
      <c r="F23" s="41">
        <v>2</v>
      </c>
      <c r="G23" s="41">
        <v>31.18</v>
      </c>
      <c r="H23" s="41">
        <v>7.07</v>
      </c>
      <c r="I23" s="41">
        <v>6.9</v>
      </c>
      <c r="J23" s="41">
        <v>0.39</v>
      </c>
      <c r="K23" s="41">
        <v>147.47999999999999</v>
      </c>
      <c r="L23" s="41">
        <v>19.260000000000002</v>
      </c>
      <c r="M23" s="41">
        <v>18.96</v>
      </c>
      <c r="N23" s="41">
        <v>483</v>
      </c>
      <c r="O23" s="41">
        <v>0</v>
      </c>
      <c r="P23" s="41">
        <v>0.32</v>
      </c>
      <c r="Q23" s="41">
        <v>10</v>
      </c>
      <c r="R23" s="38"/>
      <c r="S23" s="38"/>
      <c r="T23" s="38"/>
      <c r="U23" s="38"/>
    </row>
    <row r="24" spans="1:21" customFormat="1">
      <c r="A24" s="40" t="s">
        <v>412</v>
      </c>
      <c r="B24" s="41">
        <v>2.84</v>
      </c>
      <c r="C24" s="41">
        <v>6.54</v>
      </c>
      <c r="D24" s="41">
        <v>5.69</v>
      </c>
      <c r="E24" s="41">
        <v>6.02</v>
      </c>
      <c r="F24" s="41">
        <v>2</v>
      </c>
      <c r="G24" s="41">
        <v>28.36</v>
      </c>
      <c r="H24" s="41">
        <v>6.91</v>
      </c>
      <c r="I24" s="41">
        <v>6.64</v>
      </c>
      <c r="J24" s="41">
        <v>0.36</v>
      </c>
      <c r="K24" s="41">
        <v>149.68</v>
      </c>
      <c r="L24" s="41">
        <v>15.32</v>
      </c>
      <c r="M24" s="41">
        <v>19.55</v>
      </c>
      <c r="N24" s="41">
        <v>63.7</v>
      </c>
      <c r="O24" s="41">
        <v>0</v>
      </c>
      <c r="P24" s="41">
        <v>0.27</v>
      </c>
      <c r="Q24" s="41">
        <v>10</v>
      </c>
      <c r="R24" s="38"/>
      <c r="S24" s="38"/>
      <c r="T24" s="38"/>
      <c r="U24" s="38"/>
    </row>
    <row r="25" spans="1:21" customFormat="1">
      <c r="A25" s="40" t="s">
        <v>413</v>
      </c>
      <c r="B25" s="41">
        <v>2.64</v>
      </c>
      <c r="C25" s="41">
        <v>6.46</v>
      </c>
      <c r="D25" s="41">
        <v>5.47</v>
      </c>
      <c r="E25" s="41">
        <v>6.33</v>
      </c>
      <c r="F25" s="41">
        <v>2</v>
      </c>
      <c r="G25" s="41">
        <v>28.36</v>
      </c>
      <c r="H25" s="41">
        <v>6.91</v>
      </c>
      <c r="I25" s="41">
        <v>6.18</v>
      </c>
      <c r="J25" s="41">
        <v>0.23</v>
      </c>
      <c r="K25" s="41">
        <v>134.01</v>
      </c>
      <c r="L25" s="41">
        <v>14.01</v>
      </c>
      <c r="M25" s="41">
        <v>16.47</v>
      </c>
      <c r="N25" s="41">
        <v>33.299999999999997</v>
      </c>
      <c r="O25" s="41">
        <v>0</v>
      </c>
      <c r="P25" s="41">
        <v>0.26</v>
      </c>
      <c r="Q25" s="41">
        <v>10</v>
      </c>
      <c r="R25" s="38"/>
      <c r="S25" s="38"/>
      <c r="T25" s="38"/>
      <c r="U25" s="38"/>
    </row>
    <row r="26" spans="1:21" customFormat="1">
      <c r="A26" s="40" t="s">
        <v>414</v>
      </c>
      <c r="B26" s="41">
        <v>2.82</v>
      </c>
      <c r="C26" s="41">
        <v>7.12</v>
      </c>
      <c r="D26" s="41">
        <v>5.98</v>
      </c>
      <c r="E26" s="41">
        <v>6.92</v>
      </c>
      <c r="F26" s="41">
        <v>2</v>
      </c>
      <c r="G26" s="41">
        <v>29.17</v>
      </c>
      <c r="H26" s="41">
        <v>6.87</v>
      </c>
      <c r="I26" s="41">
        <v>5.85</v>
      </c>
      <c r="J26" s="41">
        <v>0.28000000000000003</v>
      </c>
      <c r="K26" s="41">
        <v>151.01</v>
      </c>
      <c r="L26" s="41">
        <v>14.73</v>
      </c>
      <c r="M26" s="41">
        <v>19.079999999999998</v>
      </c>
      <c r="N26" s="41">
        <v>7.5</v>
      </c>
      <c r="O26" s="41">
        <v>0</v>
      </c>
      <c r="P26" s="41">
        <v>0.27</v>
      </c>
      <c r="Q26" s="41">
        <v>10</v>
      </c>
      <c r="R26" s="38"/>
      <c r="S26" s="38"/>
      <c r="T26" s="38"/>
      <c r="U26" s="38"/>
    </row>
    <row r="27" spans="1:21" customFormat="1">
      <c r="A27" s="40" t="s">
        <v>415</v>
      </c>
      <c r="B27" s="41">
        <v>2.88</v>
      </c>
      <c r="C27" s="41">
        <v>7.14</v>
      </c>
      <c r="D27" s="41">
        <v>6.02</v>
      </c>
      <c r="E27" s="41">
        <v>6.18</v>
      </c>
      <c r="F27" s="41">
        <v>2</v>
      </c>
      <c r="G27" s="41">
        <v>43.78</v>
      </c>
      <c r="H27" s="41">
        <v>8.2899999999999991</v>
      </c>
      <c r="I27" s="41">
        <v>6.35</v>
      </c>
      <c r="J27" s="41">
        <v>0.24</v>
      </c>
      <c r="K27" s="41">
        <v>160.31</v>
      </c>
      <c r="L27" s="41">
        <v>15.63</v>
      </c>
      <c r="M27" s="41">
        <v>21.39</v>
      </c>
      <c r="N27" s="41">
        <v>2.6</v>
      </c>
      <c r="O27" s="41">
        <v>0</v>
      </c>
      <c r="P27" s="41">
        <v>0.31</v>
      </c>
      <c r="Q27" s="41">
        <v>10</v>
      </c>
      <c r="R27" s="38"/>
      <c r="S27" s="38"/>
      <c r="T27" s="38"/>
      <c r="U27" s="38"/>
    </row>
    <row r="28" spans="1:21" customFormat="1">
      <c r="A28" s="40" t="s">
        <v>416</v>
      </c>
      <c r="B28" s="41">
        <v>2.92</v>
      </c>
      <c r="C28" s="41">
        <v>9.1300000000000008</v>
      </c>
      <c r="D28" s="41">
        <v>6.99</v>
      </c>
      <c r="E28" s="41">
        <v>8.5299999999999994</v>
      </c>
      <c r="F28" s="41">
        <v>5.43</v>
      </c>
      <c r="G28" s="41">
        <v>64.680000000000007</v>
      </c>
      <c r="H28" s="41">
        <v>11.59</v>
      </c>
      <c r="I28" s="41">
        <v>7.6</v>
      </c>
      <c r="J28" s="41">
        <v>0.27</v>
      </c>
      <c r="K28" s="41">
        <v>151.66999999999999</v>
      </c>
      <c r="L28" s="41">
        <v>14.82</v>
      </c>
      <c r="M28" s="41">
        <v>19.36</v>
      </c>
      <c r="N28" s="41">
        <v>2.2999999999999998</v>
      </c>
      <c r="O28" s="41">
        <v>0</v>
      </c>
      <c r="P28" s="41">
        <v>0.45</v>
      </c>
      <c r="Q28" s="41">
        <v>10</v>
      </c>
      <c r="R28" s="38"/>
      <c r="S28" s="38"/>
      <c r="T28" s="38"/>
      <c r="U28" s="38"/>
    </row>
    <row r="29" spans="1:21" customFormat="1">
      <c r="A29" s="40" t="s">
        <v>417</v>
      </c>
      <c r="B29" s="41">
        <v>3.28</v>
      </c>
      <c r="C29" s="41">
        <v>9.5</v>
      </c>
      <c r="D29" s="41">
        <v>7.59</v>
      </c>
      <c r="E29" s="41">
        <v>7.37</v>
      </c>
      <c r="F29" s="41">
        <v>3.66</v>
      </c>
      <c r="G29" s="41">
        <v>64.680000000000007</v>
      </c>
      <c r="H29" s="41">
        <v>11.66</v>
      </c>
      <c r="I29" s="41">
        <v>8.6</v>
      </c>
      <c r="J29" s="41">
        <v>0.3</v>
      </c>
      <c r="K29" s="41">
        <v>113.5</v>
      </c>
      <c r="L29" s="41">
        <v>11.81</v>
      </c>
      <c r="M29" s="41">
        <v>11.7</v>
      </c>
      <c r="N29" s="41">
        <v>2.2000000000000002</v>
      </c>
      <c r="O29" s="41">
        <v>0</v>
      </c>
      <c r="P29" s="41">
        <v>0.45</v>
      </c>
      <c r="Q29" s="41">
        <v>10</v>
      </c>
      <c r="R29" s="38"/>
      <c r="S29" s="38"/>
      <c r="T29" s="38"/>
      <c r="U29" s="38"/>
    </row>
    <row r="30" spans="1:21" customFormat="1">
      <c r="A30" s="40" t="s">
        <v>418</v>
      </c>
      <c r="B30" s="41">
        <v>4.12</v>
      </c>
      <c r="C30" s="41">
        <v>9.76</v>
      </c>
      <c r="D30" s="41">
        <v>8.41</v>
      </c>
      <c r="E30" s="41">
        <v>6.91</v>
      </c>
      <c r="F30" s="41">
        <v>2</v>
      </c>
      <c r="G30" s="41">
        <v>65.38</v>
      </c>
      <c r="H30" s="41">
        <v>12.53</v>
      </c>
      <c r="I30" s="41">
        <v>8.75</v>
      </c>
      <c r="J30" s="41">
        <v>0.35</v>
      </c>
      <c r="K30" s="41">
        <v>66.680000000000007</v>
      </c>
      <c r="L30" s="41">
        <v>8.86</v>
      </c>
      <c r="M30" s="41">
        <v>4.1399999999999997</v>
      </c>
      <c r="N30" s="41">
        <v>2.2999999999999998</v>
      </c>
      <c r="O30" s="41">
        <v>0</v>
      </c>
      <c r="P30" s="41">
        <v>0.48</v>
      </c>
      <c r="Q30" s="41">
        <v>10</v>
      </c>
      <c r="R30" s="38"/>
      <c r="S30" s="38"/>
      <c r="T30" s="38"/>
      <c r="U30" s="38"/>
    </row>
    <row r="31" spans="1:21" customFormat="1">
      <c r="A31" s="40" t="s">
        <v>419</v>
      </c>
      <c r="B31" s="41">
        <v>4.3</v>
      </c>
      <c r="C31" s="41">
        <v>8.57</v>
      </c>
      <c r="D31" s="41">
        <v>7.93</v>
      </c>
      <c r="E31" s="41">
        <v>6.29</v>
      </c>
      <c r="F31" s="41">
        <v>2.27</v>
      </c>
      <c r="G31" s="41">
        <v>65.38</v>
      </c>
      <c r="H31" s="41">
        <v>12.53</v>
      </c>
      <c r="I31" s="41">
        <v>8.7100000000000009</v>
      </c>
      <c r="J31" s="41">
        <v>0.33</v>
      </c>
      <c r="K31" s="41">
        <v>91.28</v>
      </c>
      <c r="L31" s="41">
        <v>10.62</v>
      </c>
      <c r="M31" s="41">
        <v>8.68</v>
      </c>
      <c r="N31" s="41">
        <v>2.2999999999999998</v>
      </c>
      <c r="O31" s="41">
        <v>0</v>
      </c>
      <c r="P31" s="41">
        <v>0.47</v>
      </c>
      <c r="Q31" s="41">
        <v>10</v>
      </c>
      <c r="R31" s="38"/>
      <c r="S31" s="38"/>
      <c r="T31" s="38"/>
      <c r="U31" s="38"/>
    </row>
    <row r="32" spans="1:21" customFormat="1">
      <c r="A32" s="40" t="s">
        <v>420</v>
      </c>
      <c r="B32" s="41">
        <v>4.66</v>
      </c>
      <c r="C32" s="41">
        <v>7.95</v>
      </c>
      <c r="D32" s="41">
        <v>7.7</v>
      </c>
      <c r="E32" s="41">
        <v>6.25</v>
      </c>
      <c r="F32" s="41">
        <v>2</v>
      </c>
      <c r="G32" s="41">
        <v>59.07</v>
      </c>
      <c r="H32" s="41">
        <v>12.07</v>
      </c>
      <c r="I32" s="41">
        <v>8.48</v>
      </c>
      <c r="J32" s="41">
        <v>0.3</v>
      </c>
      <c r="K32" s="41">
        <v>185.67</v>
      </c>
      <c r="L32" s="41">
        <v>17.850000000000001</v>
      </c>
      <c r="M32" s="41">
        <v>26.93</v>
      </c>
      <c r="N32" s="41">
        <v>2.6</v>
      </c>
      <c r="O32" s="41">
        <v>0</v>
      </c>
      <c r="P32" s="41">
        <v>0.46</v>
      </c>
      <c r="Q32" s="41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2.64</v>
      </c>
      <c r="C34" s="18">
        <f t="shared" si="0"/>
        <v>6.46</v>
      </c>
      <c r="D34" s="18">
        <f t="shared" si="0"/>
        <v>5.47</v>
      </c>
      <c r="E34" s="18">
        <f t="shared" si="0"/>
        <v>5.46</v>
      </c>
      <c r="F34" s="18">
        <f t="shared" si="0"/>
        <v>2</v>
      </c>
      <c r="G34" s="18">
        <f t="shared" si="0"/>
        <v>28.36</v>
      </c>
      <c r="H34" s="18">
        <f t="shared" si="0"/>
        <v>6.87</v>
      </c>
      <c r="I34" s="18">
        <f t="shared" si="0"/>
        <v>5.85</v>
      </c>
      <c r="J34" s="18">
        <f t="shared" si="0"/>
        <v>0.08</v>
      </c>
      <c r="K34" s="18">
        <f t="shared" si="0"/>
        <v>45.47</v>
      </c>
      <c r="L34" s="18">
        <f t="shared" si="0"/>
        <v>7.23</v>
      </c>
      <c r="M34" s="18">
        <f t="shared" si="0"/>
        <v>3.11</v>
      </c>
      <c r="N34" s="18">
        <f t="shared" si="0"/>
        <v>2.1</v>
      </c>
      <c r="O34" s="18">
        <f t="shared" si="0"/>
        <v>0</v>
      </c>
      <c r="P34" s="18">
        <f t="shared" si="0"/>
        <v>0.26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9.98</v>
      </c>
      <c r="C35" s="3">
        <f t="shared" si="1"/>
        <v>9.76</v>
      </c>
      <c r="D35" s="3">
        <f t="shared" si="1"/>
        <v>12.02</v>
      </c>
      <c r="E35" s="3">
        <f t="shared" si="1"/>
        <v>8.5299999999999994</v>
      </c>
      <c r="F35" s="3">
        <f t="shared" si="1"/>
        <v>5.43</v>
      </c>
      <c r="G35" s="3">
        <f t="shared" si="1"/>
        <v>65.38</v>
      </c>
      <c r="H35" s="3">
        <f t="shared" si="1"/>
        <v>12.53</v>
      </c>
      <c r="I35" s="3">
        <f t="shared" si="1"/>
        <v>8.75</v>
      </c>
      <c r="J35" s="3">
        <f t="shared" si="1"/>
        <v>0.62</v>
      </c>
      <c r="K35" s="3">
        <f t="shared" si="1"/>
        <v>207.73</v>
      </c>
      <c r="L35" s="3">
        <f t="shared" si="1"/>
        <v>20.239999999999998</v>
      </c>
      <c r="M35" s="3">
        <f t="shared" si="1"/>
        <v>30.82</v>
      </c>
      <c r="N35" s="3">
        <f t="shared" si="1"/>
        <v>700.1</v>
      </c>
      <c r="O35" s="3">
        <f t="shared" si="1"/>
        <v>0</v>
      </c>
      <c r="P35" s="3">
        <f t="shared" si="1"/>
        <v>0.54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5.2404166666666665</v>
      </c>
      <c r="C36" s="18">
        <f t="shared" si="2"/>
        <v>7.4933333333333323</v>
      </c>
      <c r="D36" s="18">
        <f t="shared" si="2"/>
        <v>8.0729166666666661</v>
      </c>
      <c r="E36" s="18">
        <f t="shared" si="2"/>
        <v>6.8091666666666661</v>
      </c>
      <c r="F36" s="18">
        <f t="shared" si="2"/>
        <v>2.4070833333333335</v>
      </c>
      <c r="G36" s="18">
        <f t="shared" si="2"/>
        <v>47.332083333333323</v>
      </c>
      <c r="H36" s="18">
        <f t="shared" si="2"/>
        <v>9.5762499999999999</v>
      </c>
      <c r="I36" s="18">
        <f t="shared" si="2"/>
        <v>7.6379166666666656</v>
      </c>
      <c r="J36" s="18">
        <f t="shared" si="2"/>
        <v>0.30791666666666667</v>
      </c>
      <c r="K36" s="18">
        <f t="shared" si="2"/>
        <v>123.23833333333333</v>
      </c>
      <c r="L36" s="18">
        <f t="shared" si="2"/>
        <v>14.740416666666668</v>
      </c>
      <c r="M36" s="18">
        <f t="shared" si="2"/>
        <v>15.553749999999999</v>
      </c>
      <c r="N36" s="18">
        <f t="shared" si="2"/>
        <v>167.57083333333335</v>
      </c>
      <c r="O36" s="18">
        <f t="shared" si="2"/>
        <v>0</v>
      </c>
      <c r="P36" s="18">
        <f t="shared" si="2"/>
        <v>0.44291666666666668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2.4406493775341773</v>
      </c>
      <c r="C37" s="18">
        <f t="shared" ref="C37:Q37" si="3">STDEV(C9:C32)</f>
        <v>0.95506733960931689</v>
      </c>
      <c r="D37" s="18">
        <f t="shared" si="3"/>
        <v>1.9765593275594628</v>
      </c>
      <c r="E37" s="18">
        <f t="shared" si="3"/>
        <v>0.75493689149817855</v>
      </c>
      <c r="F37" s="18">
        <f t="shared" si="3"/>
        <v>0.85083835468148716</v>
      </c>
      <c r="G37" s="18">
        <f t="shared" si="3"/>
        <v>11.907736973028955</v>
      </c>
      <c r="H37" s="18">
        <f t="shared" si="3"/>
        <v>1.7648939184773229</v>
      </c>
      <c r="I37" s="18">
        <f t="shared" si="3"/>
        <v>0.80801947440301036</v>
      </c>
      <c r="J37" s="18">
        <f t="shared" si="3"/>
        <v>0.13028327553472843</v>
      </c>
      <c r="K37" s="18">
        <f t="shared" si="3"/>
        <v>44.178445724885684</v>
      </c>
      <c r="L37" s="18">
        <f t="shared" si="3"/>
        <v>3.6202515876622403</v>
      </c>
      <c r="M37" s="18">
        <f t="shared" si="3"/>
        <v>7.4342894239550947</v>
      </c>
      <c r="N37" s="18">
        <f t="shared" si="3"/>
        <v>249.27457269159981</v>
      </c>
      <c r="O37" s="18">
        <f t="shared" si="3"/>
        <v>0</v>
      </c>
      <c r="P37" s="18">
        <f t="shared" si="3"/>
        <v>8.6651684881216079E-2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Q16" sqref="Q16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16/10/2025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421</v>
      </c>
      <c r="B9" s="41">
        <v>4.43</v>
      </c>
      <c r="C9" s="41">
        <v>6.91</v>
      </c>
      <c r="D9" s="41">
        <v>7.16</v>
      </c>
      <c r="E9" s="41">
        <v>6.65</v>
      </c>
      <c r="F9" s="41">
        <v>2</v>
      </c>
      <c r="G9" s="41">
        <v>56.66</v>
      </c>
      <c r="H9" s="41">
        <v>12.07</v>
      </c>
      <c r="I9" s="41">
        <v>8.44</v>
      </c>
      <c r="J9" s="41">
        <v>0.15</v>
      </c>
      <c r="K9" s="41">
        <v>201.48</v>
      </c>
      <c r="L9" s="41">
        <v>18.71</v>
      </c>
      <c r="M9" s="41">
        <v>29.11</v>
      </c>
      <c r="N9" s="41">
        <v>2.5</v>
      </c>
      <c r="O9" s="41">
        <v>0</v>
      </c>
      <c r="P9" s="41">
        <v>0.45</v>
      </c>
      <c r="Q9" s="41">
        <v>10</v>
      </c>
      <c r="R9" s="38"/>
      <c r="S9" s="38"/>
      <c r="T9" s="38"/>
      <c r="U9" s="38"/>
    </row>
    <row r="10" spans="1:21" customFormat="1">
      <c r="A10" s="40" t="s">
        <v>422</v>
      </c>
      <c r="B10" s="41">
        <v>4.03</v>
      </c>
      <c r="C10" s="41">
        <v>6.45</v>
      </c>
      <c r="D10" s="41">
        <v>6.6</v>
      </c>
      <c r="E10" s="41">
        <v>6.37</v>
      </c>
      <c r="F10" s="41">
        <v>2</v>
      </c>
      <c r="G10" s="41">
        <v>49.74</v>
      </c>
      <c r="H10" s="41">
        <v>11.9</v>
      </c>
      <c r="I10" s="41">
        <v>8.32</v>
      </c>
      <c r="J10" s="41">
        <v>0.16</v>
      </c>
      <c r="K10" s="41">
        <v>191.82</v>
      </c>
      <c r="L10" s="41">
        <v>17.84</v>
      </c>
      <c r="M10" s="41">
        <v>26.93</v>
      </c>
      <c r="N10" s="41">
        <v>2.1</v>
      </c>
      <c r="O10" s="41">
        <v>0</v>
      </c>
      <c r="P10" s="41">
        <v>0.41</v>
      </c>
      <c r="Q10" s="41">
        <v>10</v>
      </c>
      <c r="R10" s="38"/>
      <c r="S10" s="38"/>
      <c r="T10" s="38"/>
      <c r="U10" s="38"/>
    </row>
    <row r="11" spans="1:21" customFormat="1">
      <c r="A11" s="40" t="s">
        <v>423</v>
      </c>
      <c r="B11" s="41">
        <v>5.3</v>
      </c>
      <c r="C11" s="41">
        <v>7.02</v>
      </c>
      <c r="D11" s="41">
        <v>7.86</v>
      </c>
      <c r="E11" s="41">
        <v>6.05</v>
      </c>
      <c r="F11" s="41">
        <v>2</v>
      </c>
      <c r="G11" s="41">
        <v>47.4</v>
      </c>
      <c r="H11" s="41">
        <v>11.16</v>
      </c>
      <c r="I11" s="41">
        <v>8.57</v>
      </c>
      <c r="J11" s="41">
        <v>0.14000000000000001</v>
      </c>
      <c r="K11" s="41">
        <v>204.9</v>
      </c>
      <c r="L11" s="41">
        <v>19.010000000000002</v>
      </c>
      <c r="M11" s="41">
        <v>29.86</v>
      </c>
      <c r="N11" s="41">
        <v>2.1</v>
      </c>
      <c r="O11" s="41">
        <v>0</v>
      </c>
      <c r="P11" s="41">
        <v>0.42</v>
      </c>
      <c r="Q11" s="41">
        <v>10</v>
      </c>
      <c r="R11" s="38"/>
      <c r="S11" s="38"/>
      <c r="T11" s="38"/>
      <c r="U11" s="38"/>
    </row>
    <row r="12" spans="1:21" customFormat="1">
      <c r="A12" s="40" t="s">
        <v>424</v>
      </c>
      <c r="B12" s="41">
        <v>5.31</v>
      </c>
      <c r="C12" s="41">
        <v>6.58</v>
      </c>
      <c r="D12" s="41">
        <v>7.65</v>
      </c>
      <c r="E12" s="41">
        <v>6.02</v>
      </c>
      <c r="F12" s="41">
        <v>2</v>
      </c>
      <c r="G12" s="41">
        <v>47.4</v>
      </c>
      <c r="H12" s="41">
        <v>11.16</v>
      </c>
      <c r="I12" s="41">
        <v>8.7100000000000009</v>
      </c>
      <c r="J12" s="41">
        <v>0.21</v>
      </c>
      <c r="K12" s="41">
        <v>161.66999999999999</v>
      </c>
      <c r="L12" s="41">
        <v>16.11</v>
      </c>
      <c r="M12" s="41">
        <v>22.61</v>
      </c>
      <c r="N12" s="41">
        <v>2.1</v>
      </c>
      <c r="O12" s="41">
        <v>0</v>
      </c>
      <c r="P12" s="41">
        <v>0.41</v>
      </c>
      <c r="Q12" s="41">
        <v>10</v>
      </c>
      <c r="R12" s="38"/>
      <c r="S12" s="38"/>
      <c r="T12" s="38"/>
      <c r="U12" s="38"/>
    </row>
    <row r="13" spans="1:21" customFormat="1">
      <c r="A13" s="40" t="s">
        <v>425</v>
      </c>
      <c r="B13" s="41">
        <v>5.51</v>
      </c>
      <c r="C13" s="41">
        <v>6.69</v>
      </c>
      <c r="D13" s="41">
        <v>7.9</v>
      </c>
      <c r="E13" s="41">
        <v>6.36</v>
      </c>
      <c r="F13" s="41">
        <v>2</v>
      </c>
      <c r="G13" s="41">
        <v>47.98</v>
      </c>
      <c r="H13" s="41">
        <v>10.77</v>
      </c>
      <c r="I13" s="41">
        <v>8.77</v>
      </c>
      <c r="J13" s="41">
        <v>0.21</v>
      </c>
      <c r="K13" s="41">
        <v>186.43</v>
      </c>
      <c r="L13" s="41">
        <v>16.43</v>
      </c>
      <c r="M13" s="41">
        <v>23.39</v>
      </c>
      <c r="N13" s="41">
        <v>2.1</v>
      </c>
      <c r="O13" s="41">
        <v>0</v>
      </c>
      <c r="P13" s="41">
        <v>0.4</v>
      </c>
      <c r="Q13" s="41">
        <v>10</v>
      </c>
      <c r="R13" s="38"/>
      <c r="S13" s="38"/>
      <c r="T13" s="38"/>
      <c r="U13" s="38"/>
    </row>
    <row r="14" spans="1:21" customFormat="1">
      <c r="A14" s="40" t="s">
        <v>426</v>
      </c>
      <c r="B14" s="41">
        <v>5.6</v>
      </c>
      <c r="C14" s="41">
        <v>6.61</v>
      </c>
      <c r="D14" s="41">
        <v>7.75</v>
      </c>
      <c r="E14" s="41">
        <v>6.07</v>
      </c>
      <c r="F14" s="41">
        <v>2</v>
      </c>
      <c r="G14" s="41">
        <v>47.98</v>
      </c>
      <c r="H14" s="41">
        <v>10.61</v>
      </c>
      <c r="I14" s="41">
        <v>8.66</v>
      </c>
      <c r="J14" s="41">
        <v>0.13</v>
      </c>
      <c r="K14" s="41">
        <v>176.57</v>
      </c>
      <c r="L14" s="41">
        <v>17</v>
      </c>
      <c r="M14" s="41">
        <v>24.72</v>
      </c>
      <c r="N14" s="41">
        <v>3</v>
      </c>
      <c r="O14" s="41">
        <v>0</v>
      </c>
      <c r="P14" s="41">
        <v>0.42</v>
      </c>
      <c r="Q14" s="41">
        <v>10</v>
      </c>
      <c r="R14" s="38"/>
      <c r="S14" s="38"/>
      <c r="T14" s="38"/>
      <c r="U14" s="38"/>
    </row>
    <row r="15" spans="1:21" customFormat="1">
      <c r="A15" s="40" t="s">
        <v>427</v>
      </c>
      <c r="B15" s="41">
        <v>7.82</v>
      </c>
      <c r="C15" s="41">
        <v>6.94</v>
      </c>
      <c r="D15" s="41">
        <v>9.9</v>
      </c>
      <c r="E15" s="41">
        <v>6</v>
      </c>
      <c r="F15" s="41">
        <v>2</v>
      </c>
      <c r="G15" s="41">
        <v>44.04</v>
      </c>
      <c r="H15" s="41">
        <v>10.3</v>
      </c>
      <c r="I15" s="41">
        <v>8.81</v>
      </c>
      <c r="J15" s="41">
        <v>0.11</v>
      </c>
      <c r="K15" s="41">
        <v>190.5</v>
      </c>
      <c r="L15" s="41">
        <v>17.690000000000001</v>
      </c>
      <c r="M15" s="41">
        <v>25.71</v>
      </c>
      <c r="N15" s="41">
        <v>35.700000000000003</v>
      </c>
      <c r="O15" s="41">
        <v>0</v>
      </c>
      <c r="P15" s="41">
        <v>0.44</v>
      </c>
      <c r="Q15" s="41">
        <v>10</v>
      </c>
      <c r="R15" s="38"/>
      <c r="S15" s="38"/>
      <c r="T15" s="38"/>
      <c r="U15" s="38"/>
    </row>
    <row r="16" spans="1:21" customFormat="1">
      <c r="A16" s="40" t="s">
        <v>428</v>
      </c>
      <c r="B16" s="41">
        <v>7.66</v>
      </c>
      <c r="C16" s="41">
        <v>6.83</v>
      </c>
      <c r="D16" s="41">
        <v>9.6199999999999992</v>
      </c>
      <c r="E16" s="41">
        <v>5.94</v>
      </c>
      <c r="F16" s="41">
        <v>2</v>
      </c>
      <c r="G16" s="41">
        <v>44.04</v>
      </c>
      <c r="H16" s="41">
        <v>11</v>
      </c>
      <c r="I16" s="41">
        <v>9</v>
      </c>
      <c r="J16" s="41">
        <v>0.37</v>
      </c>
      <c r="K16" s="41">
        <v>144.37</v>
      </c>
      <c r="L16" s="41">
        <v>15.93</v>
      </c>
      <c r="M16" s="41">
        <v>20.58</v>
      </c>
      <c r="N16" s="41">
        <v>142.9</v>
      </c>
      <c r="O16" s="41">
        <v>0</v>
      </c>
      <c r="P16" s="41">
        <v>0.44</v>
      </c>
      <c r="Q16" s="41">
        <v>10</v>
      </c>
      <c r="R16" s="38"/>
      <c r="S16" s="38"/>
      <c r="T16" s="38"/>
      <c r="U16" s="38"/>
    </row>
    <row r="17" spans="1:21" customFormat="1">
      <c r="A17" s="40" t="s">
        <v>429</v>
      </c>
      <c r="B17" s="41">
        <v>7.36</v>
      </c>
      <c r="C17" s="41">
        <v>7.52</v>
      </c>
      <c r="D17" s="41">
        <v>9.58</v>
      </c>
      <c r="E17" s="41">
        <v>5.71</v>
      </c>
      <c r="F17" s="41">
        <v>2.0099999999999998</v>
      </c>
      <c r="G17" s="41">
        <v>43.96</v>
      </c>
      <c r="H17" s="41">
        <v>11</v>
      </c>
      <c r="I17" s="41">
        <v>9.02</v>
      </c>
      <c r="J17" s="41">
        <v>0.57999999999999996</v>
      </c>
      <c r="K17" s="41">
        <v>88.85</v>
      </c>
      <c r="L17" s="41">
        <v>13.46</v>
      </c>
      <c r="M17" s="41">
        <v>9.6999999999999993</v>
      </c>
      <c r="N17" s="41">
        <v>282.2</v>
      </c>
      <c r="O17" s="41">
        <v>0</v>
      </c>
      <c r="P17" s="41">
        <v>0.44</v>
      </c>
      <c r="Q17" s="41">
        <v>10</v>
      </c>
      <c r="R17" s="38"/>
      <c r="S17" s="38"/>
      <c r="T17" s="38"/>
      <c r="U17" s="38"/>
    </row>
    <row r="18" spans="1:21" customFormat="1">
      <c r="A18" s="40" t="s">
        <v>430</v>
      </c>
      <c r="B18" s="41">
        <v>6.35</v>
      </c>
      <c r="C18" s="41">
        <v>7.57</v>
      </c>
      <c r="D18" s="41">
        <v>8.9600000000000009</v>
      </c>
      <c r="E18" s="41">
        <v>6.09</v>
      </c>
      <c r="F18" s="41">
        <v>2.0099999999999998</v>
      </c>
      <c r="G18" s="41">
        <v>47.33</v>
      </c>
      <c r="H18" s="41">
        <v>10.039999999999999</v>
      </c>
      <c r="I18" s="41">
        <v>9.0299999999999994</v>
      </c>
      <c r="J18" s="41">
        <v>0.28000000000000003</v>
      </c>
      <c r="K18" s="41">
        <v>119.16</v>
      </c>
      <c r="L18" s="41">
        <v>16.75</v>
      </c>
      <c r="M18" s="41">
        <v>15</v>
      </c>
      <c r="N18" s="41">
        <v>400.9</v>
      </c>
      <c r="O18" s="41">
        <v>0</v>
      </c>
      <c r="P18" s="41">
        <v>0.44</v>
      </c>
      <c r="Q18" s="41">
        <v>10</v>
      </c>
      <c r="R18" s="38"/>
      <c r="S18" s="38"/>
      <c r="T18" s="38"/>
      <c r="U18" s="38"/>
    </row>
    <row r="19" spans="1:21" customFormat="1">
      <c r="A19" s="40" t="s">
        <v>431</v>
      </c>
      <c r="B19" s="41">
        <v>4.74</v>
      </c>
      <c r="C19" s="41">
        <v>7.71</v>
      </c>
      <c r="D19" s="41">
        <v>7.8</v>
      </c>
      <c r="E19" s="41">
        <v>6.36</v>
      </c>
      <c r="F19" s="41">
        <v>2.61</v>
      </c>
      <c r="G19" s="41">
        <v>47.33</v>
      </c>
      <c r="H19" s="41">
        <v>10.199999999999999</v>
      </c>
      <c r="I19" s="41">
        <v>8.9</v>
      </c>
      <c r="J19" s="41">
        <v>0.3</v>
      </c>
      <c r="K19" s="41">
        <v>138.04</v>
      </c>
      <c r="L19" s="41">
        <v>18.66</v>
      </c>
      <c r="M19" s="41">
        <v>17.52</v>
      </c>
      <c r="N19" s="41">
        <v>484.7</v>
      </c>
      <c r="O19" s="41">
        <v>0</v>
      </c>
      <c r="P19" s="41">
        <v>0.37</v>
      </c>
      <c r="Q19" s="41">
        <v>10</v>
      </c>
      <c r="R19" s="38"/>
      <c r="S19" s="38"/>
      <c r="T19" s="38"/>
      <c r="U19" s="38"/>
    </row>
    <row r="20" spans="1:21" customFormat="1">
      <c r="A20" s="40" t="s">
        <v>432</v>
      </c>
      <c r="B20" s="41">
        <v>2.64</v>
      </c>
      <c r="C20" s="41">
        <v>8.2899999999999991</v>
      </c>
      <c r="D20" s="41">
        <v>6.28</v>
      </c>
      <c r="E20" s="41">
        <v>8.7200000000000006</v>
      </c>
      <c r="F20" s="41">
        <v>10.3</v>
      </c>
      <c r="G20" s="41">
        <v>44.19</v>
      </c>
      <c r="H20" s="41">
        <v>10.199999999999999</v>
      </c>
      <c r="I20" s="41">
        <v>8.16</v>
      </c>
      <c r="J20" s="41">
        <v>0.41</v>
      </c>
      <c r="K20" s="41">
        <v>89.58</v>
      </c>
      <c r="L20" s="41">
        <v>17.79</v>
      </c>
      <c r="M20" s="41">
        <v>14.78</v>
      </c>
      <c r="N20" s="41">
        <v>505.9</v>
      </c>
      <c r="O20" s="41">
        <v>0</v>
      </c>
      <c r="P20" s="41">
        <v>0.32</v>
      </c>
      <c r="Q20" s="41">
        <v>10</v>
      </c>
      <c r="R20" s="38"/>
      <c r="S20" s="38"/>
      <c r="T20" s="38"/>
      <c r="U20" s="38"/>
    </row>
    <row r="21" spans="1:21" customFormat="1">
      <c r="A21" s="40" t="s">
        <v>433</v>
      </c>
      <c r="B21" s="41">
        <v>1.96</v>
      </c>
      <c r="C21" s="41">
        <v>8.57</v>
      </c>
      <c r="D21" s="41">
        <v>6.05</v>
      </c>
      <c r="E21" s="41">
        <v>8.9600000000000009</v>
      </c>
      <c r="F21" s="41">
        <v>21.33</v>
      </c>
      <c r="G21" s="41">
        <v>44.19</v>
      </c>
      <c r="H21" s="41">
        <v>9.59</v>
      </c>
      <c r="I21" s="41">
        <v>6.81</v>
      </c>
      <c r="J21" s="41">
        <v>0.28999999999999998</v>
      </c>
      <c r="K21" s="41">
        <v>117.24</v>
      </c>
      <c r="L21" s="41">
        <v>15.74</v>
      </c>
      <c r="M21" s="41">
        <v>16.309999999999999</v>
      </c>
      <c r="N21" s="41">
        <v>430.9</v>
      </c>
      <c r="O21" s="41">
        <v>0</v>
      </c>
      <c r="P21" s="41">
        <v>0.3</v>
      </c>
      <c r="Q21" s="41">
        <v>10</v>
      </c>
      <c r="R21" s="38"/>
      <c r="S21" s="38"/>
      <c r="T21" s="38"/>
      <c r="U21" s="38"/>
    </row>
    <row r="22" spans="1:21" customFormat="1">
      <c r="A22" s="40" t="s">
        <v>434</v>
      </c>
      <c r="B22" s="41">
        <v>2.09</v>
      </c>
      <c r="C22" s="41">
        <v>8.83</v>
      </c>
      <c r="D22" s="41">
        <v>6.28</v>
      </c>
      <c r="E22" s="41">
        <v>10.75</v>
      </c>
      <c r="F22" s="41">
        <v>24.31</v>
      </c>
      <c r="G22" s="41">
        <v>42.03</v>
      </c>
      <c r="H22" s="41">
        <v>9.59</v>
      </c>
      <c r="I22" s="41">
        <v>5.65</v>
      </c>
      <c r="J22" s="41">
        <v>0.32</v>
      </c>
      <c r="K22" s="41">
        <v>150.21</v>
      </c>
      <c r="L22" s="41">
        <v>17.63</v>
      </c>
      <c r="M22" s="41">
        <v>18.16</v>
      </c>
      <c r="N22" s="41">
        <v>362</v>
      </c>
      <c r="O22" s="41">
        <v>0</v>
      </c>
      <c r="P22" s="41">
        <v>0.25</v>
      </c>
      <c r="Q22" s="41">
        <v>10</v>
      </c>
      <c r="R22" s="38"/>
      <c r="S22" s="38"/>
      <c r="T22" s="38"/>
      <c r="U22" s="38"/>
    </row>
    <row r="23" spans="1:21" customFormat="1">
      <c r="A23" s="40" t="s">
        <v>435</v>
      </c>
      <c r="B23" s="41">
        <v>1.7</v>
      </c>
      <c r="C23" s="41">
        <v>8.56</v>
      </c>
      <c r="D23" s="41">
        <v>5.73</v>
      </c>
      <c r="E23" s="41">
        <v>10.27</v>
      </c>
      <c r="F23" s="41">
        <v>38.89</v>
      </c>
      <c r="G23" s="41">
        <v>40.18</v>
      </c>
      <c r="H23" s="41">
        <v>9.69</v>
      </c>
      <c r="I23" s="41">
        <v>4.55</v>
      </c>
      <c r="J23" s="41">
        <v>0.37</v>
      </c>
      <c r="K23" s="41">
        <v>359.36</v>
      </c>
      <c r="L23" s="41">
        <v>20.28</v>
      </c>
      <c r="M23" s="41">
        <v>25.16</v>
      </c>
      <c r="N23" s="41">
        <v>327</v>
      </c>
      <c r="O23" s="41">
        <v>0</v>
      </c>
      <c r="P23" s="41">
        <v>0.31</v>
      </c>
      <c r="Q23" s="41">
        <v>10</v>
      </c>
      <c r="R23" s="38"/>
      <c r="S23" s="38"/>
      <c r="T23" s="38"/>
      <c r="U23" s="38"/>
    </row>
    <row r="24" spans="1:21" customFormat="1">
      <c r="A24" s="40" t="s">
        <v>436</v>
      </c>
      <c r="B24" s="41">
        <v>1.81</v>
      </c>
      <c r="C24" s="41">
        <v>9.36</v>
      </c>
      <c r="D24" s="41">
        <v>6.29</v>
      </c>
      <c r="E24" s="41">
        <v>7.24</v>
      </c>
      <c r="F24" s="41">
        <v>22.91</v>
      </c>
      <c r="G24" s="41">
        <v>38.71</v>
      </c>
      <c r="H24" s="41">
        <v>9.69</v>
      </c>
      <c r="I24" s="41">
        <v>4.43</v>
      </c>
      <c r="J24" s="41">
        <v>0.35</v>
      </c>
      <c r="K24" s="41">
        <v>79.11</v>
      </c>
      <c r="L24" s="41">
        <v>11.67</v>
      </c>
      <c r="M24" s="41">
        <v>10.07</v>
      </c>
      <c r="N24" s="41">
        <v>77.099999999999994</v>
      </c>
      <c r="O24" s="41">
        <v>0</v>
      </c>
      <c r="P24" s="41">
        <v>0.41</v>
      </c>
      <c r="Q24" s="41">
        <v>10</v>
      </c>
      <c r="R24" s="38"/>
      <c r="S24" s="38"/>
      <c r="T24" s="38"/>
      <c r="U24" s="38"/>
    </row>
    <row r="25" spans="1:21" customFormat="1">
      <c r="A25" s="40" t="s">
        <v>437</v>
      </c>
      <c r="B25" s="41">
        <v>2.79</v>
      </c>
      <c r="C25" s="41">
        <v>11.16</v>
      </c>
      <c r="D25" s="41">
        <v>8.07</v>
      </c>
      <c r="E25" s="41">
        <v>6.99</v>
      </c>
      <c r="F25" s="41">
        <v>12.36</v>
      </c>
      <c r="G25" s="41">
        <v>43.21</v>
      </c>
      <c r="H25" s="41">
        <v>10.37</v>
      </c>
      <c r="I25" s="41">
        <v>6.93</v>
      </c>
      <c r="J25" s="41">
        <v>0.51</v>
      </c>
      <c r="K25" s="41">
        <v>63.06</v>
      </c>
      <c r="L25" s="41">
        <v>9.4700000000000006</v>
      </c>
      <c r="M25" s="41">
        <v>5.0599999999999996</v>
      </c>
      <c r="N25" s="41">
        <v>38.4</v>
      </c>
      <c r="O25" s="41">
        <v>0</v>
      </c>
      <c r="P25" s="41">
        <v>0.41</v>
      </c>
      <c r="Q25" s="41">
        <v>10</v>
      </c>
      <c r="R25" s="38"/>
      <c r="S25" s="38"/>
      <c r="T25" s="38"/>
      <c r="U25" s="38"/>
    </row>
    <row r="26" spans="1:21" customFormat="1">
      <c r="A26" s="40" t="s">
        <v>438</v>
      </c>
      <c r="B26" s="41">
        <v>2.5299999999999998</v>
      </c>
      <c r="C26" s="41">
        <v>13.26</v>
      </c>
      <c r="D26" s="41">
        <v>8.9600000000000009</v>
      </c>
      <c r="E26" s="41">
        <v>6.2</v>
      </c>
      <c r="F26" s="41">
        <v>20</v>
      </c>
      <c r="G26" s="41">
        <v>46.79</v>
      </c>
      <c r="H26" s="41">
        <v>10.37</v>
      </c>
      <c r="I26" s="41">
        <v>6.35</v>
      </c>
      <c r="J26" s="41">
        <v>0.26</v>
      </c>
      <c r="K26" s="41">
        <v>150.44</v>
      </c>
      <c r="L26" s="41">
        <v>15.27</v>
      </c>
      <c r="M26" s="41">
        <v>20.22</v>
      </c>
      <c r="N26" s="41">
        <v>10.9</v>
      </c>
      <c r="O26" s="41">
        <v>0</v>
      </c>
      <c r="P26" s="41">
        <v>0.45</v>
      </c>
      <c r="Q26" s="41">
        <v>10</v>
      </c>
      <c r="R26" s="38"/>
      <c r="S26" s="38"/>
      <c r="T26" s="38"/>
      <c r="U26" s="38"/>
    </row>
    <row r="27" spans="1:21" customFormat="1">
      <c r="A27" s="40" t="s">
        <v>439</v>
      </c>
      <c r="B27" s="41">
        <v>2.31</v>
      </c>
      <c r="C27" s="41">
        <v>10.87</v>
      </c>
      <c r="D27" s="41">
        <v>7.22</v>
      </c>
      <c r="E27" s="41">
        <v>4.55</v>
      </c>
      <c r="F27" s="41">
        <v>2.08</v>
      </c>
      <c r="G27" s="41">
        <v>52.41</v>
      </c>
      <c r="H27" s="41">
        <v>10.9</v>
      </c>
      <c r="I27" s="41">
        <v>6.21</v>
      </c>
      <c r="J27" s="41">
        <v>0.2</v>
      </c>
      <c r="K27" s="41">
        <v>144.33000000000001</v>
      </c>
      <c r="L27" s="41">
        <v>14.24</v>
      </c>
      <c r="M27" s="41">
        <v>17.79</v>
      </c>
      <c r="N27" s="41">
        <v>2.5</v>
      </c>
      <c r="O27" s="41">
        <v>0</v>
      </c>
      <c r="P27" s="41">
        <v>0.44</v>
      </c>
      <c r="Q27" s="41">
        <v>10</v>
      </c>
      <c r="R27" s="38"/>
      <c r="S27" s="38"/>
      <c r="T27" s="38"/>
      <c r="U27" s="38"/>
    </row>
    <row r="28" spans="1:21" customFormat="1">
      <c r="A28" s="40" t="s">
        <v>440</v>
      </c>
      <c r="B28" s="41">
        <v>2.86</v>
      </c>
      <c r="C28" s="41">
        <v>8.8800000000000008</v>
      </c>
      <c r="D28" s="41">
        <v>6.72</v>
      </c>
      <c r="E28" s="41">
        <v>4.62</v>
      </c>
      <c r="F28" s="41">
        <v>2</v>
      </c>
      <c r="G28" s="41">
        <v>52.78</v>
      </c>
      <c r="H28" s="41">
        <v>10.97</v>
      </c>
      <c r="I28" s="41">
        <v>6.7</v>
      </c>
      <c r="J28" s="41">
        <v>0.22</v>
      </c>
      <c r="K28" s="41">
        <v>155.85</v>
      </c>
      <c r="L28" s="41">
        <v>15.41</v>
      </c>
      <c r="M28" s="41">
        <v>20.73</v>
      </c>
      <c r="N28" s="41">
        <v>2.2999999999999998</v>
      </c>
      <c r="O28" s="41">
        <v>0</v>
      </c>
      <c r="P28" s="41">
        <v>0.45</v>
      </c>
      <c r="Q28" s="41">
        <v>10</v>
      </c>
      <c r="R28" s="38"/>
      <c r="S28" s="38"/>
      <c r="T28" s="38"/>
      <c r="U28" s="38"/>
    </row>
    <row r="29" spans="1:21" customFormat="1">
      <c r="A29" s="40" t="s">
        <v>441</v>
      </c>
      <c r="B29" s="41">
        <v>3.22</v>
      </c>
      <c r="C29" s="41">
        <v>7.97</v>
      </c>
      <c r="D29" s="41">
        <v>6.75</v>
      </c>
      <c r="E29" s="41">
        <v>4.5999999999999996</v>
      </c>
      <c r="F29" s="41">
        <v>2</v>
      </c>
      <c r="G29" s="41">
        <v>52.78</v>
      </c>
      <c r="H29" s="41">
        <v>11.82</v>
      </c>
      <c r="I29" s="41">
        <v>6.54</v>
      </c>
      <c r="J29" s="41">
        <v>0.23</v>
      </c>
      <c r="K29" s="41">
        <v>139.85</v>
      </c>
      <c r="L29" s="41">
        <v>13.72</v>
      </c>
      <c r="M29" s="41">
        <v>16.53</v>
      </c>
      <c r="N29" s="41">
        <v>2.2999999999999998</v>
      </c>
      <c r="O29" s="41">
        <v>0</v>
      </c>
      <c r="P29" s="41">
        <v>0.44</v>
      </c>
      <c r="Q29" s="41">
        <v>10</v>
      </c>
      <c r="R29" s="38"/>
      <c r="S29" s="38"/>
      <c r="T29" s="38"/>
      <c r="U29" s="38"/>
    </row>
    <row r="30" spans="1:21" customFormat="1">
      <c r="A30" s="40" t="s">
        <v>442</v>
      </c>
      <c r="B30" s="41">
        <v>3.72</v>
      </c>
      <c r="C30" s="41">
        <v>7.91</v>
      </c>
      <c r="D30" s="41">
        <v>7.11</v>
      </c>
      <c r="E30" s="41">
        <v>4.91</v>
      </c>
      <c r="F30" s="41">
        <v>2</v>
      </c>
      <c r="G30" s="41">
        <v>54.89</v>
      </c>
      <c r="H30" s="41">
        <v>13.82</v>
      </c>
      <c r="I30" s="41">
        <v>6.77</v>
      </c>
      <c r="J30" s="41">
        <v>0.17</v>
      </c>
      <c r="K30" s="41">
        <v>116.58</v>
      </c>
      <c r="L30" s="41">
        <v>12.07</v>
      </c>
      <c r="M30" s="41">
        <v>12.34</v>
      </c>
      <c r="N30" s="41">
        <v>2.2000000000000002</v>
      </c>
      <c r="O30" s="41">
        <v>0</v>
      </c>
      <c r="P30" s="41">
        <v>0.45</v>
      </c>
      <c r="Q30" s="41">
        <v>10</v>
      </c>
      <c r="R30" s="38"/>
      <c r="S30" s="38"/>
      <c r="T30" s="38"/>
      <c r="U30" s="38"/>
    </row>
    <row r="31" spans="1:21" customFormat="1">
      <c r="A31" s="40" t="s">
        <v>443</v>
      </c>
      <c r="B31" s="41">
        <v>3.82</v>
      </c>
      <c r="C31" s="41">
        <v>7.74</v>
      </c>
      <c r="D31" s="41">
        <v>7.11</v>
      </c>
      <c r="E31" s="41">
        <v>5.24</v>
      </c>
      <c r="F31" s="41">
        <v>2</v>
      </c>
      <c r="G31" s="41">
        <v>54.89</v>
      </c>
      <c r="H31" s="41">
        <v>13.82</v>
      </c>
      <c r="I31" s="41">
        <v>6.73</v>
      </c>
      <c r="J31" s="41">
        <v>0.19</v>
      </c>
      <c r="K31" s="41">
        <v>139.46</v>
      </c>
      <c r="L31" s="41">
        <v>13.82</v>
      </c>
      <c r="M31" s="41">
        <v>16.82</v>
      </c>
      <c r="N31" s="41">
        <v>2.4</v>
      </c>
      <c r="O31" s="41">
        <v>0</v>
      </c>
      <c r="P31" s="41">
        <v>0.45</v>
      </c>
      <c r="Q31" s="41">
        <v>10</v>
      </c>
      <c r="R31" s="38"/>
      <c r="S31" s="38"/>
      <c r="T31" s="38"/>
      <c r="U31" s="38"/>
    </row>
    <row r="32" spans="1:21" customFormat="1">
      <c r="A32" s="40" t="s">
        <v>444</v>
      </c>
      <c r="B32" s="41">
        <v>4.3</v>
      </c>
      <c r="C32" s="41">
        <v>7.79</v>
      </c>
      <c r="D32" s="41">
        <v>7.44</v>
      </c>
      <c r="E32" s="41">
        <v>5.39</v>
      </c>
      <c r="F32" s="41">
        <v>2</v>
      </c>
      <c r="G32" s="41">
        <v>54.21</v>
      </c>
      <c r="H32" s="41">
        <v>13.44</v>
      </c>
      <c r="I32" s="41">
        <v>6.72</v>
      </c>
      <c r="J32" s="41">
        <v>0.19</v>
      </c>
      <c r="K32" s="41">
        <v>190</v>
      </c>
      <c r="L32" s="41">
        <v>17.93</v>
      </c>
      <c r="M32" s="41">
        <v>27.19</v>
      </c>
      <c r="N32" s="41">
        <v>2.4</v>
      </c>
      <c r="O32" s="41">
        <v>0</v>
      </c>
      <c r="P32" s="41">
        <v>0.45</v>
      </c>
      <c r="Q32" s="41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1.7</v>
      </c>
      <c r="C34" s="18">
        <f t="shared" si="0"/>
        <v>6.45</v>
      </c>
      <c r="D34" s="18">
        <f t="shared" si="0"/>
        <v>5.73</v>
      </c>
      <c r="E34" s="18">
        <f t="shared" si="0"/>
        <v>4.55</v>
      </c>
      <c r="F34" s="18">
        <f t="shared" si="0"/>
        <v>2</v>
      </c>
      <c r="G34" s="18">
        <f t="shared" si="0"/>
        <v>38.71</v>
      </c>
      <c r="H34" s="18">
        <f t="shared" si="0"/>
        <v>9.59</v>
      </c>
      <c r="I34" s="18">
        <f t="shared" si="0"/>
        <v>4.43</v>
      </c>
      <c r="J34" s="18">
        <f t="shared" si="0"/>
        <v>0.11</v>
      </c>
      <c r="K34" s="18">
        <f t="shared" si="0"/>
        <v>63.06</v>
      </c>
      <c r="L34" s="18">
        <f t="shared" si="0"/>
        <v>9.4700000000000006</v>
      </c>
      <c r="M34" s="18">
        <f t="shared" si="0"/>
        <v>5.0599999999999996</v>
      </c>
      <c r="N34" s="18">
        <f t="shared" si="0"/>
        <v>2.1</v>
      </c>
      <c r="O34" s="18">
        <f t="shared" si="0"/>
        <v>0</v>
      </c>
      <c r="P34" s="18">
        <f t="shared" si="0"/>
        <v>0.25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7.82</v>
      </c>
      <c r="C35" s="3">
        <f t="shared" si="1"/>
        <v>13.26</v>
      </c>
      <c r="D35" s="3">
        <f t="shared" si="1"/>
        <v>9.9</v>
      </c>
      <c r="E35" s="3">
        <f t="shared" si="1"/>
        <v>10.75</v>
      </c>
      <c r="F35" s="3">
        <f t="shared" si="1"/>
        <v>38.89</v>
      </c>
      <c r="G35" s="3">
        <f t="shared" si="1"/>
        <v>56.66</v>
      </c>
      <c r="H35" s="3">
        <f t="shared" si="1"/>
        <v>13.82</v>
      </c>
      <c r="I35" s="3">
        <f t="shared" si="1"/>
        <v>9.0299999999999994</v>
      </c>
      <c r="J35" s="3">
        <f t="shared" si="1"/>
        <v>0.57999999999999996</v>
      </c>
      <c r="K35" s="3">
        <f t="shared" si="1"/>
        <v>359.36</v>
      </c>
      <c r="L35" s="3">
        <f t="shared" si="1"/>
        <v>20.28</v>
      </c>
      <c r="M35" s="3">
        <f t="shared" si="1"/>
        <v>29.86</v>
      </c>
      <c r="N35" s="3">
        <f t="shared" si="1"/>
        <v>505.9</v>
      </c>
      <c r="O35" s="3">
        <f t="shared" si="1"/>
        <v>0</v>
      </c>
      <c r="P35" s="3">
        <f t="shared" si="1"/>
        <v>0.45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4.1608333333333336</v>
      </c>
      <c r="C36" s="18">
        <f t="shared" si="2"/>
        <v>8.1674999999999986</v>
      </c>
      <c r="D36" s="18">
        <f t="shared" si="2"/>
        <v>7.5329166666666678</v>
      </c>
      <c r="E36" s="18">
        <f t="shared" si="2"/>
        <v>6.5024999999999986</v>
      </c>
      <c r="F36" s="18">
        <f t="shared" si="2"/>
        <v>7.7004166666666682</v>
      </c>
      <c r="G36" s="18">
        <f t="shared" si="2"/>
        <v>47.713333333333338</v>
      </c>
      <c r="H36" s="18">
        <f t="shared" si="2"/>
        <v>11.020000000000001</v>
      </c>
      <c r="I36" s="18">
        <f t="shared" si="2"/>
        <v>7.4491666666666667</v>
      </c>
      <c r="J36" s="18">
        <f t="shared" si="2"/>
        <v>0.26458333333333334</v>
      </c>
      <c r="K36" s="18">
        <f t="shared" si="2"/>
        <v>154.11916666666664</v>
      </c>
      <c r="L36" s="18">
        <f t="shared" si="2"/>
        <v>15.942916666666669</v>
      </c>
      <c r="M36" s="18">
        <f t="shared" si="2"/>
        <v>19.428750000000004</v>
      </c>
      <c r="N36" s="18">
        <f t="shared" si="2"/>
        <v>130.27500000000001</v>
      </c>
      <c r="O36" s="18">
        <f t="shared" si="2"/>
        <v>0</v>
      </c>
      <c r="P36" s="18">
        <f t="shared" si="2"/>
        <v>0.40708333333333324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1.8823457074402783</v>
      </c>
      <c r="C37" s="18">
        <f t="shared" ref="C37:Q37" si="3">STDEV(C9:C32)</f>
        <v>1.6495117854792034</v>
      </c>
      <c r="D37" s="18">
        <f t="shared" si="3"/>
        <v>1.1752242308400636</v>
      </c>
      <c r="E37" s="18">
        <f t="shared" si="3"/>
        <v>1.6481854317373792</v>
      </c>
      <c r="F37" s="18">
        <f t="shared" si="3"/>
        <v>10.194221500082957</v>
      </c>
      <c r="G37" s="18">
        <f t="shared" si="3"/>
        <v>4.9367536126369025</v>
      </c>
      <c r="H37" s="18">
        <f t="shared" si="3"/>
        <v>1.2447629423342836</v>
      </c>
      <c r="I37" s="18">
        <f t="shared" si="3"/>
        <v>1.425051994983269</v>
      </c>
      <c r="J37" s="18">
        <f t="shared" si="3"/>
        <v>0.1198904995571291</v>
      </c>
      <c r="K37" s="18">
        <f t="shared" si="3"/>
        <v>58.90950546438134</v>
      </c>
      <c r="L37" s="18">
        <f t="shared" si="3"/>
        <v>2.6093085526990518</v>
      </c>
      <c r="M37" s="18">
        <f t="shared" si="3"/>
        <v>6.4667808754668794</v>
      </c>
      <c r="N37" s="18">
        <f t="shared" si="3"/>
        <v>183.78334420914115</v>
      </c>
      <c r="O37" s="18">
        <f t="shared" si="3"/>
        <v>0</v>
      </c>
      <c r="P37" s="18">
        <f t="shared" si="3"/>
        <v>5.6142610855064889E-2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T11" sqref="T1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17/10/2025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445</v>
      </c>
      <c r="B9" s="41">
        <v>6.07</v>
      </c>
      <c r="C9" s="41">
        <v>7.32</v>
      </c>
      <c r="D9" s="41">
        <v>8.69</v>
      </c>
      <c r="E9" s="41">
        <v>5.73</v>
      </c>
      <c r="F9" s="41">
        <v>2</v>
      </c>
      <c r="G9" s="41">
        <v>53.85</v>
      </c>
      <c r="H9" s="41">
        <v>13.44</v>
      </c>
      <c r="I9" s="41">
        <v>6.71</v>
      </c>
      <c r="J9" s="41">
        <v>0.16</v>
      </c>
      <c r="K9" s="41">
        <v>174.53</v>
      </c>
      <c r="L9" s="41">
        <v>16.97</v>
      </c>
      <c r="M9" s="41">
        <v>24.76</v>
      </c>
      <c r="N9" s="41">
        <v>2.1</v>
      </c>
      <c r="O9" s="41">
        <v>0</v>
      </c>
      <c r="P9" s="41">
        <v>0.46</v>
      </c>
      <c r="Q9" s="41">
        <v>10</v>
      </c>
      <c r="R9" s="38"/>
      <c r="S9" s="38"/>
      <c r="T9" s="38"/>
      <c r="U9" s="38"/>
    </row>
    <row r="10" spans="1:21" customFormat="1">
      <c r="A10" s="40" t="s">
        <v>446</v>
      </c>
      <c r="B10" s="41">
        <v>6.99</v>
      </c>
      <c r="C10" s="41">
        <v>7.07</v>
      </c>
      <c r="D10" s="41">
        <v>9.1300000000000008</v>
      </c>
      <c r="E10" s="41">
        <v>5.63</v>
      </c>
      <c r="F10" s="41">
        <v>2</v>
      </c>
      <c r="G10" s="41">
        <v>51.18</v>
      </c>
      <c r="H10" s="41">
        <v>12.73</v>
      </c>
      <c r="I10" s="41">
        <v>6.88</v>
      </c>
      <c r="J10" s="41">
        <v>0.16</v>
      </c>
      <c r="K10" s="41">
        <v>190.3</v>
      </c>
      <c r="L10" s="41">
        <v>17.93</v>
      </c>
      <c r="M10" s="41">
        <v>27.02</v>
      </c>
      <c r="N10" s="41">
        <v>2.1</v>
      </c>
      <c r="O10" s="41">
        <v>0</v>
      </c>
      <c r="P10" s="41">
        <v>0.48</v>
      </c>
      <c r="Q10" s="41">
        <v>10</v>
      </c>
      <c r="R10" s="38"/>
      <c r="S10" s="38"/>
      <c r="T10" s="38"/>
      <c r="U10" s="38"/>
    </row>
    <row r="11" spans="1:21" customFormat="1">
      <c r="A11" s="40" t="s">
        <v>447</v>
      </c>
      <c r="B11" s="41">
        <v>7.35</v>
      </c>
      <c r="C11" s="41">
        <v>6.56</v>
      </c>
      <c r="D11" s="41">
        <v>9.2200000000000006</v>
      </c>
      <c r="E11" s="41">
        <v>5.39</v>
      </c>
      <c r="F11" s="41">
        <v>2</v>
      </c>
      <c r="G11" s="41">
        <v>52.38</v>
      </c>
      <c r="H11" s="41">
        <v>12.42</v>
      </c>
      <c r="I11" s="41">
        <v>7.06</v>
      </c>
      <c r="J11" s="41">
        <v>0.11</v>
      </c>
      <c r="K11" s="41">
        <v>207.08</v>
      </c>
      <c r="L11" s="41">
        <v>18.739999999999998</v>
      </c>
      <c r="M11" s="41">
        <v>29.04</v>
      </c>
      <c r="N11" s="41">
        <v>2.1</v>
      </c>
      <c r="O11" s="41">
        <v>0</v>
      </c>
      <c r="P11" s="41">
        <v>0.48</v>
      </c>
      <c r="Q11" s="41">
        <v>10</v>
      </c>
      <c r="R11" s="38"/>
      <c r="S11" s="38"/>
      <c r="T11" s="38"/>
      <c r="U11" s="38"/>
    </row>
    <row r="12" spans="1:21" customFormat="1">
      <c r="A12" s="40" t="s">
        <v>448</v>
      </c>
      <c r="B12" s="41">
        <v>7.65</v>
      </c>
      <c r="C12" s="41">
        <v>6.28</v>
      </c>
      <c r="D12" s="41">
        <v>9.3699999999999992</v>
      </c>
      <c r="E12" s="41">
        <v>5.52</v>
      </c>
      <c r="F12" s="41">
        <v>2</v>
      </c>
      <c r="G12" s="41">
        <v>52.38</v>
      </c>
      <c r="H12" s="41">
        <v>12.03</v>
      </c>
      <c r="I12" s="41">
        <v>7.2</v>
      </c>
      <c r="J12" s="41">
        <v>0.14000000000000001</v>
      </c>
      <c r="K12" s="41">
        <v>219.6</v>
      </c>
      <c r="L12" s="41">
        <v>19.829999999999998</v>
      </c>
      <c r="M12" s="41">
        <v>31.82</v>
      </c>
      <c r="N12" s="41">
        <v>2.1</v>
      </c>
      <c r="O12" s="41">
        <v>0</v>
      </c>
      <c r="P12" s="41">
        <v>0.47</v>
      </c>
      <c r="Q12" s="41">
        <v>10</v>
      </c>
      <c r="R12" s="38"/>
      <c r="S12" s="38"/>
      <c r="T12" s="38"/>
      <c r="U12" s="38"/>
    </row>
    <row r="13" spans="1:21" customFormat="1">
      <c r="A13" s="40" t="s">
        <v>449</v>
      </c>
      <c r="B13" s="41">
        <v>9.14</v>
      </c>
      <c r="C13" s="41">
        <v>6.76</v>
      </c>
      <c r="D13" s="41">
        <v>10.86</v>
      </c>
      <c r="E13" s="41">
        <v>5.58</v>
      </c>
      <c r="F13" s="41">
        <v>2</v>
      </c>
      <c r="G13" s="41">
        <v>44.89</v>
      </c>
      <c r="H13" s="41">
        <v>10.85</v>
      </c>
      <c r="I13" s="41">
        <v>7.26</v>
      </c>
      <c r="J13" s="41">
        <v>0.16</v>
      </c>
      <c r="K13" s="41">
        <v>353.23</v>
      </c>
      <c r="L13" s="41">
        <v>20.79</v>
      </c>
      <c r="M13" s="41">
        <v>33.950000000000003</v>
      </c>
      <c r="N13" s="41">
        <v>2.1</v>
      </c>
      <c r="O13" s="41">
        <v>0</v>
      </c>
      <c r="P13" s="41">
        <v>0.48</v>
      </c>
      <c r="Q13" s="41">
        <v>10</v>
      </c>
      <c r="R13" s="38"/>
      <c r="S13" s="38"/>
      <c r="T13" s="38"/>
      <c r="U13" s="38"/>
    </row>
    <row r="14" spans="1:21" customFormat="1">
      <c r="A14" s="40" t="s">
        <v>450</v>
      </c>
      <c r="B14" s="41">
        <v>10.210000000000001</v>
      </c>
      <c r="C14" s="41">
        <v>7.3</v>
      </c>
      <c r="D14" s="41">
        <v>12</v>
      </c>
      <c r="E14" s="41">
        <v>5.76</v>
      </c>
      <c r="F14" s="41">
        <v>2</v>
      </c>
      <c r="G14" s="41">
        <v>47.79</v>
      </c>
      <c r="H14" s="41">
        <v>10.99</v>
      </c>
      <c r="I14" s="41">
        <v>7.28</v>
      </c>
      <c r="J14" s="41">
        <v>0.27</v>
      </c>
      <c r="K14" s="41">
        <v>131.06</v>
      </c>
      <c r="L14" s="41">
        <v>13.23</v>
      </c>
      <c r="M14" s="41">
        <v>15.31</v>
      </c>
      <c r="N14" s="41">
        <v>2.9</v>
      </c>
      <c r="O14" s="41">
        <v>0</v>
      </c>
      <c r="P14" s="41">
        <v>0.47</v>
      </c>
      <c r="Q14" s="41">
        <v>10</v>
      </c>
      <c r="R14" s="38"/>
      <c r="S14" s="38"/>
      <c r="T14" s="38"/>
      <c r="U14" s="38"/>
    </row>
    <row r="15" spans="1:21" customFormat="1">
      <c r="A15" s="40" t="s">
        <v>451</v>
      </c>
      <c r="B15" s="41">
        <v>10.75</v>
      </c>
      <c r="C15" s="41">
        <v>7.79</v>
      </c>
      <c r="D15" s="41">
        <v>12.66</v>
      </c>
      <c r="E15" s="41">
        <v>5.95</v>
      </c>
      <c r="F15" s="41">
        <v>2</v>
      </c>
      <c r="G15" s="41">
        <v>51.21</v>
      </c>
      <c r="H15" s="41">
        <v>11.12</v>
      </c>
      <c r="I15" s="41">
        <v>7.32</v>
      </c>
      <c r="J15" s="41">
        <v>0.28000000000000003</v>
      </c>
      <c r="K15" s="41">
        <v>62.78</v>
      </c>
      <c r="L15" s="41">
        <v>10.41</v>
      </c>
      <c r="M15" s="41">
        <v>7.55</v>
      </c>
      <c r="N15" s="41">
        <v>34.700000000000003</v>
      </c>
      <c r="O15" s="41">
        <v>0</v>
      </c>
      <c r="P15" s="41">
        <v>0.46</v>
      </c>
      <c r="Q15" s="41">
        <v>10</v>
      </c>
      <c r="R15" s="38"/>
      <c r="S15" s="38"/>
      <c r="T15" s="38"/>
      <c r="U15" s="38"/>
    </row>
    <row r="16" spans="1:21" customFormat="1">
      <c r="A16" s="40" t="s">
        <v>452</v>
      </c>
      <c r="B16" s="41">
        <v>10.51</v>
      </c>
      <c r="C16" s="41">
        <v>7.88</v>
      </c>
      <c r="D16" s="41">
        <v>12.54</v>
      </c>
      <c r="E16" s="41">
        <v>6.28</v>
      </c>
      <c r="F16" s="41">
        <v>2</v>
      </c>
      <c r="G16" s="41">
        <v>51.59</v>
      </c>
      <c r="H16" s="41">
        <v>12.37</v>
      </c>
      <c r="I16" s="41">
        <v>7.72</v>
      </c>
      <c r="J16" s="41">
        <v>0.4</v>
      </c>
      <c r="K16" s="41">
        <v>71.08</v>
      </c>
      <c r="L16" s="41">
        <v>10.39</v>
      </c>
      <c r="M16" s="41">
        <v>5.88</v>
      </c>
      <c r="N16" s="41">
        <v>132.19999999999999</v>
      </c>
      <c r="O16" s="41">
        <v>0</v>
      </c>
      <c r="P16" s="41">
        <v>0.47</v>
      </c>
      <c r="Q16" s="41">
        <v>10</v>
      </c>
      <c r="R16" s="38"/>
      <c r="S16" s="38"/>
      <c r="T16" s="38"/>
      <c r="U16" s="38"/>
    </row>
    <row r="17" spans="1:21" customFormat="1">
      <c r="A17" s="40" t="s">
        <v>453</v>
      </c>
      <c r="B17" s="41">
        <v>9.02</v>
      </c>
      <c r="C17" s="41">
        <v>8.07</v>
      </c>
      <c r="D17" s="41">
        <v>11.33</v>
      </c>
      <c r="E17" s="41">
        <v>6.39</v>
      </c>
      <c r="F17" s="41">
        <v>2</v>
      </c>
      <c r="G17" s="41">
        <v>51.59</v>
      </c>
      <c r="H17" s="41">
        <v>12.37</v>
      </c>
      <c r="I17" s="41">
        <v>7.75</v>
      </c>
      <c r="J17" s="41">
        <v>0.33</v>
      </c>
      <c r="K17" s="41">
        <v>103.77</v>
      </c>
      <c r="L17" s="41">
        <v>13.5</v>
      </c>
      <c r="M17" s="41">
        <v>10.31</v>
      </c>
      <c r="N17" s="41">
        <v>254.9</v>
      </c>
      <c r="O17" s="41">
        <v>0</v>
      </c>
      <c r="P17" s="41">
        <v>0.45</v>
      </c>
      <c r="Q17" s="41">
        <v>10</v>
      </c>
      <c r="R17" s="38"/>
      <c r="S17" s="38"/>
      <c r="T17" s="38"/>
      <c r="U17" s="38"/>
    </row>
    <row r="18" spans="1:21" customFormat="1">
      <c r="A18" s="40" t="s">
        <v>454</v>
      </c>
      <c r="B18" s="41">
        <v>6.52</v>
      </c>
      <c r="C18" s="41">
        <v>8.66</v>
      </c>
      <c r="D18" s="41">
        <v>9.4600000000000009</v>
      </c>
      <c r="E18" s="41">
        <v>6.43</v>
      </c>
      <c r="F18" s="41">
        <v>2</v>
      </c>
      <c r="G18" s="41">
        <v>51.53</v>
      </c>
      <c r="H18" s="41">
        <v>11.81</v>
      </c>
      <c r="I18" s="41">
        <v>7.46</v>
      </c>
      <c r="J18" s="41">
        <v>0.39</v>
      </c>
      <c r="K18" s="41">
        <v>74.06</v>
      </c>
      <c r="L18" s="41">
        <v>13.87</v>
      </c>
      <c r="M18" s="41">
        <v>7.39</v>
      </c>
      <c r="N18" s="41">
        <v>401.8</v>
      </c>
      <c r="O18" s="41">
        <v>0</v>
      </c>
      <c r="P18" s="41">
        <v>0.44</v>
      </c>
      <c r="Q18" s="41">
        <v>10</v>
      </c>
      <c r="R18" s="38"/>
      <c r="S18" s="38"/>
      <c r="T18" s="38"/>
      <c r="U18" s="38"/>
    </row>
    <row r="19" spans="1:21" customFormat="1">
      <c r="A19" s="40" t="s">
        <v>455</v>
      </c>
      <c r="B19" s="41">
        <v>5.05</v>
      </c>
      <c r="C19" s="41">
        <v>8.52</v>
      </c>
      <c r="D19" s="41">
        <v>8.5</v>
      </c>
      <c r="E19" s="41">
        <v>8.18</v>
      </c>
      <c r="F19" s="41">
        <v>2</v>
      </c>
      <c r="G19" s="41">
        <v>49.46</v>
      </c>
      <c r="H19" s="41">
        <v>11.88</v>
      </c>
      <c r="I19" s="41">
        <v>7.27</v>
      </c>
      <c r="J19" s="41">
        <v>0.28000000000000003</v>
      </c>
      <c r="K19" s="41">
        <v>93.28</v>
      </c>
      <c r="L19" s="41">
        <v>17.04</v>
      </c>
      <c r="M19" s="41">
        <v>13.77</v>
      </c>
      <c r="N19" s="41">
        <v>502.8</v>
      </c>
      <c r="O19" s="41">
        <v>0</v>
      </c>
      <c r="P19" s="41">
        <v>0.47</v>
      </c>
      <c r="Q19" s="41">
        <v>10</v>
      </c>
      <c r="R19" s="38"/>
      <c r="S19" s="38"/>
      <c r="T19" s="38"/>
      <c r="U19" s="38"/>
    </row>
    <row r="20" spans="1:21" customFormat="1">
      <c r="A20" s="40" t="s">
        <v>456</v>
      </c>
      <c r="B20" s="41">
        <v>3.9</v>
      </c>
      <c r="C20" s="41">
        <v>8.06</v>
      </c>
      <c r="D20" s="41">
        <v>7.24</v>
      </c>
      <c r="E20" s="41">
        <v>9.3000000000000007</v>
      </c>
      <c r="F20" s="41">
        <v>3.46</v>
      </c>
      <c r="G20" s="41">
        <v>52.52</v>
      </c>
      <c r="H20" s="41">
        <v>11.88</v>
      </c>
      <c r="I20" s="41">
        <v>7.11</v>
      </c>
      <c r="J20" s="41">
        <v>0.4</v>
      </c>
      <c r="K20" s="41">
        <v>134.34</v>
      </c>
      <c r="L20" s="41">
        <v>17.52</v>
      </c>
      <c r="M20" s="41">
        <v>17.48</v>
      </c>
      <c r="N20" s="41">
        <v>514.1</v>
      </c>
      <c r="O20" s="41">
        <v>0</v>
      </c>
      <c r="P20" s="41">
        <v>0.47</v>
      </c>
      <c r="Q20" s="41">
        <v>10</v>
      </c>
      <c r="R20" s="38"/>
      <c r="S20" s="38"/>
      <c r="T20" s="38"/>
      <c r="U20" s="38"/>
    </row>
    <row r="21" spans="1:21" customFormat="1">
      <c r="A21" s="40" t="s">
        <v>457</v>
      </c>
      <c r="B21" s="41">
        <v>3.28</v>
      </c>
      <c r="C21" s="41">
        <v>8.66</v>
      </c>
      <c r="D21" s="41">
        <v>7.1</v>
      </c>
      <c r="E21" s="41">
        <v>11.28</v>
      </c>
      <c r="F21" s="41">
        <v>5.58</v>
      </c>
      <c r="G21" s="41">
        <v>52.52</v>
      </c>
      <c r="H21" s="41">
        <v>11.84</v>
      </c>
      <c r="I21" s="41">
        <v>6.87</v>
      </c>
      <c r="J21" s="41">
        <v>0.38</v>
      </c>
      <c r="K21" s="41">
        <v>93.76</v>
      </c>
      <c r="L21" s="41">
        <v>17.43</v>
      </c>
      <c r="M21" s="41">
        <v>13.91</v>
      </c>
      <c r="N21" s="41">
        <v>503.4</v>
      </c>
      <c r="O21" s="41">
        <v>0</v>
      </c>
      <c r="P21" s="41">
        <v>0.44</v>
      </c>
      <c r="Q21" s="41">
        <v>10</v>
      </c>
      <c r="R21" s="38"/>
      <c r="S21" s="38"/>
      <c r="T21" s="38"/>
      <c r="U21" s="38"/>
    </row>
    <row r="22" spans="1:21" customFormat="1">
      <c r="A22" s="40" t="s">
        <v>458</v>
      </c>
      <c r="B22" s="41">
        <v>2.99</v>
      </c>
      <c r="C22" s="41">
        <v>7.89</v>
      </c>
      <c r="D22" s="41">
        <v>6.52</v>
      </c>
      <c r="E22" s="41">
        <v>10.130000000000001</v>
      </c>
      <c r="F22" s="41">
        <v>6.92</v>
      </c>
      <c r="G22" s="41">
        <v>50.82</v>
      </c>
      <c r="H22" s="41">
        <v>12.35</v>
      </c>
      <c r="I22" s="41">
        <v>6.57</v>
      </c>
      <c r="J22" s="41">
        <v>0.42</v>
      </c>
      <c r="K22" s="41">
        <v>85.96</v>
      </c>
      <c r="L22" s="41">
        <v>15.68</v>
      </c>
      <c r="M22" s="41">
        <v>16.34</v>
      </c>
      <c r="N22" s="41">
        <v>359.4</v>
      </c>
      <c r="O22" s="41">
        <v>0</v>
      </c>
      <c r="P22" s="41">
        <v>0.43</v>
      </c>
      <c r="Q22" s="41">
        <v>10</v>
      </c>
      <c r="R22" s="38"/>
      <c r="S22" s="38"/>
      <c r="T22" s="38"/>
      <c r="U22" s="38"/>
    </row>
    <row r="23" spans="1:21" customFormat="1">
      <c r="A23" s="40" t="s">
        <v>459</v>
      </c>
      <c r="B23" s="41">
        <v>2.74</v>
      </c>
      <c r="C23" s="41">
        <v>8.2100000000000009</v>
      </c>
      <c r="D23" s="41">
        <v>6.44</v>
      </c>
      <c r="E23" s="41">
        <v>10.39</v>
      </c>
      <c r="F23" s="41">
        <v>7.35</v>
      </c>
      <c r="G23" s="41">
        <v>49.41</v>
      </c>
      <c r="H23" s="41">
        <v>12.35</v>
      </c>
      <c r="I23" s="41">
        <v>6.16</v>
      </c>
      <c r="J23" s="41">
        <v>0.6</v>
      </c>
      <c r="K23" s="41">
        <v>58.72</v>
      </c>
      <c r="L23" s="41">
        <v>17.63</v>
      </c>
      <c r="M23" s="41">
        <v>24.13</v>
      </c>
      <c r="N23" s="41">
        <v>274.7</v>
      </c>
      <c r="O23" s="41">
        <v>0</v>
      </c>
      <c r="P23" s="41">
        <v>0.38</v>
      </c>
      <c r="Q23" s="41">
        <v>10</v>
      </c>
      <c r="R23" s="38"/>
      <c r="S23" s="38"/>
      <c r="T23" s="38"/>
      <c r="U23" s="38"/>
    </row>
    <row r="24" spans="1:21" customFormat="1">
      <c r="A24" s="40" t="s">
        <v>460</v>
      </c>
      <c r="B24" s="41">
        <v>3.13</v>
      </c>
      <c r="C24" s="41">
        <v>9.66</v>
      </c>
      <c r="D24" s="41">
        <v>7.56</v>
      </c>
      <c r="E24" s="41">
        <v>11.34</v>
      </c>
      <c r="F24" s="41">
        <v>11</v>
      </c>
      <c r="G24" s="41">
        <v>50.03</v>
      </c>
      <c r="H24" s="41">
        <v>12.51</v>
      </c>
      <c r="I24" s="41">
        <v>6.4</v>
      </c>
      <c r="J24" s="41">
        <v>0.56000000000000005</v>
      </c>
      <c r="K24" s="41">
        <v>105.59</v>
      </c>
      <c r="L24" s="41">
        <v>12.83</v>
      </c>
      <c r="M24" s="41">
        <v>13.25</v>
      </c>
      <c r="N24" s="41">
        <v>73</v>
      </c>
      <c r="O24" s="41">
        <v>0</v>
      </c>
      <c r="P24" s="41">
        <v>0.36</v>
      </c>
      <c r="Q24" s="41">
        <v>10</v>
      </c>
      <c r="R24" s="38"/>
      <c r="S24" s="38"/>
      <c r="T24" s="38"/>
      <c r="U24" s="38"/>
    </row>
    <row r="25" spans="1:21" customFormat="1">
      <c r="A25" s="40" t="s">
        <v>461</v>
      </c>
      <c r="B25" s="41">
        <v>2.4</v>
      </c>
      <c r="C25" s="41">
        <v>7.65</v>
      </c>
      <c r="D25" s="41">
        <v>5.9</v>
      </c>
      <c r="E25" s="41">
        <v>7.04</v>
      </c>
      <c r="F25" s="41">
        <v>3.02</v>
      </c>
      <c r="G25" s="41">
        <v>50.03</v>
      </c>
      <c r="H25" s="41">
        <v>12.51</v>
      </c>
      <c r="I25" s="41">
        <v>6.02</v>
      </c>
      <c r="J25" s="41">
        <v>0.28999999999999998</v>
      </c>
      <c r="K25" s="41">
        <v>148.43</v>
      </c>
      <c r="L25" s="41">
        <v>14.67</v>
      </c>
      <c r="M25" s="41">
        <v>18.68</v>
      </c>
      <c r="N25" s="41">
        <v>37.5</v>
      </c>
      <c r="O25" s="41">
        <v>0</v>
      </c>
      <c r="P25" s="41">
        <v>0.32</v>
      </c>
      <c r="Q25" s="41">
        <v>10</v>
      </c>
      <c r="R25" s="38"/>
      <c r="S25" s="38"/>
      <c r="T25" s="38"/>
      <c r="U25" s="38"/>
    </row>
    <row r="26" spans="1:21" customFormat="1">
      <c r="A26" s="40" t="s">
        <v>462</v>
      </c>
      <c r="B26" s="41">
        <v>2.36</v>
      </c>
      <c r="C26" s="41">
        <v>6.84</v>
      </c>
      <c r="D26" s="41">
        <v>5.45</v>
      </c>
      <c r="E26" s="41">
        <v>6.77</v>
      </c>
      <c r="F26" s="41">
        <v>2</v>
      </c>
      <c r="G26" s="41">
        <v>49.37</v>
      </c>
      <c r="H26" s="41">
        <v>12.15</v>
      </c>
      <c r="I26" s="41">
        <v>5.51</v>
      </c>
      <c r="J26" s="41">
        <v>0.26</v>
      </c>
      <c r="K26" s="41">
        <v>156.41999999999999</v>
      </c>
      <c r="L26" s="41">
        <v>15.41</v>
      </c>
      <c r="M26" s="41">
        <v>20.83</v>
      </c>
      <c r="N26" s="41">
        <v>10.4</v>
      </c>
      <c r="O26" s="41">
        <v>0</v>
      </c>
      <c r="P26" s="41">
        <v>0.31</v>
      </c>
      <c r="Q26" s="41">
        <v>10</v>
      </c>
      <c r="R26" s="38"/>
      <c r="S26" s="38"/>
      <c r="T26" s="38"/>
      <c r="U26" s="38"/>
    </row>
    <row r="27" spans="1:21" customFormat="1">
      <c r="A27" s="40" t="s">
        <v>463</v>
      </c>
      <c r="B27" s="41">
        <v>2.48</v>
      </c>
      <c r="C27" s="41">
        <v>6.6</v>
      </c>
      <c r="D27" s="41">
        <v>5.44</v>
      </c>
      <c r="E27" s="41">
        <v>6.47</v>
      </c>
      <c r="F27" s="41">
        <v>2</v>
      </c>
      <c r="G27" s="41">
        <v>49.71</v>
      </c>
      <c r="H27" s="41">
        <v>11.84</v>
      </c>
      <c r="I27" s="41">
        <v>5.4</v>
      </c>
      <c r="J27" s="41">
        <v>0.24</v>
      </c>
      <c r="K27" s="41">
        <v>168.59</v>
      </c>
      <c r="L27" s="41">
        <v>16.440000000000001</v>
      </c>
      <c r="M27" s="41">
        <v>23.26</v>
      </c>
      <c r="N27" s="41">
        <v>2.8</v>
      </c>
      <c r="O27" s="41">
        <v>0</v>
      </c>
      <c r="P27" s="41">
        <v>0.32</v>
      </c>
      <c r="Q27" s="41">
        <v>10</v>
      </c>
      <c r="R27" s="38"/>
      <c r="S27" s="38"/>
      <c r="T27" s="38"/>
      <c r="U27" s="38"/>
    </row>
    <row r="28" spans="1:21" customFormat="1">
      <c r="A28" s="40" t="s">
        <v>464</v>
      </c>
      <c r="B28" s="41">
        <v>2.87</v>
      </c>
      <c r="C28" s="41">
        <v>7</v>
      </c>
      <c r="D28" s="41">
        <v>5.96</v>
      </c>
      <c r="E28" s="41">
        <v>6.75</v>
      </c>
      <c r="F28" s="41">
        <v>2</v>
      </c>
      <c r="G28" s="41">
        <v>52.53</v>
      </c>
      <c r="H28" s="41">
        <v>12.61</v>
      </c>
      <c r="I28" s="41">
        <v>6.13</v>
      </c>
      <c r="J28" s="41">
        <v>0.25</v>
      </c>
      <c r="K28" s="41">
        <v>159.85</v>
      </c>
      <c r="L28" s="41">
        <v>15.68</v>
      </c>
      <c r="M28" s="41">
        <v>21.54</v>
      </c>
      <c r="N28" s="41">
        <v>2.2000000000000002</v>
      </c>
      <c r="O28" s="41">
        <v>0</v>
      </c>
      <c r="P28" s="41">
        <v>0.35</v>
      </c>
      <c r="Q28" s="41">
        <v>10</v>
      </c>
      <c r="R28" s="38"/>
      <c r="S28" s="38"/>
      <c r="T28" s="38"/>
      <c r="U28" s="38"/>
    </row>
    <row r="29" spans="1:21" customFormat="1">
      <c r="A29" s="40" t="s">
        <v>465</v>
      </c>
      <c r="B29" s="41">
        <v>2.99</v>
      </c>
      <c r="C29" s="41">
        <v>6.93</v>
      </c>
      <c r="D29" s="41">
        <v>6</v>
      </c>
      <c r="E29" s="41">
        <v>6.67</v>
      </c>
      <c r="F29" s="41">
        <v>2</v>
      </c>
      <c r="G29" s="41">
        <v>53.2</v>
      </c>
      <c r="H29" s="41">
        <v>12.61</v>
      </c>
      <c r="I29" s="41">
        <v>6.53</v>
      </c>
      <c r="J29" s="41">
        <v>0.23</v>
      </c>
      <c r="K29" s="41">
        <v>171.07</v>
      </c>
      <c r="L29" s="41">
        <v>16.62</v>
      </c>
      <c r="M29" s="41">
        <v>23.87</v>
      </c>
      <c r="N29" s="41">
        <v>2.1</v>
      </c>
      <c r="O29" s="41">
        <v>0</v>
      </c>
      <c r="P29" s="41">
        <v>0.39</v>
      </c>
      <c r="Q29" s="41">
        <v>10</v>
      </c>
      <c r="R29" s="38"/>
      <c r="S29" s="38"/>
      <c r="T29" s="38"/>
      <c r="U29" s="38"/>
    </row>
    <row r="30" spans="1:21" customFormat="1">
      <c r="A30" s="40" t="s">
        <v>466</v>
      </c>
      <c r="B30" s="41">
        <v>3.64</v>
      </c>
      <c r="C30" s="41">
        <v>6.49</v>
      </c>
      <c r="D30" s="41">
        <v>6.18</v>
      </c>
      <c r="E30" s="41">
        <v>6.36</v>
      </c>
      <c r="F30" s="41">
        <v>2</v>
      </c>
      <c r="G30" s="41">
        <v>53.88</v>
      </c>
      <c r="H30" s="41">
        <v>12.34</v>
      </c>
      <c r="I30" s="41">
        <v>6.84</v>
      </c>
      <c r="J30" s="41">
        <v>0.16</v>
      </c>
      <c r="K30" s="41">
        <v>199.83</v>
      </c>
      <c r="L30" s="41">
        <v>19.079999999999998</v>
      </c>
      <c r="M30" s="41">
        <v>30.01</v>
      </c>
      <c r="N30" s="41">
        <v>2.1</v>
      </c>
      <c r="O30" s="41">
        <v>0</v>
      </c>
      <c r="P30" s="41">
        <v>0.41</v>
      </c>
      <c r="Q30" s="41">
        <v>10</v>
      </c>
      <c r="R30" s="38"/>
      <c r="S30" s="38"/>
      <c r="T30" s="38"/>
      <c r="U30" s="38"/>
    </row>
    <row r="31" spans="1:21" customFormat="1">
      <c r="A31" s="40" t="s">
        <v>467</v>
      </c>
      <c r="B31" s="41">
        <v>3.98</v>
      </c>
      <c r="C31" s="41">
        <v>6.04</v>
      </c>
      <c r="D31" s="41">
        <v>6.34</v>
      </c>
      <c r="E31" s="41">
        <v>6.13</v>
      </c>
      <c r="F31" s="41">
        <v>2</v>
      </c>
      <c r="G31" s="41">
        <v>53.88</v>
      </c>
      <c r="H31" s="41">
        <v>12.14</v>
      </c>
      <c r="I31" s="41">
        <v>7.06</v>
      </c>
      <c r="J31" s="41">
        <v>0.17</v>
      </c>
      <c r="K31" s="41">
        <v>196.34</v>
      </c>
      <c r="L31" s="41">
        <v>18.46</v>
      </c>
      <c r="M31" s="41">
        <v>28.45</v>
      </c>
      <c r="N31" s="41">
        <v>2.1</v>
      </c>
      <c r="O31" s="41">
        <v>0</v>
      </c>
      <c r="P31" s="41">
        <v>0.41</v>
      </c>
      <c r="Q31" s="41">
        <v>10</v>
      </c>
      <c r="R31" s="38"/>
      <c r="S31" s="38"/>
      <c r="T31" s="38"/>
      <c r="U31" s="38"/>
    </row>
    <row r="32" spans="1:21" customFormat="1">
      <c r="A32" s="40" t="s">
        <v>468</v>
      </c>
      <c r="B32" s="41">
        <v>4.95</v>
      </c>
      <c r="C32" s="41">
        <v>6.59</v>
      </c>
      <c r="D32" s="41">
        <v>7.41</v>
      </c>
      <c r="E32" s="41">
        <v>6.3</v>
      </c>
      <c r="F32" s="41">
        <v>2</v>
      </c>
      <c r="G32" s="41">
        <v>53.74</v>
      </c>
      <c r="H32" s="41">
        <v>12.06</v>
      </c>
      <c r="I32" s="41">
        <v>7.07</v>
      </c>
      <c r="J32" s="41">
        <v>0.15</v>
      </c>
      <c r="K32" s="41">
        <v>176.07</v>
      </c>
      <c r="L32" s="41">
        <v>16.96</v>
      </c>
      <c r="M32" s="41">
        <v>24.68</v>
      </c>
      <c r="N32" s="41">
        <v>2.1</v>
      </c>
      <c r="O32" s="41">
        <v>0</v>
      </c>
      <c r="P32" s="41">
        <v>0.42</v>
      </c>
      <c r="Q32" s="41">
        <v>10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2.36</v>
      </c>
      <c r="C34" s="18">
        <f t="shared" si="0"/>
        <v>6.04</v>
      </c>
      <c r="D34" s="18">
        <f t="shared" si="0"/>
        <v>5.44</v>
      </c>
      <c r="E34" s="18">
        <f t="shared" si="0"/>
        <v>5.39</v>
      </c>
      <c r="F34" s="18">
        <f t="shared" si="0"/>
        <v>2</v>
      </c>
      <c r="G34" s="18">
        <f t="shared" si="0"/>
        <v>44.89</v>
      </c>
      <c r="H34" s="18">
        <f t="shared" si="0"/>
        <v>10.85</v>
      </c>
      <c r="I34" s="18">
        <f t="shared" si="0"/>
        <v>5.4</v>
      </c>
      <c r="J34" s="18">
        <f t="shared" si="0"/>
        <v>0.11</v>
      </c>
      <c r="K34" s="18">
        <f t="shared" si="0"/>
        <v>58.72</v>
      </c>
      <c r="L34" s="18">
        <f t="shared" si="0"/>
        <v>10.39</v>
      </c>
      <c r="M34" s="18">
        <f t="shared" si="0"/>
        <v>5.88</v>
      </c>
      <c r="N34" s="18">
        <f t="shared" si="0"/>
        <v>2.1</v>
      </c>
      <c r="O34" s="18">
        <f t="shared" si="0"/>
        <v>0</v>
      </c>
      <c r="P34" s="18">
        <f t="shared" si="0"/>
        <v>0.31</v>
      </c>
      <c r="Q34" s="18">
        <f t="shared" si="0"/>
        <v>10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10.75</v>
      </c>
      <c r="C35" s="3">
        <f t="shared" si="1"/>
        <v>9.66</v>
      </c>
      <c r="D35" s="3">
        <f t="shared" si="1"/>
        <v>12.66</v>
      </c>
      <c r="E35" s="3">
        <f t="shared" si="1"/>
        <v>11.34</v>
      </c>
      <c r="F35" s="3">
        <f t="shared" si="1"/>
        <v>11</v>
      </c>
      <c r="G35" s="3">
        <f t="shared" si="1"/>
        <v>53.88</v>
      </c>
      <c r="H35" s="3">
        <f t="shared" si="1"/>
        <v>13.44</v>
      </c>
      <c r="I35" s="3">
        <f t="shared" si="1"/>
        <v>7.75</v>
      </c>
      <c r="J35" s="3">
        <f t="shared" si="1"/>
        <v>0.6</v>
      </c>
      <c r="K35" s="3">
        <f t="shared" si="1"/>
        <v>353.23</v>
      </c>
      <c r="L35" s="3">
        <f t="shared" si="1"/>
        <v>20.79</v>
      </c>
      <c r="M35" s="3">
        <f t="shared" si="1"/>
        <v>33.950000000000003</v>
      </c>
      <c r="N35" s="3">
        <f t="shared" si="1"/>
        <v>514.1</v>
      </c>
      <c r="O35" s="3">
        <f t="shared" si="1"/>
        <v>0</v>
      </c>
      <c r="P35" s="3">
        <f t="shared" si="1"/>
        <v>0.48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5.4570833333333333</v>
      </c>
      <c r="C36" s="18">
        <f t="shared" si="2"/>
        <v>7.4512500000000008</v>
      </c>
      <c r="D36" s="18">
        <f t="shared" si="2"/>
        <v>8.2208333333333332</v>
      </c>
      <c r="E36" s="18">
        <f t="shared" si="2"/>
        <v>7.1570833333333335</v>
      </c>
      <c r="F36" s="18">
        <f t="shared" si="2"/>
        <v>3.0554166666666673</v>
      </c>
      <c r="G36" s="18">
        <f t="shared" si="2"/>
        <v>51.228750000000012</v>
      </c>
      <c r="H36" s="18">
        <f t="shared" si="2"/>
        <v>12.133333333333333</v>
      </c>
      <c r="I36" s="18">
        <f t="shared" si="2"/>
        <v>6.8158333333333339</v>
      </c>
      <c r="J36" s="18">
        <f t="shared" si="2"/>
        <v>0.28291666666666676</v>
      </c>
      <c r="K36" s="18">
        <f t="shared" si="2"/>
        <v>147.32250000000002</v>
      </c>
      <c r="L36" s="18">
        <f t="shared" si="2"/>
        <v>16.129583333333333</v>
      </c>
      <c r="M36" s="18">
        <f t="shared" si="2"/>
        <v>20.134583333333332</v>
      </c>
      <c r="N36" s="18">
        <f t="shared" si="2"/>
        <v>130.23749999999998</v>
      </c>
      <c r="O36" s="18">
        <f t="shared" si="2"/>
        <v>0</v>
      </c>
      <c r="P36" s="18">
        <f t="shared" si="2"/>
        <v>0.42250000000000004</v>
      </c>
      <c r="Q36" s="18">
        <f t="shared" si="2"/>
        <v>10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2.8527476902204292</v>
      </c>
      <c r="C37" s="18">
        <f t="shared" ref="C37:Q37" si="3">STDEV(C9:C32)</f>
        <v>0.90561203181820971</v>
      </c>
      <c r="D37" s="18">
        <f t="shared" si="3"/>
        <v>2.3047605113097438</v>
      </c>
      <c r="E37" s="18">
        <f t="shared" si="3"/>
        <v>1.8747834174428863</v>
      </c>
      <c r="F37" s="18">
        <f t="shared" si="3"/>
        <v>2.3133224350284149</v>
      </c>
      <c r="G37" s="18">
        <f t="shared" si="3"/>
        <v>2.1508164526624496</v>
      </c>
      <c r="H37" s="18">
        <f t="shared" si="3"/>
        <v>0.57236098875558883</v>
      </c>
      <c r="I37" s="18">
        <f t="shared" si="3"/>
        <v>0.6246314855605849</v>
      </c>
      <c r="J37" s="18">
        <f t="shared" si="3"/>
        <v>0.13093241425044158</v>
      </c>
      <c r="K37" s="18">
        <f t="shared" si="3"/>
        <v>66.210479549493641</v>
      </c>
      <c r="L37" s="18">
        <f t="shared" si="3"/>
        <v>2.7031824709061834</v>
      </c>
      <c r="M37" s="18">
        <f t="shared" si="3"/>
        <v>8.0730356227795017</v>
      </c>
      <c r="N37" s="18">
        <f t="shared" si="3"/>
        <v>188.82539395476951</v>
      </c>
      <c r="O37" s="18">
        <f t="shared" si="3"/>
        <v>0</v>
      </c>
      <c r="P37" s="18">
        <f t="shared" si="3"/>
        <v>5.5736179803879432E-2</v>
      </c>
      <c r="Q37" s="18">
        <f t="shared" si="3"/>
        <v>0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S14" sqref="S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18/10/2025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469</v>
      </c>
      <c r="B9" s="41">
        <v>5.39</v>
      </c>
      <c r="C9" s="41">
        <v>6.58</v>
      </c>
      <c r="D9" s="41">
        <v>7.76</v>
      </c>
      <c r="E9" s="41">
        <v>6.42</v>
      </c>
      <c r="F9" s="41">
        <v>2</v>
      </c>
      <c r="G9" s="41">
        <v>48.59</v>
      </c>
      <c r="H9" s="41">
        <v>11.83</v>
      </c>
      <c r="I9" s="41">
        <v>7.28</v>
      </c>
      <c r="J9" s="41">
        <v>0.17</v>
      </c>
      <c r="K9" s="41">
        <v>156.36000000000001</v>
      </c>
      <c r="L9" s="41">
        <v>15.34</v>
      </c>
      <c r="M9" s="41">
        <v>20.75</v>
      </c>
      <c r="N9" s="41">
        <v>2.1</v>
      </c>
      <c r="O9" s="41">
        <v>0</v>
      </c>
      <c r="P9" s="41">
        <v>0.43</v>
      </c>
      <c r="Q9" s="41">
        <v>10</v>
      </c>
      <c r="R9" s="38"/>
      <c r="S9" s="38"/>
      <c r="T9" s="38"/>
      <c r="U9" s="38"/>
    </row>
    <row r="10" spans="1:21" customFormat="1">
      <c r="A10" s="40" t="s">
        <v>470</v>
      </c>
      <c r="B10" s="41">
        <v>5.5</v>
      </c>
      <c r="C10" s="41">
        <v>7.55</v>
      </c>
      <c r="D10" s="41">
        <v>8.36</v>
      </c>
      <c r="E10" s="41">
        <v>6.48</v>
      </c>
      <c r="F10" s="41">
        <v>2</v>
      </c>
      <c r="G10" s="41">
        <v>48.59</v>
      </c>
      <c r="H10" s="41">
        <v>11.44</v>
      </c>
      <c r="I10" s="41">
        <v>7.35</v>
      </c>
      <c r="J10" s="41">
        <v>0.14000000000000001</v>
      </c>
      <c r="K10" s="41">
        <v>186.33</v>
      </c>
      <c r="L10" s="41">
        <v>17.13</v>
      </c>
      <c r="M10" s="41">
        <v>25.18</v>
      </c>
      <c r="N10" s="41">
        <v>2.1</v>
      </c>
      <c r="O10" s="41">
        <v>0</v>
      </c>
      <c r="P10" s="41">
        <v>0.41</v>
      </c>
      <c r="Q10" s="41">
        <v>10</v>
      </c>
      <c r="R10" s="38"/>
      <c r="S10" s="38"/>
      <c r="T10" s="38"/>
      <c r="U10" s="38"/>
    </row>
    <row r="11" spans="1:21" customFormat="1">
      <c r="A11" s="40" t="s">
        <v>471</v>
      </c>
      <c r="B11" s="41">
        <v>7.39</v>
      </c>
      <c r="C11" s="41">
        <v>8.33</v>
      </c>
      <c r="D11" s="41">
        <v>10.28</v>
      </c>
      <c r="E11" s="41">
        <v>6.76</v>
      </c>
      <c r="F11" s="41">
        <v>2</v>
      </c>
      <c r="G11" s="41">
        <v>51.95</v>
      </c>
      <c r="H11" s="41">
        <v>11.34</v>
      </c>
      <c r="I11" s="41">
        <v>7.13</v>
      </c>
      <c r="J11" s="41">
        <v>0.21</v>
      </c>
      <c r="K11" s="41">
        <v>189.42</v>
      </c>
      <c r="L11" s="41">
        <v>18.440000000000001</v>
      </c>
      <c r="M11" s="41">
        <v>28.48</v>
      </c>
      <c r="N11" s="41">
        <v>2.1</v>
      </c>
      <c r="O11" s="41">
        <v>0</v>
      </c>
      <c r="P11" s="41">
        <v>0.39</v>
      </c>
      <c r="Q11" s="41">
        <v>10</v>
      </c>
      <c r="R11" s="38"/>
      <c r="S11" s="38"/>
      <c r="T11" s="38"/>
      <c r="U11" s="38"/>
    </row>
    <row r="12" spans="1:21" customFormat="1">
      <c r="A12" s="40" t="s">
        <v>472</v>
      </c>
      <c r="B12" s="41">
        <v>7.73</v>
      </c>
      <c r="C12" s="41">
        <v>8.15</v>
      </c>
      <c r="D12" s="41">
        <v>10.41</v>
      </c>
      <c r="E12" s="41">
        <v>6.9</v>
      </c>
      <c r="F12" s="41">
        <v>2</v>
      </c>
      <c r="G12" s="41">
        <v>55.27</v>
      </c>
      <c r="H12" s="41">
        <v>12.28</v>
      </c>
      <c r="I12" s="41">
        <v>7.35</v>
      </c>
      <c r="J12" s="41">
        <v>0.28000000000000003</v>
      </c>
      <c r="K12" s="41">
        <v>115.21</v>
      </c>
      <c r="L12" s="41">
        <v>12.15</v>
      </c>
      <c r="M12" s="41">
        <v>12.63</v>
      </c>
      <c r="N12" s="41">
        <v>2.1</v>
      </c>
      <c r="O12" s="41">
        <v>0</v>
      </c>
      <c r="P12" s="41">
        <v>0.4</v>
      </c>
      <c r="Q12" s="41">
        <v>10</v>
      </c>
      <c r="R12" s="38"/>
      <c r="S12" s="38"/>
      <c r="T12" s="38"/>
      <c r="U12" s="38"/>
    </row>
    <row r="13" spans="1:21" customFormat="1">
      <c r="A13" s="40" t="s">
        <v>473</v>
      </c>
      <c r="B13" s="41">
        <v>7.73</v>
      </c>
      <c r="C13" s="41">
        <v>7.97</v>
      </c>
      <c r="D13" s="41">
        <v>10.37</v>
      </c>
      <c r="E13" s="41">
        <v>7.21</v>
      </c>
      <c r="F13" s="41">
        <v>2</v>
      </c>
      <c r="G13" s="41">
        <v>55.27</v>
      </c>
      <c r="H13" s="41">
        <v>12.28</v>
      </c>
      <c r="I13" s="41">
        <v>7.45</v>
      </c>
      <c r="J13" s="41">
        <v>0.12</v>
      </c>
      <c r="K13" s="41">
        <v>217.72</v>
      </c>
      <c r="L13" s="41">
        <v>20</v>
      </c>
      <c r="M13" s="41">
        <v>32.36</v>
      </c>
      <c r="N13" s="41">
        <v>2.1</v>
      </c>
      <c r="O13" s="41">
        <v>0</v>
      </c>
      <c r="P13" s="41">
        <v>0.4</v>
      </c>
      <c r="Q13" s="41">
        <v>10</v>
      </c>
      <c r="R13" s="38"/>
      <c r="S13" s="38"/>
      <c r="T13" s="38"/>
      <c r="U13" s="38"/>
    </row>
    <row r="14" spans="1:21" customFormat="1">
      <c r="A14" s="40" t="s">
        <v>474</v>
      </c>
      <c r="B14" s="41">
        <v>8.44</v>
      </c>
      <c r="C14" s="41">
        <v>7.84</v>
      </c>
      <c r="D14" s="41">
        <v>10.86</v>
      </c>
      <c r="E14" s="41">
        <v>7.14</v>
      </c>
      <c r="F14" s="41">
        <v>2</v>
      </c>
      <c r="G14" s="41">
        <v>52.64</v>
      </c>
      <c r="H14" s="41">
        <v>12.1</v>
      </c>
      <c r="I14" s="41">
        <v>7.55</v>
      </c>
      <c r="J14" s="41">
        <v>0.21</v>
      </c>
      <c r="K14" s="41">
        <v>154.88999999999999</v>
      </c>
      <c r="L14" s="41">
        <v>17.39</v>
      </c>
      <c r="M14" s="41">
        <v>25.72</v>
      </c>
      <c r="N14" s="41">
        <v>2.8</v>
      </c>
      <c r="O14" s="41">
        <v>0</v>
      </c>
      <c r="P14" s="41">
        <v>0.41</v>
      </c>
      <c r="Q14" s="41">
        <v>10</v>
      </c>
      <c r="R14" s="38"/>
      <c r="S14" s="38"/>
      <c r="T14" s="38"/>
      <c r="U14" s="38"/>
    </row>
    <row r="15" spans="1:21" customFormat="1">
      <c r="A15" s="40" t="s">
        <v>475</v>
      </c>
      <c r="B15" s="41">
        <v>8.84</v>
      </c>
      <c r="C15" s="41">
        <v>7.73</v>
      </c>
      <c r="D15" s="41">
        <v>10.79</v>
      </c>
      <c r="E15" s="41">
        <v>7.16</v>
      </c>
      <c r="F15" s="41">
        <v>2</v>
      </c>
      <c r="G15" s="41">
        <v>52.64</v>
      </c>
      <c r="H15" s="41">
        <v>11.69</v>
      </c>
      <c r="I15" s="41">
        <v>7.77</v>
      </c>
      <c r="J15" s="41">
        <v>0.3</v>
      </c>
      <c r="K15" s="41">
        <v>180.91</v>
      </c>
      <c r="L15" s="41">
        <v>17.7</v>
      </c>
      <c r="M15" s="41">
        <v>26.55</v>
      </c>
      <c r="N15" s="41">
        <v>33.5</v>
      </c>
      <c r="O15" s="41">
        <v>0</v>
      </c>
      <c r="P15" s="41">
        <v>0.44</v>
      </c>
      <c r="Q15" s="41">
        <v>10</v>
      </c>
      <c r="R15" s="38"/>
      <c r="S15" s="38"/>
      <c r="T15" s="38"/>
      <c r="U15" s="38"/>
    </row>
    <row r="16" spans="1:21" customFormat="1">
      <c r="A16" s="40" t="s">
        <v>476</v>
      </c>
      <c r="B16" s="41">
        <v>9.2200000000000006</v>
      </c>
      <c r="C16" s="41">
        <v>7.24</v>
      </c>
      <c r="D16" s="41">
        <v>11.12</v>
      </c>
      <c r="E16" s="41">
        <v>6.97</v>
      </c>
      <c r="F16" s="41">
        <v>2</v>
      </c>
      <c r="G16" s="41">
        <v>49.81</v>
      </c>
      <c r="H16" s="41">
        <v>12.01</v>
      </c>
      <c r="I16" s="41">
        <v>8.24</v>
      </c>
      <c r="J16" s="41">
        <v>0.3</v>
      </c>
      <c r="K16" s="41">
        <v>138.62</v>
      </c>
      <c r="L16" s="41">
        <v>14.82</v>
      </c>
      <c r="M16" s="41">
        <v>15.89</v>
      </c>
      <c r="N16" s="41">
        <v>146.80000000000001</v>
      </c>
      <c r="O16" s="41">
        <v>0</v>
      </c>
      <c r="P16" s="41">
        <v>0.46</v>
      </c>
      <c r="Q16" s="41">
        <v>10</v>
      </c>
      <c r="R16" s="38"/>
      <c r="S16" s="38"/>
      <c r="T16" s="38"/>
      <c r="U16" s="38"/>
    </row>
    <row r="17" spans="1:21" customFormat="1">
      <c r="A17" s="40" t="s">
        <v>477</v>
      </c>
      <c r="B17" s="41">
        <v>8.89</v>
      </c>
      <c r="C17" s="41">
        <v>7.28</v>
      </c>
      <c r="D17" s="41">
        <v>10.88</v>
      </c>
      <c r="E17" s="41">
        <v>6.79</v>
      </c>
      <c r="F17" s="41">
        <v>2</v>
      </c>
      <c r="G17" s="41">
        <v>49.81</v>
      </c>
      <c r="H17" s="41">
        <v>12.01</v>
      </c>
      <c r="I17" s="41">
        <v>8.35</v>
      </c>
      <c r="J17" s="41">
        <v>0.24</v>
      </c>
      <c r="K17" s="41">
        <v>116.79</v>
      </c>
      <c r="L17" s="41">
        <v>14.92</v>
      </c>
      <c r="M17" s="41">
        <v>13.44</v>
      </c>
      <c r="N17" s="41">
        <v>281.39999999999998</v>
      </c>
      <c r="O17" s="41">
        <v>0</v>
      </c>
      <c r="P17" s="41">
        <v>0.45</v>
      </c>
      <c r="Q17" s="41">
        <v>10</v>
      </c>
      <c r="R17" s="38"/>
      <c r="S17" s="38"/>
      <c r="T17" s="38"/>
      <c r="U17" s="38"/>
    </row>
    <row r="18" spans="1:21" customFormat="1">
      <c r="A18" s="40" t="s">
        <v>478</v>
      </c>
      <c r="B18" s="41">
        <v>7.64</v>
      </c>
      <c r="C18" s="41">
        <v>8.2100000000000009</v>
      </c>
      <c r="D18" s="41">
        <v>10.07</v>
      </c>
      <c r="E18" s="41">
        <v>8.58</v>
      </c>
      <c r="F18" s="41">
        <v>2</v>
      </c>
      <c r="G18" s="41">
        <v>51.7</v>
      </c>
      <c r="H18" s="41">
        <v>11.77</v>
      </c>
      <c r="I18" s="41">
        <v>8.31</v>
      </c>
      <c r="J18" s="41">
        <v>0.38</v>
      </c>
      <c r="K18" s="41">
        <v>101.9</v>
      </c>
      <c r="L18" s="41">
        <v>20.7</v>
      </c>
      <c r="M18" s="41">
        <v>24.67</v>
      </c>
      <c r="N18" s="41">
        <v>432.6</v>
      </c>
      <c r="O18" s="41">
        <v>0</v>
      </c>
      <c r="P18" s="41">
        <v>0.47</v>
      </c>
      <c r="Q18" s="41">
        <v>10</v>
      </c>
      <c r="R18" s="38"/>
      <c r="S18" s="38"/>
      <c r="T18" s="38"/>
      <c r="U18" s="38"/>
    </row>
    <row r="19" spans="1:21" customFormat="1">
      <c r="A19" s="40" t="s">
        <v>479</v>
      </c>
      <c r="B19" s="41">
        <v>5.82</v>
      </c>
      <c r="C19" s="41">
        <v>15.8</v>
      </c>
      <c r="D19" s="41">
        <v>10.81</v>
      </c>
      <c r="E19" s="41">
        <v>16.47</v>
      </c>
      <c r="F19" s="41">
        <v>31.09</v>
      </c>
      <c r="G19" s="41">
        <v>51.7</v>
      </c>
      <c r="H19" s="41">
        <v>11.77</v>
      </c>
      <c r="I19" s="41">
        <v>8.7100000000000009</v>
      </c>
      <c r="J19" s="41">
        <v>0.34</v>
      </c>
      <c r="K19" s="41">
        <v>172.84</v>
      </c>
      <c r="L19" s="41">
        <v>22.24</v>
      </c>
      <c r="M19" s="41">
        <v>24.97</v>
      </c>
      <c r="N19" s="41">
        <v>575.6</v>
      </c>
      <c r="O19" s="41">
        <v>0</v>
      </c>
      <c r="P19" s="41">
        <v>0.48</v>
      </c>
      <c r="Q19" s="41">
        <v>10</v>
      </c>
      <c r="R19" s="38"/>
      <c r="S19" s="38"/>
      <c r="T19" s="38"/>
      <c r="U19" s="38"/>
    </row>
    <row r="20" spans="1:21" customFormat="1">
      <c r="A20" s="40" t="s">
        <v>480</v>
      </c>
      <c r="B20" s="41">
        <v>1.74</v>
      </c>
      <c r="C20" s="41">
        <v>10.96</v>
      </c>
      <c r="D20" s="41">
        <v>7.12</v>
      </c>
      <c r="E20" s="41">
        <v>9.3800000000000008</v>
      </c>
      <c r="F20" s="41">
        <v>27.35</v>
      </c>
      <c r="G20" s="41">
        <v>50.33</v>
      </c>
      <c r="H20" s="41">
        <v>10.32</v>
      </c>
      <c r="I20" s="41">
        <v>7.64</v>
      </c>
      <c r="J20" s="41">
        <v>0.34</v>
      </c>
      <c r="K20" s="41">
        <v>355.77</v>
      </c>
      <c r="L20" s="41">
        <v>24.18</v>
      </c>
      <c r="M20" s="41">
        <v>28.46</v>
      </c>
      <c r="N20" s="41">
        <v>609.1</v>
      </c>
      <c r="O20" s="41">
        <v>0</v>
      </c>
      <c r="P20" s="41">
        <v>0.33</v>
      </c>
      <c r="Q20" s="41">
        <v>10</v>
      </c>
      <c r="R20" s="38"/>
      <c r="S20" s="38"/>
      <c r="T20" s="38"/>
      <c r="U20" s="38"/>
    </row>
    <row r="21" spans="1:21" customFormat="1">
      <c r="A21" s="40" t="s">
        <v>481</v>
      </c>
      <c r="B21" s="41">
        <v>1.86</v>
      </c>
      <c r="C21" s="41">
        <v>11.42</v>
      </c>
      <c r="D21" s="41">
        <v>7.44</v>
      </c>
      <c r="E21" s="41">
        <v>9.0399999999999991</v>
      </c>
      <c r="F21" s="41">
        <v>19.2</v>
      </c>
      <c r="G21" s="41">
        <v>42.83</v>
      </c>
      <c r="H21" s="41">
        <v>9.68</v>
      </c>
      <c r="I21" s="41">
        <v>5.47</v>
      </c>
      <c r="J21" s="41">
        <v>0.41</v>
      </c>
      <c r="K21" s="41">
        <v>352.93</v>
      </c>
      <c r="L21" s="41">
        <v>23.62</v>
      </c>
      <c r="M21" s="41">
        <v>29.15</v>
      </c>
      <c r="N21" s="41">
        <v>599.5</v>
      </c>
      <c r="O21" s="41">
        <v>0</v>
      </c>
      <c r="P21" s="41">
        <v>0.35</v>
      </c>
      <c r="Q21" s="41">
        <v>9.32</v>
      </c>
      <c r="R21" s="38"/>
      <c r="S21" s="38"/>
      <c r="T21" s="38"/>
      <c r="U21" s="38"/>
    </row>
    <row r="22" spans="1:21" customFormat="1">
      <c r="A22" s="40" t="s">
        <v>482</v>
      </c>
      <c r="B22" s="41">
        <v>2.08</v>
      </c>
      <c r="C22" s="41">
        <v>16.77</v>
      </c>
      <c r="D22" s="41">
        <v>10.33</v>
      </c>
      <c r="E22" s="41">
        <v>16.14</v>
      </c>
      <c r="F22" s="41">
        <v>46.21</v>
      </c>
      <c r="G22" s="41">
        <v>49.58</v>
      </c>
      <c r="H22" s="41">
        <v>8.77</v>
      </c>
      <c r="I22" s="41">
        <v>5.96</v>
      </c>
      <c r="J22" s="41">
        <v>0.69</v>
      </c>
      <c r="K22" s="41">
        <v>36.43</v>
      </c>
      <c r="L22" s="41">
        <v>17.57</v>
      </c>
      <c r="M22" s="41">
        <v>16.75</v>
      </c>
      <c r="N22" s="41">
        <v>387.5</v>
      </c>
      <c r="O22" s="41">
        <v>0</v>
      </c>
      <c r="P22" s="41">
        <v>0.42</v>
      </c>
      <c r="Q22" s="41">
        <v>9.32</v>
      </c>
      <c r="R22" s="38"/>
      <c r="S22" s="38"/>
      <c r="T22" s="38"/>
      <c r="U22" s="38"/>
    </row>
    <row r="23" spans="1:21" customFormat="1">
      <c r="A23" s="40" t="s">
        <v>483</v>
      </c>
      <c r="B23" s="41">
        <v>2.04</v>
      </c>
      <c r="C23" s="41">
        <v>15.07</v>
      </c>
      <c r="D23" s="41">
        <v>9.51</v>
      </c>
      <c r="E23" s="41">
        <v>12.7</v>
      </c>
      <c r="F23" s="41">
        <v>41.28</v>
      </c>
      <c r="G23" s="41">
        <v>49.58</v>
      </c>
      <c r="H23" s="41">
        <v>8.77</v>
      </c>
      <c r="I23" s="41">
        <v>6.11</v>
      </c>
      <c r="J23" s="41">
        <v>0.71</v>
      </c>
      <c r="K23" s="41">
        <v>36.67</v>
      </c>
      <c r="L23" s="41">
        <v>14.69</v>
      </c>
      <c r="M23" s="41">
        <v>12.62</v>
      </c>
      <c r="N23" s="41">
        <v>435</v>
      </c>
      <c r="O23" s="41">
        <v>0</v>
      </c>
      <c r="P23" s="41">
        <v>0.33</v>
      </c>
      <c r="Q23" s="41">
        <v>9.32</v>
      </c>
      <c r="R23" s="38"/>
      <c r="S23" s="38"/>
      <c r="T23" s="38"/>
      <c r="U23" s="38"/>
    </row>
    <row r="24" spans="1:21" customFormat="1">
      <c r="A24" s="40" t="s">
        <v>484</v>
      </c>
      <c r="B24" s="41">
        <v>2.09</v>
      </c>
      <c r="C24" s="41">
        <v>21.75</v>
      </c>
      <c r="D24" s="41">
        <v>12.77</v>
      </c>
      <c r="E24" s="41">
        <v>15.25</v>
      </c>
      <c r="F24" s="41">
        <v>63.37</v>
      </c>
      <c r="G24" s="41">
        <v>45.47</v>
      </c>
      <c r="H24" s="41">
        <v>8.51</v>
      </c>
      <c r="I24" s="41">
        <v>5.85</v>
      </c>
      <c r="J24" s="41">
        <v>0.64</v>
      </c>
      <c r="K24" s="41">
        <v>34.28</v>
      </c>
      <c r="L24" s="41">
        <v>15.34</v>
      </c>
      <c r="M24" s="41">
        <v>18.260000000000002</v>
      </c>
      <c r="N24" s="41">
        <v>49.5</v>
      </c>
      <c r="O24" s="41">
        <v>0</v>
      </c>
      <c r="P24" s="41">
        <v>0.32</v>
      </c>
      <c r="Q24" s="41">
        <v>9.32</v>
      </c>
      <c r="R24" s="38"/>
      <c r="S24" s="38"/>
      <c r="T24" s="38"/>
      <c r="U24" s="38"/>
    </row>
    <row r="25" spans="1:21" customFormat="1">
      <c r="A25" s="40" t="s">
        <v>485</v>
      </c>
      <c r="B25" s="41">
        <v>5.56</v>
      </c>
      <c r="C25" s="41">
        <v>28.27</v>
      </c>
      <c r="D25" s="41">
        <v>19.23</v>
      </c>
      <c r="E25" s="41">
        <v>11.23</v>
      </c>
      <c r="F25" s="41">
        <v>52.57</v>
      </c>
      <c r="G25" s="41">
        <v>43.61</v>
      </c>
      <c r="H25" s="41">
        <v>8.3800000000000008</v>
      </c>
      <c r="I25" s="41">
        <v>6.33</v>
      </c>
      <c r="J25" s="41">
        <v>0.52</v>
      </c>
      <c r="K25" s="41">
        <v>40.119999999999997</v>
      </c>
      <c r="L25" s="41">
        <v>9.35</v>
      </c>
      <c r="M25" s="41">
        <v>4.38</v>
      </c>
      <c r="N25" s="41">
        <v>27.5</v>
      </c>
      <c r="O25" s="41">
        <v>0</v>
      </c>
      <c r="P25" s="41">
        <v>0.39</v>
      </c>
      <c r="Q25" s="41">
        <v>9.32</v>
      </c>
      <c r="R25" s="38"/>
      <c r="S25" s="38"/>
      <c r="T25" s="38"/>
      <c r="U25" s="38"/>
    </row>
    <row r="26" spans="1:21" customFormat="1">
      <c r="A26" s="40" t="s">
        <v>486</v>
      </c>
      <c r="B26" s="41">
        <v>3.92</v>
      </c>
      <c r="C26" s="41">
        <v>30.99</v>
      </c>
      <c r="D26" s="41">
        <v>18.86</v>
      </c>
      <c r="E26" s="41">
        <v>10.68</v>
      </c>
      <c r="F26" s="41">
        <v>31.35</v>
      </c>
      <c r="G26" s="41">
        <v>43.6</v>
      </c>
      <c r="H26" s="41">
        <v>9.1</v>
      </c>
      <c r="I26" s="41">
        <v>7.2</v>
      </c>
      <c r="J26" s="41">
        <v>0.31</v>
      </c>
      <c r="K26" s="41">
        <v>154.54</v>
      </c>
      <c r="L26" s="41">
        <v>15.21</v>
      </c>
      <c r="M26" s="41">
        <v>20.07</v>
      </c>
      <c r="N26" s="41">
        <v>10</v>
      </c>
      <c r="O26" s="41">
        <v>0</v>
      </c>
      <c r="P26" s="41">
        <v>0.47</v>
      </c>
      <c r="Q26" s="41">
        <v>9.32</v>
      </c>
      <c r="R26" s="38"/>
      <c r="S26" s="38"/>
      <c r="T26" s="38"/>
      <c r="U26" s="38"/>
    </row>
    <row r="27" spans="1:21" customFormat="1">
      <c r="A27" s="40" t="s">
        <v>487</v>
      </c>
      <c r="B27" s="41">
        <v>2.42</v>
      </c>
      <c r="C27" s="41">
        <v>17.91</v>
      </c>
      <c r="D27" s="41">
        <v>10.82</v>
      </c>
      <c r="E27" s="41">
        <v>6.7</v>
      </c>
      <c r="F27" s="41">
        <v>2.12</v>
      </c>
      <c r="G27" s="41">
        <v>47.98</v>
      </c>
      <c r="H27" s="41">
        <v>9.42</v>
      </c>
      <c r="I27" s="41">
        <v>8.85</v>
      </c>
      <c r="J27" s="41">
        <v>0.24</v>
      </c>
      <c r="K27" s="41">
        <v>156.41</v>
      </c>
      <c r="L27" s="41">
        <v>15.52</v>
      </c>
      <c r="M27" s="41">
        <v>20.9</v>
      </c>
      <c r="N27" s="41">
        <v>2.5</v>
      </c>
      <c r="O27" s="41">
        <v>0</v>
      </c>
      <c r="P27" s="41">
        <v>0.46</v>
      </c>
      <c r="Q27" s="41">
        <v>9.32</v>
      </c>
      <c r="R27" s="38"/>
      <c r="S27" s="38"/>
      <c r="T27" s="38"/>
      <c r="U27" s="38"/>
    </row>
    <row r="28" spans="1:21" customFormat="1">
      <c r="A28" s="40" t="s">
        <v>488</v>
      </c>
      <c r="B28" s="41">
        <v>2.94</v>
      </c>
      <c r="C28" s="41">
        <v>10.52</v>
      </c>
      <c r="D28" s="41">
        <v>7.65</v>
      </c>
      <c r="E28" s="41">
        <v>5.57</v>
      </c>
      <c r="F28" s="41">
        <v>2.3199999999999998</v>
      </c>
      <c r="G28" s="41">
        <v>50.39</v>
      </c>
      <c r="H28" s="41">
        <v>10.79</v>
      </c>
      <c r="I28" s="41">
        <v>9.5299999999999994</v>
      </c>
      <c r="J28" s="41">
        <v>0.19</v>
      </c>
      <c r="K28" s="41">
        <v>148.09</v>
      </c>
      <c r="L28" s="41">
        <v>14.72</v>
      </c>
      <c r="M28" s="41">
        <v>18.93</v>
      </c>
      <c r="N28" s="41">
        <v>2.2000000000000002</v>
      </c>
      <c r="O28" s="41">
        <v>0</v>
      </c>
      <c r="P28" s="41">
        <v>0.47</v>
      </c>
      <c r="Q28" s="41">
        <v>9.32</v>
      </c>
      <c r="R28" s="38"/>
      <c r="S28" s="38"/>
      <c r="T28" s="38"/>
      <c r="U28" s="38"/>
    </row>
    <row r="29" spans="1:21" customFormat="1">
      <c r="A29" s="40" t="s">
        <v>489</v>
      </c>
      <c r="B29" s="41">
        <v>3.33</v>
      </c>
      <c r="C29" s="41">
        <v>8.59</v>
      </c>
      <c r="D29" s="41">
        <v>7.09</v>
      </c>
      <c r="E29" s="41">
        <v>5.72</v>
      </c>
      <c r="F29" s="41">
        <v>2</v>
      </c>
      <c r="G29" s="41">
        <v>51.83</v>
      </c>
      <c r="H29" s="41">
        <v>10.8</v>
      </c>
      <c r="I29" s="41">
        <v>8.7200000000000006</v>
      </c>
      <c r="J29" s="41">
        <v>0.28000000000000003</v>
      </c>
      <c r="K29" s="41">
        <v>109.34</v>
      </c>
      <c r="L29" s="41">
        <v>11.77</v>
      </c>
      <c r="M29" s="41">
        <v>11.5</v>
      </c>
      <c r="N29" s="41">
        <v>2.1</v>
      </c>
      <c r="O29" s="41">
        <v>0</v>
      </c>
      <c r="P29" s="41">
        <v>0.49</v>
      </c>
      <c r="Q29" s="41">
        <v>9.34</v>
      </c>
      <c r="R29" s="38"/>
      <c r="S29" s="38"/>
      <c r="T29" s="38"/>
      <c r="U29" s="38"/>
    </row>
    <row r="30" spans="1:21" customFormat="1">
      <c r="A30" s="40" t="s">
        <v>490</v>
      </c>
      <c r="B30" s="41">
        <v>3.39</v>
      </c>
      <c r="C30" s="41">
        <v>8.92</v>
      </c>
      <c r="D30" s="41">
        <v>7.28</v>
      </c>
      <c r="E30" s="41">
        <v>6.28</v>
      </c>
      <c r="F30" s="41">
        <v>2</v>
      </c>
      <c r="G30" s="41">
        <v>53.34</v>
      </c>
      <c r="H30" s="41">
        <v>11.89</v>
      </c>
      <c r="I30" s="41">
        <v>8.77</v>
      </c>
      <c r="J30" s="41">
        <v>0.19</v>
      </c>
      <c r="K30" s="41">
        <v>79.53</v>
      </c>
      <c r="L30" s="41">
        <v>10.74</v>
      </c>
      <c r="M30" s="41">
        <v>8.99</v>
      </c>
      <c r="N30" s="41">
        <v>2.1</v>
      </c>
      <c r="O30" s="41">
        <v>0</v>
      </c>
      <c r="P30" s="41">
        <v>0.52</v>
      </c>
      <c r="Q30" s="41">
        <v>9.32</v>
      </c>
      <c r="R30" s="38"/>
      <c r="S30" s="38"/>
      <c r="T30" s="38"/>
      <c r="U30" s="38"/>
    </row>
    <row r="31" spans="1:21" customFormat="1">
      <c r="A31" s="40" t="s">
        <v>491</v>
      </c>
      <c r="B31" s="41">
        <v>3.46</v>
      </c>
      <c r="C31" s="41">
        <v>9.33</v>
      </c>
      <c r="D31" s="41">
        <v>7.65</v>
      </c>
      <c r="E31" s="41">
        <v>6.72</v>
      </c>
      <c r="F31" s="41">
        <v>2</v>
      </c>
      <c r="G31" s="41">
        <v>53.59</v>
      </c>
      <c r="H31" s="41">
        <v>12.32</v>
      </c>
      <c r="I31" s="41">
        <v>8.66</v>
      </c>
      <c r="J31" s="41">
        <v>0.31</v>
      </c>
      <c r="K31" s="41">
        <v>59.61</v>
      </c>
      <c r="L31" s="41">
        <v>9.07</v>
      </c>
      <c r="M31" s="41">
        <v>4.63</v>
      </c>
      <c r="N31" s="41">
        <v>2.1</v>
      </c>
      <c r="O31" s="41">
        <v>0</v>
      </c>
      <c r="P31" s="41">
        <v>0.52</v>
      </c>
      <c r="Q31" s="41">
        <v>9.32</v>
      </c>
      <c r="R31" s="38"/>
      <c r="S31" s="38"/>
      <c r="T31" s="38"/>
      <c r="U31" s="38"/>
    </row>
    <row r="32" spans="1:21" customFormat="1">
      <c r="A32" s="40" t="s">
        <v>492</v>
      </c>
      <c r="B32" s="41">
        <v>4.2300000000000004</v>
      </c>
      <c r="C32" s="41">
        <v>9.36</v>
      </c>
      <c r="D32" s="41">
        <v>8.1999999999999993</v>
      </c>
      <c r="E32" s="41">
        <v>6.7</v>
      </c>
      <c r="F32" s="41">
        <v>2</v>
      </c>
      <c r="G32" s="41">
        <v>53.59</v>
      </c>
      <c r="H32" s="41">
        <v>12.32</v>
      </c>
      <c r="I32" s="41">
        <v>8.52</v>
      </c>
      <c r="J32" s="41">
        <v>0.15</v>
      </c>
      <c r="K32" s="41">
        <v>212.97</v>
      </c>
      <c r="L32" s="41">
        <v>19.579999999999998</v>
      </c>
      <c r="M32" s="41">
        <v>31.19</v>
      </c>
      <c r="N32" s="41">
        <v>2.4</v>
      </c>
      <c r="O32" s="41">
        <v>0</v>
      </c>
      <c r="P32" s="41">
        <v>0.51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1.74</v>
      </c>
      <c r="C34" s="18">
        <f t="shared" si="0"/>
        <v>6.58</v>
      </c>
      <c r="D34" s="18">
        <f t="shared" si="0"/>
        <v>7.09</v>
      </c>
      <c r="E34" s="18">
        <f t="shared" si="0"/>
        <v>5.57</v>
      </c>
      <c r="F34" s="18">
        <f t="shared" si="0"/>
        <v>2</v>
      </c>
      <c r="G34" s="18">
        <f t="shared" si="0"/>
        <v>42.83</v>
      </c>
      <c r="H34" s="18">
        <f t="shared" si="0"/>
        <v>8.3800000000000008</v>
      </c>
      <c r="I34" s="18">
        <f t="shared" si="0"/>
        <v>5.47</v>
      </c>
      <c r="J34" s="18">
        <f t="shared" si="0"/>
        <v>0.12</v>
      </c>
      <c r="K34" s="18">
        <f t="shared" si="0"/>
        <v>34.28</v>
      </c>
      <c r="L34" s="18">
        <f t="shared" si="0"/>
        <v>9.07</v>
      </c>
      <c r="M34" s="18">
        <f t="shared" si="0"/>
        <v>4.38</v>
      </c>
      <c r="N34" s="18">
        <f t="shared" si="0"/>
        <v>2.1</v>
      </c>
      <c r="O34" s="18">
        <f t="shared" si="0"/>
        <v>0</v>
      </c>
      <c r="P34" s="18">
        <f t="shared" si="0"/>
        <v>0.32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9.2200000000000006</v>
      </c>
      <c r="C35" s="3">
        <f t="shared" si="1"/>
        <v>30.99</v>
      </c>
      <c r="D35" s="3">
        <f t="shared" si="1"/>
        <v>19.23</v>
      </c>
      <c r="E35" s="3">
        <f t="shared" si="1"/>
        <v>16.47</v>
      </c>
      <c r="F35" s="3">
        <f t="shared" si="1"/>
        <v>63.37</v>
      </c>
      <c r="G35" s="3">
        <f t="shared" si="1"/>
        <v>55.27</v>
      </c>
      <c r="H35" s="3">
        <f t="shared" si="1"/>
        <v>12.32</v>
      </c>
      <c r="I35" s="3">
        <f t="shared" si="1"/>
        <v>9.5299999999999994</v>
      </c>
      <c r="J35" s="3">
        <f t="shared" si="1"/>
        <v>0.71</v>
      </c>
      <c r="K35" s="3">
        <f t="shared" si="1"/>
        <v>355.77</v>
      </c>
      <c r="L35" s="3">
        <f t="shared" si="1"/>
        <v>24.18</v>
      </c>
      <c r="M35" s="3">
        <f t="shared" si="1"/>
        <v>32.36</v>
      </c>
      <c r="N35" s="3">
        <f t="shared" si="1"/>
        <v>609.1</v>
      </c>
      <c r="O35" s="3">
        <f t="shared" si="1"/>
        <v>0</v>
      </c>
      <c r="P35" s="3">
        <f t="shared" si="1"/>
        <v>0.52</v>
      </c>
      <c r="Q35" s="3">
        <f t="shared" si="1"/>
        <v>10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5.0687500000000005</v>
      </c>
      <c r="C36" s="18">
        <f t="shared" si="2"/>
        <v>12.189166666666665</v>
      </c>
      <c r="D36" s="18">
        <f t="shared" si="2"/>
        <v>10.235833333333334</v>
      </c>
      <c r="E36" s="18">
        <f t="shared" si="2"/>
        <v>8.7079166666666659</v>
      </c>
      <c r="F36" s="18">
        <f t="shared" si="2"/>
        <v>14.369166666666667</v>
      </c>
      <c r="G36" s="18">
        <f t="shared" si="2"/>
        <v>50.153750000000002</v>
      </c>
      <c r="H36" s="18">
        <f t="shared" si="2"/>
        <v>10.899583333333332</v>
      </c>
      <c r="I36" s="18">
        <f t="shared" si="2"/>
        <v>7.6291666666666664</v>
      </c>
      <c r="J36" s="18">
        <f t="shared" si="2"/>
        <v>0.31958333333333339</v>
      </c>
      <c r="K36" s="18">
        <f t="shared" si="2"/>
        <v>146.15333333333334</v>
      </c>
      <c r="L36" s="18">
        <f t="shared" si="2"/>
        <v>16.341249999999999</v>
      </c>
      <c r="M36" s="18">
        <f t="shared" si="2"/>
        <v>19.852916666666665</v>
      </c>
      <c r="N36" s="18">
        <f t="shared" si="2"/>
        <v>150.61249999999998</v>
      </c>
      <c r="O36" s="18">
        <f t="shared" si="2"/>
        <v>0</v>
      </c>
      <c r="P36" s="18">
        <f t="shared" si="2"/>
        <v>0.42999999999999994</v>
      </c>
      <c r="Q36" s="18">
        <f t="shared" si="2"/>
        <v>9.6608333333333309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2.596293867771152</v>
      </c>
      <c r="C37" s="18">
        <f t="shared" ref="C37:Q37" si="3">STDEV(C9:C32)</f>
        <v>6.6869561000546378</v>
      </c>
      <c r="D37" s="18">
        <f t="shared" si="3"/>
        <v>3.149848742630228</v>
      </c>
      <c r="E37" s="18">
        <f t="shared" si="3"/>
        <v>3.3152611270576764</v>
      </c>
      <c r="F37" s="18">
        <f t="shared" si="3"/>
        <v>19.555232129105203</v>
      </c>
      <c r="G37" s="18">
        <f t="shared" si="3"/>
        <v>3.4968642008420123</v>
      </c>
      <c r="H37" s="18">
        <f t="shared" si="3"/>
        <v>1.3929558161683167</v>
      </c>
      <c r="I37" s="18">
        <f t="shared" si="3"/>
        <v>1.0905599545613038</v>
      </c>
      <c r="J37" s="18">
        <f t="shared" si="3"/>
        <v>0.16716248712390347</v>
      </c>
      <c r="K37" s="18">
        <f t="shared" si="3"/>
        <v>85.198264713225939</v>
      </c>
      <c r="L37" s="18">
        <f t="shared" si="3"/>
        <v>4.1009694638558694</v>
      </c>
      <c r="M37" s="18">
        <f t="shared" si="3"/>
        <v>8.1083555825841369</v>
      </c>
      <c r="N37" s="18">
        <f t="shared" si="3"/>
        <v>223.51425849372563</v>
      </c>
      <c r="O37" s="18">
        <f t="shared" si="3"/>
        <v>0</v>
      </c>
      <c r="P37" s="18">
        <f t="shared" si="3"/>
        <v>5.9050457421930519E-2</v>
      </c>
      <c r="Q37" s="18">
        <f t="shared" si="3"/>
        <v>0.34648441418823195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J30" sqref="J30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19/10/2025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493</v>
      </c>
      <c r="B9" s="41">
        <v>5.2</v>
      </c>
      <c r="C9" s="41">
        <v>9.34</v>
      </c>
      <c r="D9" s="41">
        <v>8.9499999999999993</v>
      </c>
      <c r="E9" s="41">
        <v>7.22</v>
      </c>
      <c r="F9" s="41">
        <v>2</v>
      </c>
      <c r="G9" s="41">
        <v>50.84</v>
      </c>
      <c r="H9" s="41">
        <v>11.94</v>
      </c>
      <c r="I9" s="41">
        <v>8.3800000000000008</v>
      </c>
      <c r="J9" s="41">
        <v>0.15</v>
      </c>
      <c r="K9" s="41">
        <v>192.39</v>
      </c>
      <c r="L9" s="41">
        <v>17.940000000000001</v>
      </c>
      <c r="M9" s="41">
        <v>27.11</v>
      </c>
      <c r="N9" s="41">
        <v>2.1</v>
      </c>
      <c r="O9" s="41">
        <v>0</v>
      </c>
      <c r="P9" s="41">
        <v>0.5</v>
      </c>
      <c r="Q9" s="41">
        <v>9.32</v>
      </c>
      <c r="R9" s="38"/>
      <c r="S9" s="38"/>
      <c r="T9" s="38"/>
      <c r="U9" s="38"/>
    </row>
    <row r="10" spans="1:21" customFormat="1">
      <c r="A10" s="40" t="s">
        <v>494</v>
      </c>
      <c r="B10" s="41">
        <v>6.45</v>
      </c>
      <c r="C10" s="41">
        <v>8.8000000000000007</v>
      </c>
      <c r="D10" s="41">
        <v>9.76</v>
      </c>
      <c r="E10" s="41">
        <v>7.33</v>
      </c>
      <c r="F10" s="41">
        <v>2</v>
      </c>
      <c r="G10" s="41">
        <v>48.7</v>
      </c>
      <c r="H10" s="41">
        <v>12.18</v>
      </c>
      <c r="I10" s="41">
        <v>8.5</v>
      </c>
      <c r="J10" s="41">
        <v>0.15</v>
      </c>
      <c r="K10" s="41">
        <v>217.14</v>
      </c>
      <c r="L10" s="41">
        <v>19.82</v>
      </c>
      <c r="M10" s="41">
        <v>31.77</v>
      </c>
      <c r="N10" s="41">
        <v>2.1</v>
      </c>
      <c r="O10" s="41">
        <v>0</v>
      </c>
      <c r="P10" s="41">
        <v>0.49</v>
      </c>
      <c r="Q10" s="41">
        <v>9.32</v>
      </c>
      <c r="R10" s="38"/>
      <c r="S10" s="38"/>
      <c r="T10" s="38"/>
      <c r="U10" s="38"/>
    </row>
    <row r="11" spans="1:21" customFormat="1">
      <c r="A11" s="40" t="s">
        <v>495</v>
      </c>
      <c r="B11" s="41">
        <v>7.85</v>
      </c>
      <c r="C11" s="41">
        <v>8.6</v>
      </c>
      <c r="D11" s="41">
        <v>10.77</v>
      </c>
      <c r="E11" s="41">
        <v>6.21</v>
      </c>
      <c r="F11" s="41">
        <v>2</v>
      </c>
      <c r="G11" s="41">
        <v>45.66</v>
      </c>
      <c r="H11" s="41">
        <v>12.18</v>
      </c>
      <c r="I11" s="41">
        <v>8.69</v>
      </c>
      <c r="J11" s="41">
        <v>0.11</v>
      </c>
      <c r="K11" s="41">
        <v>171.67</v>
      </c>
      <c r="L11" s="41">
        <v>17.899999999999999</v>
      </c>
      <c r="M11" s="41">
        <v>26.87</v>
      </c>
      <c r="N11" s="41">
        <v>2.1</v>
      </c>
      <c r="O11" s="41">
        <v>0</v>
      </c>
      <c r="P11" s="41">
        <v>0.44</v>
      </c>
      <c r="Q11" s="41">
        <v>9.39</v>
      </c>
      <c r="R11" s="38"/>
      <c r="S11" s="38"/>
      <c r="T11" s="38"/>
      <c r="U11" s="38"/>
    </row>
    <row r="12" spans="1:21" customFormat="1">
      <c r="A12" s="40" t="s">
        <v>496</v>
      </c>
      <c r="B12" s="41">
        <v>9.0399999999999991</v>
      </c>
      <c r="C12" s="41">
        <v>8.4700000000000006</v>
      </c>
      <c r="D12" s="41">
        <v>11.68</v>
      </c>
      <c r="E12" s="41">
        <v>6.34</v>
      </c>
      <c r="F12" s="41">
        <v>2</v>
      </c>
      <c r="G12" s="41">
        <v>47.31</v>
      </c>
      <c r="H12" s="41">
        <v>11.49</v>
      </c>
      <c r="I12" s="41">
        <v>8.7100000000000009</v>
      </c>
      <c r="J12" s="41">
        <v>0.24</v>
      </c>
      <c r="K12" s="41">
        <v>125.17</v>
      </c>
      <c r="L12" s="41">
        <v>12.77</v>
      </c>
      <c r="M12" s="41">
        <v>14.07</v>
      </c>
      <c r="N12" s="41">
        <v>2</v>
      </c>
      <c r="O12" s="41">
        <v>0</v>
      </c>
      <c r="P12" s="41">
        <v>0.45</v>
      </c>
      <c r="Q12" s="41">
        <v>9.32</v>
      </c>
      <c r="R12" s="38"/>
      <c r="S12" s="38"/>
      <c r="T12" s="38"/>
      <c r="U12" s="38"/>
    </row>
    <row r="13" spans="1:21" customFormat="1">
      <c r="A13" s="40" t="s">
        <v>497</v>
      </c>
      <c r="B13" s="41">
        <v>9.98</v>
      </c>
      <c r="C13" s="41">
        <v>8.35</v>
      </c>
      <c r="D13" s="41">
        <v>12.28</v>
      </c>
      <c r="E13" s="41">
        <v>6.22</v>
      </c>
      <c r="F13" s="41">
        <v>2</v>
      </c>
      <c r="G13" s="41">
        <v>49.71</v>
      </c>
      <c r="H13" s="41">
        <v>11.61</v>
      </c>
      <c r="I13" s="41">
        <v>8.7100000000000009</v>
      </c>
      <c r="J13" s="41">
        <v>0.21</v>
      </c>
      <c r="K13" s="41">
        <v>359.25</v>
      </c>
      <c r="L13" s="41">
        <v>16.309999999999999</v>
      </c>
      <c r="M13" s="41">
        <v>22.51</v>
      </c>
      <c r="N13" s="41">
        <v>2.1</v>
      </c>
      <c r="O13" s="41">
        <v>0</v>
      </c>
      <c r="P13" s="41">
        <v>0.45</v>
      </c>
      <c r="Q13" s="41">
        <v>9.32</v>
      </c>
      <c r="R13" s="38"/>
      <c r="S13" s="38"/>
      <c r="T13" s="38"/>
      <c r="U13" s="38"/>
    </row>
    <row r="14" spans="1:21" customFormat="1">
      <c r="A14" s="40" t="s">
        <v>498</v>
      </c>
      <c r="B14" s="41">
        <v>11.43</v>
      </c>
      <c r="C14" s="41">
        <v>8.3699999999999992</v>
      </c>
      <c r="D14" s="41">
        <v>13.54</v>
      </c>
      <c r="E14" s="41">
        <v>6.31</v>
      </c>
      <c r="F14" s="41">
        <v>2</v>
      </c>
      <c r="G14" s="41">
        <v>54.01</v>
      </c>
      <c r="H14" s="41">
        <v>11.83</v>
      </c>
      <c r="I14" s="41">
        <v>8.7100000000000009</v>
      </c>
      <c r="J14" s="41">
        <v>0.22</v>
      </c>
      <c r="K14" s="41">
        <v>104.2</v>
      </c>
      <c r="L14" s="41">
        <v>15.38</v>
      </c>
      <c r="M14" s="41">
        <v>20.49</v>
      </c>
      <c r="N14" s="41">
        <v>2.7</v>
      </c>
      <c r="O14" s="41">
        <v>0</v>
      </c>
      <c r="P14" s="41">
        <v>0.45</v>
      </c>
      <c r="Q14" s="41">
        <v>9.32</v>
      </c>
      <c r="R14" s="38"/>
      <c r="S14" s="38"/>
      <c r="T14" s="38"/>
      <c r="U14" s="38"/>
    </row>
    <row r="15" spans="1:21" customFormat="1">
      <c r="A15" s="40" t="s">
        <v>499</v>
      </c>
      <c r="B15" s="41">
        <v>12.75</v>
      </c>
      <c r="C15" s="41">
        <v>8.92</v>
      </c>
      <c r="D15" s="41">
        <v>14.88</v>
      </c>
      <c r="E15" s="41">
        <v>6.68</v>
      </c>
      <c r="F15" s="41">
        <v>2</v>
      </c>
      <c r="G15" s="41">
        <v>55.27</v>
      </c>
      <c r="H15" s="41">
        <v>12.72</v>
      </c>
      <c r="I15" s="41">
        <v>8.7100000000000009</v>
      </c>
      <c r="J15" s="41">
        <v>0.15</v>
      </c>
      <c r="K15" s="41">
        <v>123.94</v>
      </c>
      <c r="L15" s="41">
        <v>16.36</v>
      </c>
      <c r="M15" s="41">
        <v>22.49</v>
      </c>
      <c r="N15" s="41">
        <v>32.9</v>
      </c>
      <c r="O15" s="41">
        <v>0</v>
      </c>
      <c r="P15" s="41">
        <v>0.48</v>
      </c>
      <c r="Q15" s="41">
        <v>9.32</v>
      </c>
      <c r="R15" s="38"/>
      <c r="S15" s="38"/>
      <c r="T15" s="38"/>
      <c r="U15" s="38"/>
    </row>
    <row r="16" spans="1:21" customFormat="1">
      <c r="A16" s="40" t="s">
        <v>500</v>
      </c>
      <c r="B16" s="41">
        <v>12.87</v>
      </c>
      <c r="C16" s="41">
        <v>9.6199999999999992</v>
      </c>
      <c r="D16" s="41">
        <v>15.06</v>
      </c>
      <c r="E16" s="41">
        <v>6.65</v>
      </c>
      <c r="F16" s="41">
        <v>2</v>
      </c>
      <c r="G16" s="41">
        <v>56.1</v>
      </c>
      <c r="H16" s="41">
        <v>12.72</v>
      </c>
      <c r="I16" s="41">
        <v>8.7100000000000009</v>
      </c>
      <c r="J16" s="41">
        <v>0.36</v>
      </c>
      <c r="K16" s="41">
        <v>41.25</v>
      </c>
      <c r="L16" s="41">
        <v>11</v>
      </c>
      <c r="M16" s="41">
        <v>7.04</v>
      </c>
      <c r="N16" s="41">
        <v>173.2</v>
      </c>
      <c r="O16" s="41">
        <v>0</v>
      </c>
      <c r="P16" s="41">
        <v>0.5</v>
      </c>
      <c r="Q16" s="41">
        <v>9.32</v>
      </c>
      <c r="R16" s="38"/>
      <c r="S16" s="38"/>
      <c r="T16" s="38"/>
      <c r="U16" s="38"/>
    </row>
    <row r="17" spans="1:21" customFormat="1">
      <c r="A17" s="40" t="s">
        <v>501</v>
      </c>
      <c r="B17" s="41">
        <v>11.92</v>
      </c>
      <c r="C17" s="41">
        <v>10.11</v>
      </c>
      <c r="D17" s="41">
        <v>14.67</v>
      </c>
      <c r="E17" s="41">
        <v>6.82</v>
      </c>
      <c r="F17" s="41">
        <v>2</v>
      </c>
      <c r="G17" s="41">
        <v>56.1</v>
      </c>
      <c r="H17" s="41">
        <v>11.86</v>
      </c>
      <c r="I17" s="41">
        <v>8.7100000000000009</v>
      </c>
      <c r="J17" s="41">
        <v>0.53</v>
      </c>
      <c r="K17" s="41">
        <v>45.56</v>
      </c>
      <c r="L17" s="41">
        <v>11.74</v>
      </c>
      <c r="M17" s="41">
        <v>4.72</v>
      </c>
      <c r="N17" s="41">
        <v>323.89999999999998</v>
      </c>
      <c r="O17" s="41">
        <v>0</v>
      </c>
      <c r="P17" s="41">
        <v>0.51</v>
      </c>
      <c r="Q17" s="41">
        <v>9.32</v>
      </c>
      <c r="R17" s="38"/>
      <c r="S17" s="38"/>
      <c r="T17" s="38"/>
      <c r="U17" s="38"/>
    </row>
    <row r="18" spans="1:21" customFormat="1">
      <c r="A18" s="40" t="s">
        <v>502</v>
      </c>
      <c r="B18" s="41">
        <v>9.6999999999999993</v>
      </c>
      <c r="C18" s="41">
        <v>10.69</v>
      </c>
      <c r="D18" s="41">
        <v>13.08</v>
      </c>
      <c r="E18" s="41">
        <v>6.95</v>
      </c>
      <c r="F18" s="41">
        <v>2</v>
      </c>
      <c r="G18" s="41">
        <v>53.95</v>
      </c>
      <c r="H18" s="41">
        <v>11.54</v>
      </c>
      <c r="I18" s="41">
        <v>8.7100000000000009</v>
      </c>
      <c r="J18" s="41">
        <v>0.53</v>
      </c>
      <c r="K18" s="41">
        <v>56.95</v>
      </c>
      <c r="L18" s="41">
        <v>14.97</v>
      </c>
      <c r="M18" s="41">
        <v>10.050000000000001</v>
      </c>
      <c r="N18" s="41">
        <v>471.3</v>
      </c>
      <c r="O18" s="41">
        <v>0</v>
      </c>
      <c r="P18" s="41">
        <v>0.5</v>
      </c>
      <c r="Q18" s="41">
        <v>9.32</v>
      </c>
      <c r="R18" s="38"/>
      <c r="S18" s="38"/>
      <c r="T18" s="38"/>
      <c r="U18" s="38"/>
    </row>
    <row r="19" spans="1:21" customFormat="1">
      <c r="A19" s="40" t="s">
        <v>503</v>
      </c>
      <c r="B19" s="41">
        <v>7.87</v>
      </c>
      <c r="C19" s="41">
        <v>10.92</v>
      </c>
      <c r="D19" s="41">
        <v>11.87</v>
      </c>
      <c r="E19" s="41">
        <v>6.63</v>
      </c>
      <c r="F19" s="41">
        <v>2</v>
      </c>
      <c r="G19" s="41">
        <v>51.66</v>
      </c>
      <c r="H19" s="41">
        <v>10.220000000000001</v>
      </c>
      <c r="I19" s="41">
        <v>8.7100000000000009</v>
      </c>
      <c r="J19" s="41">
        <v>0.53</v>
      </c>
      <c r="K19" s="41">
        <v>95.6</v>
      </c>
      <c r="L19" s="41">
        <v>18.88</v>
      </c>
      <c r="M19" s="41">
        <v>15.64</v>
      </c>
      <c r="N19" s="41">
        <v>583.5</v>
      </c>
      <c r="O19" s="41">
        <v>0</v>
      </c>
      <c r="P19" s="41">
        <v>0.48</v>
      </c>
      <c r="Q19" s="41">
        <v>9.32</v>
      </c>
      <c r="R19" s="38"/>
      <c r="S19" s="38"/>
      <c r="T19" s="38"/>
      <c r="U19" s="38"/>
    </row>
    <row r="20" spans="1:21" customFormat="1">
      <c r="A20" s="40" t="s">
        <v>504</v>
      </c>
      <c r="B20" s="41">
        <v>5.33</v>
      </c>
      <c r="C20" s="41">
        <v>10.77</v>
      </c>
      <c r="D20" s="41">
        <v>9.9</v>
      </c>
      <c r="E20" s="41">
        <v>6.96</v>
      </c>
      <c r="F20" s="41">
        <v>2.19</v>
      </c>
      <c r="G20" s="41">
        <v>51.24</v>
      </c>
      <c r="H20" s="41">
        <v>10.220000000000001</v>
      </c>
      <c r="I20" s="41">
        <v>8.7100000000000009</v>
      </c>
      <c r="J20" s="41">
        <v>0.53</v>
      </c>
      <c r="K20" s="41">
        <v>75.02</v>
      </c>
      <c r="L20" s="41">
        <v>17.52</v>
      </c>
      <c r="M20" s="41">
        <v>11.57</v>
      </c>
      <c r="N20" s="41">
        <v>633.6</v>
      </c>
      <c r="O20" s="41">
        <v>0</v>
      </c>
      <c r="P20" s="41">
        <v>0.45</v>
      </c>
      <c r="Q20" s="41">
        <v>9.32</v>
      </c>
      <c r="R20" s="38"/>
      <c r="S20" s="38"/>
      <c r="T20" s="38"/>
      <c r="U20" s="38"/>
    </row>
    <row r="21" spans="1:21" customFormat="1">
      <c r="A21" s="40" t="s">
        <v>505</v>
      </c>
      <c r="B21" s="41">
        <v>3.38</v>
      </c>
      <c r="C21" s="41">
        <v>9.9600000000000009</v>
      </c>
      <c r="D21" s="41">
        <v>7.91</v>
      </c>
      <c r="E21" s="41">
        <v>9.07</v>
      </c>
      <c r="F21" s="41">
        <v>5.85</v>
      </c>
      <c r="G21" s="41">
        <v>48.03</v>
      </c>
      <c r="H21" s="41">
        <v>9.6199999999999992</v>
      </c>
      <c r="I21" s="41">
        <v>8.7100000000000009</v>
      </c>
      <c r="J21" s="41">
        <v>0.48</v>
      </c>
      <c r="K21" s="41">
        <v>357.66</v>
      </c>
      <c r="L21" s="41">
        <v>22.02</v>
      </c>
      <c r="M21" s="41">
        <v>23.04</v>
      </c>
      <c r="N21" s="41">
        <v>617.6</v>
      </c>
      <c r="O21" s="41">
        <v>0</v>
      </c>
      <c r="P21" s="41">
        <v>0.41</v>
      </c>
      <c r="Q21" s="41">
        <v>9.32</v>
      </c>
      <c r="R21" s="38"/>
      <c r="S21" s="38"/>
      <c r="T21" s="38"/>
      <c r="U21" s="38"/>
    </row>
    <row r="22" spans="1:21" customFormat="1">
      <c r="A22" s="40" t="s">
        <v>506</v>
      </c>
      <c r="B22" s="41">
        <v>2.75</v>
      </c>
      <c r="C22" s="41">
        <v>9.65</v>
      </c>
      <c r="D22" s="41">
        <v>7.2</v>
      </c>
      <c r="E22" s="41">
        <v>9.0299999999999994</v>
      </c>
      <c r="F22" s="41">
        <v>9.68</v>
      </c>
      <c r="G22" s="41">
        <v>45.77</v>
      </c>
      <c r="H22" s="41">
        <v>9.6199999999999992</v>
      </c>
      <c r="I22" s="41">
        <v>8.7100000000000009</v>
      </c>
      <c r="J22" s="41">
        <v>0.55000000000000004</v>
      </c>
      <c r="K22" s="41">
        <v>69.599999999999994</v>
      </c>
      <c r="L22" s="41">
        <v>18.63</v>
      </c>
      <c r="M22" s="41">
        <v>17.71</v>
      </c>
      <c r="N22" s="41">
        <v>423.7</v>
      </c>
      <c r="O22" s="41">
        <v>0</v>
      </c>
      <c r="P22" s="41">
        <v>0.38</v>
      </c>
      <c r="Q22" s="41">
        <v>12.84</v>
      </c>
      <c r="R22" s="38"/>
      <c r="S22" s="38"/>
      <c r="T22" s="38"/>
      <c r="U22" s="38"/>
    </row>
    <row r="23" spans="1:21" customFormat="1">
      <c r="A23" s="40" t="s">
        <v>507</v>
      </c>
      <c r="B23" s="41">
        <v>2.56</v>
      </c>
      <c r="C23" s="41">
        <v>9.66</v>
      </c>
      <c r="D23" s="41">
        <v>7.04</v>
      </c>
      <c r="E23" s="41">
        <v>10.57</v>
      </c>
      <c r="F23" s="41">
        <v>19.190000000000001</v>
      </c>
      <c r="G23" s="41">
        <v>42.94</v>
      </c>
      <c r="H23" s="41">
        <v>9.52</v>
      </c>
      <c r="I23" s="41">
        <v>8.7100000000000009</v>
      </c>
      <c r="J23" s="41">
        <v>0.45</v>
      </c>
      <c r="K23" s="41">
        <v>343.88</v>
      </c>
      <c r="L23" s="41">
        <v>21.52</v>
      </c>
      <c r="M23" s="41">
        <v>29.62</v>
      </c>
      <c r="N23" s="41">
        <v>429.2</v>
      </c>
      <c r="O23" s="41">
        <v>0</v>
      </c>
      <c r="P23" s="41">
        <v>0.37</v>
      </c>
      <c r="Q23" s="41">
        <v>10.79</v>
      </c>
      <c r="R23" s="38"/>
      <c r="S23" s="38"/>
      <c r="T23" s="38"/>
      <c r="U23" s="38"/>
    </row>
    <row r="24" spans="1:21" customFormat="1">
      <c r="A24" s="40" t="s">
        <v>508</v>
      </c>
      <c r="B24" s="41">
        <v>2.5099999999999998</v>
      </c>
      <c r="C24" s="41">
        <v>9.8699999999999992</v>
      </c>
      <c r="D24" s="41">
        <v>7.17</v>
      </c>
      <c r="E24" s="41">
        <v>9.2899999999999991</v>
      </c>
      <c r="F24" s="41">
        <v>22.4</v>
      </c>
      <c r="G24" s="41">
        <v>42.85</v>
      </c>
      <c r="H24" s="41">
        <v>9.31</v>
      </c>
      <c r="I24" s="41">
        <v>2.2999999999999998</v>
      </c>
      <c r="J24" s="41">
        <v>0.49</v>
      </c>
      <c r="K24" s="41">
        <v>65.010000000000005</v>
      </c>
      <c r="L24" s="41">
        <v>12.84</v>
      </c>
      <c r="M24" s="41">
        <v>12.73</v>
      </c>
      <c r="N24" s="41">
        <v>57.3</v>
      </c>
      <c r="O24" s="41">
        <v>0</v>
      </c>
      <c r="P24" s="41">
        <v>0.36</v>
      </c>
      <c r="Q24" s="41">
        <v>11.67</v>
      </c>
      <c r="R24" s="38"/>
      <c r="S24" s="38"/>
      <c r="T24" s="38"/>
      <c r="U24" s="38"/>
    </row>
    <row r="25" spans="1:21" customFormat="1">
      <c r="A25" s="40" t="s">
        <v>509</v>
      </c>
      <c r="B25" s="41">
        <v>2.4900000000000002</v>
      </c>
      <c r="C25" s="41">
        <v>9.39</v>
      </c>
      <c r="D25" s="41">
        <v>6.9</v>
      </c>
      <c r="E25" s="41">
        <v>9.11</v>
      </c>
      <c r="F25" s="41">
        <v>16.260000000000002</v>
      </c>
      <c r="G25" s="41">
        <v>39.770000000000003</v>
      </c>
      <c r="H25" s="41">
        <v>10.26</v>
      </c>
      <c r="I25" s="41">
        <v>1.3</v>
      </c>
      <c r="J25" s="41">
        <v>0.39</v>
      </c>
      <c r="K25" s="41">
        <v>142.96</v>
      </c>
      <c r="L25" s="41">
        <v>13.82</v>
      </c>
      <c r="M25" s="41">
        <v>16.3</v>
      </c>
      <c r="N25" s="41">
        <v>32.1</v>
      </c>
      <c r="O25" s="41">
        <v>0</v>
      </c>
      <c r="P25" s="41">
        <v>0.37</v>
      </c>
      <c r="Q25" s="41">
        <v>9.4700000000000006</v>
      </c>
      <c r="R25" s="38"/>
      <c r="S25" s="38"/>
      <c r="T25" s="38"/>
      <c r="U25" s="38"/>
    </row>
    <row r="26" spans="1:21" customFormat="1">
      <c r="A26" s="40" t="s">
        <v>510</v>
      </c>
      <c r="B26" s="41">
        <v>2.4</v>
      </c>
      <c r="C26" s="41">
        <v>8.1300000000000008</v>
      </c>
      <c r="D26" s="41">
        <v>6.1</v>
      </c>
      <c r="E26" s="41">
        <v>7.25</v>
      </c>
      <c r="F26" s="41">
        <v>2.02</v>
      </c>
      <c r="G26" s="41">
        <v>40.24</v>
      </c>
      <c r="H26" s="41">
        <v>10.73</v>
      </c>
      <c r="I26" s="41">
        <v>1.6</v>
      </c>
      <c r="J26" s="41">
        <v>0.25</v>
      </c>
      <c r="K26" s="41">
        <v>153.99</v>
      </c>
      <c r="L26" s="41">
        <v>15.22</v>
      </c>
      <c r="M26" s="41">
        <v>20.22</v>
      </c>
      <c r="N26" s="41">
        <v>10</v>
      </c>
      <c r="O26" s="41">
        <v>0</v>
      </c>
      <c r="P26" s="41">
        <v>0.37</v>
      </c>
      <c r="Q26" s="41">
        <v>17.05</v>
      </c>
      <c r="R26" s="38"/>
      <c r="S26" s="38"/>
      <c r="T26" s="38"/>
      <c r="U26" s="38"/>
    </row>
    <row r="27" spans="1:21" customFormat="1">
      <c r="A27" s="40" t="s">
        <v>511</v>
      </c>
      <c r="B27" s="41">
        <v>2.94</v>
      </c>
      <c r="C27" s="41">
        <v>9.23</v>
      </c>
      <c r="D27" s="41">
        <v>7.18</v>
      </c>
      <c r="E27" s="41">
        <v>5.55</v>
      </c>
      <c r="F27" s="41">
        <v>2</v>
      </c>
      <c r="G27" s="41">
        <v>47.03</v>
      </c>
      <c r="H27" s="41">
        <v>11.43</v>
      </c>
      <c r="I27" s="41">
        <v>1.6</v>
      </c>
      <c r="J27" s="41">
        <v>0.27</v>
      </c>
      <c r="K27" s="41">
        <v>89.4</v>
      </c>
      <c r="L27" s="41">
        <v>12.03</v>
      </c>
      <c r="M27" s="41">
        <v>12.16</v>
      </c>
      <c r="N27" s="41">
        <v>2.2000000000000002</v>
      </c>
      <c r="O27" s="41">
        <v>0</v>
      </c>
      <c r="P27" s="41">
        <v>0.42</v>
      </c>
      <c r="Q27" s="41">
        <v>18.25</v>
      </c>
      <c r="R27" s="38"/>
      <c r="S27" s="38"/>
      <c r="T27" s="38"/>
      <c r="U27" s="38"/>
    </row>
    <row r="28" spans="1:21" customFormat="1">
      <c r="A28" s="40" t="s">
        <v>512</v>
      </c>
      <c r="B28" s="41">
        <v>3.3</v>
      </c>
      <c r="C28" s="41">
        <v>9.24</v>
      </c>
      <c r="D28" s="41">
        <v>7.43</v>
      </c>
      <c r="E28" s="41">
        <v>5.56</v>
      </c>
      <c r="F28" s="41">
        <v>2</v>
      </c>
      <c r="G28" s="41">
        <v>54.8</v>
      </c>
      <c r="H28" s="41">
        <v>12.26</v>
      </c>
      <c r="I28" s="41">
        <v>1.6</v>
      </c>
      <c r="J28" s="41">
        <v>0.16</v>
      </c>
      <c r="K28" s="41">
        <v>97.69</v>
      </c>
      <c r="L28" s="41">
        <v>11.24</v>
      </c>
      <c r="M28" s="41">
        <v>10.18</v>
      </c>
      <c r="N28" s="41">
        <v>2.5</v>
      </c>
      <c r="O28" s="41">
        <v>0</v>
      </c>
      <c r="P28" s="41">
        <v>0.44</v>
      </c>
      <c r="Q28" s="41">
        <v>15.9</v>
      </c>
      <c r="R28" s="38"/>
      <c r="S28" s="38"/>
      <c r="T28" s="38"/>
      <c r="U28" s="38"/>
    </row>
    <row r="29" spans="1:21" customFormat="1">
      <c r="A29" s="40" t="s">
        <v>513</v>
      </c>
      <c r="B29" s="41">
        <v>3.56</v>
      </c>
      <c r="C29" s="41">
        <v>9.59</v>
      </c>
      <c r="D29" s="41">
        <v>7.87</v>
      </c>
      <c r="E29" s="41">
        <v>5.63</v>
      </c>
      <c r="F29" s="41">
        <v>2</v>
      </c>
      <c r="G29" s="41">
        <v>57.78</v>
      </c>
      <c r="H29" s="41">
        <v>12.69</v>
      </c>
      <c r="I29" s="41">
        <v>1.6</v>
      </c>
      <c r="J29" s="41">
        <v>0.28000000000000003</v>
      </c>
      <c r="K29" s="41">
        <v>139.87</v>
      </c>
      <c r="L29" s="41">
        <v>13.97</v>
      </c>
      <c r="M29" s="41">
        <v>17.100000000000001</v>
      </c>
      <c r="N29" s="41">
        <v>2.5</v>
      </c>
      <c r="O29" s="41">
        <v>0</v>
      </c>
      <c r="P29" s="41">
        <v>0.47</v>
      </c>
      <c r="Q29" s="41">
        <v>15.99</v>
      </c>
      <c r="R29" s="38"/>
      <c r="S29" s="38"/>
      <c r="T29" s="38"/>
      <c r="U29" s="38"/>
    </row>
    <row r="30" spans="1:21" customFormat="1">
      <c r="A30" s="40" t="s">
        <v>514</v>
      </c>
      <c r="B30" s="41">
        <v>4.07</v>
      </c>
      <c r="C30" s="41">
        <v>9.61</v>
      </c>
      <c r="D30" s="41">
        <v>8.2799999999999994</v>
      </c>
      <c r="E30" s="41">
        <v>5.81</v>
      </c>
      <c r="F30" s="41">
        <v>2</v>
      </c>
      <c r="G30" s="41">
        <v>72.23</v>
      </c>
      <c r="H30" s="41">
        <v>34.68</v>
      </c>
      <c r="I30" s="41">
        <v>1.6</v>
      </c>
      <c r="J30" s="41">
        <v>0.28999999999999998</v>
      </c>
      <c r="K30" s="41">
        <v>95.6</v>
      </c>
      <c r="L30" s="41">
        <v>10.199999999999999</v>
      </c>
      <c r="M30" s="41">
        <v>7.57</v>
      </c>
      <c r="N30" s="41">
        <v>2.4</v>
      </c>
      <c r="O30" s="41">
        <v>0</v>
      </c>
      <c r="P30" s="41">
        <v>0.47</v>
      </c>
      <c r="Q30" s="41">
        <v>9.32</v>
      </c>
      <c r="R30" s="38"/>
      <c r="S30" s="38"/>
      <c r="T30" s="38"/>
      <c r="U30" s="38"/>
    </row>
    <row r="31" spans="1:21" customFormat="1">
      <c r="A31" s="40" t="s">
        <v>515</v>
      </c>
      <c r="B31" s="41">
        <v>4.7</v>
      </c>
      <c r="C31" s="41">
        <v>9.09</v>
      </c>
      <c r="D31" s="41">
        <v>8.2899999999999991</v>
      </c>
      <c r="E31" s="41">
        <v>5.37</v>
      </c>
      <c r="F31" s="41">
        <v>2</v>
      </c>
      <c r="G31" s="41">
        <v>76.2</v>
      </c>
      <c r="H31" s="41">
        <v>37.1</v>
      </c>
      <c r="I31" s="41">
        <v>2.2999999999999998</v>
      </c>
      <c r="J31" s="41">
        <v>0.22</v>
      </c>
      <c r="K31" s="41">
        <v>142.57</v>
      </c>
      <c r="L31" s="41">
        <v>14.44</v>
      </c>
      <c r="M31" s="41">
        <v>18.260000000000002</v>
      </c>
      <c r="N31" s="41">
        <v>2.5</v>
      </c>
      <c r="O31" s="41">
        <v>0</v>
      </c>
      <c r="P31" s="41">
        <v>0.47</v>
      </c>
      <c r="Q31" s="41">
        <v>9.32</v>
      </c>
      <c r="R31" s="38"/>
      <c r="S31" s="38"/>
      <c r="T31" s="38"/>
      <c r="U31" s="38"/>
    </row>
    <row r="32" spans="1:21" customFormat="1">
      <c r="A32" s="40" t="s">
        <v>516</v>
      </c>
      <c r="B32" s="41">
        <v>5.56</v>
      </c>
      <c r="C32" s="41">
        <v>8.48</v>
      </c>
      <c r="D32" s="41">
        <v>8.74</v>
      </c>
      <c r="E32" s="41">
        <v>5.54</v>
      </c>
      <c r="F32" s="41">
        <v>2</v>
      </c>
      <c r="G32" s="41">
        <v>78.150000000000006</v>
      </c>
      <c r="H32" s="41">
        <v>37.49</v>
      </c>
      <c r="I32" s="41">
        <v>2.5</v>
      </c>
      <c r="J32" s="41">
        <v>0.15</v>
      </c>
      <c r="K32" s="41">
        <v>350.62</v>
      </c>
      <c r="L32" s="41">
        <v>17</v>
      </c>
      <c r="M32" s="41">
        <v>24.36</v>
      </c>
      <c r="N32" s="41">
        <v>2.2000000000000002</v>
      </c>
      <c r="O32" s="41">
        <v>0</v>
      </c>
      <c r="P32" s="41">
        <v>0.49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2.4</v>
      </c>
      <c r="C34" s="18">
        <f t="shared" si="0"/>
        <v>8.1300000000000008</v>
      </c>
      <c r="D34" s="18">
        <f t="shared" si="0"/>
        <v>6.1</v>
      </c>
      <c r="E34" s="18">
        <f t="shared" si="0"/>
        <v>5.37</v>
      </c>
      <c r="F34" s="18">
        <f t="shared" si="0"/>
        <v>2</v>
      </c>
      <c r="G34" s="18">
        <f t="shared" si="0"/>
        <v>39.770000000000003</v>
      </c>
      <c r="H34" s="18">
        <f t="shared" si="0"/>
        <v>9.31</v>
      </c>
      <c r="I34" s="18">
        <f t="shared" si="0"/>
        <v>1.3</v>
      </c>
      <c r="J34" s="18">
        <f t="shared" si="0"/>
        <v>0.11</v>
      </c>
      <c r="K34" s="18">
        <f t="shared" si="0"/>
        <v>41.25</v>
      </c>
      <c r="L34" s="18">
        <f t="shared" si="0"/>
        <v>10.199999999999999</v>
      </c>
      <c r="M34" s="18">
        <f t="shared" si="0"/>
        <v>4.72</v>
      </c>
      <c r="N34" s="18">
        <f t="shared" si="0"/>
        <v>2</v>
      </c>
      <c r="O34" s="18">
        <f t="shared" si="0"/>
        <v>0</v>
      </c>
      <c r="P34" s="18">
        <f t="shared" si="0"/>
        <v>0.36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12.87</v>
      </c>
      <c r="C35" s="3">
        <f t="shared" si="1"/>
        <v>10.92</v>
      </c>
      <c r="D35" s="3">
        <f t="shared" si="1"/>
        <v>15.06</v>
      </c>
      <c r="E35" s="3">
        <f t="shared" si="1"/>
        <v>10.57</v>
      </c>
      <c r="F35" s="3">
        <f t="shared" si="1"/>
        <v>22.4</v>
      </c>
      <c r="G35" s="3">
        <f t="shared" si="1"/>
        <v>78.150000000000006</v>
      </c>
      <c r="H35" s="3">
        <f t="shared" si="1"/>
        <v>37.49</v>
      </c>
      <c r="I35" s="3">
        <f t="shared" si="1"/>
        <v>8.7100000000000009</v>
      </c>
      <c r="J35" s="3">
        <f t="shared" si="1"/>
        <v>0.55000000000000004</v>
      </c>
      <c r="K35" s="3">
        <f t="shared" si="1"/>
        <v>359.25</v>
      </c>
      <c r="L35" s="3">
        <f t="shared" si="1"/>
        <v>22.02</v>
      </c>
      <c r="M35" s="3">
        <f t="shared" si="1"/>
        <v>31.77</v>
      </c>
      <c r="N35" s="3">
        <f t="shared" si="1"/>
        <v>633.6</v>
      </c>
      <c r="O35" s="3">
        <f t="shared" si="1"/>
        <v>0</v>
      </c>
      <c r="P35" s="3">
        <f t="shared" si="1"/>
        <v>0.51</v>
      </c>
      <c r="Q35" s="3">
        <f t="shared" si="1"/>
        <v>18.25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6.2754166666666675</v>
      </c>
      <c r="C36" s="18">
        <f t="shared" si="2"/>
        <v>9.3691666666666666</v>
      </c>
      <c r="D36" s="18">
        <f t="shared" si="2"/>
        <v>9.8562499999999993</v>
      </c>
      <c r="E36" s="18">
        <f t="shared" si="2"/>
        <v>7.0041666666666664</v>
      </c>
      <c r="F36" s="18">
        <f t="shared" si="2"/>
        <v>4.6495833333333332</v>
      </c>
      <c r="G36" s="18">
        <f t="shared" si="2"/>
        <v>52.764166666666675</v>
      </c>
      <c r="H36" s="18">
        <f t="shared" si="2"/>
        <v>14.384166666666667</v>
      </c>
      <c r="I36" s="18">
        <f t="shared" si="2"/>
        <v>6.1037500000000025</v>
      </c>
      <c r="J36" s="18">
        <f t="shared" si="2"/>
        <v>0.32041666666666674</v>
      </c>
      <c r="K36" s="18">
        <f t="shared" si="2"/>
        <v>152.37458333333333</v>
      </c>
      <c r="L36" s="18">
        <f t="shared" si="2"/>
        <v>15.563333333333334</v>
      </c>
      <c r="M36" s="18">
        <f t="shared" si="2"/>
        <v>17.64916666666667</v>
      </c>
      <c r="N36" s="18">
        <f t="shared" si="2"/>
        <v>158.98749999999998</v>
      </c>
      <c r="O36" s="18">
        <f t="shared" si="2"/>
        <v>0</v>
      </c>
      <c r="P36" s="18">
        <f t="shared" si="2"/>
        <v>0.44666666666666677</v>
      </c>
      <c r="Q36" s="18">
        <f t="shared" si="2"/>
        <v>10.88125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3.5958272666917779</v>
      </c>
      <c r="C37" s="18">
        <f t="shared" ref="C37:Q37" si="3">STDEV(C9:C32)</f>
        <v>0.78013887652562641</v>
      </c>
      <c r="D37" s="18">
        <f t="shared" si="3"/>
        <v>2.8467568312944764</v>
      </c>
      <c r="E37" s="18">
        <f t="shared" si="3"/>
        <v>1.4121581284368128</v>
      </c>
      <c r="F37" s="18">
        <f t="shared" si="3"/>
        <v>5.9722477591859375</v>
      </c>
      <c r="G37" s="18">
        <f t="shared" si="3"/>
        <v>10.154074751446842</v>
      </c>
      <c r="H37" s="18">
        <f t="shared" si="3"/>
        <v>8.5872736558572349</v>
      </c>
      <c r="I37" s="18">
        <f t="shared" si="3"/>
        <v>3.3978341087279027</v>
      </c>
      <c r="J37" s="18">
        <f t="shared" si="3"/>
        <v>0.1533532201974496</v>
      </c>
      <c r="K37" s="18">
        <f t="shared" si="3"/>
        <v>101.73090702091031</v>
      </c>
      <c r="L37" s="18">
        <f t="shared" si="3"/>
        <v>3.3089676134206325</v>
      </c>
      <c r="M37" s="18">
        <f t="shared" si="3"/>
        <v>7.3972426805778202</v>
      </c>
      <c r="N37" s="18">
        <f t="shared" si="3"/>
        <v>232.47525031897391</v>
      </c>
      <c r="O37" s="18">
        <f t="shared" si="3"/>
        <v>0</v>
      </c>
      <c r="P37" s="18">
        <f t="shared" si="3"/>
        <v>4.7518112488741375E-2</v>
      </c>
      <c r="Q37" s="18">
        <f t="shared" si="3"/>
        <v>2.8657214168740208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F30" sqref="F30:F3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20/10/2025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517</v>
      </c>
      <c r="B9" s="41">
        <v>5.64</v>
      </c>
      <c r="C9" s="41">
        <v>8.43</v>
      </c>
      <c r="D9" s="41">
        <v>8.92</v>
      </c>
      <c r="E9" s="41">
        <v>5.36</v>
      </c>
      <c r="F9" s="41">
        <v>3.1</v>
      </c>
      <c r="G9" s="41">
        <v>78.150000000000006</v>
      </c>
      <c r="H9" s="41">
        <v>37.49</v>
      </c>
      <c r="I9" s="41">
        <v>2.2999999999999998</v>
      </c>
      <c r="J9" s="41">
        <v>0.35</v>
      </c>
      <c r="K9" s="41">
        <v>45.32</v>
      </c>
      <c r="L9" s="41">
        <v>9.4600000000000009</v>
      </c>
      <c r="M9" s="41">
        <v>5.5</v>
      </c>
      <c r="N9" s="41">
        <v>2.2000000000000002</v>
      </c>
      <c r="O9" s="41">
        <v>0</v>
      </c>
      <c r="P9" s="41">
        <v>0.48</v>
      </c>
      <c r="Q9" s="41">
        <v>9.32</v>
      </c>
      <c r="R9" s="38"/>
      <c r="S9" s="38"/>
      <c r="T9" s="38"/>
      <c r="U9" s="38"/>
    </row>
    <row r="10" spans="1:21" customFormat="1">
      <c r="A10" s="40" t="s">
        <v>518</v>
      </c>
      <c r="B10" s="41">
        <v>5.86</v>
      </c>
      <c r="C10" s="41">
        <v>8</v>
      </c>
      <c r="D10" s="41">
        <v>8.8800000000000008</v>
      </c>
      <c r="E10" s="41">
        <v>5.51</v>
      </c>
      <c r="F10" s="41">
        <v>3.9</v>
      </c>
      <c r="G10" s="41">
        <v>78.64</v>
      </c>
      <c r="H10" s="41">
        <v>40.479999999999997</v>
      </c>
      <c r="I10" s="41">
        <v>1.3</v>
      </c>
      <c r="J10" s="41">
        <v>0.2</v>
      </c>
      <c r="K10" s="41">
        <v>145.04</v>
      </c>
      <c r="L10" s="41">
        <v>15.71</v>
      </c>
      <c r="M10" s="41">
        <v>21.49</v>
      </c>
      <c r="N10" s="41">
        <v>2.4</v>
      </c>
      <c r="O10" s="41">
        <v>0</v>
      </c>
      <c r="P10" s="41">
        <v>0.48</v>
      </c>
      <c r="Q10" s="41">
        <v>9.4</v>
      </c>
      <c r="R10" s="38"/>
      <c r="S10" s="38"/>
      <c r="T10" s="38"/>
      <c r="U10" s="38"/>
    </row>
    <row r="11" spans="1:21" customFormat="1">
      <c r="A11" s="40" t="s">
        <v>519</v>
      </c>
      <c r="B11" s="41">
        <v>5.95</v>
      </c>
      <c r="C11" s="41">
        <v>8.1</v>
      </c>
      <c r="D11" s="41">
        <v>8.8699999999999992</v>
      </c>
      <c r="E11" s="41">
        <v>5.93</v>
      </c>
      <c r="F11" s="41">
        <v>2.6</v>
      </c>
      <c r="G11" s="41">
        <v>78.64</v>
      </c>
      <c r="H11" s="41">
        <v>40.479999999999997</v>
      </c>
      <c r="I11" s="41">
        <v>2.6</v>
      </c>
      <c r="J11" s="41">
        <v>0.12</v>
      </c>
      <c r="K11" s="41">
        <v>358.79</v>
      </c>
      <c r="L11" s="41">
        <v>20.399999999999999</v>
      </c>
      <c r="M11" s="41">
        <v>33.020000000000003</v>
      </c>
      <c r="N11" s="41">
        <v>2.2000000000000002</v>
      </c>
      <c r="O11" s="41">
        <v>0</v>
      </c>
      <c r="P11" s="41">
        <v>0.49</v>
      </c>
      <c r="Q11" s="41">
        <v>10.99</v>
      </c>
      <c r="R11" s="38"/>
      <c r="S11" s="38"/>
      <c r="T11" s="38"/>
      <c r="U11" s="38"/>
    </row>
    <row r="12" spans="1:21" customFormat="1">
      <c r="A12" s="40" t="s">
        <v>520</v>
      </c>
      <c r="B12" s="41">
        <v>5.37</v>
      </c>
      <c r="C12" s="41">
        <v>8.24</v>
      </c>
      <c r="D12" s="41">
        <v>8.5299999999999994</v>
      </c>
      <c r="E12" s="41">
        <v>6.02</v>
      </c>
      <c r="F12" s="41">
        <v>2.2999999999999998</v>
      </c>
      <c r="G12" s="41">
        <v>75.319999999999993</v>
      </c>
      <c r="H12" s="41">
        <v>38.9</v>
      </c>
      <c r="I12" s="41">
        <v>3.5</v>
      </c>
      <c r="J12" s="41">
        <v>0.14000000000000001</v>
      </c>
      <c r="K12" s="41">
        <v>169.7</v>
      </c>
      <c r="L12" s="41">
        <v>18.78</v>
      </c>
      <c r="M12" s="41">
        <v>29.18</v>
      </c>
      <c r="N12" s="41">
        <v>2.2999999999999998</v>
      </c>
      <c r="O12" s="41">
        <v>0</v>
      </c>
      <c r="P12" s="41">
        <v>0.48</v>
      </c>
      <c r="Q12" s="41">
        <v>21.84</v>
      </c>
      <c r="R12" s="38"/>
      <c r="S12" s="38"/>
      <c r="T12" s="38"/>
      <c r="U12" s="38"/>
    </row>
    <row r="13" spans="1:21" customFormat="1">
      <c r="A13" s="40" t="s">
        <v>521</v>
      </c>
      <c r="B13" s="41">
        <v>4.6399999999999997</v>
      </c>
      <c r="C13" s="41">
        <v>8.34</v>
      </c>
      <c r="D13" s="41">
        <v>8.08</v>
      </c>
      <c r="E13" s="41">
        <v>6.02</v>
      </c>
      <c r="F13" s="41">
        <v>2.9</v>
      </c>
      <c r="G13" s="41">
        <v>73.510000000000005</v>
      </c>
      <c r="H13" s="41">
        <v>35.86</v>
      </c>
      <c r="I13" s="41">
        <v>3.9</v>
      </c>
      <c r="J13" s="41">
        <v>0.18</v>
      </c>
      <c r="K13" s="41">
        <v>335.78</v>
      </c>
      <c r="L13" s="41">
        <v>22.5</v>
      </c>
      <c r="M13" s="41">
        <v>38.24</v>
      </c>
      <c r="N13" s="41">
        <v>2.4</v>
      </c>
      <c r="O13" s="41">
        <v>0</v>
      </c>
      <c r="P13" s="41">
        <v>0.47</v>
      </c>
      <c r="Q13" s="41">
        <v>17.62</v>
      </c>
      <c r="R13" s="38"/>
      <c r="S13" s="38"/>
      <c r="T13" s="38"/>
      <c r="U13" s="38"/>
    </row>
    <row r="14" spans="1:21" customFormat="1">
      <c r="A14" s="40" t="s">
        <v>522</v>
      </c>
      <c r="B14" s="41">
        <v>4.78</v>
      </c>
      <c r="C14" s="41">
        <v>8.3800000000000008</v>
      </c>
      <c r="D14" s="41">
        <v>8.19</v>
      </c>
      <c r="E14" s="41">
        <v>6.18</v>
      </c>
      <c r="F14" s="41">
        <v>2.9</v>
      </c>
      <c r="G14" s="41">
        <v>69.55</v>
      </c>
      <c r="H14" s="41">
        <v>34.46</v>
      </c>
      <c r="I14" s="41">
        <v>3.4</v>
      </c>
      <c r="J14" s="41">
        <v>0.15</v>
      </c>
      <c r="K14" s="41">
        <v>55.59</v>
      </c>
      <c r="L14" s="41">
        <v>12.94</v>
      </c>
      <c r="M14" s="41">
        <v>14.28</v>
      </c>
      <c r="N14" s="41">
        <v>2.6</v>
      </c>
      <c r="O14" s="41">
        <v>0</v>
      </c>
      <c r="P14" s="41">
        <v>0.45</v>
      </c>
      <c r="Q14" s="41">
        <v>24.35</v>
      </c>
      <c r="R14" s="38"/>
      <c r="S14" s="38"/>
      <c r="T14" s="38"/>
      <c r="U14" s="38"/>
    </row>
    <row r="15" spans="1:21" customFormat="1">
      <c r="A15" s="40" t="s">
        <v>523</v>
      </c>
      <c r="B15" s="41">
        <v>5.72</v>
      </c>
      <c r="C15" s="41">
        <v>8.36</v>
      </c>
      <c r="D15" s="41">
        <v>8.93</v>
      </c>
      <c r="E15" s="41">
        <v>6.24</v>
      </c>
      <c r="F15" s="41">
        <v>2.9</v>
      </c>
      <c r="G15" s="41">
        <v>68.61</v>
      </c>
      <c r="H15" s="41">
        <v>33.79</v>
      </c>
      <c r="I15" s="41">
        <v>7.97</v>
      </c>
      <c r="J15" s="41">
        <v>0.4</v>
      </c>
      <c r="K15" s="41">
        <v>42.79</v>
      </c>
      <c r="L15" s="41">
        <v>9.31</v>
      </c>
      <c r="M15" s="41">
        <v>4.91</v>
      </c>
      <c r="N15" s="41">
        <v>15.9</v>
      </c>
      <c r="O15" s="41">
        <v>0</v>
      </c>
      <c r="P15" s="41">
        <v>0.47</v>
      </c>
      <c r="Q15" s="41">
        <v>35.950000000000003</v>
      </c>
      <c r="R15" s="38"/>
      <c r="S15" s="38"/>
      <c r="T15" s="38"/>
      <c r="U15" s="38"/>
    </row>
    <row r="16" spans="1:21" customFormat="1">
      <c r="A16" s="40" t="s">
        <v>524</v>
      </c>
      <c r="B16" s="41">
        <v>6.13</v>
      </c>
      <c r="C16" s="41">
        <v>8.31</v>
      </c>
      <c r="D16" s="41">
        <v>9.11</v>
      </c>
      <c r="E16" s="41">
        <v>6.63</v>
      </c>
      <c r="F16" s="41">
        <v>2.9</v>
      </c>
      <c r="G16" s="41">
        <v>67.180000000000007</v>
      </c>
      <c r="H16" s="41">
        <v>35.630000000000003</v>
      </c>
      <c r="I16" s="41">
        <v>8.02</v>
      </c>
      <c r="J16" s="41">
        <v>0.53</v>
      </c>
      <c r="K16" s="41">
        <v>41.36</v>
      </c>
      <c r="L16" s="41">
        <v>7.9</v>
      </c>
      <c r="M16" s="41">
        <v>0.73</v>
      </c>
      <c r="N16" s="41">
        <v>45.7</v>
      </c>
      <c r="O16" s="41">
        <v>0</v>
      </c>
      <c r="P16" s="41">
        <v>0.48</v>
      </c>
      <c r="Q16" s="41">
        <v>45.05</v>
      </c>
      <c r="R16" s="38"/>
      <c r="S16" s="38"/>
      <c r="T16" s="38"/>
      <c r="U16" s="38"/>
    </row>
    <row r="17" spans="1:21" customFormat="1">
      <c r="A17" s="40" t="s">
        <v>525</v>
      </c>
      <c r="B17" s="41">
        <v>6.41</v>
      </c>
      <c r="C17" s="41">
        <v>7.98</v>
      </c>
      <c r="D17" s="41">
        <v>9.2799999999999994</v>
      </c>
      <c r="E17" s="41">
        <v>5.94</v>
      </c>
      <c r="F17" s="41">
        <v>2.9</v>
      </c>
      <c r="G17" s="41">
        <v>67.86</v>
      </c>
      <c r="H17" s="41">
        <v>35.630000000000003</v>
      </c>
      <c r="I17" s="41">
        <v>8.23</v>
      </c>
      <c r="J17" s="41">
        <v>0.56000000000000005</v>
      </c>
      <c r="K17" s="41">
        <v>54.51</v>
      </c>
      <c r="L17" s="41">
        <v>10.39</v>
      </c>
      <c r="M17" s="41">
        <v>5.2</v>
      </c>
      <c r="N17" s="41">
        <v>168.9</v>
      </c>
      <c r="O17" s="41">
        <v>0</v>
      </c>
      <c r="P17" s="41">
        <v>0.47</v>
      </c>
      <c r="Q17" s="41">
        <v>13.37</v>
      </c>
      <c r="R17" s="38"/>
      <c r="S17" s="38"/>
      <c r="T17" s="38"/>
      <c r="U17" s="38"/>
    </row>
    <row r="18" spans="1:21" customFormat="1">
      <c r="A18" s="40" t="s">
        <v>526</v>
      </c>
      <c r="B18" s="41">
        <v>6.21</v>
      </c>
      <c r="C18" s="41">
        <v>7.75</v>
      </c>
      <c r="D18" s="41">
        <v>8.9499999999999993</v>
      </c>
      <c r="E18" s="41">
        <v>5.96</v>
      </c>
      <c r="F18" s="41">
        <v>2.9</v>
      </c>
      <c r="G18" s="41">
        <v>67.86</v>
      </c>
      <c r="H18" s="41">
        <v>34.58</v>
      </c>
      <c r="I18" s="41">
        <v>8.26</v>
      </c>
      <c r="J18" s="41">
        <v>0.51</v>
      </c>
      <c r="K18" s="41">
        <v>55.06</v>
      </c>
      <c r="L18" s="41">
        <v>12.41</v>
      </c>
      <c r="M18" s="41">
        <v>7.8</v>
      </c>
      <c r="N18" s="41">
        <v>369</v>
      </c>
      <c r="O18" s="41">
        <v>0</v>
      </c>
      <c r="P18" s="41">
        <v>0.45</v>
      </c>
      <c r="Q18" s="41">
        <v>11</v>
      </c>
      <c r="R18" s="38"/>
      <c r="S18" s="38"/>
      <c r="T18" s="38"/>
      <c r="U18" s="38"/>
    </row>
    <row r="19" spans="1:21" customFormat="1">
      <c r="A19" s="40" t="s">
        <v>527</v>
      </c>
      <c r="B19" s="41">
        <v>5.34</v>
      </c>
      <c r="C19" s="41">
        <v>7.69</v>
      </c>
      <c r="D19" s="41">
        <v>8.3000000000000007</v>
      </c>
      <c r="E19" s="41">
        <v>6.9</v>
      </c>
      <c r="F19" s="41">
        <v>2.9</v>
      </c>
      <c r="G19" s="41">
        <v>56.69</v>
      </c>
      <c r="H19" s="41">
        <v>31.44</v>
      </c>
      <c r="I19" s="41">
        <v>7.92</v>
      </c>
      <c r="J19" s="41">
        <v>0.4</v>
      </c>
      <c r="K19" s="41">
        <v>78.099999999999994</v>
      </c>
      <c r="L19" s="41">
        <v>14.59</v>
      </c>
      <c r="M19" s="41">
        <v>9.69</v>
      </c>
      <c r="N19" s="41">
        <v>430.1</v>
      </c>
      <c r="O19" s="41">
        <v>0</v>
      </c>
      <c r="P19" s="41">
        <v>0.44</v>
      </c>
      <c r="Q19" s="41">
        <v>9.61</v>
      </c>
      <c r="R19" s="38"/>
      <c r="S19" s="38"/>
      <c r="T19" s="38"/>
      <c r="U19" s="38"/>
    </row>
    <row r="20" spans="1:21" customFormat="1">
      <c r="A20" s="40" t="s">
        <v>528</v>
      </c>
      <c r="B20" s="41">
        <v>4.63</v>
      </c>
      <c r="C20" s="41">
        <v>7.26</v>
      </c>
      <c r="D20" s="41">
        <v>7.51</v>
      </c>
      <c r="E20" s="41">
        <v>7.08</v>
      </c>
      <c r="F20" s="41">
        <v>2.0099999999999998</v>
      </c>
      <c r="G20" s="41">
        <v>42.93</v>
      </c>
      <c r="H20" s="41">
        <v>25.94</v>
      </c>
      <c r="I20" s="41">
        <v>7.71</v>
      </c>
      <c r="J20" s="41">
        <v>0.51</v>
      </c>
      <c r="K20" s="41">
        <v>126.5</v>
      </c>
      <c r="L20" s="41">
        <v>19.03</v>
      </c>
      <c r="M20" s="41">
        <v>17</v>
      </c>
      <c r="N20" s="41">
        <v>561.4</v>
      </c>
      <c r="O20" s="41">
        <v>0</v>
      </c>
      <c r="P20" s="41">
        <v>0.4</v>
      </c>
      <c r="Q20" s="41">
        <v>9.39</v>
      </c>
      <c r="R20" s="38"/>
      <c r="S20" s="38"/>
      <c r="T20" s="38"/>
      <c r="U20" s="38"/>
    </row>
    <row r="21" spans="1:21" customFormat="1">
      <c r="A21" s="40" t="s">
        <v>529</v>
      </c>
      <c r="B21" s="41">
        <v>3.96</v>
      </c>
      <c r="C21" s="41">
        <v>7.57</v>
      </c>
      <c r="D21" s="41">
        <v>7.03</v>
      </c>
      <c r="E21" s="41">
        <v>6.29</v>
      </c>
      <c r="F21" s="41">
        <v>2.0099999999999998</v>
      </c>
      <c r="G21" s="41">
        <v>35.86</v>
      </c>
      <c r="H21" s="41">
        <v>20.149999999999999</v>
      </c>
      <c r="I21" s="41">
        <v>7.22</v>
      </c>
      <c r="J21" s="41">
        <v>0.56000000000000005</v>
      </c>
      <c r="K21" s="41">
        <v>114.05</v>
      </c>
      <c r="L21" s="41">
        <v>19.57</v>
      </c>
      <c r="M21" s="41">
        <v>17.010000000000002</v>
      </c>
      <c r="N21" s="41">
        <v>596.20000000000005</v>
      </c>
      <c r="O21" s="41">
        <v>0</v>
      </c>
      <c r="P21" s="41">
        <v>0.39</v>
      </c>
      <c r="Q21" s="41">
        <v>12.66</v>
      </c>
      <c r="R21" s="38"/>
      <c r="S21" s="38"/>
      <c r="T21" s="38"/>
      <c r="U21" s="38"/>
    </row>
    <row r="22" spans="1:21" customFormat="1">
      <c r="A22" s="40" t="s">
        <v>530</v>
      </c>
      <c r="B22" s="41">
        <v>3.06</v>
      </c>
      <c r="C22" s="41">
        <v>7.2</v>
      </c>
      <c r="D22" s="41">
        <v>6.2</v>
      </c>
      <c r="E22" s="41">
        <v>6.57</v>
      </c>
      <c r="F22" s="41">
        <v>2.0099999999999998</v>
      </c>
      <c r="G22" s="41">
        <v>27.03</v>
      </c>
      <c r="H22" s="41">
        <v>15.62</v>
      </c>
      <c r="I22" s="41">
        <v>6.71</v>
      </c>
      <c r="J22" s="41">
        <v>0.49</v>
      </c>
      <c r="K22" s="41">
        <v>123.28</v>
      </c>
      <c r="L22" s="41">
        <v>18.84</v>
      </c>
      <c r="M22" s="41">
        <v>18.079999999999998</v>
      </c>
      <c r="N22" s="41">
        <v>489.7</v>
      </c>
      <c r="O22" s="41">
        <v>0</v>
      </c>
      <c r="P22" s="41">
        <v>0.35</v>
      </c>
      <c r="Q22" s="41">
        <v>9.9700000000000006</v>
      </c>
      <c r="R22" s="38"/>
      <c r="S22" s="38"/>
      <c r="T22" s="38"/>
      <c r="U22" s="38"/>
    </row>
    <row r="23" spans="1:21" customFormat="1">
      <c r="A23" s="40" t="s">
        <v>531</v>
      </c>
      <c r="B23" s="41">
        <v>2.65</v>
      </c>
      <c r="C23" s="41">
        <v>6.9</v>
      </c>
      <c r="D23" s="41">
        <v>5.73</v>
      </c>
      <c r="E23" s="41">
        <v>6.32</v>
      </c>
      <c r="F23" s="41">
        <v>2.0099999999999998</v>
      </c>
      <c r="G23" s="41">
        <v>23.05</v>
      </c>
      <c r="H23" s="41">
        <v>13.36</v>
      </c>
      <c r="I23" s="41">
        <v>6.22</v>
      </c>
      <c r="J23" s="41">
        <v>0.48</v>
      </c>
      <c r="K23" s="41">
        <v>110.53</v>
      </c>
      <c r="L23" s="41">
        <v>17.91</v>
      </c>
      <c r="M23" s="41">
        <v>15.31</v>
      </c>
      <c r="N23" s="41">
        <v>498.3</v>
      </c>
      <c r="O23" s="41">
        <v>0</v>
      </c>
      <c r="P23" s="41">
        <v>0.32</v>
      </c>
      <c r="Q23" s="41">
        <v>10.79</v>
      </c>
      <c r="R23" s="38"/>
      <c r="S23" s="38"/>
      <c r="T23" s="38"/>
      <c r="U23" s="38"/>
    </row>
    <row r="24" spans="1:21" customFormat="1">
      <c r="A24" s="40" t="s">
        <v>532</v>
      </c>
      <c r="B24" s="41">
        <v>2.56</v>
      </c>
      <c r="C24" s="41">
        <v>6.83</v>
      </c>
      <c r="D24" s="41">
        <v>5.6</v>
      </c>
      <c r="E24" s="41">
        <v>6.55</v>
      </c>
      <c r="F24" s="41">
        <v>2.0299999999999998</v>
      </c>
      <c r="G24" s="41">
        <v>21.4</v>
      </c>
      <c r="H24" s="41">
        <v>10.19</v>
      </c>
      <c r="I24" s="41">
        <v>5.77</v>
      </c>
      <c r="J24" s="41">
        <v>0.49</v>
      </c>
      <c r="K24" s="41">
        <v>125.15</v>
      </c>
      <c r="L24" s="41">
        <v>13.7</v>
      </c>
      <c r="M24" s="41">
        <v>15.82</v>
      </c>
      <c r="N24" s="41">
        <v>54.5</v>
      </c>
      <c r="O24" s="41">
        <v>0</v>
      </c>
      <c r="P24" s="41">
        <v>0.31</v>
      </c>
      <c r="Q24" s="41">
        <v>13.98</v>
      </c>
      <c r="R24" s="38"/>
      <c r="S24" s="38"/>
      <c r="T24" s="38"/>
      <c r="U24" s="38"/>
    </row>
    <row r="25" spans="1:21" customFormat="1">
      <c r="A25" s="40" t="s">
        <v>533</v>
      </c>
      <c r="B25" s="41">
        <v>2.44</v>
      </c>
      <c r="C25" s="41">
        <v>6.66</v>
      </c>
      <c r="D25" s="41">
        <v>5.44</v>
      </c>
      <c r="E25" s="41">
        <v>6.74</v>
      </c>
      <c r="F25" s="41">
        <v>2.0299999999999998</v>
      </c>
      <c r="G25" s="41">
        <v>20.239999999999998</v>
      </c>
      <c r="H25" s="41">
        <v>10.45</v>
      </c>
      <c r="I25" s="41">
        <v>5.49</v>
      </c>
      <c r="J25" s="41">
        <v>0.31</v>
      </c>
      <c r="K25" s="41">
        <v>137.65</v>
      </c>
      <c r="L25" s="41">
        <v>14.38</v>
      </c>
      <c r="M25" s="41">
        <v>17.649999999999999</v>
      </c>
      <c r="N25" s="41">
        <v>22.7</v>
      </c>
      <c r="O25" s="41">
        <v>0</v>
      </c>
      <c r="P25" s="41">
        <v>0.28999999999999998</v>
      </c>
      <c r="Q25" s="41">
        <v>12.46</v>
      </c>
      <c r="R25" s="38"/>
      <c r="S25" s="38"/>
      <c r="T25" s="38"/>
      <c r="U25" s="38"/>
    </row>
    <row r="26" spans="1:21" customFormat="1">
      <c r="A26" s="40" t="s">
        <v>534</v>
      </c>
      <c r="B26" s="41">
        <v>2.5499999999999998</v>
      </c>
      <c r="C26" s="41">
        <v>7.24</v>
      </c>
      <c r="D26" s="41">
        <v>5.82</v>
      </c>
      <c r="E26" s="41">
        <v>7.33</v>
      </c>
      <c r="F26" s="41">
        <v>3.74</v>
      </c>
      <c r="G26" s="41">
        <v>17.059999999999999</v>
      </c>
      <c r="H26" s="41">
        <v>11.3</v>
      </c>
      <c r="I26" s="41">
        <v>5.49</v>
      </c>
      <c r="J26" s="41">
        <v>0.52</v>
      </c>
      <c r="K26" s="41">
        <v>68.989999999999995</v>
      </c>
      <c r="L26" s="41">
        <v>10.1</v>
      </c>
      <c r="M26" s="41">
        <v>7.11</v>
      </c>
      <c r="N26" s="41">
        <v>9.8000000000000007</v>
      </c>
      <c r="O26" s="41">
        <v>0</v>
      </c>
      <c r="P26" s="41">
        <v>0.28000000000000003</v>
      </c>
      <c r="Q26" s="41">
        <v>12.33</v>
      </c>
      <c r="R26" s="38"/>
      <c r="S26" s="38"/>
      <c r="T26" s="38"/>
      <c r="U26" s="38"/>
    </row>
    <row r="27" spans="1:21" customFormat="1">
      <c r="A27" s="40" t="s">
        <v>535</v>
      </c>
      <c r="B27" s="41">
        <v>2.87</v>
      </c>
      <c r="C27" s="41">
        <v>7.54</v>
      </c>
      <c r="D27" s="41">
        <v>6.13</v>
      </c>
      <c r="E27" s="41">
        <v>7.15</v>
      </c>
      <c r="F27" s="41">
        <v>3.09</v>
      </c>
      <c r="G27" s="41">
        <v>19.38</v>
      </c>
      <c r="H27" s="41">
        <v>13.42</v>
      </c>
      <c r="I27" s="41">
        <v>5.49</v>
      </c>
      <c r="J27" s="41">
        <v>0.37</v>
      </c>
      <c r="K27" s="41">
        <v>92.97</v>
      </c>
      <c r="L27" s="41">
        <v>11.36</v>
      </c>
      <c r="M27" s="41">
        <v>10.45</v>
      </c>
      <c r="N27" s="41">
        <v>2.5</v>
      </c>
      <c r="O27" s="41">
        <v>0</v>
      </c>
      <c r="P27" s="41">
        <v>0.3</v>
      </c>
      <c r="Q27" s="41">
        <v>10.56</v>
      </c>
      <c r="R27" s="38"/>
      <c r="S27" s="38"/>
      <c r="T27" s="38"/>
      <c r="U27" s="38"/>
    </row>
    <row r="28" spans="1:21" customFormat="1">
      <c r="A28" s="40" t="s">
        <v>536</v>
      </c>
      <c r="B28" s="41">
        <v>3.1</v>
      </c>
      <c r="C28" s="41">
        <v>7.71</v>
      </c>
      <c r="D28" s="41">
        <v>6.39</v>
      </c>
      <c r="E28" s="41">
        <v>8.3699999999999992</v>
      </c>
      <c r="F28" s="41">
        <v>2.37</v>
      </c>
      <c r="G28" s="41">
        <v>22.18</v>
      </c>
      <c r="H28" s="41">
        <v>13.85</v>
      </c>
      <c r="I28" s="41">
        <v>5.49</v>
      </c>
      <c r="J28" s="41">
        <v>0.21</v>
      </c>
      <c r="K28" s="41">
        <v>136.58000000000001</v>
      </c>
      <c r="L28" s="41">
        <v>13.64</v>
      </c>
      <c r="M28" s="41">
        <v>16.22</v>
      </c>
      <c r="N28" s="41">
        <v>2.4</v>
      </c>
      <c r="O28" s="41">
        <v>0</v>
      </c>
      <c r="P28" s="41">
        <v>0.31</v>
      </c>
      <c r="Q28" s="41">
        <v>11.94</v>
      </c>
      <c r="R28" s="38"/>
      <c r="S28" s="38"/>
      <c r="T28" s="38"/>
      <c r="U28" s="38"/>
    </row>
    <row r="29" spans="1:21" customFormat="1">
      <c r="A29" s="40" t="s">
        <v>537</v>
      </c>
      <c r="B29" s="41">
        <v>3.19</v>
      </c>
      <c r="C29" s="41">
        <v>6.92</v>
      </c>
      <c r="D29" s="41">
        <v>6.05</v>
      </c>
      <c r="E29" s="41">
        <v>8.36</v>
      </c>
      <c r="F29" s="41">
        <v>2.57</v>
      </c>
      <c r="G29" s="41">
        <v>25.7</v>
      </c>
      <c r="H29" s="41">
        <v>15.9</v>
      </c>
      <c r="I29" s="41">
        <v>5.49</v>
      </c>
      <c r="J29" s="41">
        <v>0.23</v>
      </c>
      <c r="K29" s="41">
        <v>137.44999999999999</v>
      </c>
      <c r="L29" s="41">
        <v>14.96</v>
      </c>
      <c r="M29" s="41">
        <v>19.420000000000002</v>
      </c>
      <c r="N29" s="41">
        <v>2.4</v>
      </c>
      <c r="O29" s="41">
        <v>0</v>
      </c>
      <c r="P29" s="41">
        <v>0.3</v>
      </c>
      <c r="Q29" s="41">
        <v>10.17</v>
      </c>
      <c r="R29" s="38"/>
      <c r="S29" s="38"/>
      <c r="T29" s="38"/>
      <c r="U29" s="38"/>
    </row>
    <row r="30" spans="1:21" customFormat="1">
      <c r="A30" s="40" t="s">
        <v>538</v>
      </c>
      <c r="B30" s="41">
        <v>3.27</v>
      </c>
      <c r="C30" s="41">
        <v>6.34</v>
      </c>
      <c r="D30" s="41">
        <v>5.88</v>
      </c>
      <c r="E30" s="41">
        <v>7.86</v>
      </c>
      <c r="F30" s="41">
        <v>2.2400000000000002</v>
      </c>
      <c r="G30" s="41">
        <v>28.13</v>
      </c>
      <c r="H30" s="41">
        <v>16.61</v>
      </c>
      <c r="I30" s="41">
        <v>5.49</v>
      </c>
      <c r="J30" s="41">
        <v>0.34</v>
      </c>
      <c r="K30" s="41">
        <v>137.19999999999999</v>
      </c>
      <c r="L30" s="41">
        <v>14.53</v>
      </c>
      <c r="M30" s="41">
        <v>18.41</v>
      </c>
      <c r="N30" s="41">
        <v>2.7</v>
      </c>
      <c r="O30" s="41">
        <v>0</v>
      </c>
      <c r="P30" s="41">
        <v>0.31</v>
      </c>
      <c r="Q30" s="41">
        <v>10.27</v>
      </c>
      <c r="R30" s="38"/>
      <c r="S30" s="38"/>
      <c r="T30" s="38"/>
      <c r="U30" s="38"/>
    </row>
    <row r="31" spans="1:21" customFormat="1">
      <c r="A31" s="40" t="s">
        <v>539</v>
      </c>
      <c r="B31" s="41">
        <v>3.28</v>
      </c>
      <c r="C31" s="41">
        <v>6.37</v>
      </c>
      <c r="D31" s="41">
        <v>5.96</v>
      </c>
      <c r="E31" s="41">
        <v>7.71</v>
      </c>
      <c r="F31" s="41">
        <v>2.2400000000000002</v>
      </c>
      <c r="G31" s="41">
        <v>28.13</v>
      </c>
      <c r="H31" s="41">
        <v>17.86</v>
      </c>
      <c r="I31" s="41">
        <v>5.49</v>
      </c>
      <c r="J31" s="41">
        <v>0.22</v>
      </c>
      <c r="K31" s="41">
        <v>155.82</v>
      </c>
      <c r="L31" s="41">
        <v>18</v>
      </c>
      <c r="M31" s="41">
        <v>27.13</v>
      </c>
      <c r="N31" s="41">
        <v>2.4</v>
      </c>
      <c r="O31" s="41">
        <v>0</v>
      </c>
      <c r="P31" s="41">
        <v>0.31</v>
      </c>
      <c r="Q31" s="41">
        <v>10.35</v>
      </c>
      <c r="R31" s="38"/>
      <c r="S31" s="38"/>
      <c r="T31" s="38"/>
      <c r="U31" s="38"/>
    </row>
    <row r="32" spans="1:21" customFormat="1">
      <c r="A32" s="40" t="s">
        <v>540</v>
      </c>
      <c r="B32" s="41">
        <v>3.18</v>
      </c>
      <c r="C32" s="41">
        <v>5.98</v>
      </c>
      <c r="D32" s="41">
        <v>5.67</v>
      </c>
      <c r="E32" s="41">
        <v>7.45</v>
      </c>
      <c r="F32" s="41">
        <v>2.2400000000000002</v>
      </c>
      <c r="G32" s="41">
        <v>26.95</v>
      </c>
      <c r="H32" s="41">
        <v>17.86</v>
      </c>
      <c r="I32" s="41">
        <v>5.49</v>
      </c>
      <c r="J32" s="41">
        <v>0.21</v>
      </c>
      <c r="K32" s="41">
        <v>129</v>
      </c>
      <c r="L32" s="41">
        <v>13.22</v>
      </c>
      <c r="M32" s="41">
        <v>15.23</v>
      </c>
      <c r="N32" s="41">
        <v>2.2999999999999998</v>
      </c>
      <c r="O32" s="41">
        <v>0</v>
      </c>
      <c r="P32" s="41">
        <v>0.28999999999999998</v>
      </c>
      <c r="Q32" s="41">
        <v>9.34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2.44</v>
      </c>
      <c r="C34" s="18">
        <f t="shared" si="0"/>
        <v>5.98</v>
      </c>
      <c r="D34" s="18">
        <f t="shared" si="0"/>
        <v>5.44</v>
      </c>
      <c r="E34" s="18">
        <f t="shared" si="0"/>
        <v>5.36</v>
      </c>
      <c r="F34" s="18">
        <f t="shared" si="0"/>
        <v>2.0099999999999998</v>
      </c>
      <c r="G34" s="18">
        <f t="shared" si="0"/>
        <v>17.059999999999999</v>
      </c>
      <c r="H34" s="18">
        <f t="shared" si="0"/>
        <v>10.19</v>
      </c>
      <c r="I34" s="18">
        <f t="shared" si="0"/>
        <v>1.3</v>
      </c>
      <c r="J34" s="18">
        <f t="shared" si="0"/>
        <v>0.12</v>
      </c>
      <c r="K34" s="18">
        <f t="shared" si="0"/>
        <v>41.36</v>
      </c>
      <c r="L34" s="18">
        <f t="shared" si="0"/>
        <v>7.9</v>
      </c>
      <c r="M34" s="18">
        <f t="shared" si="0"/>
        <v>0.73</v>
      </c>
      <c r="N34" s="18">
        <f t="shared" si="0"/>
        <v>2.2000000000000002</v>
      </c>
      <c r="O34" s="18">
        <f t="shared" si="0"/>
        <v>0</v>
      </c>
      <c r="P34" s="18">
        <f t="shared" si="0"/>
        <v>0.28000000000000003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6.41</v>
      </c>
      <c r="C35" s="3">
        <f t="shared" si="1"/>
        <v>8.43</v>
      </c>
      <c r="D35" s="3">
        <f t="shared" si="1"/>
        <v>9.2799999999999994</v>
      </c>
      <c r="E35" s="3">
        <f t="shared" si="1"/>
        <v>8.3699999999999992</v>
      </c>
      <c r="F35" s="3">
        <f t="shared" si="1"/>
        <v>3.9</v>
      </c>
      <c r="G35" s="3">
        <f t="shared" si="1"/>
        <v>78.64</v>
      </c>
      <c r="H35" s="3">
        <f t="shared" si="1"/>
        <v>40.479999999999997</v>
      </c>
      <c r="I35" s="3">
        <f t="shared" si="1"/>
        <v>8.26</v>
      </c>
      <c r="J35" s="3">
        <f t="shared" si="1"/>
        <v>0.56000000000000005</v>
      </c>
      <c r="K35" s="3">
        <f t="shared" si="1"/>
        <v>358.79</v>
      </c>
      <c r="L35" s="3">
        <f t="shared" si="1"/>
        <v>22.5</v>
      </c>
      <c r="M35" s="3">
        <f t="shared" si="1"/>
        <v>38.24</v>
      </c>
      <c r="N35" s="3">
        <f t="shared" si="1"/>
        <v>596.20000000000005</v>
      </c>
      <c r="O35" s="3">
        <f t="shared" si="1"/>
        <v>0</v>
      </c>
      <c r="P35" s="3">
        <f t="shared" si="1"/>
        <v>0.49</v>
      </c>
      <c r="Q35" s="3">
        <f t="shared" si="1"/>
        <v>45.05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4.282916666666666</v>
      </c>
      <c r="C36" s="18">
        <f t="shared" si="2"/>
        <v>7.5041666666666664</v>
      </c>
      <c r="D36" s="18">
        <f t="shared" si="2"/>
        <v>7.3104166666666659</v>
      </c>
      <c r="E36" s="18">
        <f t="shared" si="2"/>
        <v>6.6862500000000002</v>
      </c>
      <c r="F36" s="18">
        <f t="shared" si="2"/>
        <v>2.61625</v>
      </c>
      <c r="G36" s="18">
        <f t="shared" si="2"/>
        <v>46.668749999999996</v>
      </c>
      <c r="H36" s="18">
        <f t="shared" si="2"/>
        <v>25.052083333333332</v>
      </c>
      <c r="I36" s="18">
        <f t="shared" si="2"/>
        <v>5.622916666666665</v>
      </c>
      <c r="J36" s="18">
        <f t="shared" si="2"/>
        <v>0.3533333333333335</v>
      </c>
      <c r="K36" s="18">
        <f t="shared" si="2"/>
        <v>124.05041666666661</v>
      </c>
      <c r="L36" s="18">
        <f t="shared" si="2"/>
        <v>14.734583333333333</v>
      </c>
      <c r="M36" s="18">
        <f t="shared" si="2"/>
        <v>16.036666666666665</v>
      </c>
      <c r="N36" s="18">
        <f t="shared" si="2"/>
        <v>137.12500000000003</v>
      </c>
      <c r="O36" s="18">
        <f t="shared" si="2"/>
        <v>0</v>
      </c>
      <c r="P36" s="18">
        <f t="shared" si="2"/>
        <v>0.38833333333333342</v>
      </c>
      <c r="Q36" s="18">
        <f t="shared" si="2"/>
        <v>14.696249999999999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1.4001505483236489</v>
      </c>
      <c r="C37" s="18">
        <f t="shared" ref="C37:Q37" si="3">STDEV(C9:C32)</f>
        <v>0.7305859272539057</v>
      </c>
      <c r="D37" s="18">
        <f t="shared" si="3"/>
        <v>1.423906076429466</v>
      </c>
      <c r="E37" s="18">
        <f t="shared" si="3"/>
        <v>0.83267412332327262</v>
      </c>
      <c r="F37" s="18">
        <f t="shared" si="3"/>
        <v>0.53884588826894164</v>
      </c>
      <c r="G37" s="18">
        <f t="shared" si="3"/>
        <v>23.910380920446862</v>
      </c>
      <c r="H37" s="18">
        <f t="shared" si="3"/>
        <v>11.136570769967417</v>
      </c>
      <c r="I37" s="18">
        <f t="shared" si="3"/>
        <v>1.9800559481921269</v>
      </c>
      <c r="J37" s="18">
        <f t="shared" si="3"/>
        <v>0.15072770342478525</v>
      </c>
      <c r="K37" s="18">
        <f t="shared" si="3"/>
        <v>79.264622871425374</v>
      </c>
      <c r="L37" s="18">
        <f t="shared" si="3"/>
        <v>3.9467950444871649</v>
      </c>
      <c r="M37" s="18">
        <f t="shared" si="3"/>
        <v>9.1903033335314301</v>
      </c>
      <c r="N37" s="18">
        <f t="shared" si="3"/>
        <v>214.99458688837805</v>
      </c>
      <c r="O37" s="18">
        <f t="shared" si="3"/>
        <v>0</v>
      </c>
      <c r="P37" s="18">
        <f t="shared" si="3"/>
        <v>8.1222542740764E-2</v>
      </c>
      <c r="Q37" s="18">
        <f t="shared" si="3"/>
        <v>8.922870864050525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L25" sqref="L2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21/10/2025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541</v>
      </c>
      <c r="B9" s="41">
        <v>3.16</v>
      </c>
      <c r="C9" s="41">
        <v>5.83</v>
      </c>
      <c r="D9" s="41">
        <v>5.58</v>
      </c>
      <c r="E9" s="41">
        <v>7.42</v>
      </c>
      <c r="F9" s="41">
        <v>2</v>
      </c>
      <c r="G9" s="41">
        <v>18.920000000000002</v>
      </c>
      <c r="H9" s="41">
        <v>14.97</v>
      </c>
      <c r="I9" s="41">
        <v>4.5999999999999996</v>
      </c>
      <c r="J9" s="41">
        <v>0.25</v>
      </c>
      <c r="K9" s="41">
        <v>165.44</v>
      </c>
      <c r="L9" s="41">
        <v>16.87</v>
      </c>
      <c r="M9" s="41">
        <v>24.35</v>
      </c>
      <c r="N9" s="41">
        <v>2.2000000000000002</v>
      </c>
      <c r="O9" s="41">
        <v>0</v>
      </c>
      <c r="P9" s="41">
        <v>0.26</v>
      </c>
      <c r="Q9" s="41">
        <v>9.33</v>
      </c>
      <c r="R9" s="38"/>
      <c r="S9" s="38"/>
      <c r="T9" s="38"/>
      <c r="U9" s="38"/>
    </row>
    <row r="10" spans="1:21" customFormat="1">
      <c r="A10" s="40" t="s">
        <v>542</v>
      </c>
      <c r="B10" s="41">
        <v>3.3</v>
      </c>
      <c r="C10" s="41">
        <v>5.89</v>
      </c>
      <c r="D10" s="41">
        <v>5.72</v>
      </c>
      <c r="E10" s="41">
        <v>7.9</v>
      </c>
      <c r="F10" s="41">
        <v>2</v>
      </c>
      <c r="G10" s="41">
        <v>14.65</v>
      </c>
      <c r="H10" s="41">
        <v>12.48</v>
      </c>
      <c r="I10" s="41">
        <v>2.2999999999999998</v>
      </c>
      <c r="J10" s="41">
        <v>0.15</v>
      </c>
      <c r="K10" s="41">
        <v>133.63</v>
      </c>
      <c r="L10" s="41">
        <v>13.56</v>
      </c>
      <c r="M10" s="41">
        <v>16.11</v>
      </c>
      <c r="N10" s="41">
        <v>2.2000000000000002</v>
      </c>
      <c r="O10" s="41">
        <v>0</v>
      </c>
      <c r="P10" s="41">
        <v>0.23</v>
      </c>
      <c r="Q10" s="41">
        <v>10</v>
      </c>
      <c r="R10" s="38"/>
      <c r="S10" s="38"/>
      <c r="T10" s="38"/>
      <c r="U10" s="38"/>
    </row>
    <row r="11" spans="1:21" customFormat="1">
      <c r="A11" s="40" t="s">
        <v>543</v>
      </c>
      <c r="B11" s="41">
        <v>3.64</v>
      </c>
      <c r="C11" s="41">
        <v>5.98</v>
      </c>
      <c r="D11" s="41">
        <v>6.03</v>
      </c>
      <c r="E11" s="41">
        <v>7.18</v>
      </c>
      <c r="F11" s="41">
        <v>2</v>
      </c>
      <c r="G11" s="41">
        <v>12.87</v>
      </c>
      <c r="H11" s="41">
        <v>9.1300000000000008</v>
      </c>
      <c r="I11" s="41">
        <v>2.5</v>
      </c>
      <c r="J11" s="41">
        <v>0.17</v>
      </c>
      <c r="K11" s="41">
        <v>159.1</v>
      </c>
      <c r="L11" s="41">
        <v>15.37</v>
      </c>
      <c r="M11" s="41">
        <v>20.69</v>
      </c>
      <c r="N11" s="41">
        <v>2.1</v>
      </c>
      <c r="O11" s="41">
        <v>0</v>
      </c>
      <c r="P11" s="41">
        <v>0.22</v>
      </c>
      <c r="Q11" s="41">
        <v>10.07</v>
      </c>
      <c r="R11" s="38"/>
      <c r="S11" s="38"/>
      <c r="T11" s="38"/>
      <c r="U11" s="38"/>
    </row>
    <row r="12" spans="1:21" customFormat="1">
      <c r="A12" s="40" t="s">
        <v>544</v>
      </c>
      <c r="B12" s="41">
        <v>4.6399999999999997</v>
      </c>
      <c r="C12" s="41">
        <v>5.88</v>
      </c>
      <c r="D12" s="41">
        <v>6.79</v>
      </c>
      <c r="E12" s="41">
        <v>6.99</v>
      </c>
      <c r="F12" s="41">
        <v>2</v>
      </c>
      <c r="G12" s="41">
        <v>12.3</v>
      </c>
      <c r="H12" s="41">
        <v>7.74</v>
      </c>
      <c r="I12" s="41">
        <v>3.6</v>
      </c>
      <c r="J12" s="41">
        <v>0.26</v>
      </c>
      <c r="K12" s="41">
        <v>127.98</v>
      </c>
      <c r="L12" s="41">
        <v>13.24</v>
      </c>
      <c r="M12" s="41">
        <v>15.24</v>
      </c>
      <c r="N12" s="41">
        <v>2.1</v>
      </c>
      <c r="O12" s="41">
        <v>0</v>
      </c>
      <c r="P12" s="41">
        <v>0.19</v>
      </c>
      <c r="Q12" s="41">
        <v>10.59</v>
      </c>
      <c r="R12" s="38"/>
      <c r="S12" s="38"/>
      <c r="T12" s="38"/>
      <c r="U12" s="38"/>
    </row>
    <row r="13" spans="1:21" customFormat="1">
      <c r="A13" s="40" t="s">
        <v>545</v>
      </c>
      <c r="B13" s="41">
        <v>5.82</v>
      </c>
      <c r="C13" s="41">
        <v>6.06</v>
      </c>
      <c r="D13" s="41">
        <v>7.83</v>
      </c>
      <c r="E13" s="41">
        <v>6.7</v>
      </c>
      <c r="F13" s="41">
        <v>2</v>
      </c>
      <c r="G13" s="41">
        <v>12.84</v>
      </c>
      <c r="H13" s="41">
        <v>8.41</v>
      </c>
      <c r="I13" s="41">
        <v>2.4</v>
      </c>
      <c r="J13" s="41">
        <v>0.23</v>
      </c>
      <c r="K13" s="41">
        <v>69.260000000000005</v>
      </c>
      <c r="L13" s="41">
        <v>13.79</v>
      </c>
      <c r="M13" s="41">
        <v>16.420000000000002</v>
      </c>
      <c r="N13" s="41">
        <v>2.1</v>
      </c>
      <c r="O13" s="41">
        <v>0</v>
      </c>
      <c r="P13" s="41">
        <v>0.19</v>
      </c>
      <c r="Q13" s="41">
        <v>10.76</v>
      </c>
      <c r="R13" s="38"/>
      <c r="S13" s="38"/>
      <c r="T13" s="38"/>
      <c r="U13" s="38"/>
    </row>
    <row r="14" spans="1:21" customFormat="1">
      <c r="A14" s="40" t="s">
        <v>546</v>
      </c>
      <c r="B14" s="41">
        <v>7.05</v>
      </c>
      <c r="C14" s="41">
        <v>6.06</v>
      </c>
      <c r="D14" s="41">
        <v>8.82</v>
      </c>
      <c r="E14" s="41">
        <v>6.27</v>
      </c>
      <c r="F14" s="41">
        <v>2</v>
      </c>
      <c r="G14" s="41">
        <v>15.59</v>
      </c>
      <c r="H14" s="41">
        <v>8.41</v>
      </c>
      <c r="I14" s="41">
        <v>2.6</v>
      </c>
      <c r="J14" s="41">
        <v>0.42</v>
      </c>
      <c r="K14" s="41">
        <v>51.95</v>
      </c>
      <c r="L14" s="41">
        <v>8.07</v>
      </c>
      <c r="M14" s="41">
        <v>1.96</v>
      </c>
      <c r="N14" s="41">
        <v>2.8</v>
      </c>
      <c r="O14" s="41">
        <v>0</v>
      </c>
      <c r="P14" s="41">
        <v>0.19</v>
      </c>
      <c r="Q14" s="41">
        <v>11.69</v>
      </c>
      <c r="R14" s="38"/>
      <c r="S14" s="38"/>
      <c r="T14" s="38"/>
      <c r="U14" s="38"/>
    </row>
    <row r="15" spans="1:21" customFormat="1">
      <c r="A15" s="40" t="s">
        <v>547</v>
      </c>
      <c r="B15" s="41">
        <v>8.2100000000000009</v>
      </c>
      <c r="C15" s="41">
        <v>6.5</v>
      </c>
      <c r="D15" s="41">
        <v>9.98</v>
      </c>
      <c r="E15" s="41">
        <v>6.64</v>
      </c>
      <c r="F15" s="41">
        <v>2</v>
      </c>
      <c r="G15" s="41">
        <v>15.59</v>
      </c>
      <c r="H15" s="41">
        <v>6.71</v>
      </c>
      <c r="I15" s="41">
        <v>3.2</v>
      </c>
      <c r="J15" s="41">
        <v>0.46</v>
      </c>
      <c r="K15" s="41">
        <v>48.1</v>
      </c>
      <c r="L15" s="41">
        <v>8.4</v>
      </c>
      <c r="M15" s="41">
        <v>2.21</v>
      </c>
      <c r="N15" s="41">
        <v>32.799999999999997</v>
      </c>
      <c r="O15" s="41">
        <v>0</v>
      </c>
      <c r="P15" s="41">
        <v>0.19</v>
      </c>
      <c r="Q15" s="41">
        <v>9.82</v>
      </c>
      <c r="R15" s="38"/>
      <c r="S15" s="38"/>
      <c r="T15" s="38"/>
      <c r="U15" s="38"/>
    </row>
    <row r="16" spans="1:21" customFormat="1">
      <c r="A16" s="40" t="s">
        <v>548</v>
      </c>
      <c r="B16" s="41">
        <v>8.33</v>
      </c>
      <c r="C16" s="41">
        <v>6.6</v>
      </c>
      <c r="D16" s="41">
        <v>10.1</v>
      </c>
      <c r="E16" s="41">
        <v>6.84</v>
      </c>
      <c r="F16" s="41">
        <v>2</v>
      </c>
      <c r="G16" s="41">
        <v>15.53</v>
      </c>
      <c r="H16" s="41">
        <v>8.74</v>
      </c>
      <c r="I16" s="41">
        <v>3.1</v>
      </c>
      <c r="J16" s="41">
        <v>0.44</v>
      </c>
      <c r="K16" s="41">
        <v>89.16</v>
      </c>
      <c r="L16" s="41">
        <v>10.77</v>
      </c>
      <c r="M16" s="41">
        <v>8.01</v>
      </c>
      <c r="N16" s="41">
        <v>196.8</v>
      </c>
      <c r="O16" s="41">
        <v>0</v>
      </c>
      <c r="P16" s="41">
        <v>0.2</v>
      </c>
      <c r="Q16" s="41">
        <v>9.39</v>
      </c>
      <c r="R16" s="38"/>
      <c r="S16" s="38"/>
      <c r="T16" s="38"/>
      <c r="U16" s="38"/>
    </row>
    <row r="17" spans="1:21" customFormat="1">
      <c r="A17" s="40" t="s">
        <v>549</v>
      </c>
      <c r="B17" s="41">
        <v>7.86</v>
      </c>
      <c r="C17" s="41">
        <v>7.16</v>
      </c>
      <c r="D17" s="41">
        <v>9.8699999999999992</v>
      </c>
      <c r="E17" s="41">
        <v>6.17</v>
      </c>
      <c r="F17" s="41">
        <v>2</v>
      </c>
      <c r="G17" s="41">
        <v>15.73</v>
      </c>
      <c r="H17" s="41">
        <v>8.74</v>
      </c>
      <c r="I17" s="41">
        <v>3.1</v>
      </c>
      <c r="J17" s="41">
        <v>0.6</v>
      </c>
      <c r="K17" s="41">
        <v>71.55</v>
      </c>
      <c r="L17" s="41">
        <v>13.45</v>
      </c>
      <c r="M17" s="41">
        <v>9.26</v>
      </c>
      <c r="N17" s="41">
        <v>308.10000000000002</v>
      </c>
      <c r="O17" s="41">
        <v>0</v>
      </c>
      <c r="P17" s="41">
        <v>0.22</v>
      </c>
      <c r="Q17" s="41">
        <v>9.4700000000000006</v>
      </c>
      <c r="R17" s="38"/>
      <c r="S17" s="38"/>
      <c r="T17" s="38"/>
      <c r="U17" s="38"/>
    </row>
    <row r="18" spans="1:21" customFormat="1">
      <c r="A18" s="40" t="s">
        <v>550</v>
      </c>
      <c r="B18" s="41">
        <v>7</v>
      </c>
      <c r="C18" s="41">
        <v>7.38</v>
      </c>
      <c r="D18" s="41">
        <v>9.42</v>
      </c>
      <c r="E18" s="41">
        <v>6.47</v>
      </c>
      <c r="F18" s="41">
        <v>2</v>
      </c>
      <c r="G18" s="41">
        <v>15.73</v>
      </c>
      <c r="H18" s="41">
        <v>7.62</v>
      </c>
      <c r="I18" s="41">
        <v>3.1</v>
      </c>
      <c r="J18" s="41">
        <v>0.38</v>
      </c>
      <c r="K18" s="41">
        <v>120</v>
      </c>
      <c r="L18" s="41">
        <v>17.87</v>
      </c>
      <c r="M18" s="41">
        <v>15.99</v>
      </c>
      <c r="N18" s="41">
        <v>466</v>
      </c>
      <c r="O18" s="41">
        <v>0</v>
      </c>
      <c r="P18" s="41">
        <v>0.23</v>
      </c>
      <c r="Q18" s="41">
        <v>9.58</v>
      </c>
      <c r="R18" s="38"/>
      <c r="S18" s="38"/>
      <c r="T18" s="38"/>
      <c r="U18" s="38"/>
    </row>
    <row r="19" spans="1:21" customFormat="1">
      <c r="A19" s="40" t="s">
        <v>551</v>
      </c>
      <c r="B19" s="41">
        <v>6</v>
      </c>
      <c r="C19" s="41">
        <v>7.48</v>
      </c>
      <c r="D19" s="41">
        <v>8.68</v>
      </c>
      <c r="E19" s="41">
        <v>6.67</v>
      </c>
      <c r="F19" s="41">
        <v>2</v>
      </c>
      <c r="G19" s="41">
        <v>16.68</v>
      </c>
      <c r="H19" s="41">
        <v>7.47</v>
      </c>
      <c r="I19" s="41">
        <v>3.1</v>
      </c>
      <c r="J19" s="41">
        <v>0.5</v>
      </c>
      <c r="K19" s="41">
        <v>117.45</v>
      </c>
      <c r="L19" s="41">
        <v>16.16</v>
      </c>
      <c r="M19" s="41">
        <v>13.25</v>
      </c>
      <c r="N19" s="41">
        <v>395.1</v>
      </c>
      <c r="O19" s="41">
        <v>0</v>
      </c>
      <c r="P19" s="41">
        <v>0.24</v>
      </c>
      <c r="Q19" s="41">
        <v>9.32</v>
      </c>
      <c r="R19" s="38"/>
      <c r="S19" s="38"/>
      <c r="T19" s="38"/>
      <c r="U19" s="38"/>
    </row>
    <row r="20" spans="1:21" customFormat="1">
      <c r="A20" s="40" t="s">
        <v>552</v>
      </c>
      <c r="B20" s="41">
        <v>4.74</v>
      </c>
      <c r="C20" s="41">
        <v>7.32</v>
      </c>
      <c r="D20" s="41">
        <v>7.6</v>
      </c>
      <c r="E20" s="41">
        <v>6.6</v>
      </c>
      <c r="F20" s="41">
        <v>2</v>
      </c>
      <c r="G20" s="41">
        <v>19.52</v>
      </c>
      <c r="H20" s="41">
        <v>7.83</v>
      </c>
      <c r="I20" s="41">
        <v>5.17</v>
      </c>
      <c r="J20" s="41">
        <v>0.44</v>
      </c>
      <c r="K20" s="41">
        <v>134.76</v>
      </c>
      <c r="L20" s="41">
        <v>15.85</v>
      </c>
      <c r="M20" s="41">
        <v>16.59</v>
      </c>
      <c r="N20" s="41">
        <v>281.8</v>
      </c>
      <c r="O20" s="41">
        <v>0</v>
      </c>
      <c r="P20" s="41">
        <v>0.24</v>
      </c>
      <c r="Q20" s="41">
        <v>9.48</v>
      </c>
      <c r="R20" s="38"/>
      <c r="S20" s="38"/>
      <c r="T20" s="38"/>
      <c r="U20" s="38"/>
    </row>
    <row r="21" spans="1:21" customFormat="1">
      <c r="A21" s="40" t="s">
        <v>553</v>
      </c>
      <c r="B21" s="41">
        <v>3.42</v>
      </c>
      <c r="C21" s="41">
        <v>7.08</v>
      </c>
      <c r="D21" s="41">
        <v>6.44</v>
      </c>
      <c r="E21" s="41">
        <v>6.58</v>
      </c>
      <c r="F21" s="41">
        <v>2</v>
      </c>
      <c r="G21" s="41">
        <v>21.16</v>
      </c>
      <c r="H21" s="41">
        <v>10.4</v>
      </c>
      <c r="I21" s="41">
        <v>4.97</v>
      </c>
      <c r="J21" s="41">
        <v>0.38</v>
      </c>
      <c r="K21" s="41">
        <v>140.85</v>
      </c>
      <c r="L21" s="41">
        <v>15.82</v>
      </c>
      <c r="M21" s="41">
        <v>16.97</v>
      </c>
      <c r="N21" s="41">
        <v>206.6</v>
      </c>
      <c r="O21" s="41">
        <v>0</v>
      </c>
      <c r="P21" s="41">
        <v>0.26</v>
      </c>
      <c r="Q21" s="41">
        <v>9.3699999999999992</v>
      </c>
      <c r="R21" s="38"/>
      <c r="S21" s="38"/>
      <c r="T21" s="38"/>
      <c r="U21" s="38"/>
    </row>
    <row r="22" spans="1:21" customFormat="1">
      <c r="A22" s="40" t="s">
        <v>554</v>
      </c>
      <c r="B22" s="41">
        <v>2.76</v>
      </c>
      <c r="C22" s="41">
        <v>6.66</v>
      </c>
      <c r="D22" s="41">
        <v>5.68</v>
      </c>
      <c r="E22" s="41">
        <v>7.78</v>
      </c>
      <c r="F22" s="41">
        <v>3.38</v>
      </c>
      <c r="G22" s="41">
        <v>21.16</v>
      </c>
      <c r="H22" s="41">
        <v>14.48</v>
      </c>
      <c r="I22" s="41">
        <v>5.18</v>
      </c>
      <c r="J22" s="41">
        <v>0.36</v>
      </c>
      <c r="K22" s="41">
        <v>120.62</v>
      </c>
      <c r="L22" s="41">
        <v>15.38</v>
      </c>
      <c r="M22" s="41">
        <v>15.46</v>
      </c>
      <c r="N22" s="41">
        <v>217.2</v>
      </c>
      <c r="O22" s="41">
        <v>0</v>
      </c>
      <c r="P22" s="41">
        <v>0.24</v>
      </c>
      <c r="Q22" s="41">
        <v>9.32</v>
      </c>
      <c r="R22" s="38"/>
      <c r="S22" s="38"/>
      <c r="T22" s="38"/>
      <c r="U22" s="38"/>
    </row>
    <row r="23" spans="1:21" customFormat="1">
      <c r="A23" s="40" t="s">
        <v>555</v>
      </c>
      <c r="B23" s="41">
        <v>2.68</v>
      </c>
      <c r="C23" s="41">
        <v>6.76</v>
      </c>
      <c r="D23" s="41">
        <v>5.68</v>
      </c>
      <c r="E23" s="41">
        <v>7.01</v>
      </c>
      <c r="F23" s="41">
        <v>5.94</v>
      </c>
      <c r="G23" s="41">
        <v>21.21</v>
      </c>
      <c r="H23" s="41">
        <v>14.48</v>
      </c>
      <c r="I23" s="41">
        <v>3.03</v>
      </c>
      <c r="J23" s="41">
        <v>0.56999999999999995</v>
      </c>
      <c r="K23" s="41">
        <v>93.89</v>
      </c>
      <c r="L23" s="41">
        <v>13.58</v>
      </c>
      <c r="M23" s="41">
        <v>10.43</v>
      </c>
      <c r="N23" s="41">
        <v>347.4</v>
      </c>
      <c r="O23" s="41">
        <v>0</v>
      </c>
      <c r="P23" s="41">
        <v>0.25</v>
      </c>
      <c r="Q23" s="41">
        <v>9.32</v>
      </c>
      <c r="R23" s="38"/>
      <c r="S23" s="38"/>
      <c r="T23" s="38"/>
      <c r="U23" s="38"/>
    </row>
    <row r="24" spans="1:21" customFormat="1">
      <c r="A24" s="40" t="s">
        <v>556</v>
      </c>
      <c r="B24" s="41">
        <v>2.4500000000000002</v>
      </c>
      <c r="C24" s="41">
        <v>6.64</v>
      </c>
      <c r="D24" s="41">
        <v>5.44</v>
      </c>
      <c r="E24" s="41">
        <v>6.87</v>
      </c>
      <c r="F24" s="41">
        <v>7.36</v>
      </c>
      <c r="G24" s="41">
        <v>23.16</v>
      </c>
      <c r="H24" s="41">
        <v>13.78</v>
      </c>
      <c r="I24" s="41">
        <v>3.03</v>
      </c>
      <c r="J24" s="41">
        <v>0.4</v>
      </c>
      <c r="K24" s="41">
        <v>80.459999999999994</v>
      </c>
      <c r="L24" s="41">
        <v>11.45</v>
      </c>
      <c r="M24" s="41">
        <v>8.93</v>
      </c>
      <c r="N24" s="41">
        <v>79.400000000000006</v>
      </c>
      <c r="O24" s="41">
        <v>0</v>
      </c>
      <c r="P24" s="41">
        <v>0.26</v>
      </c>
      <c r="Q24" s="41">
        <v>9.32</v>
      </c>
      <c r="R24" s="38"/>
      <c r="S24" s="38"/>
      <c r="T24" s="38"/>
      <c r="U24" s="38"/>
    </row>
    <row r="25" spans="1:21" customFormat="1">
      <c r="A25" s="40" t="s">
        <v>557</v>
      </c>
      <c r="B25" s="41">
        <v>2.39</v>
      </c>
      <c r="C25" s="41">
        <v>7.4</v>
      </c>
      <c r="D25" s="41">
        <v>5.78</v>
      </c>
      <c r="E25" s="41">
        <v>7.72</v>
      </c>
      <c r="F25" s="41">
        <v>7.73</v>
      </c>
      <c r="G25" s="41">
        <v>24.25</v>
      </c>
      <c r="H25" s="41">
        <v>14.82</v>
      </c>
      <c r="I25" s="41">
        <v>3.03</v>
      </c>
      <c r="J25" s="41">
        <v>0.61</v>
      </c>
      <c r="K25" s="41">
        <v>46.45</v>
      </c>
      <c r="L25" s="41">
        <v>9.2899999999999991</v>
      </c>
      <c r="M25" s="41">
        <v>4.4400000000000004</v>
      </c>
      <c r="N25" s="41">
        <v>33.5</v>
      </c>
      <c r="O25" s="41">
        <v>0</v>
      </c>
      <c r="P25" s="41">
        <v>0.3</v>
      </c>
      <c r="Q25" s="41">
        <v>9.32</v>
      </c>
      <c r="R25" s="38"/>
      <c r="S25" s="38"/>
      <c r="T25" s="38"/>
      <c r="U25" s="38"/>
    </row>
    <row r="26" spans="1:21" customFormat="1">
      <c r="A26" s="40" t="s">
        <v>558</v>
      </c>
      <c r="B26" s="41">
        <v>2.4</v>
      </c>
      <c r="C26" s="41">
        <v>7.41</v>
      </c>
      <c r="D26" s="41">
        <v>5.79</v>
      </c>
      <c r="E26" s="41">
        <v>8.0500000000000007</v>
      </c>
      <c r="F26" s="41">
        <v>4.22</v>
      </c>
      <c r="G26" s="41">
        <v>29.96</v>
      </c>
      <c r="H26" s="41">
        <v>16.149999999999999</v>
      </c>
      <c r="I26" s="41">
        <v>3.03</v>
      </c>
      <c r="J26" s="41">
        <v>0.64</v>
      </c>
      <c r="K26" s="41">
        <v>148.19999999999999</v>
      </c>
      <c r="L26" s="41">
        <v>14.09</v>
      </c>
      <c r="M26" s="41">
        <v>17.45</v>
      </c>
      <c r="N26" s="41">
        <v>9.5</v>
      </c>
      <c r="O26" s="41">
        <v>0</v>
      </c>
      <c r="P26" s="41">
        <v>0.33</v>
      </c>
      <c r="Q26" s="41">
        <v>9.32</v>
      </c>
      <c r="R26" s="38"/>
      <c r="S26" s="38"/>
      <c r="T26" s="38"/>
      <c r="U26" s="38"/>
    </row>
    <row r="27" spans="1:21" customFormat="1">
      <c r="A27" s="40" t="s">
        <v>559</v>
      </c>
      <c r="B27" s="41">
        <v>2.13</v>
      </c>
      <c r="C27" s="41">
        <v>6.9</v>
      </c>
      <c r="D27" s="41">
        <v>5.32</v>
      </c>
      <c r="E27" s="41">
        <v>6.87</v>
      </c>
      <c r="F27" s="41">
        <v>2</v>
      </c>
      <c r="G27" s="41">
        <v>29.96</v>
      </c>
      <c r="H27" s="41">
        <v>16.149999999999999</v>
      </c>
      <c r="I27" s="41">
        <v>4.97</v>
      </c>
      <c r="J27" s="41">
        <v>0.22</v>
      </c>
      <c r="K27" s="41">
        <v>227.39</v>
      </c>
      <c r="L27" s="41">
        <v>21.11</v>
      </c>
      <c r="M27" s="41">
        <v>34.93</v>
      </c>
      <c r="N27" s="41">
        <v>3.4</v>
      </c>
      <c r="O27" s="41">
        <v>0</v>
      </c>
      <c r="P27" s="41">
        <v>0.32</v>
      </c>
      <c r="Q27" s="41">
        <v>9.32</v>
      </c>
      <c r="R27" s="38"/>
      <c r="S27" s="38"/>
      <c r="T27" s="38"/>
      <c r="U27" s="38"/>
    </row>
    <row r="28" spans="1:21" customFormat="1">
      <c r="A28" s="40" t="s">
        <v>560</v>
      </c>
      <c r="B28" s="41">
        <v>2.7</v>
      </c>
      <c r="C28" s="41">
        <v>7.42</v>
      </c>
      <c r="D28" s="41">
        <v>6.04</v>
      </c>
      <c r="E28" s="41">
        <v>7.17</v>
      </c>
      <c r="F28" s="41">
        <v>2</v>
      </c>
      <c r="G28" s="41">
        <v>36.61</v>
      </c>
      <c r="H28" s="41">
        <v>23.38</v>
      </c>
      <c r="I28" s="41">
        <v>5.18</v>
      </c>
      <c r="J28" s="41">
        <v>0.28000000000000003</v>
      </c>
      <c r="K28" s="41">
        <v>346.41</v>
      </c>
      <c r="L28" s="41">
        <v>19.13</v>
      </c>
      <c r="M28" s="41">
        <v>29.75</v>
      </c>
      <c r="N28" s="41">
        <v>2.2000000000000002</v>
      </c>
      <c r="O28" s="41">
        <v>0</v>
      </c>
      <c r="P28" s="41">
        <v>0.33</v>
      </c>
      <c r="Q28" s="41">
        <v>9.32</v>
      </c>
      <c r="R28" s="38"/>
      <c r="S28" s="38"/>
      <c r="T28" s="38"/>
      <c r="U28" s="38"/>
    </row>
    <row r="29" spans="1:21" customFormat="1">
      <c r="A29" s="40" t="s">
        <v>561</v>
      </c>
      <c r="B29" s="41">
        <v>2.85</v>
      </c>
      <c r="C29" s="41">
        <v>7.35</v>
      </c>
      <c r="D29" s="41">
        <v>6.1</v>
      </c>
      <c r="E29" s="41">
        <v>7.57</v>
      </c>
      <c r="F29" s="41">
        <v>2</v>
      </c>
      <c r="G29" s="41">
        <v>47.89</v>
      </c>
      <c r="H29" s="41">
        <v>30.77</v>
      </c>
      <c r="I29" s="41">
        <v>5.18</v>
      </c>
      <c r="J29" s="41">
        <v>0.2</v>
      </c>
      <c r="K29" s="41">
        <v>174.03</v>
      </c>
      <c r="L29" s="41">
        <v>16.59</v>
      </c>
      <c r="M29" s="41">
        <v>23.78</v>
      </c>
      <c r="N29" s="41">
        <v>2.2999999999999998</v>
      </c>
      <c r="O29" s="41">
        <v>0</v>
      </c>
      <c r="P29" s="41">
        <v>0.35</v>
      </c>
      <c r="Q29" s="41">
        <v>9.32</v>
      </c>
      <c r="R29" s="38"/>
      <c r="S29" s="38"/>
      <c r="T29" s="38"/>
      <c r="U29" s="38"/>
    </row>
    <row r="30" spans="1:21" customFormat="1">
      <c r="A30" s="40" t="s">
        <v>562</v>
      </c>
      <c r="B30" s="41">
        <v>2.83</v>
      </c>
      <c r="C30" s="41">
        <v>7.69</v>
      </c>
      <c r="D30" s="41">
        <v>6.26</v>
      </c>
      <c r="E30" s="41">
        <v>7.41</v>
      </c>
      <c r="F30" s="41">
        <v>2</v>
      </c>
      <c r="G30" s="41">
        <v>47.89</v>
      </c>
      <c r="H30" s="41">
        <v>30.77</v>
      </c>
      <c r="I30" s="41">
        <v>5.18</v>
      </c>
      <c r="J30" s="41">
        <v>0.38</v>
      </c>
      <c r="K30" s="41">
        <v>57.04</v>
      </c>
      <c r="L30" s="41">
        <v>8.3000000000000007</v>
      </c>
      <c r="M30" s="41">
        <v>2.78</v>
      </c>
      <c r="N30" s="41">
        <v>2.4</v>
      </c>
      <c r="O30" s="41">
        <v>0</v>
      </c>
      <c r="P30" s="41">
        <v>0.39</v>
      </c>
      <c r="Q30" s="41">
        <v>9.34</v>
      </c>
      <c r="R30" s="38"/>
      <c r="S30" s="38"/>
      <c r="T30" s="38"/>
      <c r="U30" s="38"/>
    </row>
    <row r="31" spans="1:21" customFormat="1">
      <c r="A31" s="40" t="s">
        <v>563</v>
      </c>
      <c r="B31" s="41">
        <v>2.81</v>
      </c>
      <c r="C31" s="41">
        <v>8.32</v>
      </c>
      <c r="D31" s="41">
        <v>6.6</v>
      </c>
      <c r="E31" s="41">
        <v>8.2899999999999991</v>
      </c>
      <c r="F31" s="41">
        <v>2.3199999999999998</v>
      </c>
      <c r="G31" s="41">
        <v>49.35</v>
      </c>
      <c r="H31" s="41">
        <v>29.73</v>
      </c>
      <c r="I31" s="41">
        <v>5.18</v>
      </c>
      <c r="J31" s="41">
        <v>0.43</v>
      </c>
      <c r="K31" s="41">
        <v>57.6</v>
      </c>
      <c r="L31" s="41">
        <v>8.76</v>
      </c>
      <c r="M31" s="41">
        <v>3.89</v>
      </c>
      <c r="N31" s="41">
        <v>2.4</v>
      </c>
      <c r="O31" s="41">
        <v>0</v>
      </c>
      <c r="P31" s="41">
        <v>0.39</v>
      </c>
      <c r="Q31" s="41">
        <v>9.32</v>
      </c>
      <c r="R31" s="38"/>
      <c r="S31" s="38"/>
      <c r="T31" s="38"/>
      <c r="U31" s="38"/>
    </row>
    <row r="32" spans="1:21" customFormat="1">
      <c r="A32" s="40" t="s">
        <v>564</v>
      </c>
      <c r="B32" s="41">
        <v>3.14</v>
      </c>
      <c r="C32" s="41">
        <v>7.79</v>
      </c>
      <c r="D32" s="41">
        <v>6.59</v>
      </c>
      <c r="E32" s="41">
        <v>8.1</v>
      </c>
      <c r="F32" s="41">
        <v>2</v>
      </c>
      <c r="G32" s="41">
        <v>49.35</v>
      </c>
      <c r="H32" s="41">
        <v>29.74</v>
      </c>
      <c r="I32" s="41">
        <v>5.18</v>
      </c>
      <c r="J32" s="41">
        <v>0.28999999999999998</v>
      </c>
      <c r="K32" s="41">
        <v>156.13</v>
      </c>
      <c r="L32" s="41">
        <v>15.32</v>
      </c>
      <c r="M32" s="41">
        <v>20.51</v>
      </c>
      <c r="N32" s="41">
        <v>2.4</v>
      </c>
      <c r="O32" s="41">
        <v>0</v>
      </c>
      <c r="P32" s="41">
        <v>0.4</v>
      </c>
      <c r="Q32" s="41">
        <v>9.33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2.13</v>
      </c>
      <c r="C34" s="18">
        <f t="shared" si="0"/>
        <v>5.83</v>
      </c>
      <c r="D34" s="18">
        <f t="shared" si="0"/>
        <v>5.32</v>
      </c>
      <c r="E34" s="18">
        <f t="shared" si="0"/>
        <v>6.17</v>
      </c>
      <c r="F34" s="18">
        <f t="shared" si="0"/>
        <v>2</v>
      </c>
      <c r="G34" s="18">
        <f t="shared" si="0"/>
        <v>12.3</v>
      </c>
      <c r="H34" s="18">
        <f t="shared" si="0"/>
        <v>6.71</v>
      </c>
      <c r="I34" s="18">
        <f t="shared" si="0"/>
        <v>2.2999999999999998</v>
      </c>
      <c r="J34" s="18">
        <f t="shared" si="0"/>
        <v>0.15</v>
      </c>
      <c r="K34" s="18">
        <f t="shared" si="0"/>
        <v>46.45</v>
      </c>
      <c r="L34" s="18">
        <f t="shared" si="0"/>
        <v>8.07</v>
      </c>
      <c r="M34" s="18">
        <f t="shared" si="0"/>
        <v>1.96</v>
      </c>
      <c r="N34" s="18">
        <f t="shared" si="0"/>
        <v>2.1</v>
      </c>
      <c r="O34" s="18">
        <f t="shared" si="0"/>
        <v>0</v>
      </c>
      <c r="P34" s="18">
        <f t="shared" si="0"/>
        <v>0.19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8.33</v>
      </c>
      <c r="C35" s="3">
        <f t="shared" si="1"/>
        <v>8.32</v>
      </c>
      <c r="D35" s="3">
        <f t="shared" si="1"/>
        <v>10.1</v>
      </c>
      <c r="E35" s="3">
        <f t="shared" si="1"/>
        <v>8.2899999999999991</v>
      </c>
      <c r="F35" s="3">
        <f t="shared" si="1"/>
        <v>7.73</v>
      </c>
      <c r="G35" s="3">
        <f t="shared" si="1"/>
        <v>49.35</v>
      </c>
      <c r="H35" s="3">
        <f t="shared" si="1"/>
        <v>30.77</v>
      </c>
      <c r="I35" s="3">
        <f t="shared" si="1"/>
        <v>5.18</v>
      </c>
      <c r="J35" s="3">
        <f t="shared" si="1"/>
        <v>0.64</v>
      </c>
      <c r="K35" s="3">
        <f t="shared" si="1"/>
        <v>346.41</v>
      </c>
      <c r="L35" s="3">
        <f t="shared" si="1"/>
        <v>21.11</v>
      </c>
      <c r="M35" s="3">
        <f t="shared" si="1"/>
        <v>34.93</v>
      </c>
      <c r="N35" s="3">
        <f t="shared" si="1"/>
        <v>466</v>
      </c>
      <c r="O35" s="3">
        <f t="shared" si="1"/>
        <v>0</v>
      </c>
      <c r="P35" s="3">
        <f t="shared" si="1"/>
        <v>0.4</v>
      </c>
      <c r="Q35" s="3">
        <f t="shared" si="1"/>
        <v>11.69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4.2629166666666665</v>
      </c>
      <c r="C36" s="18">
        <f t="shared" si="2"/>
        <v>6.8983333333333325</v>
      </c>
      <c r="D36" s="18">
        <f t="shared" si="2"/>
        <v>7.0058333333333316</v>
      </c>
      <c r="E36" s="18">
        <f t="shared" si="2"/>
        <v>7.1362499999999995</v>
      </c>
      <c r="F36" s="18">
        <f t="shared" si="2"/>
        <v>2.7895833333333329</v>
      </c>
      <c r="G36" s="18">
        <f t="shared" si="2"/>
        <v>24.495833333333334</v>
      </c>
      <c r="H36" s="18">
        <f t="shared" si="2"/>
        <v>14.704166666666666</v>
      </c>
      <c r="I36" s="18">
        <f t="shared" si="2"/>
        <v>3.8295833333333342</v>
      </c>
      <c r="J36" s="18">
        <f t="shared" si="2"/>
        <v>0.3775</v>
      </c>
      <c r="K36" s="18">
        <f t="shared" si="2"/>
        <v>122.39375000000001</v>
      </c>
      <c r="L36" s="18">
        <f t="shared" si="2"/>
        <v>13.842499999999999</v>
      </c>
      <c r="M36" s="18">
        <f t="shared" si="2"/>
        <v>14.558333333333332</v>
      </c>
      <c r="N36" s="18">
        <f t="shared" si="2"/>
        <v>108.45000000000003</v>
      </c>
      <c r="O36" s="18">
        <f t="shared" si="2"/>
        <v>0</v>
      </c>
      <c r="P36" s="18">
        <f t="shared" si="2"/>
        <v>0.26749999999999996</v>
      </c>
      <c r="Q36" s="18">
        <f t="shared" si="2"/>
        <v>9.6424999999999965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2.0727622384396751</v>
      </c>
      <c r="C37" s="18">
        <f t="shared" ref="C37:Q37" si="3">STDEV(C9:C32)</f>
        <v>0.69521761789520575</v>
      </c>
      <c r="D37" s="18">
        <f t="shared" si="3"/>
        <v>1.6019089608465906</v>
      </c>
      <c r="E37" s="18">
        <f t="shared" si="3"/>
        <v>0.60525820936192187</v>
      </c>
      <c r="F37" s="18">
        <f t="shared" si="3"/>
        <v>1.7327873478166977</v>
      </c>
      <c r="G37" s="18">
        <f t="shared" si="3"/>
        <v>12.506910408690651</v>
      </c>
      <c r="H37" s="18">
        <f t="shared" si="3"/>
        <v>8.1177807615599988</v>
      </c>
      <c r="I37" s="18">
        <f t="shared" si="3"/>
        <v>1.1176780245968243</v>
      </c>
      <c r="J37" s="18">
        <f t="shared" si="3"/>
        <v>0.14213435162916629</v>
      </c>
      <c r="K37" s="18">
        <f t="shared" si="3"/>
        <v>67.038243777744853</v>
      </c>
      <c r="L37" s="18">
        <f t="shared" si="3"/>
        <v>3.5509585356265654</v>
      </c>
      <c r="M37" s="18">
        <f t="shared" si="3"/>
        <v>8.6344656523405838</v>
      </c>
      <c r="N37" s="18">
        <f t="shared" si="3"/>
        <v>150.832763710991</v>
      </c>
      <c r="O37" s="18">
        <f t="shared" si="3"/>
        <v>0</v>
      </c>
      <c r="P37" s="18">
        <f t="shared" si="3"/>
        <v>6.7453687816160401E-2</v>
      </c>
      <c r="Q37" s="18">
        <f t="shared" si="3"/>
        <v>0.59730736388941463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K31" sqref="K3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22/10/2025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565</v>
      </c>
      <c r="B9" s="41">
        <v>3.55</v>
      </c>
      <c r="C9" s="41">
        <v>6.87</v>
      </c>
      <c r="D9" s="41">
        <v>6.42</v>
      </c>
      <c r="E9" s="41">
        <v>7.77</v>
      </c>
      <c r="F9" s="41">
        <v>2</v>
      </c>
      <c r="G9" s="41">
        <v>70.06</v>
      </c>
      <c r="H9" s="41">
        <v>42.21</v>
      </c>
      <c r="I9" s="41">
        <v>4.71</v>
      </c>
      <c r="J9" s="41">
        <v>0.3</v>
      </c>
      <c r="K9" s="41">
        <v>147.77000000000001</v>
      </c>
      <c r="L9" s="41">
        <v>14.14</v>
      </c>
      <c r="M9" s="41">
        <v>17.559999999999999</v>
      </c>
      <c r="N9" s="41">
        <v>2.2000000000000002</v>
      </c>
      <c r="O9" s="41">
        <v>0</v>
      </c>
      <c r="P9" s="41">
        <v>0.4</v>
      </c>
      <c r="Q9" s="41">
        <v>9.32</v>
      </c>
      <c r="R9" s="38"/>
      <c r="S9" s="38"/>
      <c r="T9" s="38"/>
      <c r="U9" s="38"/>
    </row>
    <row r="10" spans="1:21" customFormat="1">
      <c r="A10" s="40" t="s">
        <v>566</v>
      </c>
      <c r="B10" s="41">
        <v>4.09</v>
      </c>
      <c r="C10" s="41">
        <v>7.38</v>
      </c>
      <c r="D10" s="41">
        <v>6.99</v>
      </c>
      <c r="E10" s="41">
        <v>7.78</v>
      </c>
      <c r="F10" s="41">
        <v>2</v>
      </c>
      <c r="G10" s="41">
        <v>72.41</v>
      </c>
      <c r="H10" s="41">
        <v>44.07</v>
      </c>
      <c r="I10" s="41">
        <v>4.71</v>
      </c>
      <c r="J10" s="41">
        <v>0.28999999999999998</v>
      </c>
      <c r="K10" s="41">
        <v>55.34</v>
      </c>
      <c r="L10" s="41">
        <v>10.95</v>
      </c>
      <c r="M10" s="41">
        <v>9.19</v>
      </c>
      <c r="N10" s="41">
        <v>2.4</v>
      </c>
      <c r="O10" s="41">
        <v>0</v>
      </c>
      <c r="P10" s="41">
        <v>0.4</v>
      </c>
      <c r="Q10" s="41">
        <v>9.32</v>
      </c>
      <c r="R10" s="38"/>
      <c r="S10" s="38"/>
      <c r="T10" s="38"/>
      <c r="U10" s="38"/>
    </row>
    <row r="11" spans="1:21" customFormat="1">
      <c r="A11" s="40" t="s">
        <v>567</v>
      </c>
      <c r="B11" s="41">
        <v>4.49</v>
      </c>
      <c r="C11" s="41">
        <v>7.02</v>
      </c>
      <c r="D11" s="41">
        <v>7.16</v>
      </c>
      <c r="E11" s="41">
        <v>7.28</v>
      </c>
      <c r="F11" s="41">
        <v>2</v>
      </c>
      <c r="G11" s="41">
        <v>72.47</v>
      </c>
      <c r="H11" s="41">
        <v>44.07</v>
      </c>
      <c r="I11" s="41">
        <v>1.84</v>
      </c>
      <c r="J11" s="41">
        <v>0.19</v>
      </c>
      <c r="K11" s="41">
        <v>69.02</v>
      </c>
      <c r="L11" s="41">
        <v>13.26</v>
      </c>
      <c r="M11" s="41">
        <v>15.08</v>
      </c>
      <c r="N11" s="41">
        <v>2.2999999999999998</v>
      </c>
      <c r="O11" s="41">
        <v>0</v>
      </c>
      <c r="P11" s="41">
        <v>0.4</v>
      </c>
      <c r="Q11" s="41">
        <v>9.32</v>
      </c>
      <c r="R11" s="38"/>
      <c r="S11" s="38"/>
      <c r="T11" s="38"/>
      <c r="U11" s="38"/>
    </row>
    <row r="12" spans="1:21" customFormat="1">
      <c r="A12" s="40" t="s">
        <v>568</v>
      </c>
      <c r="B12" s="41">
        <v>4.5599999999999996</v>
      </c>
      <c r="C12" s="41">
        <v>6.9</v>
      </c>
      <c r="D12" s="41">
        <v>7.16</v>
      </c>
      <c r="E12" s="41">
        <v>7.6</v>
      </c>
      <c r="F12" s="41">
        <v>2</v>
      </c>
      <c r="G12" s="41">
        <v>72.47</v>
      </c>
      <c r="H12" s="41">
        <v>43</v>
      </c>
      <c r="I12" s="41">
        <v>5.32</v>
      </c>
      <c r="J12" s="41">
        <v>0.49</v>
      </c>
      <c r="K12" s="41">
        <v>64.88</v>
      </c>
      <c r="L12" s="41">
        <v>9.77</v>
      </c>
      <c r="M12" s="41">
        <v>6.42</v>
      </c>
      <c r="N12" s="41">
        <v>2.1</v>
      </c>
      <c r="O12" s="41">
        <v>0</v>
      </c>
      <c r="P12" s="41">
        <v>0.43</v>
      </c>
      <c r="Q12" s="41">
        <v>9.32</v>
      </c>
      <c r="R12" s="38"/>
      <c r="S12" s="38"/>
      <c r="T12" s="38"/>
      <c r="U12" s="38"/>
    </row>
    <row r="13" spans="1:21" customFormat="1">
      <c r="A13" s="40" t="s">
        <v>569</v>
      </c>
      <c r="B13" s="41">
        <v>4.17</v>
      </c>
      <c r="C13" s="41">
        <v>7.21</v>
      </c>
      <c r="D13" s="41">
        <v>6.99</v>
      </c>
      <c r="E13" s="41">
        <v>7.55</v>
      </c>
      <c r="F13" s="41">
        <v>2</v>
      </c>
      <c r="G13" s="41">
        <v>69.540000000000006</v>
      </c>
      <c r="H13" s="41">
        <v>40.200000000000003</v>
      </c>
      <c r="I13" s="41">
        <v>5.67</v>
      </c>
      <c r="J13" s="41">
        <v>0.31</v>
      </c>
      <c r="K13" s="41">
        <v>55.22</v>
      </c>
      <c r="L13" s="41">
        <v>8.34</v>
      </c>
      <c r="M13" s="41">
        <v>2.77</v>
      </c>
      <c r="N13" s="41">
        <v>2.2000000000000002</v>
      </c>
      <c r="O13" s="41">
        <v>0</v>
      </c>
      <c r="P13" s="41">
        <v>0.44</v>
      </c>
      <c r="Q13" s="41">
        <v>9.32</v>
      </c>
      <c r="R13" s="38"/>
      <c r="S13" s="38"/>
      <c r="T13" s="38"/>
      <c r="U13" s="38"/>
    </row>
    <row r="14" spans="1:21" customFormat="1">
      <c r="A14" s="40" t="s">
        <v>570</v>
      </c>
      <c r="B14" s="41">
        <v>3.99</v>
      </c>
      <c r="C14" s="41">
        <v>7.13</v>
      </c>
      <c r="D14" s="41">
        <v>6.92</v>
      </c>
      <c r="E14" s="41">
        <v>7.38</v>
      </c>
      <c r="F14" s="41">
        <v>2</v>
      </c>
      <c r="G14" s="41">
        <v>69.53</v>
      </c>
      <c r="H14" s="41">
        <v>40.200000000000003</v>
      </c>
      <c r="I14" s="41">
        <v>6.17</v>
      </c>
      <c r="J14" s="41">
        <v>0.33</v>
      </c>
      <c r="K14" s="41">
        <v>52.42</v>
      </c>
      <c r="L14" s="41">
        <v>8.81</v>
      </c>
      <c r="M14" s="41">
        <v>3.87</v>
      </c>
      <c r="N14" s="41">
        <v>2.8</v>
      </c>
      <c r="O14" s="41">
        <v>0</v>
      </c>
      <c r="P14" s="41">
        <v>0.43</v>
      </c>
      <c r="Q14" s="41">
        <v>9.32</v>
      </c>
      <c r="R14" s="38"/>
      <c r="S14" s="38"/>
      <c r="T14" s="38"/>
      <c r="U14" s="38"/>
    </row>
    <row r="15" spans="1:21" customFormat="1">
      <c r="A15" s="40" t="s">
        <v>571</v>
      </c>
      <c r="B15" s="41">
        <v>4.42</v>
      </c>
      <c r="C15" s="41">
        <v>7.09</v>
      </c>
      <c r="D15" s="41">
        <v>7.21</v>
      </c>
      <c r="E15" s="41">
        <v>7.55</v>
      </c>
      <c r="F15" s="41">
        <v>2</v>
      </c>
      <c r="G15" s="41">
        <v>69.81</v>
      </c>
      <c r="H15" s="41">
        <v>40.99</v>
      </c>
      <c r="I15" s="41">
        <v>6.33</v>
      </c>
      <c r="J15" s="41">
        <v>0.38</v>
      </c>
      <c r="K15" s="41">
        <v>43</v>
      </c>
      <c r="L15" s="41">
        <v>8.94</v>
      </c>
      <c r="M15" s="41">
        <v>3.82</v>
      </c>
      <c r="N15" s="41">
        <v>31.5</v>
      </c>
      <c r="O15" s="41">
        <v>0</v>
      </c>
      <c r="P15" s="41">
        <v>0.45</v>
      </c>
      <c r="Q15" s="41">
        <v>9.32</v>
      </c>
      <c r="R15" s="38"/>
      <c r="S15" s="38"/>
      <c r="T15" s="38"/>
      <c r="U15" s="38"/>
    </row>
    <row r="16" spans="1:21" customFormat="1">
      <c r="A16" s="40" t="s">
        <v>572</v>
      </c>
      <c r="B16" s="41">
        <v>4.6500000000000004</v>
      </c>
      <c r="C16" s="41">
        <v>7.05</v>
      </c>
      <c r="D16" s="41">
        <v>7.41</v>
      </c>
      <c r="E16" s="41">
        <v>7.61</v>
      </c>
      <c r="F16" s="41">
        <v>2</v>
      </c>
      <c r="G16" s="41">
        <v>72.05</v>
      </c>
      <c r="H16" s="41">
        <v>41.74</v>
      </c>
      <c r="I16" s="41">
        <v>6.14</v>
      </c>
      <c r="J16" s="41">
        <v>0.44</v>
      </c>
      <c r="K16" s="41">
        <v>72.02</v>
      </c>
      <c r="L16" s="41">
        <v>10.84</v>
      </c>
      <c r="M16" s="41">
        <v>6.22</v>
      </c>
      <c r="N16" s="41">
        <v>175.5</v>
      </c>
      <c r="O16" s="41">
        <v>0</v>
      </c>
      <c r="P16" s="41">
        <v>0.46</v>
      </c>
      <c r="Q16" s="41">
        <v>9.32</v>
      </c>
      <c r="R16" s="38"/>
      <c r="S16" s="38"/>
      <c r="T16" s="38"/>
      <c r="U16" s="38"/>
    </row>
    <row r="17" spans="1:21" customFormat="1">
      <c r="A17" s="40" t="s">
        <v>573</v>
      </c>
      <c r="B17" s="41">
        <v>4.3099999999999996</v>
      </c>
      <c r="C17" s="41">
        <v>6.99</v>
      </c>
      <c r="D17" s="41">
        <v>7.1</v>
      </c>
      <c r="E17" s="41">
        <v>7.56</v>
      </c>
      <c r="F17" s="41">
        <v>2</v>
      </c>
      <c r="G17" s="41">
        <v>72.05</v>
      </c>
      <c r="H17" s="41">
        <v>41.74</v>
      </c>
      <c r="I17" s="41">
        <v>6.14</v>
      </c>
      <c r="J17" s="41">
        <v>0.46</v>
      </c>
      <c r="K17" s="41">
        <v>80.39</v>
      </c>
      <c r="L17" s="41">
        <v>12.76</v>
      </c>
      <c r="M17" s="41">
        <v>8.83</v>
      </c>
      <c r="N17" s="41">
        <v>300.60000000000002</v>
      </c>
      <c r="O17" s="41">
        <v>0</v>
      </c>
      <c r="P17" s="41">
        <v>0.46</v>
      </c>
      <c r="Q17" s="41">
        <v>9.32</v>
      </c>
      <c r="R17" s="38"/>
      <c r="S17" s="38"/>
      <c r="T17" s="38"/>
      <c r="U17" s="38"/>
    </row>
    <row r="18" spans="1:21" customFormat="1">
      <c r="A18" s="40" t="s">
        <v>574</v>
      </c>
      <c r="B18" s="41">
        <v>3.88</v>
      </c>
      <c r="C18" s="41">
        <v>6.86</v>
      </c>
      <c r="D18" s="41">
        <v>6.61</v>
      </c>
      <c r="E18" s="41">
        <v>7.11</v>
      </c>
      <c r="F18" s="41">
        <v>2.2200000000000002</v>
      </c>
      <c r="G18" s="41">
        <v>68.260000000000005</v>
      </c>
      <c r="H18" s="41">
        <v>40.659999999999997</v>
      </c>
      <c r="I18" s="41">
        <v>6.14</v>
      </c>
      <c r="J18" s="41">
        <v>0.53</v>
      </c>
      <c r="K18" s="41">
        <v>128.21</v>
      </c>
      <c r="L18" s="41">
        <v>16.91</v>
      </c>
      <c r="M18" s="41">
        <v>15.06</v>
      </c>
      <c r="N18" s="41">
        <v>454.5</v>
      </c>
      <c r="O18" s="41">
        <v>0</v>
      </c>
      <c r="P18" s="41">
        <v>0.42</v>
      </c>
      <c r="Q18" s="41">
        <v>9.32</v>
      </c>
      <c r="R18" s="38"/>
      <c r="S18" s="38"/>
      <c r="T18" s="38"/>
      <c r="U18" s="38"/>
    </row>
    <row r="19" spans="1:21" customFormat="1">
      <c r="A19" s="40" t="s">
        <v>575</v>
      </c>
      <c r="B19" s="41">
        <v>3.57</v>
      </c>
      <c r="C19" s="41">
        <v>6.86</v>
      </c>
      <c r="D19" s="41">
        <v>6.41</v>
      </c>
      <c r="E19" s="41">
        <v>6.91</v>
      </c>
      <c r="F19" s="41">
        <v>2.0099999999999998</v>
      </c>
      <c r="G19" s="41">
        <v>61.59</v>
      </c>
      <c r="H19" s="41">
        <v>34.61</v>
      </c>
      <c r="I19" s="41">
        <v>6.14</v>
      </c>
      <c r="J19" s="41">
        <v>0.38</v>
      </c>
      <c r="K19" s="41">
        <v>113.86</v>
      </c>
      <c r="L19" s="41">
        <v>18.850000000000001</v>
      </c>
      <c r="M19" s="41">
        <v>14.94</v>
      </c>
      <c r="N19" s="41">
        <v>584.70000000000005</v>
      </c>
      <c r="O19" s="41">
        <v>0</v>
      </c>
      <c r="P19" s="41">
        <v>0.4</v>
      </c>
      <c r="Q19" s="41">
        <v>9.32</v>
      </c>
      <c r="R19" s="38"/>
      <c r="S19" s="38"/>
      <c r="T19" s="38"/>
      <c r="U19" s="38"/>
    </row>
    <row r="20" spans="1:21" customFormat="1">
      <c r="A20" s="40" t="s">
        <v>576</v>
      </c>
      <c r="B20" s="41">
        <v>3.22</v>
      </c>
      <c r="C20" s="41">
        <v>6.74</v>
      </c>
      <c r="D20" s="41">
        <v>6.1</v>
      </c>
      <c r="E20" s="41">
        <v>6.7</v>
      </c>
      <c r="F20" s="41">
        <v>3.01</v>
      </c>
      <c r="G20" s="41">
        <v>59.24</v>
      </c>
      <c r="H20" s="41">
        <v>30.54</v>
      </c>
      <c r="I20" s="41">
        <v>6.14</v>
      </c>
      <c r="J20" s="41">
        <v>0.54</v>
      </c>
      <c r="K20" s="41">
        <v>77.8</v>
      </c>
      <c r="L20" s="41">
        <v>16.77</v>
      </c>
      <c r="M20" s="41">
        <v>10.24</v>
      </c>
      <c r="N20" s="41">
        <v>605.79999999999995</v>
      </c>
      <c r="O20" s="41">
        <v>0</v>
      </c>
      <c r="P20" s="41">
        <v>0.38</v>
      </c>
      <c r="Q20" s="41">
        <v>9.32</v>
      </c>
      <c r="R20" s="38"/>
      <c r="S20" s="38"/>
      <c r="T20" s="38"/>
      <c r="U20" s="38"/>
    </row>
    <row r="21" spans="1:21" customFormat="1">
      <c r="A21" s="40" t="s">
        <v>577</v>
      </c>
      <c r="B21" s="41">
        <v>3</v>
      </c>
      <c r="C21" s="41">
        <v>6.76</v>
      </c>
      <c r="D21" s="41">
        <v>5.93</v>
      </c>
      <c r="E21" s="41">
        <v>6.71</v>
      </c>
      <c r="F21" s="41">
        <v>3.02</v>
      </c>
      <c r="G21" s="41">
        <v>52.79</v>
      </c>
      <c r="H21" s="41">
        <v>28.5</v>
      </c>
      <c r="I21" s="41">
        <v>6.14</v>
      </c>
      <c r="J21" s="41">
        <v>0.47</v>
      </c>
      <c r="K21" s="41">
        <v>119.25</v>
      </c>
      <c r="L21" s="41">
        <v>20.059999999999999</v>
      </c>
      <c r="M21" s="41">
        <v>18.2</v>
      </c>
      <c r="N21" s="41">
        <v>610.20000000000005</v>
      </c>
      <c r="O21" s="41">
        <v>0</v>
      </c>
      <c r="P21" s="41">
        <v>0.37</v>
      </c>
      <c r="Q21" s="41">
        <v>9.32</v>
      </c>
      <c r="R21" s="38"/>
      <c r="S21" s="38"/>
      <c r="T21" s="38"/>
      <c r="U21" s="38"/>
    </row>
    <row r="22" spans="1:21" customFormat="1">
      <c r="A22" s="40" t="s">
        <v>578</v>
      </c>
      <c r="B22" s="41">
        <v>2.66</v>
      </c>
      <c r="C22" s="41">
        <v>6.83</v>
      </c>
      <c r="D22" s="41">
        <v>5.54</v>
      </c>
      <c r="E22" s="41">
        <v>6.33</v>
      </c>
      <c r="F22" s="41">
        <v>12.93</v>
      </c>
      <c r="G22" s="41">
        <v>43.64</v>
      </c>
      <c r="H22" s="41">
        <v>25.71</v>
      </c>
      <c r="I22" s="41">
        <v>6.14</v>
      </c>
      <c r="J22" s="41">
        <v>0.33</v>
      </c>
      <c r="K22" s="41">
        <v>147.08000000000001</v>
      </c>
      <c r="L22" s="41">
        <v>19.78</v>
      </c>
      <c r="M22" s="41">
        <v>20.11</v>
      </c>
      <c r="N22" s="41">
        <v>544.6</v>
      </c>
      <c r="O22" s="41">
        <v>0</v>
      </c>
      <c r="P22" s="41">
        <v>0.35</v>
      </c>
      <c r="Q22" s="41">
        <v>9.32</v>
      </c>
      <c r="R22" s="38"/>
      <c r="S22" s="38"/>
      <c r="T22" s="38"/>
      <c r="U22" s="38"/>
    </row>
    <row r="23" spans="1:21" customFormat="1">
      <c r="A23" s="40" t="s">
        <v>579</v>
      </c>
      <c r="B23" s="41">
        <v>1.93</v>
      </c>
      <c r="C23" s="41">
        <v>7.61</v>
      </c>
      <c r="D23" s="41">
        <v>5.52</v>
      </c>
      <c r="E23" s="41">
        <v>5.93</v>
      </c>
      <c r="F23" s="41">
        <v>28.07</v>
      </c>
      <c r="G23" s="41">
        <v>39.44</v>
      </c>
      <c r="H23" s="41">
        <v>22.56</v>
      </c>
      <c r="I23" s="41">
        <v>4.71</v>
      </c>
      <c r="J23" s="41">
        <v>0.34</v>
      </c>
      <c r="K23" s="41">
        <v>130.22</v>
      </c>
      <c r="L23" s="41">
        <v>16.920000000000002</v>
      </c>
      <c r="M23" s="41">
        <v>15.72</v>
      </c>
      <c r="N23" s="41">
        <v>379</v>
      </c>
      <c r="O23" s="41">
        <v>0</v>
      </c>
      <c r="P23" s="41">
        <v>0.25</v>
      </c>
      <c r="Q23" s="41">
        <v>9.32</v>
      </c>
      <c r="R23" s="38"/>
      <c r="S23" s="38"/>
      <c r="T23" s="38"/>
      <c r="U23" s="38"/>
    </row>
    <row r="24" spans="1:21" customFormat="1">
      <c r="A24" s="40" t="s">
        <v>580</v>
      </c>
      <c r="B24" s="41">
        <v>1.58</v>
      </c>
      <c r="C24" s="41">
        <v>6.9</v>
      </c>
      <c r="D24" s="41">
        <v>4.88</v>
      </c>
      <c r="E24" s="41">
        <v>6.78</v>
      </c>
      <c r="F24" s="41">
        <v>40.869999999999997</v>
      </c>
      <c r="G24" s="41">
        <v>33.07</v>
      </c>
      <c r="H24" s="41">
        <v>17.82</v>
      </c>
      <c r="I24" s="41">
        <v>4.71</v>
      </c>
      <c r="J24" s="41">
        <v>0.3</v>
      </c>
      <c r="K24" s="41">
        <v>151.27000000000001</v>
      </c>
      <c r="L24" s="41">
        <v>16.25</v>
      </c>
      <c r="M24" s="41">
        <v>22.08</v>
      </c>
      <c r="N24" s="41">
        <v>43.4</v>
      </c>
      <c r="O24" s="41">
        <v>0</v>
      </c>
      <c r="P24" s="41">
        <v>0.23</v>
      </c>
      <c r="Q24" s="41">
        <v>9.32</v>
      </c>
      <c r="R24" s="38"/>
      <c r="S24" s="38"/>
      <c r="T24" s="38"/>
      <c r="U24" s="38"/>
    </row>
    <row r="25" spans="1:21" customFormat="1">
      <c r="A25" s="40" t="s">
        <v>581</v>
      </c>
      <c r="B25" s="41">
        <v>1.47</v>
      </c>
      <c r="C25" s="41">
        <v>6.02</v>
      </c>
      <c r="D25" s="41">
        <v>4.2699999999999996</v>
      </c>
      <c r="E25" s="41">
        <v>7.71</v>
      </c>
      <c r="F25" s="41">
        <v>55.01</v>
      </c>
      <c r="G25" s="41">
        <v>33.82</v>
      </c>
      <c r="H25" s="41">
        <v>19.75</v>
      </c>
      <c r="I25" s="41">
        <v>4.71</v>
      </c>
      <c r="J25" s="41">
        <v>0.28000000000000003</v>
      </c>
      <c r="K25" s="41">
        <v>147.09</v>
      </c>
      <c r="L25" s="41">
        <v>15.1</v>
      </c>
      <c r="M25" s="41">
        <v>19.54</v>
      </c>
      <c r="N25" s="41">
        <v>27.2</v>
      </c>
      <c r="O25" s="41">
        <v>0</v>
      </c>
      <c r="P25" s="41">
        <v>0.21</v>
      </c>
      <c r="Q25" s="41">
        <v>9.32</v>
      </c>
      <c r="R25" s="38"/>
      <c r="S25" s="38"/>
      <c r="T25" s="38"/>
      <c r="U25" s="38"/>
    </row>
    <row r="26" spans="1:21" customFormat="1">
      <c r="A26" s="40" t="s">
        <v>582</v>
      </c>
      <c r="B26" s="41">
        <v>1.5</v>
      </c>
      <c r="C26" s="41">
        <v>7.16</v>
      </c>
      <c r="D26" s="41">
        <v>4.9400000000000004</v>
      </c>
      <c r="E26" s="41">
        <v>7.39</v>
      </c>
      <c r="F26" s="41">
        <v>37.619999999999997</v>
      </c>
      <c r="G26" s="41">
        <v>33.82</v>
      </c>
      <c r="H26" s="41">
        <v>19.75</v>
      </c>
      <c r="I26" s="41">
        <v>1.84</v>
      </c>
      <c r="J26" s="41">
        <v>0.35</v>
      </c>
      <c r="K26" s="41">
        <v>153.36000000000001</v>
      </c>
      <c r="L26" s="41">
        <v>15.37</v>
      </c>
      <c r="M26" s="41">
        <v>20.62</v>
      </c>
      <c r="N26" s="41">
        <v>9.1</v>
      </c>
      <c r="O26" s="41">
        <v>0</v>
      </c>
      <c r="P26" s="41">
        <v>0.26</v>
      </c>
      <c r="Q26" s="41">
        <v>9.32</v>
      </c>
      <c r="R26" s="38"/>
      <c r="S26" s="38"/>
      <c r="T26" s="38"/>
      <c r="U26" s="38"/>
    </row>
    <row r="27" spans="1:21" customFormat="1">
      <c r="A27" s="40" t="s">
        <v>583</v>
      </c>
      <c r="B27" s="41">
        <v>2.35</v>
      </c>
      <c r="C27" s="41">
        <v>10.4</v>
      </c>
      <c r="D27" s="41">
        <v>7.26</v>
      </c>
      <c r="E27" s="41">
        <v>5.53</v>
      </c>
      <c r="F27" s="41">
        <v>3.92</v>
      </c>
      <c r="G27" s="41">
        <v>46.74</v>
      </c>
      <c r="H27" s="41">
        <v>20.43</v>
      </c>
      <c r="I27" s="41">
        <v>5.32</v>
      </c>
      <c r="J27" s="41">
        <v>0.37</v>
      </c>
      <c r="K27" s="41">
        <v>110.93</v>
      </c>
      <c r="L27" s="41">
        <v>13.1</v>
      </c>
      <c r="M27" s="41">
        <v>14.96</v>
      </c>
      <c r="N27" s="41">
        <v>2.4</v>
      </c>
      <c r="O27" s="41">
        <v>0</v>
      </c>
      <c r="P27" s="41">
        <v>0.32</v>
      </c>
      <c r="Q27" s="41">
        <v>9.32</v>
      </c>
      <c r="R27" s="38"/>
      <c r="S27" s="38"/>
      <c r="T27" s="38"/>
      <c r="U27" s="38"/>
    </row>
    <row r="28" spans="1:21" customFormat="1">
      <c r="A28" s="40" t="s">
        <v>584</v>
      </c>
      <c r="B28" s="41">
        <v>3.19</v>
      </c>
      <c r="C28" s="41">
        <v>9.9499999999999993</v>
      </c>
      <c r="D28" s="41">
        <v>7.71</v>
      </c>
      <c r="E28" s="41">
        <v>6.58</v>
      </c>
      <c r="F28" s="41">
        <v>2</v>
      </c>
      <c r="G28" s="41">
        <v>72.64</v>
      </c>
      <c r="H28" s="41">
        <v>36.71</v>
      </c>
      <c r="I28" s="41">
        <v>5.67</v>
      </c>
      <c r="J28" s="41">
        <v>0.32</v>
      </c>
      <c r="K28" s="41">
        <v>64.87</v>
      </c>
      <c r="L28" s="41">
        <v>9.44</v>
      </c>
      <c r="M28" s="41">
        <v>5.46</v>
      </c>
      <c r="N28" s="41">
        <v>2.2999999999999998</v>
      </c>
      <c r="O28" s="41">
        <v>0</v>
      </c>
      <c r="P28" s="41">
        <v>0.37</v>
      </c>
      <c r="Q28" s="41">
        <v>9.32</v>
      </c>
      <c r="R28" s="38"/>
      <c r="S28" s="38"/>
      <c r="T28" s="38"/>
      <c r="U28" s="38"/>
    </row>
    <row r="29" spans="1:21" customFormat="1">
      <c r="A29" s="40" t="s">
        <v>585</v>
      </c>
      <c r="B29" s="41">
        <v>3.68</v>
      </c>
      <c r="C29" s="41">
        <v>9.83</v>
      </c>
      <c r="D29" s="41">
        <v>8.08</v>
      </c>
      <c r="E29" s="41">
        <v>5.48</v>
      </c>
      <c r="F29" s="41">
        <v>2</v>
      </c>
      <c r="G29" s="41">
        <v>81.27</v>
      </c>
      <c r="H29" s="41">
        <v>41.59</v>
      </c>
      <c r="I29" s="41">
        <v>6.17</v>
      </c>
      <c r="J29" s="41">
        <v>0.36</v>
      </c>
      <c r="K29" s="41">
        <v>79.459999999999994</v>
      </c>
      <c r="L29" s="41">
        <v>9.73</v>
      </c>
      <c r="M29" s="41">
        <v>6.35</v>
      </c>
      <c r="N29" s="41">
        <v>2.2999999999999998</v>
      </c>
      <c r="O29" s="41">
        <v>0</v>
      </c>
      <c r="P29" s="41">
        <v>0.37</v>
      </c>
      <c r="Q29" s="41">
        <v>9.32</v>
      </c>
      <c r="R29" s="38"/>
      <c r="S29" s="38"/>
      <c r="T29" s="38"/>
      <c r="U29" s="38"/>
    </row>
    <row r="30" spans="1:21" customFormat="1">
      <c r="A30" s="40" t="s">
        <v>586</v>
      </c>
      <c r="B30" s="41">
        <v>3.69</v>
      </c>
      <c r="C30" s="41">
        <v>8.1199999999999992</v>
      </c>
      <c r="D30" s="41">
        <v>7.13</v>
      </c>
      <c r="E30" s="41">
        <v>4.8099999999999996</v>
      </c>
      <c r="F30" s="41">
        <v>2.76</v>
      </c>
      <c r="G30" s="41">
        <v>81.47</v>
      </c>
      <c r="H30" s="41">
        <v>41.88</v>
      </c>
      <c r="I30" s="41">
        <v>6.33</v>
      </c>
      <c r="J30" s="41">
        <v>0.19</v>
      </c>
      <c r="K30" s="41">
        <v>196.56</v>
      </c>
      <c r="L30" s="41">
        <v>18.45</v>
      </c>
      <c r="M30" s="41">
        <v>28.4</v>
      </c>
      <c r="N30" s="41">
        <v>2.5</v>
      </c>
      <c r="O30" s="41">
        <v>0</v>
      </c>
      <c r="P30" s="41">
        <v>0.35</v>
      </c>
      <c r="Q30" s="41">
        <v>9.32</v>
      </c>
      <c r="R30" s="38"/>
      <c r="S30" s="38"/>
      <c r="T30" s="38"/>
      <c r="U30" s="38"/>
    </row>
    <row r="31" spans="1:21" customFormat="1">
      <c r="A31" s="40" t="s">
        <v>587</v>
      </c>
      <c r="B31" s="41">
        <v>3.68</v>
      </c>
      <c r="C31" s="41">
        <v>7.17</v>
      </c>
      <c r="D31" s="41">
        <v>6.67</v>
      </c>
      <c r="E31" s="41">
        <v>4.38</v>
      </c>
      <c r="F31" s="41">
        <v>2</v>
      </c>
      <c r="G31" s="41">
        <v>81.47</v>
      </c>
      <c r="H31" s="41">
        <v>41.88</v>
      </c>
      <c r="I31" s="41">
        <v>6.14</v>
      </c>
      <c r="J31" s="41">
        <v>0.14000000000000001</v>
      </c>
      <c r="K31" s="41">
        <v>160.54</v>
      </c>
      <c r="L31" s="41">
        <v>15.53</v>
      </c>
      <c r="M31" s="41">
        <v>21.11</v>
      </c>
      <c r="N31" s="41">
        <v>2.1</v>
      </c>
      <c r="O31" s="41">
        <v>0</v>
      </c>
      <c r="P31" s="41">
        <v>0.36</v>
      </c>
      <c r="Q31" s="41">
        <v>9.32</v>
      </c>
      <c r="R31" s="38"/>
      <c r="S31" s="38"/>
      <c r="T31" s="38"/>
      <c r="U31" s="38"/>
    </row>
    <row r="32" spans="1:21" customFormat="1">
      <c r="A32" s="40" t="s">
        <v>588</v>
      </c>
      <c r="B32" s="41">
        <v>3.73</v>
      </c>
      <c r="C32" s="41">
        <v>7.1</v>
      </c>
      <c r="D32" s="41">
        <v>6.7</v>
      </c>
      <c r="E32" s="41">
        <v>4.68</v>
      </c>
      <c r="F32" s="41">
        <v>2</v>
      </c>
      <c r="G32" s="41">
        <v>76.37</v>
      </c>
      <c r="H32" s="41">
        <v>41.7</v>
      </c>
      <c r="I32" s="41">
        <v>6.17</v>
      </c>
      <c r="J32" s="41">
        <v>0.18</v>
      </c>
      <c r="K32" s="41">
        <v>214.41</v>
      </c>
      <c r="L32" s="41">
        <v>19.739999999999998</v>
      </c>
      <c r="M32" s="41">
        <v>31.61</v>
      </c>
      <c r="N32" s="41">
        <v>2.5</v>
      </c>
      <c r="O32" s="41">
        <v>0</v>
      </c>
      <c r="P32" s="41">
        <v>0.39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1.47</v>
      </c>
      <c r="C34" s="18">
        <f t="shared" si="0"/>
        <v>6.02</v>
      </c>
      <c r="D34" s="18">
        <f t="shared" si="0"/>
        <v>4.2699999999999996</v>
      </c>
      <c r="E34" s="18">
        <f t="shared" si="0"/>
        <v>4.38</v>
      </c>
      <c r="F34" s="18">
        <f t="shared" si="0"/>
        <v>2</v>
      </c>
      <c r="G34" s="18">
        <f t="shared" si="0"/>
        <v>33.07</v>
      </c>
      <c r="H34" s="18">
        <f t="shared" si="0"/>
        <v>17.82</v>
      </c>
      <c r="I34" s="18">
        <f t="shared" si="0"/>
        <v>1.84</v>
      </c>
      <c r="J34" s="18">
        <f t="shared" si="0"/>
        <v>0.14000000000000001</v>
      </c>
      <c r="K34" s="18">
        <f t="shared" si="0"/>
        <v>43</v>
      </c>
      <c r="L34" s="18">
        <f t="shared" si="0"/>
        <v>8.34</v>
      </c>
      <c r="M34" s="18">
        <f t="shared" si="0"/>
        <v>2.77</v>
      </c>
      <c r="N34" s="18">
        <f t="shared" si="0"/>
        <v>2.1</v>
      </c>
      <c r="O34" s="18">
        <f t="shared" si="0"/>
        <v>0</v>
      </c>
      <c r="P34" s="18">
        <f t="shared" si="0"/>
        <v>0.21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4.6500000000000004</v>
      </c>
      <c r="C35" s="3">
        <f t="shared" si="1"/>
        <v>10.4</v>
      </c>
      <c r="D35" s="3">
        <f t="shared" si="1"/>
        <v>8.08</v>
      </c>
      <c r="E35" s="3">
        <f t="shared" si="1"/>
        <v>7.78</v>
      </c>
      <c r="F35" s="3">
        <f t="shared" si="1"/>
        <v>55.01</v>
      </c>
      <c r="G35" s="3">
        <f t="shared" si="1"/>
        <v>81.47</v>
      </c>
      <c r="H35" s="3">
        <f t="shared" si="1"/>
        <v>44.07</v>
      </c>
      <c r="I35" s="3">
        <f t="shared" si="1"/>
        <v>6.33</v>
      </c>
      <c r="J35" s="3">
        <f t="shared" si="1"/>
        <v>0.54</v>
      </c>
      <c r="K35" s="3">
        <f t="shared" si="1"/>
        <v>214.41</v>
      </c>
      <c r="L35" s="3">
        <f t="shared" si="1"/>
        <v>20.059999999999999</v>
      </c>
      <c r="M35" s="3">
        <f t="shared" si="1"/>
        <v>31.61</v>
      </c>
      <c r="N35" s="3">
        <f t="shared" si="1"/>
        <v>610.20000000000005</v>
      </c>
      <c r="O35" s="3">
        <f t="shared" si="1"/>
        <v>0</v>
      </c>
      <c r="P35" s="3">
        <f t="shared" si="1"/>
        <v>0.46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3.3900000000000006</v>
      </c>
      <c r="C36" s="18">
        <f t="shared" si="2"/>
        <v>7.4145833333333329</v>
      </c>
      <c r="D36" s="18">
        <f t="shared" si="2"/>
        <v>6.5462499999999997</v>
      </c>
      <c r="E36" s="18">
        <f t="shared" si="2"/>
        <v>6.7129166666666658</v>
      </c>
      <c r="F36" s="18">
        <f t="shared" si="2"/>
        <v>9.0599999999999987</v>
      </c>
      <c r="G36" s="18">
        <f t="shared" si="2"/>
        <v>62.750833333333333</v>
      </c>
      <c r="H36" s="18">
        <f t="shared" si="2"/>
        <v>35.096250000000005</v>
      </c>
      <c r="I36" s="18">
        <f t="shared" si="2"/>
        <v>5.3958333333333321</v>
      </c>
      <c r="J36" s="18">
        <f t="shared" si="2"/>
        <v>0.3445833333333333</v>
      </c>
      <c r="K36" s="18">
        <f t="shared" si="2"/>
        <v>109.79041666666666</v>
      </c>
      <c r="L36" s="18">
        <f t="shared" si="2"/>
        <v>14.15875</v>
      </c>
      <c r="M36" s="18">
        <f t="shared" si="2"/>
        <v>14.090000000000002</v>
      </c>
      <c r="N36" s="18">
        <f t="shared" si="2"/>
        <v>158.09166666666667</v>
      </c>
      <c r="O36" s="18">
        <f t="shared" si="2"/>
        <v>0</v>
      </c>
      <c r="P36" s="18">
        <f t="shared" si="2"/>
        <v>0.3708333333333334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0.99358376378248403</v>
      </c>
      <c r="C37" s="18">
        <f t="shared" ref="C37:Q37" si="3">STDEV(C9:C32)</f>
        <v>1.0883652646402135</v>
      </c>
      <c r="D37" s="18">
        <f t="shared" si="3"/>
        <v>0.94631924248409049</v>
      </c>
      <c r="E37" s="18">
        <f t="shared" si="3"/>
        <v>1.0483962044233472</v>
      </c>
      <c r="F37" s="18">
        <f t="shared" si="3"/>
        <v>15.034681356060091</v>
      </c>
      <c r="G37" s="18">
        <f t="shared" si="3"/>
        <v>15.935571616783136</v>
      </c>
      <c r="H37" s="18">
        <f t="shared" si="3"/>
        <v>9.219467028120917</v>
      </c>
      <c r="I37" s="18">
        <f t="shared" si="3"/>
        <v>1.2471739067280041</v>
      </c>
      <c r="J37" s="18">
        <f t="shared" si="3"/>
        <v>0.10741950137364396</v>
      </c>
      <c r="K37" s="18">
        <f t="shared" si="3"/>
        <v>48.176868297444123</v>
      </c>
      <c r="L37" s="18">
        <f t="shared" si="3"/>
        <v>3.8710467211584083</v>
      </c>
      <c r="M37" s="18">
        <f t="shared" si="3"/>
        <v>7.8799006835498027</v>
      </c>
      <c r="N37" s="18">
        <f t="shared" si="3"/>
        <v>233.41566565038968</v>
      </c>
      <c r="O37" s="18">
        <f t="shared" si="3"/>
        <v>0</v>
      </c>
      <c r="P37" s="18">
        <f t="shared" si="3"/>
        <v>7.113469566629306E-2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96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M21" sqref="M21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23/10/2025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589</v>
      </c>
      <c r="B9" s="41">
        <v>3.39</v>
      </c>
      <c r="C9" s="41">
        <v>6.42</v>
      </c>
      <c r="D9" s="41">
        <v>6.07</v>
      </c>
      <c r="E9" s="41">
        <v>4.9000000000000004</v>
      </c>
      <c r="F9" s="41">
        <v>2</v>
      </c>
      <c r="G9" s="41">
        <v>73.459999999999994</v>
      </c>
      <c r="H9" s="41">
        <v>41.7</v>
      </c>
      <c r="I9" s="41">
        <v>5.95</v>
      </c>
      <c r="J9" s="41">
        <v>0.13</v>
      </c>
      <c r="K9" s="41">
        <v>171.51</v>
      </c>
      <c r="L9" s="41">
        <v>16.829999999999998</v>
      </c>
      <c r="M9" s="41">
        <v>24.34</v>
      </c>
      <c r="N9" s="41">
        <v>2.1</v>
      </c>
      <c r="O9" s="41">
        <v>0</v>
      </c>
      <c r="P9" s="41">
        <v>0.38</v>
      </c>
      <c r="Q9" s="41">
        <v>9.32</v>
      </c>
      <c r="R9" s="38"/>
      <c r="S9" s="38"/>
      <c r="T9" s="38"/>
      <c r="U9" s="38"/>
    </row>
    <row r="10" spans="1:21" customFormat="1">
      <c r="A10" s="40" t="s">
        <v>590</v>
      </c>
      <c r="B10" s="41">
        <v>3.7</v>
      </c>
      <c r="C10" s="41">
        <v>6.96</v>
      </c>
      <c r="D10" s="41">
        <v>6.6</v>
      </c>
      <c r="E10" s="41">
        <v>5.0999999999999996</v>
      </c>
      <c r="F10" s="41">
        <v>2</v>
      </c>
      <c r="G10" s="41">
        <v>72.92</v>
      </c>
      <c r="H10" s="41">
        <v>37.54</v>
      </c>
      <c r="I10" s="41">
        <v>5.88</v>
      </c>
      <c r="J10" s="41">
        <v>0.16</v>
      </c>
      <c r="K10" s="41">
        <v>184.35</v>
      </c>
      <c r="L10" s="41">
        <v>17.47</v>
      </c>
      <c r="M10" s="41">
        <v>25.97</v>
      </c>
      <c r="N10" s="41">
        <v>2.1</v>
      </c>
      <c r="O10" s="41">
        <v>0</v>
      </c>
      <c r="P10" s="41">
        <v>0.38</v>
      </c>
      <c r="Q10" s="41">
        <v>9.32</v>
      </c>
      <c r="R10" s="38"/>
      <c r="S10" s="38"/>
      <c r="T10" s="38"/>
      <c r="U10" s="38"/>
    </row>
    <row r="11" spans="1:21" customFormat="1">
      <c r="A11" s="40" t="s">
        <v>591</v>
      </c>
      <c r="B11" s="41">
        <v>4.21</v>
      </c>
      <c r="C11" s="41">
        <v>7.33</v>
      </c>
      <c r="D11" s="41">
        <v>7.19</v>
      </c>
      <c r="E11" s="41">
        <v>5.54</v>
      </c>
      <c r="F11" s="41">
        <v>2</v>
      </c>
      <c r="G11" s="41">
        <v>69.13</v>
      </c>
      <c r="H11" s="41">
        <v>30.35</v>
      </c>
      <c r="I11" s="41">
        <v>5.89</v>
      </c>
      <c r="J11" s="41">
        <v>0.15</v>
      </c>
      <c r="K11" s="41">
        <v>176.04</v>
      </c>
      <c r="L11" s="41">
        <v>17.13</v>
      </c>
      <c r="M11" s="41">
        <v>24.99</v>
      </c>
      <c r="N11" s="41">
        <v>2.1</v>
      </c>
      <c r="O11" s="41">
        <v>0</v>
      </c>
      <c r="P11" s="41">
        <v>0.38</v>
      </c>
      <c r="Q11" s="41">
        <v>9.32</v>
      </c>
      <c r="R11" s="38"/>
      <c r="S11" s="38"/>
      <c r="T11" s="38"/>
      <c r="U11" s="38"/>
    </row>
    <row r="12" spans="1:21" customFormat="1">
      <c r="A12" s="40" t="s">
        <v>592</v>
      </c>
      <c r="B12" s="41">
        <v>4.24</v>
      </c>
      <c r="C12" s="41">
        <v>7.22</v>
      </c>
      <c r="D12" s="41">
        <v>7.17</v>
      </c>
      <c r="E12" s="41">
        <v>5.52</v>
      </c>
      <c r="F12" s="41">
        <v>2</v>
      </c>
      <c r="G12" s="41">
        <v>66.17</v>
      </c>
      <c r="H12" s="41">
        <v>31.7</v>
      </c>
      <c r="I12" s="41">
        <v>5.92</v>
      </c>
      <c r="J12" s="41">
        <v>0.28000000000000003</v>
      </c>
      <c r="K12" s="41">
        <v>34.270000000000003</v>
      </c>
      <c r="L12" s="41">
        <v>10.7</v>
      </c>
      <c r="M12" s="41">
        <v>8.6</v>
      </c>
      <c r="N12" s="41">
        <v>2.2999999999999998</v>
      </c>
      <c r="O12" s="41">
        <v>0</v>
      </c>
      <c r="P12" s="41">
        <v>0.38</v>
      </c>
      <c r="Q12" s="41">
        <v>9.32</v>
      </c>
      <c r="R12" s="38"/>
      <c r="S12" s="38"/>
      <c r="T12" s="38"/>
      <c r="U12" s="38"/>
    </row>
    <row r="13" spans="1:21" customFormat="1">
      <c r="A13" s="40" t="s">
        <v>593</v>
      </c>
      <c r="B13" s="41">
        <v>4.47</v>
      </c>
      <c r="C13" s="41">
        <v>6.67</v>
      </c>
      <c r="D13" s="41">
        <v>7.06</v>
      </c>
      <c r="E13" s="41">
        <v>5.64</v>
      </c>
      <c r="F13" s="41">
        <v>2</v>
      </c>
      <c r="G13" s="41">
        <v>66.17</v>
      </c>
      <c r="H13" s="41">
        <v>33.75</v>
      </c>
      <c r="I13" s="41">
        <v>5.99</v>
      </c>
      <c r="J13" s="41">
        <v>0.36</v>
      </c>
      <c r="K13" s="41">
        <v>47.33</v>
      </c>
      <c r="L13" s="41">
        <v>9.36</v>
      </c>
      <c r="M13" s="41">
        <v>5.23</v>
      </c>
      <c r="N13" s="41">
        <v>2.1</v>
      </c>
      <c r="O13" s="41">
        <v>0</v>
      </c>
      <c r="P13" s="41">
        <v>0.35</v>
      </c>
      <c r="Q13" s="41">
        <v>9.32</v>
      </c>
      <c r="R13" s="38"/>
      <c r="S13" s="38"/>
      <c r="T13" s="38"/>
      <c r="U13" s="38"/>
    </row>
    <row r="14" spans="1:21" customFormat="1">
      <c r="A14" s="40" t="s">
        <v>594</v>
      </c>
      <c r="B14" s="41">
        <v>5.14</v>
      </c>
      <c r="C14" s="41">
        <v>6.63</v>
      </c>
      <c r="D14" s="41">
        <v>7.57</v>
      </c>
      <c r="E14" s="41">
        <v>5.27</v>
      </c>
      <c r="F14" s="41">
        <v>2</v>
      </c>
      <c r="G14" s="41">
        <v>73.760000000000005</v>
      </c>
      <c r="H14" s="41">
        <v>38.229999999999997</v>
      </c>
      <c r="I14" s="41">
        <v>6.19</v>
      </c>
      <c r="J14" s="41">
        <v>0.43</v>
      </c>
      <c r="K14" s="41">
        <v>63.04</v>
      </c>
      <c r="L14" s="41">
        <v>8.81</v>
      </c>
      <c r="M14" s="41">
        <v>4.04</v>
      </c>
      <c r="N14" s="41">
        <v>2.9</v>
      </c>
      <c r="O14" s="41">
        <v>0</v>
      </c>
      <c r="P14" s="41">
        <v>0.35</v>
      </c>
      <c r="Q14" s="41">
        <v>9.32</v>
      </c>
      <c r="R14" s="38"/>
      <c r="S14" s="38"/>
      <c r="T14" s="38"/>
      <c r="U14" s="38"/>
    </row>
    <row r="15" spans="1:21" customFormat="1">
      <c r="A15" s="40" t="s">
        <v>595</v>
      </c>
      <c r="B15" s="41">
        <v>5.5</v>
      </c>
      <c r="C15" s="41">
        <v>6.8</v>
      </c>
      <c r="D15" s="41">
        <v>7.97</v>
      </c>
      <c r="E15" s="41">
        <v>5.26</v>
      </c>
      <c r="F15" s="41">
        <v>2</v>
      </c>
      <c r="G15" s="41">
        <v>76.72</v>
      </c>
      <c r="H15" s="41">
        <v>39.549999999999997</v>
      </c>
      <c r="I15" s="41">
        <v>6.31</v>
      </c>
      <c r="J15" s="41">
        <v>0.4</v>
      </c>
      <c r="K15" s="41">
        <v>68.989999999999995</v>
      </c>
      <c r="L15" s="41">
        <v>10.16</v>
      </c>
      <c r="M15" s="41">
        <v>7.37</v>
      </c>
      <c r="N15" s="41">
        <v>34.200000000000003</v>
      </c>
      <c r="O15" s="41">
        <v>0</v>
      </c>
      <c r="P15" s="41">
        <v>0.37</v>
      </c>
      <c r="Q15" s="41">
        <v>9.32</v>
      </c>
      <c r="R15" s="38"/>
      <c r="S15" s="38"/>
      <c r="T15" s="38"/>
      <c r="U15" s="38"/>
    </row>
    <row r="16" spans="1:21" customFormat="1">
      <c r="A16" s="40" t="s">
        <v>596</v>
      </c>
      <c r="B16" s="41">
        <v>5.59</v>
      </c>
      <c r="C16" s="41">
        <v>6.95</v>
      </c>
      <c r="D16" s="41">
        <v>8.06</v>
      </c>
      <c r="E16" s="41">
        <v>5.4</v>
      </c>
      <c r="F16" s="41">
        <v>2</v>
      </c>
      <c r="G16" s="41">
        <v>80.48</v>
      </c>
      <c r="H16" s="41">
        <v>39.71</v>
      </c>
      <c r="I16" s="41">
        <v>6.69</v>
      </c>
      <c r="J16" s="41">
        <v>0.55000000000000004</v>
      </c>
      <c r="K16" s="41">
        <v>68.12</v>
      </c>
      <c r="L16" s="41">
        <v>11.39</v>
      </c>
      <c r="M16" s="41">
        <v>6.02</v>
      </c>
      <c r="N16" s="41">
        <v>196.8</v>
      </c>
      <c r="O16" s="41">
        <v>0</v>
      </c>
      <c r="P16" s="41">
        <v>0.39</v>
      </c>
      <c r="Q16" s="41">
        <v>9.32</v>
      </c>
      <c r="R16" s="38"/>
      <c r="S16" s="38"/>
      <c r="T16" s="38"/>
      <c r="U16" s="38"/>
    </row>
    <row r="17" spans="1:21" customFormat="1">
      <c r="A17" s="40" t="s">
        <v>597</v>
      </c>
      <c r="B17" s="41">
        <v>5.22</v>
      </c>
      <c r="C17" s="41">
        <v>7.12</v>
      </c>
      <c r="D17" s="41">
        <v>7.79</v>
      </c>
      <c r="E17" s="41">
        <v>5.49</v>
      </c>
      <c r="F17" s="41">
        <v>2</v>
      </c>
      <c r="G17" s="41">
        <v>80.48</v>
      </c>
      <c r="H17" s="41">
        <v>40.85</v>
      </c>
      <c r="I17" s="41">
        <v>6.79</v>
      </c>
      <c r="J17" s="41">
        <v>0.52</v>
      </c>
      <c r="K17" s="41">
        <v>73.63</v>
      </c>
      <c r="L17" s="41">
        <v>12.92</v>
      </c>
      <c r="M17" s="41">
        <v>7.83</v>
      </c>
      <c r="N17" s="41">
        <v>334.8</v>
      </c>
      <c r="O17" s="41">
        <v>0</v>
      </c>
      <c r="P17" s="41">
        <v>0.4</v>
      </c>
      <c r="Q17" s="41">
        <v>9.32</v>
      </c>
      <c r="R17" s="38"/>
      <c r="S17" s="38"/>
      <c r="T17" s="38"/>
      <c r="U17" s="38"/>
    </row>
    <row r="18" spans="1:21" customFormat="1">
      <c r="A18" s="40" t="s">
        <v>598</v>
      </c>
      <c r="B18" s="41">
        <v>4.1500000000000004</v>
      </c>
      <c r="C18" s="41">
        <v>7.36</v>
      </c>
      <c r="D18" s="41">
        <v>7.07</v>
      </c>
      <c r="E18" s="41">
        <v>5.63</v>
      </c>
      <c r="F18" s="41">
        <v>2</v>
      </c>
      <c r="G18" s="41">
        <v>75.989999999999995</v>
      </c>
      <c r="H18" s="41">
        <v>40.85</v>
      </c>
      <c r="I18" s="41">
        <v>6.72</v>
      </c>
      <c r="J18" s="41">
        <v>0.38</v>
      </c>
      <c r="K18" s="41">
        <v>100.1</v>
      </c>
      <c r="L18" s="41">
        <v>16.04</v>
      </c>
      <c r="M18" s="41">
        <v>11.29</v>
      </c>
      <c r="N18" s="41">
        <v>506.7</v>
      </c>
      <c r="O18" s="41">
        <v>0</v>
      </c>
      <c r="P18" s="41">
        <v>0.41</v>
      </c>
      <c r="Q18" s="41">
        <v>9.32</v>
      </c>
      <c r="R18" s="38"/>
      <c r="S18" s="38"/>
      <c r="T18" s="38"/>
      <c r="U18" s="38"/>
    </row>
    <row r="19" spans="1:21" customFormat="1">
      <c r="A19" s="40" t="s">
        <v>599</v>
      </c>
      <c r="B19" s="41">
        <v>3.28</v>
      </c>
      <c r="C19" s="41">
        <v>7.4</v>
      </c>
      <c r="D19" s="41">
        <v>6.48</v>
      </c>
      <c r="E19" s="41">
        <v>6.69</v>
      </c>
      <c r="F19" s="41">
        <v>2</v>
      </c>
      <c r="G19" s="41">
        <v>69.64</v>
      </c>
      <c r="H19" s="41">
        <v>38.67</v>
      </c>
      <c r="I19" s="41">
        <v>6.72</v>
      </c>
      <c r="J19" s="41">
        <v>0.67</v>
      </c>
      <c r="K19" s="41">
        <v>93.17</v>
      </c>
      <c r="L19" s="41">
        <v>16.22</v>
      </c>
      <c r="M19" s="41">
        <v>9.4</v>
      </c>
      <c r="N19" s="41">
        <v>596</v>
      </c>
      <c r="O19" s="41">
        <v>0</v>
      </c>
      <c r="P19" s="41">
        <v>0.4</v>
      </c>
      <c r="Q19" s="41">
        <v>9.32</v>
      </c>
      <c r="R19" s="38"/>
      <c r="S19" s="38"/>
      <c r="T19" s="38"/>
      <c r="U19" s="38"/>
    </row>
    <row r="20" spans="1:21" customFormat="1">
      <c r="A20" s="40" t="s">
        <v>600</v>
      </c>
      <c r="B20" s="41">
        <v>2.67</v>
      </c>
      <c r="C20" s="41">
        <v>7.28</v>
      </c>
      <c r="D20" s="41">
        <v>5.94</v>
      </c>
      <c r="E20" s="41">
        <v>6.93</v>
      </c>
      <c r="F20" s="41">
        <v>2</v>
      </c>
      <c r="G20" s="41">
        <v>57.45</v>
      </c>
      <c r="H20" s="41">
        <v>34.17</v>
      </c>
      <c r="I20" s="41">
        <v>6.72</v>
      </c>
      <c r="J20" s="41">
        <v>0.52</v>
      </c>
      <c r="K20" s="41">
        <v>121.06</v>
      </c>
      <c r="L20" s="41">
        <v>19.43</v>
      </c>
      <c r="M20" s="41">
        <v>15.14</v>
      </c>
      <c r="N20" s="41">
        <v>670.5</v>
      </c>
      <c r="O20" s="41">
        <v>0</v>
      </c>
      <c r="P20" s="41">
        <v>0.4</v>
      </c>
      <c r="Q20" s="41">
        <v>9.32</v>
      </c>
      <c r="R20" s="38"/>
      <c r="S20" s="38"/>
      <c r="T20" s="38"/>
      <c r="U20" s="38"/>
    </row>
    <row r="21" spans="1:21" customFormat="1">
      <c r="A21" s="40" t="s">
        <v>601</v>
      </c>
      <c r="B21" s="41">
        <v>2.23</v>
      </c>
      <c r="C21" s="41">
        <v>6.84</v>
      </c>
      <c r="D21" s="41">
        <v>5.36</v>
      </c>
      <c r="E21" s="41">
        <v>6.74</v>
      </c>
      <c r="F21" s="41">
        <v>2.2000000000000002</v>
      </c>
      <c r="G21" s="41">
        <v>57.45</v>
      </c>
      <c r="H21" s="41">
        <v>30.22</v>
      </c>
      <c r="I21" s="41">
        <v>6.72</v>
      </c>
      <c r="J21" s="41">
        <v>0.33</v>
      </c>
      <c r="K21" s="41">
        <v>122.13</v>
      </c>
      <c r="L21" s="41">
        <v>18.75</v>
      </c>
      <c r="M21" s="41">
        <v>13.54</v>
      </c>
      <c r="N21" s="41">
        <v>659.9</v>
      </c>
      <c r="O21" s="41">
        <v>0</v>
      </c>
      <c r="P21" s="41">
        <v>0.37</v>
      </c>
      <c r="Q21" s="41">
        <v>9.32</v>
      </c>
      <c r="R21" s="38"/>
      <c r="S21" s="38"/>
      <c r="T21" s="38"/>
      <c r="U21" s="38"/>
    </row>
    <row r="22" spans="1:21" customFormat="1">
      <c r="A22" s="40" t="s">
        <v>602</v>
      </c>
      <c r="B22" s="41">
        <v>2.15</v>
      </c>
      <c r="C22" s="41">
        <v>6.47</v>
      </c>
      <c r="D22" s="41">
        <v>5.0999999999999996</v>
      </c>
      <c r="E22" s="41">
        <v>6.87</v>
      </c>
      <c r="F22" s="41">
        <v>2.4300000000000002</v>
      </c>
      <c r="G22" s="41">
        <v>46.05</v>
      </c>
      <c r="H22" s="41">
        <v>28.29</v>
      </c>
      <c r="I22" s="41">
        <v>6.72</v>
      </c>
      <c r="J22" s="41">
        <v>0.35</v>
      </c>
      <c r="K22" s="41">
        <v>142.9</v>
      </c>
      <c r="L22" s="41">
        <v>18.88</v>
      </c>
      <c r="M22" s="41">
        <v>16.579999999999998</v>
      </c>
      <c r="N22" s="41">
        <v>549.29999999999995</v>
      </c>
      <c r="O22" s="41">
        <v>0</v>
      </c>
      <c r="P22" s="41">
        <v>0.34</v>
      </c>
      <c r="Q22" s="41">
        <v>9.32</v>
      </c>
      <c r="R22" s="38"/>
      <c r="S22" s="38"/>
      <c r="T22" s="38"/>
      <c r="U22" s="38"/>
    </row>
    <row r="23" spans="1:21" customFormat="1">
      <c r="A23" s="40" t="s">
        <v>603</v>
      </c>
      <c r="B23" s="41">
        <v>2.2599999999999998</v>
      </c>
      <c r="C23" s="41">
        <v>6.26</v>
      </c>
      <c r="D23" s="41">
        <v>5.07</v>
      </c>
      <c r="E23" s="41">
        <v>7.31</v>
      </c>
      <c r="F23" s="41">
        <v>9.84</v>
      </c>
      <c r="G23" s="41">
        <v>44.15</v>
      </c>
      <c r="H23" s="41">
        <v>20.86</v>
      </c>
      <c r="I23" s="41">
        <v>6.72</v>
      </c>
      <c r="J23" s="41">
        <v>0.24</v>
      </c>
      <c r="K23" s="41">
        <v>114.07</v>
      </c>
      <c r="L23" s="41">
        <v>18.21</v>
      </c>
      <c r="M23" s="41">
        <v>17.63</v>
      </c>
      <c r="N23" s="41">
        <v>435</v>
      </c>
      <c r="O23" s="41">
        <v>0</v>
      </c>
      <c r="P23" s="41">
        <v>0.31</v>
      </c>
      <c r="Q23" s="41">
        <v>9.32</v>
      </c>
      <c r="R23" s="38"/>
      <c r="S23" s="38"/>
      <c r="T23" s="38"/>
      <c r="U23" s="38"/>
    </row>
    <row r="24" spans="1:21" customFormat="1">
      <c r="A24" s="40" t="s">
        <v>604</v>
      </c>
      <c r="B24" s="41">
        <v>2.38</v>
      </c>
      <c r="C24" s="41">
        <v>6.61</v>
      </c>
      <c r="D24" s="41">
        <v>5.36</v>
      </c>
      <c r="E24" s="41">
        <v>8.18</v>
      </c>
      <c r="F24" s="41">
        <v>11.2</v>
      </c>
      <c r="G24" s="41">
        <v>37.86</v>
      </c>
      <c r="H24" s="41">
        <v>20.86</v>
      </c>
      <c r="I24" s="41">
        <v>1.3</v>
      </c>
      <c r="J24" s="41">
        <v>0.51</v>
      </c>
      <c r="K24" s="41">
        <v>143.41</v>
      </c>
      <c r="L24" s="41">
        <v>14.69</v>
      </c>
      <c r="M24" s="41">
        <v>17.54</v>
      </c>
      <c r="N24" s="41">
        <v>44.5</v>
      </c>
      <c r="O24" s="41">
        <v>0</v>
      </c>
      <c r="P24" s="41">
        <v>0.28000000000000003</v>
      </c>
      <c r="Q24" s="41">
        <v>9.32</v>
      </c>
      <c r="R24" s="38"/>
      <c r="S24" s="38"/>
      <c r="T24" s="38"/>
      <c r="U24" s="38"/>
    </row>
    <row r="25" spans="1:21" customFormat="1">
      <c r="A25" s="40" t="s">
        <v>605</v>
      </c>
      <c r="B25" s="41">
        <v>2.41</v>
      </c>
      <c r="C25" s="41">
        <v>7.32</v>
      </c>
      <c r="D25" s="41">
        <v>5.76</v>
      </c>
      <c r="E25" s="41">
        <v>10.29</v>
      </c>
      <c r="F25" s="41">
        <v>10.6</v>
      </c>
      <c r="G25" s="41">
        <v>37.86</v>
      </c>
      <c r="H25" s="41">
        <v>20.11</v>
      </c>
      <c r="I25" s="41">
        <v>2.6</v>
      </c>
      <c r="J25" s="41">
        <v>0.28000000000000003</v>
      </c>
      <c r="K25" s="41">
        <v>126.77</v>
      </c>
      <c r="L25" s="41">
        <v>13.4</v>
      </c>
      <c r="M25" s="41">
        <v>15.17</v>
      </c>
      <c r="N25" s="41">
        <v>26.4</v>
      </c>
      <c r="O25" s="41">
        <v>0</v>
      </c>
      <c r="P25" s="41">
        <v>0.28999999999999998</v>
      </c>
      <c r="Q25" s="41">
        <v>9.32</v>
      </c>
      <c r="R25" s="38"/>
      <c r="S25" s="38"/>
      <c r="T25" s="38"/>
      <c r="U25" s="38"/>
    </row>
    <row r="26" spans="1:21" customFormat="1">
      <c r="A26" s="40" t="s">
        <v>606</v>
      </c>
      <c r="B26" s="41">
        <v>2.59</v>
      </c>
      <c r="C26" s="41">
        <v>8.4499999999999993</v>
      </c>
      <c r="D26" s="41">
        <v>6.49</v>
      </c>
      <c r="E26" s="41">
        <v>8.02</v>
      </c>
      <c r="F26" s="41">
        <v>10.01</v>
      </c>
      <c r="G26" s="41">
        <v>42.07</v>
      </c>
      <c r="H26" s="41">
        <v>20.11</v>
      </c>
      <c r="I26" s="41">
        <v>5.9</v>
      </c>
      <c r="J26" s="41">
        <v>0.28000000000000003</v>
      </c>
      <c r="K26" s="41">
        <v>144.65</v>
      </c>
      <c r="L26" s="41">
        <v>14.3</v>
      </c>
      <c r="M26" s="41">
        <v>17.84</v>
      </c>
      <c r="N26" s="41">
        <v>8.8000000000000007</v>
      </c>
      <c r="O26" s="41">
        <v>0</v>
      </c>
      <c r="P26" s="41">
        <v>0.31</v>
      </c>
      <c r="Q26" s="41">
        <v>9.32</v>
      </c>
      <c r="R26" s="38"/>
      <c r="S26" s="38"/>
      <c r="T26" s="38"/>
      <c r="U26" s="38"/>
    </row>
    <row r="27" spans="1:21" customFormat="1">
      <c r="A27" s="40" t="s">
        <v>607</v>
      </c>
      <c r="B27" s="41">
        <v>3.02</v>
      </c>
      <c r="C27" s="41">
        <v>9.09</v>
      </c>
      <c r="D27" s="41">
        <v>6.94</v>
      </c>
      <c r="E27" s="41">
        <v>7.28</v>
      </c>
      <c r="F27" s="41">
        <v>2.0099999999999998</v>
      </c>
      <c r="G27" s="41">
        <v>43.23</v>
      </c>
      <c r="H27" s="41">
        <v>22.08</v>
      </c>
      <c r="I27" s="41">
        <v>5.6</v>
      </c>
      <c r="J27" s="41">
        <v>0.18</v>
      </c>
      <c r="K27" s="41">
        <v>142.35</v>
      </c>
      <c r="L27" s="41">
        <v>13.87</v>
      </c>
      <c r="M27" s="41">
        <v>16.93</v>
      </c>
      <c r="N27" s="41">
        <v>2.4</v>
      </c>
      <c r="O27" s="41">
        <v>0</v>
      </c>
      <c r="P27" s="41">
        <v>0.34</v>
      </c>
      <c r="Q27" s="41">
        <v>9.32</v>
      </c>
      <c r="R27" s="38"/>
      <c r="S27" s="38"/>
      <c r="T27" s="38"/>
      <c r="U27" s="38"/>
    </row>
    <row r="28" spans="1:21" customFormat="1">
      <c r="A28" s="40" t="s">
        <v>608</v>
      </c>
      <c r="B28" s="41">
        <v>3.11</v>
      </c>
      <c r="C28" s="41">
        <v>7.22</v>
      </c>
      <c r="D28" s="41">
        <v>6.22</v>
      </c>
      <c r="E28" s="41">
        <v>7.33</v>
      </c>
      <c r="F28" s="41">
        <v>2</v>
      </c>
      <c r="G28" s="41">
        <v>57.85</v>
      </c>
      <c r="H28" s="41">
        <v>31.35</v>
      </c>
      <c r="I28" s="41">
        <v>5.6</v>
      </c>
      <c r="J28" s="41">
        <v>0.2</v>
      </c>
      <c r="K28" s="41">
        <v>154.06</v>
      </c>
      <c r="L28" s="41">
        <v>15.09</v>
      </c>
      <c r="M28" s="41">
        <v>20.02</v>
      </c>
      <c r="N28" s="41">
        <v>2.5</v>
      </c>
      <c r="O28" s="41">
        <v>0</v>
      </c>
      <c r="P28" s="41">
        <v>0.37</v>
      </c>
      <c r="Q28" s="41">
        <v>9.32</v>
      </c>
      <c r="R28" s="38"/>
      <c r="S28" s="38"/>
      <c r="T28" s="38"/>
      <c r="U28" s="38"/>
    </row>
    <row r="29" spans="1:21" customFormat="1">
      <c r="A29" s="40" t="s">
        <v>609</v>
      </c>
      <c r="B29" s="41">
        <v>3.55</v>
      </c>
      <c r="C29" s="41">
        <v>7.49</v>
      </c>
      <c r="D29" s="41">
        <v>6.64</v>
      </c>
      <c r="E29" s="41">
        <v>7.44</v>
      </c>
      <c r="F29" s="41">
        <v>2</v>
      </c>
      <c r="G29" s="41">
        <v>72.400000000000006</v>
      </c>
      <c r="H29" s="41">
        <v>41.18</v>
      </c>
      <c r="I29" s="41">
        <v>2.2999999999999998</v>
      </c>
      <c r="J29" s="41">
        <v>0.22</v>
      </c>
      <c r="K29" s="41">
        <v>149.36000000000001</v>
      </c>
      <c r="L29" s="41">
        <v>15.17</v>
      </c>
      <c r="M29" s="41">
        <v>20.27</v>
      </c>
      <c r="N29" s="41">
        <v>2.6</v>
      </c>
      <c r="O29" s="41">
        <v>0</v>
      </c>
      <c r="P29" s="41">
        <v>0.38</v>
      </c>
      <c r="Q29" s="41">
        <v>9.35</v>
      </c>
      <c r="R29" s="38"/>
      <c r="S29" s="38"/>
      <c r="T29" s="38"/>
      <c r="U29" s="38"/>
    </row>
    <row r="30" spans="1:21" customFormat="1">
      <c r="A30" s="40" t="s">
        <v>610</v>
      </c>
      <c r="B30" s="41">
        <v>3.56</v>
      </c>
      <c r="C30" s="41">
        <v>6.95</v>
      </c>
      <c r="D30" s="41">
        <v>6.49</v>
      </c>
      <c r="E30" s="41">
        <v>7.41</v>
      </c>
      <c r="F30" s="41">
        <v>2</v>
      </c>
      <c r="G30" s="41">
        <v>73.08</v>
      </c>
      <c r="H30" s="41">
        <v>41.18</v>
      </c>
      <c r="I30" s="41">
        <v>3.4</v>
      </c>
      <c r="J30" s="41">
        <v>0.2</v>
      </c>
      <c r="K30" s="41">
        <v>196.22</v>
      </c>
      <c r="L30" s="41">
        <v>18.16</v>
      </c>
      <c r="M30" s="41">
        <v>27.73</v>
      </c>
      <c r="N30" s="41">
        <v>2.5</v>
      </c>
      <c r="O30" s="41">
        <v>0</v>
      </c>
      <c r="P30" s="41">
        <v>0.39</v>
      </c>
      <c r="Q30" s="41">
        <v>9.32</v>
      </c>
      <c r="R30" s="38"/>
      <c r="S30" s="38"/>
      <c r="T30" s="38"/>
      <c r="U30" s="38"/>
    </row>
    <row r="31" spans="1:21" customFormat="1">
      <c r="A31" s="40" t="s">
        <v>611</v>
      </c>
      <c r="B31" s="41">
        <v>3.57</v>
      </c>
      <c r="C31" s="41">
        <v>6.52</v>
      </c>
      <c r="D31" s="41">
        <v>6.25</v>
      </c>
      <c r="E31" s="41">
        <v>7.43</v>
      </c>
      <c r="F31" s="41">
        <v>2</v>
      </c>
      <c r="G31" s="41">
        <v>73.08</v>
      </c>
      <c r="H31" s="41">
        <v>39.92</v>
      </c>
      <c r="I31" s="41">
        <v>3.2</v>
      </c>
      <c r="J31" s="41">
        <v>0.15</v>
      </c>
      <c r="K31" s="41">
        <v>178.46</v>
      </c>
      <c r="L31" s="41">
        <v>17.16</v>
      </c>
      <c r="M31" s="41">
        <v>25.22</v>
      </c>
      <c r="N31" s="41">
        <v>2.1</v>
      </c>
      <c r="O31" s="41">
        <v>0</v>
      </c>
      <c r="P31" s="41">
        <v>0.39</v>
      </c>
      <c r="Q31" s="41">
        <v>9.32</v>
      </c>
      <c r="R31" s="38"/>
      <c r="S31" s="38"/>
      <c r="T31" s="38"/>
      <c r="U31" s="38"/>
    </row>
    <row r="32" spans="1:21" customFormat="1">
      <c r="A32" s="40" t="s">
        <v>612</v>
      </c>
      <c r="B32" s="41">
        <v>3.73</v>
      </c>
      <c r="C32" s="41">
        <v>6.64</v>
      </c>
      <c r="D32" s="41">
        <v>6.34</v>
      </c>
      <c r="E32" s="41">
        <v>7.36</v>
      </c>
      <c r="F32" s="41">
        <v>2</v>
      </c>
      <c r="G32" s="41">
        <v>72.59</v>
      </c>
      <c r="H32" s="41">
        <v>37.1</v>
      </c>
      <c r="I32" s="41">
        <v>3.5</v>
      </c>
      <c r="J32" s="41">
        <v>0.14000000000000001</v>
      </c>
      <c r="K32" s="41">
        <v>197.98</v>
      </c>
      <c r="L32" s="41">
        <v>18.579999999999998</v>
      </c>
      <c r="M32" s="41">
        <v>28.79</v>
      </c>
      <c r="N32" s="41">
        <v>2.1</v>
      </c>
      <c r="O32" s="41">
        <v>0</v>
      </c>
      <c r="P32" s="41">
        <v>0.39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2.15</v>
      </c>
      <c r="C34" s="18">
        <f t="shared" si="0"/>
        <v>6.26</v>
      </c>
      <c r="D34" s="18">
        <f t="shared" si="0"/>
        <v>5.07</v>
      </c>
      <c r="E34" s="18">
        <f t="shared" si="0"/>
        <v>4.9000000000000004</v>
      </c>
      <c r="F34" s="18">
        <f t="shared" si="0"/>
        <v>2</v>
      </c>
      <c r="G34" s="18">
        <f t="shared" si="0"/>
        <v>37.86</v>
      </c>
      <c r="H34" s="18">
        <f t="shared" si="0"/>
        <v>20.11</v>
      </c>
      <c r="I34" s="18">
        <f t="shared" si="0"/>
        <v>1.3</v>
      </c>
      <c r="J34" s="18">
        <f t="shared" si="0"/>
        <v>0.13</v>
      </c>
      <c r="K34" s="18">
        <f t="shared" si="0"/>
        <v>34.270000000000003</v>
      </c>
      <c r="L34" s="18">
        <f t="shared" si="0"/>
        <v>8.81</v>
      </c>
      <c r="M34" s="18">
        <f t="shared" si="0"/>
        <v>4.04</v>
      </c>
      <c r="N34" s="18">
        <f t="shared" si="0"/>
        <v>2.1</v>
      </c>
      <c r="O34" s="18">
        <f t="shared" si="0"/>
        <v>0</v>
      </c>
      <c r="P34" s="18">
        <f t="shared" si="0"/>
        <v>0.28000000000000003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5.59</v>
      </c>
      <c r="C35" s="3">
        <f t="shared" si="1"/>
        <v>9.09</v>
      </c>
      <c r="D35" s="3">
        <f t="shared" si="1"/>
        <v>8.06</v>
      </c>
      <c r="E35" s="3">
        <f t="shared" si="1"/>
        <v>10.29</v>
      </c>
      <c r="F35" s="3">
        <f t="shared" si="1"/>
        <v>11.2</v>
      </c>
      <c r="G35" s="3">
        <f t="shared" si="1"/>
        <v>80.48</v>
      </c>
      <c r="H35" s="3">
        <f t="shared" si="1"/>
        <v>41.7</v>
      </c>
      <c r="I35" s="3">
        <f t="shared" si="1"/>
        <v>6.79</v>
      </c>
      <c r="J35" s="3">
        <f t="shared" si="1"/>
        <v>0.67</v>
      </c>
      <c r="K35" s="3">
        <f t="shared" si="1"/>
        <v>197.98</v>
      </c>
      <c r="L35" s="3">
        <f t="shared" si="1"/>
        <v>19.43</v>
      </c>
      <c r="M35" s="3">
        <f t="shared" si="1"/>
        <v>28.79</v>
      </c>
      <c r="N35" s="3">
        <f t="shared" si="1"/>
        <v>670.5</v>
      </c>
      <c r="O35" s="3">
        <f t="shared" si="1"/>
        <v>0</v>
      </c>
      <c r="P35" s="3">
        <f t="shared" si="1"/>
        <v>0.41</v>
      </c>
      <c r="Q35" s="3">
        <f t="shared" si="1"/>
        <v>9.35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3.5883333333333329</v>
      </c>
      <c r="C36" s="18">
        <f t="shared" si="2"/>
        <v>7.083333333333333</v>
      </c>
      <c r="D36" s="18">
        <f t="shared" si="2"/>
        <v>6.5412500000000007</v>
      </c>
      <c r="E36" s="18">
        <f t="shared" si="2"/>
        <v>6.6262499999999998</v>
      </c>
      <c r="F36" s="18">
        <f t="shared" si="2"/>
        <v>3.4287500000000004</v>
      </c>
      <c r="G36" s="18">
        <f t="shared" si="2"/>
        <v>63.334999999999987</v>
      </c>
      <c r="H36" s="18">
        <f t="shared" si="2"/>
        <v>33.347083333333337</v>
      </c>
      <c r="I36" s="18">
        <f t="shared" si="2"/>
        <v>5.388749999999999</v>
      </c>
      <c r="J36" s="18">
        <f t="shared" si="2"/>
        <v>0.31791666666666668</v>
      </c>
      <c r="K36" s="18">
        <f t="shared" si="2"/>
        <v>125.58208333333333</v>
      </c>
      <c r="L36" s="18">
        <f t="shared" si="2"/>
        <v>15.113333333333335</v>
      </c>
      <c r="M36" s="18">
        <f t="shared" si="2"/>
        <v>16.145</v>
      </c>
      <c r="N36" s="18">
        <f t="shared" si="2"/>
        <v>170.44583333333335</v>
      </c>
      <c r="O36" s="18">
        <f t="shared" si="2"/>
        <v>0</v>
      </c>
      <c r="P36" s="18">
        <f t="shared" si="2"/>
        <v>0.36458333333333331</v>
      </c>
      <c r="Q36" s="18">
        <f t="shared" si="2"/>
        <v>9.3212499999999956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1.0575470661400621</v>
      </c>
      <c r="C37" s="18">
        <f t="shared" ref="C37:Q37" si="3">STDEV(C9:C32)</f>
        <v>0.63346985561352043</v>
      </c>
      <c r="D37" s="18">
        <f t="shared" si="3"/>
        <v>0.85888356501964747</v>
      </c>
      <c r="E37" s="18">
        <f t="shared" si="3"/>
        <v>1.2850065555576302</v>
      </c>
      <c r="F37" s="18">
        <f t="shared" si="3"/>
        <v>3.1995846367655414</v>
      </c>
      <c r="G37" s="18">
        <f t="shared" si="3"/>
        <v>14.139055069589029</v>
      </c>
      <c r="H37" s="18">
        <f t="shared" si="3"/>
        <v>7.6675309098576605</v>
      </c>
      <c r="I37" s="18">
        <f t="shared" si="3"/>
        <v>1.6672192743294618</v>
      </c>
      <c r="J37" s="18">
        <f t="shared" si="3"/>
        <v>0.15288470127536619</v>
      </c>
      <c r="K37" s="18">
        <f t="shared" si="3"/>
        <v>48.102120171944946</v>
      </c>
      <c r="L37" s="18">
        <f t="shared" si="3"/>
        <v>3.2074758688531526</v>
      </c>
      <c r="M37" s="18">
        <f t="shared" si="3"/>
        <v>7.5392047787317917</v>
      </c>
      <c r="N37" s="18">
        <f t="shared" si="3"/>
        <v>250.69664845606019</v>
      </c>
      <c r="O37" s="18">
        <f t="shared" si="3"/>
        <v>0</v>
      </c>
      <c r="P37" s="18">
        <f t="shared" si="3"/>
        <v>3.6113247800034089E-2</v>
      </c>
      <c r="Q37" s="18">
        <f t="shared" si="3"/>
        <v>6.1237243569578145E-3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G38" sqref="G38:H3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24/10/2025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613</v>
      </c>
      <c r="B9" s="41">
        <v>4.25</v>
      </c>
      <c r="C9" s="41">
        <v>6.11</v>
      </c>
      <c r="D9" s="41">
        <v>6.55</v>
      </c>
      <c r="E9" s="41">
        <v>7.29</v>
      </c>
      <c r="F9" s="41">
        <v>2</v>
      </c>
      <c r="G9" s="41">
        <v>71.2</v>
      </c>
      <c r="H9" s="41">
        <v>36.619999999999997</v>
      </c>
      <c r="I9" s="41">
        <v>2.6</v>
      </c>
      <c r="J9" s="41">
        <v>0.14000000000000001</v>
      </c>
      <c r="K9" s="41">
        <v>207.58</v>
      </c>
      <c r="L9" s="41">
        <v>19.09</v>
      </c>
      <c r="M9" s="41">
        <v>29.97</v>
      </c>
      <c r="N9" s="41">
        <v>2.1</v>
      </c>
      <c r="O9" s="41">
        <v>0</v>
      </c>
      <c r="P9" s="41">
        <v>0.37</v>
      </c>
      <c r="Q9" s="41">
        <v>9.32</v>
      </c>
      <c r="R9" s="38"/>
      <c r="S9" s="38"/>
      <c r="T9" s="38"/>
      <c r="U9" s="38"/>
    </row>
    <row r="10" spans="1:21" customFormat="1">
      <c r="A10" s="40" t="s">
        <v>614</v>
      </c>
      <c r="B10" s="41">
        <v>5.72</v>
      </c>
      <c r="C10" s="41">
        <v>6.4</v>
      </c>
      <c r="D10" s="41">
        <v>7.93</v>
      </c>
      <c r="E10" s="41">
        <v>7.07</v>
      </c>
      <c r="F10" s="41">
        <v>2</v>
      </c>
      <c r="G10" s="41">
        <v>58.01</v>
      </c>
      <c r="H10" s="41">
        <v>32.729999999999997</v>
      </c>
      <c r="I10" s="41">
        <v>2.2999999999999998</v>
      </c>
      <c r="J10" s="41">
        <v>0.12</v>
      </c>
      <c r="K10" s="41">
        <v>267</v>
      </c>
      <c r="L10" s="41">
        <v>23.43</v>
      </c>
      <c r="M10" s="41">
        <v>40.64</v>
      </c>
      <c r="N10" s="41">
        <v>2.1</v>
      </c>
      <c r="O10" s="41">
        <v>0</v>
      </c>
      <c r="P10" s="41">
        <v>0.37</v>
      </c>
      <c r="Q10" s="41">
        <v>9.32</v>
      </c>
      <c r="R10" s="38"/>
      <c r="S10" s="38"/>
      <c r="T10" s="38"/>
      <c r="U10" s="38"/>
    </row>
    <row r="11" spans="1:21" customFormat="1">
      <c r="A11" s="40" t="s">
        <v>615</v>
      </c>
      <c r="B11" s="41">
        <v>6.71</v>
      </c>
      <c r="C11" s="41">
        <v>6.59</v>
      </c>
      <c r="D11" s="41">
        <v>8.81</v>
      </c>
      <c r="E11" s="41">
        <v>6.9</v>
      </c>
      <c r="F11" s="41">
        <v>2</v>
      </c>
      <c r="G11" s="41">
        <v>52.92</v>
      </c>
      <c r="H11" s="41">
        <v>30.03</v>
      </c>
      <c r="I11" s="41">
        <v>2.6</v>
      </c>
      <c r="J11" s="41">
        <v>0.15</v>
      </c>
      <c r="K11" s="41">
        <v>160.52000000000001</v>
      </c>
      <c r="L11" s="41">
        <v>15.83</v>
      </c>
      <c r="M11" s="41">
        <v>21.86</v>
      </c>
      <c r="N11" s="41">
        <v>2.1</v>
      </c>
      <c r="O11" s="41">
        <v>0</v>
      </c>
      <c r="P11" s="41">
        <v>0.38</v>
      </c>
      <c r="Q11" s="41">
        <v>9.32</v>
      </c>
      <c r="R11" s="38"/>
      <c r="S11" s="38"/>
      <c r="T11" s="38"/>
      <c r="U11" s="38"/>
    </row>
    <row r="12" spans="1:21" customFormat="1">
      <c r="A12" s="40" t="s">
        <v>616</v>
      </c>
      <c r="B12" s="41">
        <v>7.62</v>
      </c>
      <c r="C12" s="41">
        <v>6.76</v>
      </c>
      <c r="D12" s="41">
        <v>9.64</v>
      </c>
      <c r="E12" s="41">
        <v>7.1</v>
      </c>
      <c r="F12" s="41">
        <v>2</v>
      </c>
      <c r="G12" s="41">
        <v>59.47</v>
      </c>
      <c r="H12" s="41">
        <v>32.92</v>
      </c>
      <c r="I12" s="41">
        <v>2.5</v>
      </c>
      <c r="J12" s="41">
        <v>0.13</v>
      </c>
      <c r="K12" s="41">
        <v>179.53</v>
      </c>
      <c r="L12" s="41">
        <v>18.63</v>
      </c>
      <c r="M12" s="41">
        <v>28.89</v>
      </c>
      <c r="N12" s="41">
        <v>2.1</v>
      </c>
      <c r="O12" s="41">
        <v>0</v>
      </c>
      <c r="P12" s="41">
        <v>0.37</v>
      </c>
      <c r="Q12" s="41">
        <v>9.32</v>
      </c>
      <c r="R12" s="38"/>
      <c r="S12" s="38"/>
      <c r="T12" s="38"/>
      <c r="U12" s="38"/>
    </row>
    <row r="13" spans="1:21" customFormat="1">
      <c r="A13" s="40" t="s">
        <v>617</v>
      </c>
      <c r="B13" s="41">
        <v>8.0299999999999994</v>
      </c>
      <c r="C13" s="41">
        <v>7.12</v>
      </c>
      <c r="D13" s="41">
        <v>10.1</v>
      </c>
      <c r="E13" s="41">
        <v>7.53</v>
      </c>
      <c r="F13" s="41">
        <v>2</v>
      </c>
      <c r="G13" s="41">
        <v>59.47</v>
      </c>
      <c r="H13" s="41">
        <v>32.92</v>
      </c>
      <c r="I13" s="41">
        <v>5.3</v>
      </c>
      <c r="J13" s="41">
        <v>0.18</v>
      </c>
      <c r="K13" s="41">
        <v>198.09</v>
      </c>
      <c r="L13" s="41">
        <v>18.68</v>
      </c>
      <c r="M13" s="41">
        <v>29.03</v>
      </c>
      <c r="N13" s="41">
        <v>2.1</v>
      </c>
      <c r="O13" s="41">
        <v>0</v>
      </c>
      <c r="P13" s="41">
        <v>0.38</v>
      </c>
      <c r="Q13" s="41">
        <v>9.32</v>
      </c>
      <c r="R13" s="38"/>
      <c r="S13" s="38"/>
      <c r="T13" s="38"/>
      <c r="U13" s="38"/>
    </row>
    <row r="14" spans="1:21" customFormat="1">
      <c r="A14" s="40" t="s">
        <v>618</v>
      </c>
      <c r="B14" s="41">
        <v>8.1</v>
      </c>
      <c r="C14" s="41">
        <v>7.21</v>
      </c>
      <c r="D14" s="41">
        <v>10.27</v>
      </c>
      <c r="E14" s="41">
        <v>7.48</v>
      </c>
      <c r="F14" s="41">
        <v>2</v>
      </c>
      <c r="G14" s="41">
        <v>56.18</v>
      </c>
      <c r="H14" s="41">
        <v>31.69</v>
      </c>
      <c r="I14" s="41">
        <v>3.2</v>
      </c>
      <c r="J14" s="41">
        <v>0.27</v>
      </c>
      <c r="K14" s="41">
        <v>64.09</v>
      </c>
      <c r="L14" s="41">
        <v>16.559999999999999</v>
      </c>
      <c r="M14" s="41">
        <v>23.44</v>
      </c>
      <c r="N14" s="41">
        <v>2.7</v>
      </c>
      <c r="O14" s="41">
        <v>0</v>
      </c>
      <c r="P14" s="41">
        <v>0.38</v>
      </c>
      <c r="Q14" s="41">
        <v>9.32</v>
      </c>
      <c r="R14" s="38"/>
      <c r="S14" s="38"/>
      <c r="T14" s="38"/>
      <c r="U14" s="38"/>
    </row>
    <row r="15" spans="1:21" customFormat="1">
      <c r="A15" s="40" t="s">
        <v>619</v>
      </c>
      <c r="B15" s="41">
        <v>8.2899999999999991</v>
      </c>
      <c r="C15" s="41">
        <v>7.52</v>
      </c>
      <c r="D15" s="41">
        <v>10.57</v>
      </c>
      <c r="E15" s="41">
        <v>7.53</v>
      </c>
      <c r="F15" s="41">
        <v>2</v>
      </c>
      <c r="G15" s="41">
        <v>55.74</v>
      </c>
      <c r="H15" s="41">
        <v>29.72</v>
      </c>
      <c r="I15" s="41">
        <v>3.2</v>
      </c>
      <c r="J15" s="41">
        <v>0.3</v>
      </c>
      <c r="K15" s="41">
        <v>49.39</v>
      </c>
      <c r="L15" s="41">
        <v>10.02</v>
      </c>
      <c r="M15" s="41">
        <v>6.9</v>
      </c>
      <c r="N15" s="41">
        <v>33</v>
      </c>
      <c r="O15" s="41">
        <v>0</v>
      </c>
      <c r="P15" s="41">
        <v>0.39</v>
      </c>
      <c r="Q15" s="41">
        <v>9.32</v>
      </c>
      <c r="R15" s="38"/>
      <c r="S15" s="38"/>
      <c r="T15" s="38"/>
      <c r="U15" s="38"/>
    </row>
    <row r="16" spans="1:21" customFormat="1">
      <c r="A16" s="40" t="s">
        <v>620</v>
      </c>
      <c r="B16" s="41">
        <v>8.31</v>
      </c>
      <c r="C16" s="41">
        <v>7.82</v>
      </c>
      <c r="D16" s="41">
        <v>10.64</v>
      </c>
      <c r="E16" s="41">
        <v>7.92</v>
      </c>
      <c r="F16" s="41">
        <v>2</v>
      </c>
      <c r="G16" s="41">
        <v>61.42</v>
      </c>
      <c r="H16" s="41">
        <v>31.56</v>
      </c>
      <c r="I16" s="41">
        <v>3.2</v>
      </c>
      <c r="J16" s="41">
        <v>0.61</v>
      </c>
      <c r="K16" s="41">
        <v>49.97</v>
      </c>
      <c r="L16" s="41">
        <v>10.23</v>
      </c>
      <c r="M16" s="41">
        <v>2.88</v>
      </c>
      <c r="N16" s="41">
        <v>201.5</v>
      </c>
      <c r="O16" s="41">
        <v>0</v>
      </c>
      <c r="P16" s="41">
        <v>0.39</v>
      </c>
      <c r="Q16" s="41">
        <v>9.42</v>
      </c>
      <c r="R16" s="38"/>
      <c r="S16" s="38"/>
      <c r="T16" s="38"/>
      <c r="U16" s="38"/>
    </row>
    <row r="17" spans="1:21" customFormat="1">
      <c r="A17" s="40" t="s">
        <v>621</v>
      </c>
      <c r="B17" s="41">
        <v>7</v>
      </c>
      <c r="C17" s="41">
        <v>8.16</v>
      </c>
      <c r="D17" s="41">
        <v>9.77</v>
      </c>
      <c r="E17" s="41">
        <v>7.66</v>
      </c>
      <c r="F17" s="41">
        <v>2</v>
      </c>
      <c r="G17" s="41">
        <v>61.42</v>
      </c>
      <c r="H17" s="41">
        <v>35.22</v>
      </c>
      <c r="I17" s="41">
        <v>3.2</v>
      </c>
      <c r="J17" s="41">
        <v>0.4</v>
      </c>
      <c r="K17" s="41">
        <v>77.33</v>
      </c>
      <c r="L17" s="41">
        <v>13.07</v>
      </c>
      <c r="M17" s="41">
        <v>8.14</v>
      </c>
      <c r="N17" s="41">
        <v>336.9</v>
      </c>
      <c r="O17" s="41">
        <v>0</v>
      </c>
      <c r="P17" s="41">
        <v>0.4</v>
      </c>
      <c r="Q17" s="41">
        <v>9.32</v>
      </c>
      <c r="R17" s="38"/>
      <c r="S17" s="38"/>
      <c r="T17" s="38"/>
      <c r="U17" s="38"/>
    </row>
    <row r="18" spans="1:21" customFormat="1">
      <c r="A18" s="40" t="s">
        <v>622</v>
      </c>
      <c r="B18" s="41">
        <v>4.71</v>
      </c>
      <c r="C18" s="41">
        <v>8.25</v>
      </c>
      <c r="D18" s="41">
        <v>8.07</v>
      </c>
      <c r="E18" s="41">
        <v>7.93</v>
      </c>
      <c r="F18" s="41">
        <v>2</v>
      </c>
      <c r="G18" s="41">
        <v>62.22</v>
      </c>
      <c r="H18" s="41">
        <v>35.22</v>
      </c>
      <c r="I18" s="41">
        <v>3.2</v>
      </c>
      <c r="J18" s="41">
        <v>0.38</v>
      </c>
      <c r="K18" s="41">
        <v>135.13</v>
      </c>
      <c r="L18" s="41">
        <v>17.02</v>
      </c>
      <c r="M18" s="41">
        <v>12.88</v>
      </c>
      <c r="N18" s="41">
        <v>508.2</v>
      </c>
      <c r="O18" s="41">
        <v>0</v>
      </c>
      <c r="P18" s="41">
        <v>0.4</v>
      </c>
      <c r="Q18" s="41">
        <v>9.32</v>
      </c>
      <c r="R18" s="38"/>
      <c r="S18" s="38"/>
      <c r="T18" s="38"/>
      <c r="U18" s="38"/>
    </row>
    <row r="19" spans="1:21" customFormat="1">
      <c r="A19" s="40" t="s">
        <v>623</v>
      </c>
      <c r="B19" s="41">
        <v>3.47</v>
      </c>
      <c r="C19" s="41">
        <v>7.08</v>
      </c>
      <c r="D19" s="41">
        <v>6.49</v>
      </c>
      <c r="E19" s="41">
        <v>6.25</v>
      </c>
      <c r="F19" s="41">
        <v>7.74</v>
      </c>
      <c r="G19" s="41">
        <v>62.22</v>
      </c>
      <c r="H19" s="41">
        <v>33.450000000000003</v>
      </c>
      <c r="I19" s="41">
        <v>4.9400000000000004</v>
      </c>
      <c r="J19" s="41">
        <v>0.4</v>
      </c>
      <c r="K19" s="41">
        <v>156.87</v>
      </c>
      <c r="L19" s="41">
        <v>21.28</v>
      </c>
      <c r="M19" s="41">
        <v>21.9</v>
      </c>
      <c r="N19" s="41">
        <v>587.4</v>
      </c>
      <c r="O19" s="41">
        <v>0</v>
      </c>
      <c r="P19" s="41">
        <v>0.33</v>
      </c>
      <c r="Q19" s="41">
        <v>9.32</v>
      </c>
      <c r="R19" s="38"/>
      <c r="S19" s="38"/>
      <c r="T19" s="38"/>
      <c r="U19" s="38"/>
    </row>
    <row r="20" spans="1:21" customFormat="1">
      <c r="A20" s="40" t="s">
        <v>624</v>
      </c>
      <c r="B20" s="41">
        <v>1.95</v>
      </c>
      <c r="C20" s="41">
        <v>7.18</v>
      </c>
      <c r="D20" s="41">
        <v>5.14</v>
      </c>
      <c r="E20" s="41">
        <v>6</v>
      </c>
      <c r="F20" s="41">
        <v>13.74</v>
      </c>
      <c r="G20" s="10" t="s">
        <v>12</v>
      </c>
      <c r="H20" s="10" t="s">
        <v>12</v>
      </c>
      <c r="I20" s="41">
        <v>4.57</v>
      </c>
      <c r="J20" s="41">
        <v>0.26</v>
      </c>
      <c r="K20" s="41">
        <v>152.91999999999999</v>
      </c>
      <c r="L20" s="41">
        <v>20.28</v>
      </c>
      <c r="M20" s="41">
        <v>19.420000000000002</v>
      </c>
      <c r="N20" s="41">
        <v>710.5</v>
      </c>
      <c r="O20" s="41">
        <v>0</v>
      </c>
      <c r="P20" s="41">
        <v>0.24</v>
      </c>
      <c r="Q20" s="41">
        <v>9.59</v>
      </c>
      <c r="R20" s="38"/>
      <c r="S20" s="38"/>
      <c r="T20" s="38"/>
      <c r="U20" s="38"/>
    </row>
    <row r="21" spans="1:21" customFormat="1">
      <c r="A21" s="40" t="s">
        <v>625</v>
      </c>
      <c r="B21" s="41">
        <v>2.25</v>
      </c>
      <c r="C21" s="41">
        <v>7.56</v>
      </c>
      <c r="D21" s="41">
        <v>5.62</v>
      </c>
      <c r="E21" s="41">
        <v>5.14</v>
      </c>
      <c r="F21" s="41">
        <v>7.49</v>
      </c>
      <c r="G21" s="41">
        <v>28.19</v>
      </c>
      <c r="H21" s="41">
        <v>25.95</v>
      </c>
      <c r="I21" s="41">
        <v>4.59</v>
      </c>
      <c r="J21" s="41">
        <v>0.37</v>
      </c>
      <c r="K21" s="41">
        <v>77.739999999999995</v>
      </c>
      <c r="L21" s="41">
        <v>15.75</v>
      </c>
      <c r="M21" s="41">
        <v>8.9600000000000009</v>
      </c>
      <c r="N21" s="41">
        <v>542.29999999999995</v>
      </c>
      <c r="O21" s="41">
        <v>0</v>
      </c>
      <c r="P21" s="41">
        <v>0.25</v>
      </c>
      <c r="Q21" s="41">
        <v>9.44</v>
      </c>
      <c r="R21" s="38"/>
      <c r="S21" s="38"/>
      <c r="T21" s="38"/>
      <c r="U21" s="38"/>
    </row>
    <row r="22" spans="1:21" customFormat="1">
      <c r="A22" s="40" t="s">
        <v>626</v>
      </c>
      <c r="B22" s="41">
        <v>2.33</v>
      </c>
      <c r="C22" s="41">
        <v>7.96</v>
      </c>
      <c r="D22" s="41">
        <v>5.88</v>
      </c>
      <c r="E22" s="41">
        <v>6.9</v>
      </c>
      <c r="F22" s="41">
        <v>22.45</v>
      </c>
      <c r="G22" s="41">
        <v>28.19</v>
      </c>
      <c r="H22" s="41">
        <v>25.95</v>
      </c>
      <c r="I22" s="41">
        <v>4.49</v>
      </c>
      <c r="J22" s="41">
        <v>0.42</v>
      </c>
      <c r="K22" s="41">
        <v>131.28</v>
      </c>
      <c r="L22" s="41">
        <v>16.63</v>
      </c>
      <c r="M22" s="41">
        <v>16.18</v>
      </c>
      <c r="N22" s="41">
        <v>347.6</v>
      </c>
      <c r="O22" s="41">
        <v>0</v>
      </c>
      <c r="P22" s="41">
        <v>0.24</v>
      </c>
      <c r="Q22" s="41">
        <v>9.3699999999999992</v>
      </c>
      <c r="R22" s="38"/>
      <c r="S22" s="38"/>
      <c r="T22" s="38"/>
      <c r="U22" s="38"/>
    </row>
    <row r="23" spans="1:21" customFormat="1">
      <c r="A23" s="40" t="s">
        <v>627</v>
      </c>
      <c r="B23" s="41">
        <v>2.69</v>
      </c>
      <c r="C23" s="41">
        <v>8.65</v>
      </c>
      <c r="D23" s="41">
        <v>6.67</v>
      </c>
      <c r="E23" s="41">
        <v>7.58</v>
      </c>
      <c r="F23" s="41">
        <v>17.98</v>
      </c>
      <c r="G23" s="41">
        <v>24.15</v>
      </c>
      <c r="H23" s="41">
        <v>20.52</v>
      </c>
      <c r="I23" s="41">
        <v>4.1500000000000004</v>
      </c>
      <c r="J23" s="41">
        <v>0.46</v>
      </c>
      <c r="K23" s="41">
        <v>63.07</v>
      </c>
      <c r="L23" s="41">
        <v>14.19</v>
      </c>
      <c r="M23" s="41">
        <v>7.12</v>
      </c>
      <c r="N23" s="41">
        <v>444.1</v>
      </c>
      <c r="O23" s="41">
        <v>0</v>
      </c>
      <c r="P23" s="41">
        <v>0.21</v>
      </c>
      <c r="Q23" s="41">
        <v>9.44</v>
      </c>
      <c r="R23" s="38"/>
      <c r="S23" s="38"/>
      <c r="T23" s="38"/>
      <c r="U23" s="38"/>
    </row>
    <row r="24" spans="1:21" customFormat="1">
      <c r="A24" s="40" t="s">
        <v>628</v>
      </c>
      <c r="B24" s="41">
        <v>2.39</v>
      </c>
      <c r="C24" s="41">
        <v>9.15</v>
      </c>
      <c r="D24" s="41">
        <v>6.59</v>
      </c>
      <c r="E24" s="41">
        <v>6.05</v>
      </c>
      <c r="F24" s="41">
        <v>15.55</v>
      </c>
      <c r="G24" s="41">
        <v>26.88</v>
      </c>
      <c r="H24" s="41">
        <v>18.2</v>
      </c>
      <c r="I24" s="41">
        <v>3.76</v>
      </c>
      <c r="J24" s="41">
        <v>0.47</v>
      </c>
      <c r="K24" s="41">
        <v>72.52</v>
      </c>
      <c r="L24" s="41">
        <v>9.9600000000000009</v>
      </c>
      <c r="M24" s="41">
        <v>6.27</v>
      </c>
      <c r="N24" s="41">
        <v>41.6</v>
      </c>
      <c r="O24" s="41">
        <v>0</v>
      </c>
      <c r="P24" s="41">
        <v>0.24</v>
      </c>
      <c r="Q24" s="41">
        <v>9.32</v>
      </c>
      <c r="R24" s="38"/>
      <c r="S24" s="38"/>
      <c r="T24" s="38"/>
      <c r="U24" s="38"/>
    </row>
    <row r="25" spans="1:21" customFormat="1">
      <c r="A25" s="40" t="s">
        <v>629</v>
      </c>
      <c r="B25" s="41">
        <v>1.88</v>
      </c>
      <c r="C25" s="41">
        <v>9.89</v>
      </c>
      <c r="D25" s="41">
        <v>6.58</v>
      </c>
      <c r="E25" s="41">
        <v>7.38</v>
      </c>
      <c r="F25" s="41">
        <v>23.54</v>
      </c>
      <c r="G25" s="41">
        <v>30.41</v>
      </c>
      <c r="H25" s="41">
        <v>17.739999999999998</v>
      </c>
      <c r="I25" s="41">
        <v>4.24</v>
      </c>
      <c r="J25" s="41">
        <v>0.32</v>
      </c>
      <c r="K25" s="41">
        <v>133.08000000000001</v>
      </c>
      <c r="L25" s="41">
        <v>13.18</v>
      </c>
      <c r="M25" s="41">
        <v>14.88</v>
      </c>
      <c r="N25" s="41">
        <v>30.7</v>
      </c>
      <c r="O25" s="41">
        <v>0</v>
      </c>
      <c r="P25" s="41">
        <v>0.26</v>
      </c>
      <c r="Q25" s="41">
        <v>9.41</v>
      </c>
      <c r="R25" s="38"/>
      <c r="S25" s="38"/>
      <c r="T25" s="38"/>
      <c r="U25" s="38"/>
    </row>
    <row r="26" spans="1:21" customFormat="1">
      <c r="A26" s="40" t="s">
        <v>630</v>
      </c>
      <c r="B26" s="41">
        <v>2.12</v>
      </c>
      <c r="C26" s="41">
        <v>11.89</v>
      </c>
      <c r="D26" s="41">
        <v>7.92</v>
      </c>
      <c r="E26" s="41">
        <v>7.98</v>
      </c>
      <c r="F26" s="41">
        <v>17.02</v>
      </c>
      <c r="G26" s="41">
        <v>33.270000000000003</v>
      </c>
      <c r="H26" s="41">
        <v>19.829999999999998</v>
      </c>
      <c r="I26" s="41">
        <v>4.8899999999999997</v>
      </c>
      <c r="J26" s="41">
        <v>0.27</v>
      </c>
      <c r="K26" s="41">
        <v>147.63999999999999</v>
      </c>
      <c r="L26" s="41">
        <v>14.49</v>
      </c>
      <c r="M26" s="41">
        <v>18.57</v>
      </c>
      <c r="N26" s="41">
        <v>8.3000000000000007</v>
      </c>
      <c r="O26" s="41">
        <v>0</v>
      </c>
      <c r="P26" s="41">
        <v>0.34</v>
      </c>
      <c r="Q26" s="41">
        <v>9.32</v>
      </c>
      <c r="R26" s="38"/>
      <c r="S26" s="38"/>
      <c r="T26" s="38"/>
      <c r="U26" s="38"/>
    </row>
    <row r="27" spans="1:21" customFormat="1">
      <c r="A27" s="40" t="s">
        <v>631</v>
      </c>
      <c r="B27" s="41">
        <v>1.94</v>
      </c>
      <c r="C27" s="41">
        <v>10.96</v>
      </c>
      <c r="D27" s="41">
        <v>6.98</v>
      </c>
      <c r="E27" s="41">
        <v>4.68</v>
      </c>
      <c r="F27" s="41">
        <v>5.87</v>
      </c>
      <c r="G27" s="41">
        <v>41.34</v>
      </c>
      <c r="H27" s="41">
        <v>22.76</v>
      </c>
      <c r="I27" s="41">
        <v>5.41</v>
      </c>
      <c r="J27" s="41">
        <v>0.23</v>
      </c>
      <c r="K27" s="41">
        <v>178.67</v>
      </c>
      <c r="L27" s="41">
        <v>17.2</v>
      </c>
      <c r="M27" s="41">
        <v>25.31</v>
      </c>
      <c r="N27" s="41">
        <v>2.9</v>
      </c>
      <c r="O27" s="41">
        <v>0</v>
      </c>
      <c r="P27" s="41">
        <v>0.28999999999999998</v>
      </c>
      <c r="Q27" s="41">
        <v>9.33</v>
      </c>
      <c r="R27" s="38"/>
      <c r="S27" s="38"/>
      <c r="T27" s="38"/>
      <c r="U27" s="38"/>
    </row>
    <row r="28" spans="1:21" customFormat="1">
      <c r="A28" s="40" t="s">
        <v>632</v>
      </c>
      <c r="B28" s="41">
        <v>2.63</v>
      </c>
      <c r="C28" s="41">
        <v>7.77</v>
      </c>
      <c r="D28" s="41">
        <v>5.89</v>
      </c>
      <c r="E28" s="41">
        <v>4.1100000000000003</v>
      </c>
      <c r="F28" s="41">
        <v>2</v>
      </c>
      <c r="G28" s="41">
        <v>43.49</v>
      </c>
      <c r="H28" s="41">
        <v>22.76</v>
      </c>
      <c r="I28" s="41">
        <v>5.46</v>
      </c>
      <c r="J28" s="41">
        <v>0.2</v>
      </c>
      <c r="K28" s="41">
        <v>164.46</v>
      </c>
      <c r="L28" s="41">
        <v>16.170000000000002</v>
      </c>
      <c r="M28" s="41">
        <v>22.76</v>
      </c>
      <c r="N28" s="41">
        <v>2.2999999999999998</v>
      </c>
      <c r="O28" s="41">
        <v>0</v>
      </c>
      <c r="P28" s="41">
        <v>0.32</v>
      </c>
      <c r="Q28" s="41">
        <v>9.33</v>
      </c>
      <c r="R28" s="38"/>
      <c r="S28" s="38"/>
      <c r="T28" s="38"/>
      <c r="U28" s="38"/>
    </row>
    <row r="29" spans="1:21" customFormat="1">
      <c r="A29" s="40" t="s">
        <v>633</v>
      </c>
      <c r="B29" s="41">
        <v>3.31</v>
      </c>
      <c r="C29" s="41">
        <v>8.49</v>
      </c>
      <c r="D29" s="41">
        <v>6.85</v>
      </c>
      <c r="E29" s="41">
        <v>4.5</v>
      </c>
      <c r="F29" s="41">
        <v>2</v>
      </c>
      <c r="G29" s="41">
        <v>54.36</v>
      </c>
      <c r="H29" s="41">
        <v>27.96</v>
      </c>
      <c r="I29" s="41">
        <v>6.17</v>
      </c>
      <c r="J29" s="41">
        <v>0.17</v>
      </c>
      <c r="K29" s="41">
        <v>142.65</v>
      </c>
      <c r="L29" s="41">
        <v>14.03</v>
      </c>
      <c r="M29" s="41">
        <v>17.260000000000002</v>
      </c>
      <c r="N29" s="41">
        <v>2.4</v>
      </c>
      <c r="O29" s="41">
        <v>0</v>
      </c>
      <c r="P29" s="41">
        <v>0.36</v>
      </c>
      <c r="Q29" s="41">
        <v>9.36</v>
      </c>
      <c r="R29" s="38"/>
      <c r="S29" s="38"/>
      <c r="T29" s="38"/>
      <c r="U29" s="38"/>
    </row>
    <row r="30" spans="1:21" customFormat="1">
      <c r="A30" s="40" t="s">
        <v>634</v>
      </c>
      <c r="B30" s="41">
        <v>4.5599999999999996</v>
      </c>
      <c r="C30" s="41">
        <v>8.09</v>
      </c>
      <c r="D30" s="41">
        <v>7.73</v>
      </c>
      <c r="E30" s="41">
        <v>3.9</v>
      </c>
      <c r="F30" s="41">
        <v>2</v>
      </c>
      <c r="G30" s="41">
        <v>62.42</v>
      </c>
      <c r="H30" s="41">
        <v>29.53</v>
      </c>
      <c r="I30" s="41">
        <v>6.19</v>
      </c>
      <c r="J30" s="41">
        <v>0.25</v>
      </c>
      <c r="K30" s="41">
        <v>157.24</v>
      </c>
      <c r="L30" s="41">
        <v>15.13</v>
      </c>
      <c r="M30" s="41">
        <v>20.170000000000002</v>
      </c>
      <c r="N30" s="41">
        <v>2.5</v>
      </c>
      <c r="O30" s="41">
        <v>0</v>
      </c>
      <c r="P30" s="41">
        <v>0.37</v>
      </c>
      <c r="Q30" s="41">
        <v>9.5399999999999991</v>
      </c>
      <c r="R30" s="38"/>
      <c r="S30" s="38"/>
      <c r="T30" s="38"/>
      <c r="U30" s="38"/>
    </row>
    <row r="31" spans="1:21" customFormat="1">
      <c r="A31" s="40" t="s">
        <v>635</v>
      </c>
      <c r="B31" s="41">
        <v>5</v>
      </c>
      <c r="C31" s="41">
        <v>7.3</v>
      </c>
      <c r="D31" s="41">
        <v>7.74</v>
      </c>
      <c r="E31" s="41">
        <v>3.73</v>
      </c>
      <c r="F31" s="41">
        <v>2</v>
      </c>
      <c r="G31" s="41">
        <v>64.31</v>
      </c>
      <c r="H31" s="41">
        <v>29.53</v>
      </c>
      <c r="I31" s="41">
        <v>6.2</v>
      </c>
      <c r="J31" s="41">
        <v>0.22</v>
      </c>
      <c r="K31" s="41">
        <v>139.35</v>
      </c>
      <c r="L31" s="41">
        <v>13.91</v>
      </c>
      <c r="M31" s="41">
        <v>17.04</v>
      </c>
      <c r="N31" s="41">
        <v>2.4</v>
      </c>
      <c r="O31" s="41">
        <v>0</v>
      </c>
      <c r="P31" s="41">
        <v>0.37</v>
      </c>
      <c r="Q31" s="41">
        <v>9.49</v>
      </c>
      <c r="R31" s="38"/>
      <c r="S31" s="38"/>
      <c r="T31" s="38"/>
      <c r="U31" s="38"/>
    </row>
    <row r="32" spans="1:21" customFormat="1">
      <c r="A32" s="40" t="s">
        <v>636</v>
      </c>
      <c r="B32" s="41">
        <v>5.25</v>
      </c>
      <c r="C32" s="41">
        <v>7.52</v>
      </c>
      <c r="D32" s="41">
        <v>7.96</v>
      </c>
      <c r="E32" s="41">
        <v>4.3899999999999997</v>
      </c>
      <c r="F32" s="41">
        <v>2</v>
      </c>
      <c r="G32" s="41">
        <v>66.959999999999994</v>
      </c>
      <c r="H32" s="41">
        <v>31.76</v>
      </c>
      <c r="I32" s="41">
        <v>6.35</v>
      </c>
      <c r="J32" s="41">
        <v>0.2</v>
      </c>
      <c r="K32" s="41">
        <v>179.82</v>
      </c>
      <c r="L32" s="41">
        <v>16.690000000000001</v>
      </c>
      <c r="M32" s="41">
        <v>24.06</v>
      </c>
      <c r="N32" s="41">
        <v>2.4</v>
      </c>
      <c r="O32" s="41">
        <v>0</v>
      </c>
      <c r="P32" s="41">
        <v>0.37</v>
      </c>
      <c r="Q32" s="41">
        <v>9.33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1.88</v>
      </c>
      <c r="C34" s="18">
        <f t="shared" si="0"/>
        <v>6.11</v>
      </c>
      <c r="D34" s="18">
        <f t="shared" si="0"/>
        <v>5.14</v>
      </c>
      <c r="E34" s="18">
        <f t="shared" si="0"/>
        <v>3.73</v>
      </c>
      <c r="F34" s="18">
        <f t="shared" si="0"/>
        <v>2</v>
      </c>
      <c r="G34" s="18">
        <f t="shared" si="0"/>
        <v>24.15</v>
      </c>
      <c r="H34" s="18">
        <f t="shared" si="0"/>
        <v>17.739999999999998</v>
      </c>
      <c r="I34" s="18">
        <f t="shared" si="0"/>
        <v>2.2999999999999998</v>
      </c>
      <c r="J34" s="18">
        <f t="shared" si="0"/>
        <v>0.12</v>
      </c>
      <c r="K34" s="18">
        <f t="shared" si="0"/>
        <v>49.39</v>
      </c>
      <c r="L34" s="18">
        <f t="shared" si="0"/>
        <v>9.9600000000000009</v>
      </c>
      <c r="M34" s="18">
        <f t="shared" si="0"/>
        <v>2.88</v>
      </c>
      <c r="N34" s="18">
        <f t="shared" si="0"/>
        <v>2.1</v>
      </c>
      <c r="O34" s="18">
        <f t="shared" si="0"/>
        <v>0</v>
      </c>
      <c r="P34" s="18">
        <f t="shared" si="0"/>
        <v>0.21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8.31</v>
      </c>
      <c r="C35" s="3">
        <f t="shared" si="1"/>
        <v>11.89</v>
      </c>
      <c r="D35" s="3">
        <f t="shared" si="1"/>
        <v>10.64</v>
      </c>
      <c r="E35" s="3">
        <f t="shared" si="1"/>
        <v>7.98</v>
      </c>
      <c r="F35" s="3">
        <f t="shared" si="1"/>
        <v>23.54</v>
      </c>
      <c r="G35" s="3">
        <f t="shared" si="1"/>
        <v>71.2</v>
      </c>
      <c r="H35" s="3">
        <f t="shared" si="1"/>
        <v>36.619999999999997</v>
      </c>
      <c r="I35" s="3">
        <f t="shared" si="1"/>
        <v>6.35</v>
      </c>
      <c r="J35" s="3">
        <f t="shared" si="1"/>
        <v>0.61</v>
      </c>
      <c r="K35" s="3">
        <f t="shared" si="1"/>
        <v>267</v>
      </c>
      <c r="L35" s="3">
        <f t="shared" si="1"/>
        <v>23.43</v>
      </c>
      <c r="M35" s="3">
        <f t="shared" si="1"/>
        <v>40.64</v>
      </c>
      <c r="N35" s="3">
        <f t="shared" si="1"/>
        <v>710.5</v>
      </c>
      <c r="O35" s="3">
        <f t="shared" si="1"/>
        <v>0</v>
      </c>
      <c r="P35" s="3">
        <f t="shared" si="1"/>
        <v>0.4</v>
      </c>
      <c r="Q35" s="3">
        <f t="shared" si="1"/>
        <v>9.59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4.6045833333333333</v>
      </c>
      <c r="C36" s="18">
        <f t="shared" si="2"/>
        <v>7.9762500000000029</v>
      </c>
      <c r="D36" s="18">
        <f t="shared" si="2"/>
        <v>7.7662499999999985</v>
      </c>
      <c r="E36" s="18">
        <f t="shared" si="2"/>
        <v>6.375</v>
      </c>
      <c r="F36" s="18">
        <f t="shared" si="2"/>
        <v>6.724166666666668</v>
      </c>
      <c r="G36" s="18">
        <f t="shared" si="2"/>
        <v>50.619130434782619</v>
      </c>
      <c r="H36" s="18">
        <f t="shared" si="2"/>
        <v>28.459565217391301</v>
      </c>
      <c r="I36" s="18">
        <f t="shared" si="2"/>
        <v>4.2795833333333322</v>
      </c>
      <c r="J36" s="18">
        <f t="shared" si="2"/>
        <v>0.28833333333333339</v>
      </c>
      <c r="K36" s="18">
        <f t="shared" si="2"/>
        <v>136.91416666666669</v>
      </c>
      <c r="L36" s="18">
        <f t="shared" si="2"/>
        <v>15.893749999999999</v>
      </c>
      <c r="M36" s="18">
        <f t="shared" si="2"/>
        <v>18.522083333333331</v>
      </c>
      <c r="N36" s="18">
        <f t="shared" si="2"/>
        <v>159.17500000000001</v>
      </c>
      <c r="O36" s="18">
        <f t="shared" si="2"/>
        <v>0</v>
      </c>
      <c r="P36" s="18">
        <f t="shared" si="2"/>
        <v>0.33416666666666672</v>
      </c>
      <c r="Q36" s="18">
        <f t="shared" si="2"/>
        <v>9.3704166666666691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2.3440636939830108</v>
      </c>
      <c r="C37" s="18">
        <f t="shared" ref="C37:Q37" si="3">STDEV(C9:C32)</f>
        <v>1.3727148996248757</v>
      </c>
      <c r="D37" s="18">
        <f t="shared" si="3"/>
        <v>1.6651460635762534</v>
      </c>
      <c r="E37" s="18">
        <f t="shared" si="3"/>
        <v>1.4468616712222944</v>
      </c>
      <c r="F37" s="18">
        <f t="shared" si="3"/>
        <v>7.3039702822545731</v>
      </c>
      <c r="G37" s="18">
        <f t="shared" si="3"/>
        <v>14.960753175329137</v>
      </c>
      <c r="H37" s="18">
        <f t="shared" si="3"/>
        <v>5.6957276478721433</v>
      </c>
      <c r="I37" s="18">
        <f t="shared" si="3"/>
        <v>1.2986229468059691</v>
      </c>
      <c r="J37" s="18">
        <f t="shared" si="3"/>
        <v>0.12706269136230308</v>
      </c>
      <c r="K37" s="18">
        <f t="shared" si="3"/>
        <v>55.490172252991385</v>
      </c>
      <c r="L37" s="18">
        <f t="shared" si="3"/>
        <v>3.3956478699243529</v>
      </c>
      <c r="M37" s="18">
        <f t="shared" si="3"/>
        <v>9.0807866826262575</v>
      </c>
      <c r="N37" s="18">
        <f t="shared" si="3"/>
        <v>235.00019842729827</v>
      </c>
      <c r="O37" s="18">
        <f t="shared" si="3"/>
        <v>0</v>
      </c>
      <c r="P37" s="18">
        <f t="shared" si="3"/>
        <v>6.128455842583206E-2</v>
      </c>
      <c r="Q37" s="18">
        <f t="shared" si="3"/>
        <v>7.8156986205671894E-2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>COUNT(G9:G32)+1</f>
        <v>24</v>
      </c>
      <c r="H38" s="34">
        <f>COUNT(H9:H32)+1</f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S19" sqref="S19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25/10/2025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637</v>
      </c>
      <c r="B9" s="41">
        <v>5.27</v>
      </c>
      <c r="C9" s="41">
        <v>6.63</v>
      </c>
      <c r="D9" s="41">
        <v>7.69</v>
      </c>
      <c r="E9" s="41">
        <v>4.3499999999999996</v>
      </c>
      <c r="F9" s="41">
        <v>2</v>
      </c>
      <c r="G9" s="41">
        <v>66.959999999999994</v>
      </c>
      <c r="H9" s="41">
        <v>32.450000000000003</v>
      </c>
      <c r="I9" s="41">
        <v>6.34</v>
      </c>
      <c r="J9" s="41">
        <v>0.15</v>
      </c>
      <c r="K9" s="41">
        <v>160.03</v>
      </c>
      <c r="L9" s="41">
        <v>15.69</v>
      </c>
      <c r="M9" s="41">
        <v>21.58</v>
      </c>
      <c r="N9" s="41">
        <v>2.2999999999999998</v>
      </c>
      <c r="O9" s="41">
        <v>0</v>
      </c>
      <c r="P9" s="41">
        <v>0.35</v>
      </c>
      <c r="Q9" s="41">
        <v>9.32</v>
      </c>
      <c r="R9" s="38"/>
      <c r="S9" s="38"/>
      <c r="T9" s="38"/>
      <c r="U9" s="38"/>
    </row>
    <row r="10" spans="1:21" customFormat="1">
      <c r="A10" s="40" t="s">
        <v>638</v>
      </c>
      <c r="B10" s="41">
        <v>5.18</v>
      </c>
      <c r="C10" s="41">
        <v>6.7</v>
      </c>
      <c r="D10" s="41">
        <v>7.61</v>
      </c>
      <c r="E10" s="41">
        <v>4.59</v>
      </c>
      <c r="F10" s="41">
        <v>2</v>
      </c>
      <c r="G10" s="41">
        <v>60.45</v>
      </c>
      <c r="H10" s="41">
        <v>32.450000000000003</v>
      </c>
      <c r="I10" s="41">
        <v>6.11</v>
      </c>
      <c r="J10" s="41">
        <v>0.12</v>
      </c>
      <c r="K10" s="41">
        <v>149.21</v>
      </c>
      <c r="L10" s="41">
        <v>15.12</v>
      </c>
      <c r="M10" s="41">
        <v>20.100000000000001</v>
      </c>
      <c r="N10" s="41">
        <v>2.2999999999999998</v>
      </c>
      <c r="O10" s="41">
        <v>0</v>
      </c>
      <c r="P10" s="41">
        <v>0.32</v>
      </c>
      <c r="Q10" s="41">
        <v>9.5500000000000007</v>
      </c>
      <c r="R10" s="38"/>
      <c r="S10" s="38"/>
      <c r="T10" s="38"/>
      <c r="U10" s="38"/>
    </row>
    <row r="11" spans="1:21" customFormat="1">
      <c r="A11" s="40" t="s">
        <v>639</v>
      </c>
      <c r="B11" s="41">
        <v>5.28</v>
      </c>
      <c r="C11" s="41">
        <v>6.56</v>
      </c>
      <c r="D11" s="41">
        <v>7.66</v>
      </c>
      <c r="E11" s="41">
        <v>5.47</v>
      </c>
      <c r="F11" s="41">
        <v>2</v>
      </c>
      <c r="G11" s="41">
        <v>59.96</v>
      </c>
      <c r="H11" s="41">
        <v>29.44</v>
      </c>
      <c r="I11" s="41">
        <v>6</v>
      </c>
      <c r="J11" s="41">
        <v>0.19</v>
      </c>
      <c r="K11" s="41">
        <v>145.51</v>
      </c>
      <c r="L11" s="41">
        <v>14.65</v>
      </c>
      <c r="M11" s="41">
        <v>18.95</v>
      </c>
      <c r="N11" s="41">
        <v>2.2999999999999998</v>
      </c>
      <c r="O11" s="41">
        <v>0</v>
      </c>
      <c r="P11" s="41">
        <v>0.31</v>
      </c>
      <c r="Q11" s="41">
        <v>9.32</v>
      </c>
      <c r="R11" s="38"/>
      <c r="S11" s="38"/>
      <c r="T11" s="38"/>
      <c r="U11" s="38"/>
    </row>
    <row r="12" spans="1:21" customFormat="1">
      <c r="A12" s="40" t="s">
        <v>640</v>
      </c>
      <c r="B12" s="41">
        <v>5.1100000000000003</v>
      </c>
      <c r="C12" s="41">
        <v>6.21</v>
      </c>
      <c r="D12" s="41">
        <v>7.34</v>
      </c>
      <c r="E12" s="41">
        <v>5.51</v>
      </c>
      <c r="F12" s="41">
        <v>2</v>
      </c>
      <c r="G12" s="41">
        <v>59.96</v>
      </c>
      <c r="H12" s="41">
        <v>29.44</v>
      </c>
      <c r="I12" s="41">
        <v>5.84</v>
      </c>
      <c r="J12" s="41">
        <v>0.14000000000000001</v>
      </c>
      <c r="K12" s="41">
        <v>204.21</v>
      </c>
      <c r="L12" s="41">
        <v>19.07</v>
      </c>
      <c r="M12" s="41">
        <v>30.07</v>
      </c>
      <c r="N12" s="41">
        <v>2.4</v>
      </c>
      <c r="O12" s="41">
        <v>0</v>
      </c>
      <c r="P12" s="41">
        <v>0.28999999999999998</v>
      </c>
      <c r="Q12" s="41">
        <v>9.32</v>
      </c>
      <c r="R12" s="38"/>
      <c r="S12" s="38"/>
      <c r="T12" s="38"/>
      <c r="U12" s="38"/>
    </row>
    <row r="13" spans="1:21" customFormat="1">
      <c r="A13" s="40" t="s">
        <v>641</v>
      </c>
      <c r="B13" s="41">
        <v>5.89</v>
      </c>
      <c r="C13" s="41">
        <v>6.35</v>
      </c>
      <c r="D13" s="41">
        <v>8.0299999999999994</v>
      </c>
      <c r="E13" s="41">
        <v>5.42</v>
      </c>
      <c r="F13" s="41">
        <v>2</v>
      </c>
      <c r="G13" s="41">
        <v>55.62</v>
      </c>
      <c r="H13" s="41">
        <v>27.75</v>
      </c>
      <c r="I13" s="41">
        <v>5.77</v>
      </c>
      <c r="J13" s="41">
        <v>0.12</v>
      </c>
      <c r="K13" s="41">
        <v>184.03</v>
      </c>
      <c r="L13" s="41">
        <v>17.850000000000001</v>
      </c>
      <c r="M13" s="41">
        <v>26.96</v>
      </c>
      <c r="N13" s="41">
        <v>2.2999999999999998</v>
      </c>
      <c r="O13" s="41">
        <v>0</v>
      </c>
      <c r="P13" s="41">
        <v>0.28999999999999998</v>
      </c>
      <c r="Q13" s="41">
        <v>9.32</v>
      </c>
      <c r="R13" s="38"/>
      <c r="S13" s="38"/>
      <c r="T13" s="38"/>
      <c r="U13" s="38"/>
    </row>
    <row r="14" spans="1:21" customFormat="1">
      <c r="A14" s="40" t="s">
        <v>642</v>
      </c>
      <c r="B14" s="41">
        <v>6.86</v>
      </c>
      <c r="C14" s="41">
        <v>6.25</v>
      </c>
      <c r="D14" s="41">
        <v>8.68</v>
      </c>
      <c r="E14" s="41">
        <v>5.47</v>
      </c>
      <c r="F14" s="41">
        <v>2</v>
      </c>
      <c r="G14" s="41">
        <v>53.78</v>
      </c>
      <c r="H14" s="41">
        <v>24.67</v>
      </c>
      <c r="I14" s="41">
        <v>5.73</v>
      </c>
      <c r="J14" s="41">
        <v>0.17</v>
      </c>
      <c r="K14" s="41">
        <v>226.99</v>
      </c>
      <c r="L14" s="41">
        <v>19.670000000000002</v>
      </c>
      <c r="M14" s="41">
        <v>31.52</v>
      </c>
      <c r="N14" s="41">
        <v>2.8</v>
      </c>
      <c r="O14" s="41">
        <v>0</v>
      </c>
      <c r="P14" s="41">
        <v>0.32</v>
      </c>
      <c r="Q14" s="41">
        <v>9.32</v>
      </c>
      <c r="R14" s="38"/>
      <c r="S14" s="38"/>
      <c r="T14" s="38"/>
      <c r="U14" s="38"/>
    </row>
    <row r="15" spans="1:21" customFormat="1">
      <c r="A15" s="40" t="s">
        <v>643</v>
      </c>
      <c r="B15" s="41">
        <v>7.71</v>
      </c>
      <c r="C15" s="41">
        <v>6.52</v>
      </c>
      <c r="D15" s="41">
        <v>9.59</v>
      </c>
      <c r="E15" s="41">
        <v>5.08</v>
      </c>
      <c r="F15" s="41">
        <v>2</v>
      </c>
      <c r="G15" s="41">
        <v>50.66</v>
      </c>
      <c r="H15" s="41">
        <v>24.67</v>
      </c>
      <c r="I15" s="41">
        <v>5.85</v>
      </c>
      <c r="J15" s="41">
        <v>0.23</v>
      </c>
      <c r="K15" s="41">
        <v>179.14</v>
      </c>
      <c r="L15" s="41">
        <v>16.96</v>
      </c>
      <c r="M15" s="41">
        <v>24.64</v>
      </c>
      <c r="N15" s="41">
        <v>10.9</v>
      </c>
      <c r="O15" s="41">
        <v>0</v>
      </c>
      <c r="P15" s="41">
        <v>0.33</v>
      </c>
      <c r="Q15" s="41">
        <v>9.32</v>
      </c>
      <c r="R15" s="38"/>
      <c r="S15" s="38"/>
      <c r="T15" s="38"/>
      <c r="U15" s="38"/>
    </row>
    <row r="16" spans="1:21" customFormat="1">
      <c r="A16" s="40" t="s">
        <v>644</v>
      </c>
      <c r="B16" s="41">
        <v>8.27</v>
      </c>
      <c r="C16" s="41">
        <v>6.74</v>
      </c>
      <c r="D16" s="41">
        <v>10.1</v>
      </c>
      <c r="E16" s="41">
        <v>5.24</v>
      </c>
      <c r="F16" s="41">
        <v>2</v>
      </c>
      <c r="G16" s="41">
        <v>46.98</v>
      </c>
      <c r="H16" s="41">
        <v>24.28</v>
      </c>
      <c r="I16" s="41">
        <v>6.14</v>
      </c>
      <c r="J16" s="41">
        <v>0.55000000000000004</v>
      </c>
      <c r="K16" s="41">
        <v>52.33</v>
      </c>
      <c r="L16" s="41">
        <v>9.2100000000000009</v>
      </c>
      <c r="M16" s="41">
        <v>4.2300000000000004</v>
      </c>
      <c r="N16" s="41">
        <v>38.299999999999997</v>
      </c>
      <c r="O16" s="41">
        <v>0</v>
      </c>
      <c r="P16" s="41">
        <v>0.34</v>
      </c>
      <c r="Q16" s="41">
        <v>9.32</v>
      </c>
      <c r="R16" s="38"/>
      <c r="S16" s="38"/>
      <c r="T16" s="38"/>
      <c r="U16" s="38"/>
    </row>
    <row r="17" spans="1:21" customFormat="1">
      <c r="A17" s="40" t="s">
        <v>645</v>
      </c>
      <c r="B17" s="41">
        <v>8.25</v>
      </c>
      <c r="C17" s="41">
        <v>6.64</v>
      </c>
      <c r="D17" s="41">
        <v>10.050000000000001</v>
      </c>
      <c r="E17" s="41">
        <v>5.35</v>
      </c>
      <c r="F17" s="41">
        <v>2</v>
      </c>
      <c r="G17" s="41">
        <v>51.13</v>
      </c>
      <c r="H17" s="41">
        <v>25.03</v>
      </c>
      <c r="I17" s="41">
        <v>6.21</v>
      </c>
      <c r="J17" s="41">
        <v>0.42</v>
      </c>
      <c r="K17" s="41">
        <v>63.35</v>
      </c>
      <c r="L17" s="41">
        <v>10.74</v>
      </c>
      <c r="M17" s="41">
        <v>7.11</v>
      </c>
      <c r="N17" s="41">
        <v>120</v>
      </c>
      <c r="O17" s="41">
        <v>0</v>
      </c>
      <c r="P17" s="41">
        <v>0.34</v>
      </c>
      <c r="Q17" s="41">
        <v>9.32</v>
      </c>
      <c r="R17" s="38"/>
      <c r="S17" s="38"/>
      <c r="T17" s="38"/>
      <c r="U17" s="38"/>
    </row>
    <row r="18" spans="1:21" customFormat="1">
      <c r="A18" s="40" t="s">
        <v>646</v>
      </c>
      <c r="B18" s="41">
        <v>7.92</v>
      </c>
      <c r="C18" s="41">
        <v>7.12</v>
      </c>
      <c r="D18" s="41">
        <v>9.9499999999999993</v>
      </c>
      <c r="E18" s="41">
        <v>5.93</v>
      </c>
      <c r="F18" s="41">
        <v>2</v>
      </c>
      <c r="G18" s="41">
        <v>54.99</v>
      </c>
      <c r="H18" s="41">
        <v>25.95</v>
      </c>
      <c r="I18" s="41">
        <v>6.5</v>
      </c>
      <c r="J18" s="41">
        <v>0.45</v>
      </c>
      <c r="K18" s="41">
        <v>74.959999999999994</v>
      </c>
      <c r="L18" s="41">
        <v>13.62</v>
      </c>
      <c r="M18" s="41">
        <v>13.06</v>
      </c>
      <c r="N18" s="41">
        <v>239.5</v>
      </c>
      <c r="O18" s="41">
        <v>0</v>
      </c>
      <c r="P18" s="41">
        <v>0.36</v>
      </c>
      <c r="Q18" s="41">
        <v>9.32</v>
      </c>
      <c r="R18" s="38"/>
      <c r="S18" s="38"/>
      <c r="T18" s="38"/>
      <c r="U18" s="38"/>
    </row>
    <row r="19" spans="1:21" customFormat="1">
      <c r="A19" s="40" t="s">
        <v>647</v>
      </c>
      <c r="B19" s="41">
        <v>7.02</v>
      </c>
      <c r="C19" s="41">
        <v>8.7200000000000006</v>
      </c>
      <c r="D19" s="41">
        <v>9.33</v>
      </c>
      <c r="E19" s="41">
        <v>6.37</v>
      </c>
      <c r="F19" s="41">
        <v>2</v>
      </c>
      <c r="G19" s="41">
        <v>54.99</v>
      </c>
      <c r="H19" s="41">
        <v>25.95</v>
      </c>
      <c r="I19" s="41">
        <v>6.53</v>
      </c>
      <c r="J19" s="41">
        <v>0.26</v>
      </c>
      <c r="K19" s="41">
        <v>99.28</v>
      </c>
      <c r="L19" s="41">
        <v>13.85</v>
      </c>
      <c r="M19" s="41">
        <v>12.59</v>
      </c>
      <c r="N19" s="41">
        <v>191.9</v>
      </c>
      <c r="O19" s="41">
        <v>0</v>
      </c>
      <c r="P19" s="41">
        <v>0.34</v>
      </c>
      <c r="Q19" s="41">
        <v>9.32</v>
      </c>
      <c r="R19" s="38"/>
      <c r="S19" s="38"/>
      <c r="T19" s="38"/>
      <c r="U19" s="38"/>
    </row>
    <row r="20" spans="1:21" customFormat="1">
      <c r="A20" s="40" t="s">
        <v>648</v>
      </c>
      <c r="B20" s="41">
        <v>3.36</v>
      </c>
      <c r="C20" s="41">
        <v>8.39</v>
      </c>
      <c r="D20" s="41">
        <v>6.55</v>
      </c>
      <c r="E20" s="41">
        <v>6.65</v>
      </c>
      <c r="F20" s="41">
        <v>2</v>
      </c>
      <c r="G20" s="41">
        <v>61.88</v>
      </c>
      <c r="H20" s="41">
        <v>29.6</v>
      </c>
      <c r="I20" s="41">
        <v>6.78</v>
      </c>
      <c r="J20" s="41">
        <v>0.31</v>
      </c>
      <c r="K20" s="41">
        <v>135.54</v>
      </c>
      <c r="L20" s="41">
        <v>15.13</v>
      </c>
      <c r="M20" s="41">
        <v>16.829999999999998</v>
      </c>
      <c r="N20" s="41">
        <v>344.4</v>
      </c>
      <c r="O20" s="41">
        <v>0</v>
      </c>
      <c r="P20" s="41">
        <v>0.32</v>
      </c>
      <c r="Q20" s="41">
        <v>9.32</v>
      </c>
      <c r="R20" s="38"/>
      <c r="S20" s="38"/>
      <c r="T20" s="38"/>
      <c r="U20" s="38"/>
    </row>
    <row r="21" spans="1:21" customFormat="1">
      <c r="A21" s="40" t="s">
        <v>649</v>
      </c>
      <c r="B21" s="41">
        <v>3.65</v>
      </c>
      <c r="C21" s="41">
        <v>7.05</v>
      </c>
      <c r="D21" s="41">
        <v>6.51</v>
      </c>
      <c r="E21" s="41">
        <v>5.93</v>
      </c>
      <c r="F21" s="41">
        <v>2</v>
      </c>
      <c r="G21" s="41">
        <v>61.88</v>
      </c>
      <c r="H21" s="41">
        <v>29.6</v>
      </c>
      <c r="I21" s="41">
        <v>6.79</v>
      </c>
      <c r="J21" s="41">
        <v>0.28999999999999998</v>
      </c>
      <c r="K21" s="41">
        <v>143.72</v>
      </c>
      <c r="L21" s="41">
        <v>18.18</v>
      </c>
      <c r="M21" s="41">
        <v>20.88</v>
      </c>
      <c r="N21" s="41">
        <v>565.9</v>
      </c>
      <c r="O21" s="41">
        <v>0</v>
      </c>
      <c r="P21" s="41">
        <v>0.3</v>
      </c>
      <c r="Q21" s="41">
        <v>9.32</v>
      </c>
      <c r="R21" s="38"/>
      <c r="S21" s="38"/>
      <c r="T21" s="38"/>
      <c r="U21" s="38"/>
    </row>
    <row r="22" spans="1:21" customFormat="1">
      <c r="A22" s="40" t="s">
        <v>650</v>
      </c>
      <c r="B22" s="41">
        <v>3.72</v>
      </c>
      <c r="C22" s="41">
        <v>7.29</v>
      </c>
      <c r="D22" s="41">
        <v>6.79</v>
      </c>
      <c r="E22" s="41">
        <v>5.9</v>
      </c>
      <c r="F22" s="41">
        <v>2</v>
      </c>
      <c r="G22" s="41">
        <v>54.71</v>
      </c>
      <c r="H22" s="41">
        <v>23.45</v>
      </c>
      <c r="I22" s="41">
        <v>6.47</v>
      </c>
      <c r="J22" s="41">
        <v>0.46</v>
      </c>
      <c r="K22" s="41">
        <v>99.6</v>
      </c>
      <c r="L22" s="41">
        <v>14.26</v>
      </c>
      <c r="M22" s="41">
        <v>11.01</v>
      </c>
      <c r="N22" s="41">
        <v>456</v>
      </c>
      <c r="O22" s="41">
        <v>0</v>
      </c>
      <c r="P22" s="41">
        <v>0.28000000000000003</v>
      </c>
      <c r="Q22" s="41">
        <v>9.32</v>
      </c>
      <c r="R22" s="38"/>
      <c r="S22" s="38"/>
      <c r="T22" s="38"/>
      <c r="U22" s="38"/>
    </row>
    <row r="23" spans="1:21" customFormat="1">
      <c r="A23" s="40" t="s">
        <v>651</v>
      </c>
      <c r="B23" s="41">
        <v>3.54</v>
      </c>
      <c r="C23" s="41">
        <v>9.6999999999999993</v>
      </c>
      <c r="D23" s="41">
        <v>7.04</v>
      </c>
      <c r="E23" s="41">
        <v>7.53</v>
      </c>
      <c r="F23" s="41">
        <v>42.78</v>
      </c>
      <c r="G23" s="41">
        <v>42.62</v>
      </c>
      <c r="H23" s="41">
        <v>23.45</v>
      </c>
      <c r="I23" s="41">
        <v>6.07</v>
      </c>
      <c r="J23" s="41">
        <v>0.5</v>
      </c>
      <c r="K23" s="41">
        <v>82.22</v>
      </c>
      <c r="L23" s="41">
        <v>11.66</v>
      </c>
      <c r="M23" s="41">
        <v>9.7200000000000006</v>
      </c>
      <c r="N23" s="41">
        <v>107.3</v>
      </c>
      <c r="O23" s="41">
        <v>0</v>
      </c>
      <c r="P23" s="41">
        <v>0.27</v>
      </c>
      <c r="Q23" s="41">
        <v>9.32</v>
      </c>
      <c r="R23" s="38"/>
      <c r="S23" s="38"/>
      <c r="T23" s="38"/>
      <c r="U23" s="38"/>
    </row>
    <row r="24" spans="1:21" customFormat="1">
      <c r="A24" s="40" t="s">
        <v>652</v>
      </c>
      <c r="B24" s="41">
        <v>2.2799999999999998</v>
      </c>
      <c r="C24" s="41">
        <v>7.73</v>
      </c>
      <c r="D24" s="41">
        <v>5.87</v>
      </c>
      <c r="E24" s="41">
        <v>6.09</v>
      </c>
      <c r="F24" s="41">
        <v>12.16</v>
      </c>
      <c r="G24" s="41">
        <v>47.45</v>
      </c>
      <c r="H24" s="41">
        <v>25.55</v>
      </c>
      <c r="I24" s="41">
        <v>4.55</v>
      </c>
      <c r="J24" s="41">
        <v>0.4</v>
      </c>
      <c r="K24" s="41">
        <v>67.5</v>
      </c>
      <c r="L24" s="41">
        <v>10.210000000000001</v>
      </c>
      <c r="M24" s="41">
        <v>6.76</v>
      </c>
      <c r="N24" s="41">
        <v>65.2</v>
      </c>
      <c r="O24" s="41">
        <v>0</v>
      </c>
      <c r="P24" s="41">
        <v>0.32</v>
      </c>
      <c r="Q24" s="41">
        <v>9.32</v>
      </c>
      <c r="R24" s="38"/>
      <c r="S24" s="38"/>
      <c r="T24" s="38"/>
      <c r="U24" s="38"/>
    </row>
    <row r="25" spans="1:21" customFormat="1">
      <c r="A25" s="40" t="s">
        <v>653</v>
      </c>
      <c r="B25" s="41">
        <v>2.5</v>
      </c>
      <c r="C25" s="41">
        <v>8.76</v>
      </c>
      <c r="D25" s="41">
        <v>6.36</v>
      </c>
      <c r="E25" s="41">
        <v>7.12</v>
      </c>
      <c r="F25" s="41">
        <v>24.14</v>
      </c>
      <c r="G25" s="41">
        <v>53.08</v>
      </c>
      <c r="H25" s="41">
        <v>26.51</v>
      </c>
      <c r="I25" s="41">
        <v>5.27</v>
      </c>
      <c r="J25" s="41">
        <v>0.3</v>
      </c>
      <c r="K25" s="41">
        <v>137.66999999999999</v>
      </c>
      <c r="L25" s="41">
        <v>13.22</v>
      </c>
      <c r="M25" s="41">
        <v>14.86</v>
      </c>
      <c r="N25" s="41">
        <v>28.2</v>
      </c>
      <c r="O25" s="41">
        <v>0</v>
      </c>
      <c r="P25" s="41">
        <v>0.36</v>
      </c>
      <c r="Q25" s="41">
        <v>9.32</v>
      </c>
      <c r="R25" s="38"/>
      <c r="S25" s="38"/>
      <c r="T25" s="38"/>
      <c r="U25" s="38"/>
    </row>
    <row r="26" spans="1:21" customFormat="1">
      <c r="A26" s="40" t="s">
        <v>654</v>
      </c>
      <c r="B26" s="41">
        <v>3.29</v>
      </c>
      <c r="C26" s="41">
        <v>18.760000000000002</v>
      </c>
      <c r="D26" s="41">
        <v>12.44</v>
      </c>
      <c r="E26" s="41">
        <v>9.68</v>
      </c>
      <c r="F26" s="41">
        <v>24.5</v>
      </c>
      <c r="G26" s="41">
        <v>53.08</v>
      </c>
      <c r="H26" s="41">
        <v>26.51</v>
      </c>
      <c r="I26" s="41">
        <v>6.95</v>
      </c>
      <c r="J26" s="41">
        <v>0.34</v>
      </c>
      <c r="K26" s="41">
        <v>71.61</v>
      </c>
      <c r="L26" s="41">
        <v>9.02</v>
      </c>
      <c r="M26" s="41">
        <v>4.6100000000000003</v>
      </c>
      <c r="N26" s="41">
        <v>6.6</v>
      </c>
      <c r="O26" s="41">
        <v>0</v>
      </c>
      <c r="P26" s="41">
        <v>0.56999999999999995</v>
      </c>
      <c r="Q26" s="41">
        <v>9.34</v>
      </c>
      <c r="R26" s="38"/>
      <c r="S26" s="38"/>
      <c r="T26" s="38"/>
      <c r="U26" s="38"/>
    </row>
    <row r="27" spans="1:21" customFormat="1">
      <c r="A27" s="40" t="s">
        <v>655</v>
      </c>
      <c r="B27" s="41">
        <v>3.39</v>
      </c>
      <c r="C27" s="41">
        <v>17.190000000000001</v>
      </c>
      <c r="D27" s="41">
        <v>10.93</v>
      </c>
      <c r="E27" s="41">
        <v>6.9</v>
      </c>
      <c r="F27" s="41">
        <v>2.78</v>
      </c>
      <c r="G27" s="41">
        <v>71.06</v>
      </c>
      <c r="H27" s="41">
        <v>32.049999999999997</v>
      </c>
      <c r="I27" s="41">
        <v>13.51</v>
      </c>
      <c r="J27" s="41">
        <v>0.4</v>
      </c>
      <c r="K27" s="41">
        <v>62.56</v>
      </c>
      <c r="L27" s="41">
        <v>8.86</v>
      </c>
      <c r="M27" s="41">
        <v>4.16</v>
      </c>
      <c r="N27" s="41">
        <v>2.4</v>
      </c>
      <c r="O27" s="41">
        <v>0</v>
      </c>
      <c r="P27" s="41">
        <v>0.6</v>
      </c>
      <c r="Q27" s="41">
        <v>9.32</v>
      </c>
      <c r="R27" s="38"/>
      <c r="S27" s="38"/>
      <c r="T27" s="38"/>
      <c r="U27" s="38"/>
    </row>
    <row r="28" spans="1:21" customFormat="1">
      <c r="A28" s="40" t="s">
        <v>656</v>
      </c>
      <c r="B28" s="41">
        <v>3.97</v>
      </c>
      <c r="C28" s="41">
        <v>11.88</v>
      </c>
      <c r="D28" s="41">
        <v>9.07</v>
      </c>
      <c r="E28" s="41">
        <v>8.42</v>
      </c>
      <c r="F28" s="41">
        <v>2.0099999999999998</v>
      </c>
      <c r="G28" s="41">
        <v>89.09</v>
      </c>
      <c r="H28" s="41">
        <v>36.130000000000003</v>
      </c>
      <c r="I28" s="41">
        <v>13.2</v>
      </c>
      <c r="J28" s="41">
        <v>0.38</v>
      </c>
      <c r="K28" s="41">
        <v>43.83</v>
      </c>
      <c r="L28" s="41">
        <v>10.99</v>
      </c>
      <c r="M28" s="41">
        <v>9.3000000000000007</v>
      </c>
      <c r="N28" s="41">
        <v>2.7</v>
      </c>
      <c r="O28" s="41">
        <v>0</v>
      </c>
      <c r="P28" s="41">
        <v>0.6</v>
      </c>
      <c r="Q28" s="41">
        <v>9.32</v>
      </c>
      <c r="R28" s="38"/>
      <c r="S28" s="38"/>
      <c r="T28" s="38"/>
      <c r="U28" s="38"/>
    </row>
    <row r="29" spans="1:21" customFormat="1">
      <c r="A29" s="40" t="s">
        <v>657</v>
      </c>
      <c r="B29" s="41">
        <v>4.66</v>
      </c>
      <c r="C29" s="41">
        <v>8.1999999999999993</v>
      </c>
      <c r="D29" s="41">
        <v>7.96</v>
      </c>
      <c r="E29" s="41">
        <v>5.44</v>
      </c>
      <c r="F29" s="41">
        <v>2</v>
      </c>
      <c r="G29" s="41">
        <v>91.29</v>
      </c>
      <c r="H29" s="41">
        <v>36.130000000000003</v>
      </c>
      <c r="I29" s="41">
        <v>13.12</v>
      </c>
      <c r="J29" s="41">
        <v>0.33</v>
      </c>
      <c r="K29" s="41">
        <v>45.61</v>
      </c>
      <c r="L29" s="41">
        <v>11.24</v>
      </c>
      <c r="M29" s="41">
        <v>10.050000000000001</v>
      </c>
      <c r="N29" s="41">
        <v>2.5</v>
      </c>
      <c r="O29" s="41">
        <v>0</v>
      </c>
      <c r="P29" s="41">
        <v>0.57999999999999996</v>
      </c>
      <c r="Q29" s="41">
        <v>9.32</v>
      </c>
      <c r="R29" s="38"/>
      <c r="S29" s="38"/>
      <c r="T29" s="38"/>
      <c r="U29" s="38"/>
    </row>
    <row r="30" spans="1:21" customFormat="1">
      <c r="A30" s="40" t="s">
        <v>658</v>
      </c>
      <c r="B30" s="41">
        <v>4.99</v>
      </c>
      <c r="C30" s="41">
        <v>7.85</v>
      </c>
      <c r="D30" s="41">
        <v>8.07</v>
      </c>
      <c r="E30" s="41">
        <v>5.45</v>
      </c>
      <c r="F30" s="41">
        <v>2</v>
      </c>
      <c r="G30" s="41">
        <v>91.29</v>
      </c>
      <c r="H30" s="41">
        <v>37.020000000000003</v>
      </c>
      <c r="I30" s="41">
        <v>11.27</v>
      </c>
      <c r="J30" s="41">
        <v>0.35</v>
      </c>
      <c r="K30" s="41">
        <v>48.31</v>
      </c>
      <c r="L30" s="41">
        <v>9.64</v>
      </c>
      <c r="M30" s="41">
        <v>6.03</v>
      </c>
      <c r="N30" s="41">
        <v>2.4</v>
      </c>
      <c r="O30" s="41">
        <v>0</v>
      </c>
      <c r="P30" s="41">
        <v>0.56000000000000005</v>
      </c>
      <c r="Q30" s="41">
        <v>9.34</v>
      </c>
      <c r="R30" s="38"/>
      <c r="S30" s="38"/>
      <c r="T30" s="38"/>
      <c r="U30" s="38"/>
    </row>
    <row r="31" spans="1:21" customFormat="1">
      <c r="A31" s="40" t="s">
        <v>659</v>
      </c>
      <c r="B31" s="41">
        <v>5.01</v>
      </c>
      <c r="C31" s="41">
        <v>7.78</v>
      </c>
      <c r="D31" s="41">
        <v>8.0299999999999994</v>
      </c>
      <c r="E31" s="41">
        <v>5.61</v>
      </c>
      <c r="F31" s="41">
        <v>2</v>
      </c>
      <c r="G31" s="41">
        <v>88.99</v>
      </c>
      <c r="H31" s="41">
        <v>39.33</v>
      </c>
      <c r="I31" s="41">
        <v>10.87</v>
      </c>
      <c r="J31" s="41">
        <v>0.37</v>
      </c>
      <c r="K31" s="41">
        <v>66.540000000000006</v>
      </c>
      <c r="L31" s="41">
        <v>10.46</v>
      </c>
      <c r="M31" s="41">
        <v>8.2799999999999994</v>
      </c>
      <c r="N31" s="41">
        <v>2.4</v>
      </c>
      <c r="O31" s="41">
        <v>0</v>
      </c>
      <c r="P31" s="41">
        <v>0.54</v>
      </c>
      <c r="Q31" s="41">
        <v>9.32</v>
      </c>
      <c r="R31" s="38"/>
      <c r="S31" s="38"/>
      <c r="T31" s="38"/>
      <c r="U31" s="38"/>
    </row>
    <row r="32" spans="1:21" customFormat="1">
      <c r="A32" s="40" t="s">
        <v>660</v>
      </c>
      <c r="B32" s="41">
        <v>4.8899999999999997</v>
      </c>
      <c r="C32" s="41">
        <v>7.36</v>
      </c>
      <c r="D32" s="41">
        <v>7.77</v>
      </c>
      <c r="E32" s="41">
        <v>5.81</v>
      </c>
      <c r="F32" s="41">
        <v>2</v>
      </c>
      <c r="G32" s="41">
        <v>84.06</v>
      </c>
      <c r="H32" s="41">
        <v>39.51</v>
      </c>
      <c r="I32" s="41">
        <v>10.19</v>
      </c>
      <c r="J32" s="41">
        <v>0.17</v>
      </c>
      <c r="K32" s="41">
        <v>179.67</v>
      </c>
      <c r="L32" s="41">
        <v>17.059999999999999</v>
      </c>
      <c r="M32" s="41">
        <v>25.01</v>
      </c>
      <c r="N32" s="41">
        <v>2.5</v>
      </c>
      <c r="O32" s="41">
        <v>0</v>
      </c>
      <c r="P32" s="41">
        <v>0.52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2.2799999999999998</v>
      </c>
      <c r="C34" s="18">
        <f t="shared" si="0"/>
        <v>6.21</v>
      </c>
      <c r="D34" s="18">
        <f t="shared" si="0"/>
        <v>5.87</v>
      </c>
      <c r="E34" s="18">
        <f t="shared" si="0"/>
        <v>4.3499999999999996</v>
      </c>
      <c r="F34" s="18">
        <f t="shared" si="0"/>
        <v>2</v>
      </c>
      <c r="G34" s="18">
        <f t="shared" si="0"/>
        <v>42.62</v>
      </c>
      <c r="H34" s="18">
        <f t="shared" si="0"/>
        <v>23.45</v>
      </c>
      <c r="I34" s="18">
        <f t="shared" si="0"/>
        <v>4.55</v>
      </c>
      <c r="J34" s="18">
        <f t="shared" si="0"/>
        <v>0.12</v>
      </c>
      <c r="K34" s="18">
        <f t="shared" si="0"/>
        <v>43.83</v>
      </c>
      <c r="L34" s="18">
        <f t="shared" si="0"/>
        <v>8.86</v>
      </c>
      <c r="M34" s="18">
        <f t="shared" si="0"/>
        <v>4.16</v>
      </c>
      <c r="N34" s="18">
        <f t="shared" si="0"/>
        <v>2.2999999999999998</v>
      </c>
      <c r="O34" s="18">
        <f t="shared" si="0"/>
        <v>0</v>
      </c>
      <c r="P34" s="18">
        <f t="shared" si="0"/>
        <v>0.27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8.27</v>
      </c>
      <c r="C35" s="3">
        <f t="shared" si="1"/>
        <v>18.760000000000002</v>
      </c>
      <c r="D35" s="3">
        <f t="shared" si="1"/>
        <v>12.44</v>
      </c>
      <c r="E35" s="3">
        <f t="shared" si="1"/>
        <v>9.68</v>
      </c>
      <c r="F35" s="3">
        <f t="shared" si="1"/>
        <v>42.78</v>
      </c>
      <c r="G35" s="3">
        <f t="shared" si="1"/>
        <v>91.29</v>
      </c>
      <c r="H35" s="3">
        <f t="shared" si="1"/>
        <v>39.51</v>
      </c>
      <c r="I35" s="3">
        <f t="shared" si="1"/>
        <v>13.51</v>
      </c>
      <c r="J35" s="3">
        <f t="shared" si="1"/>
        <v>0.55000000000000004</v>
      </c>
      <c r="K35" s="3">
        <f t="shared" si="1"/>
        <v>226.99</v>
      </c>
      <c r="L35" s="3">
        <f t="shared" si="1"/>
        <v>19.670000000000002</v>
      </c>
      <c r="M35" s="3">
        <f t="shared" si="1"/>
        <v>31.52</v>
      </c>
      <c r="N35" s="3">
        <f t="shared" si="1"/>
        <v>565.9</v>
      </c>
      <c r="O35" s="3">
        <f t="shared" si="1"/>
        <v>0</v>
      </c>
      <c r="P35" s="3">
        <f t="shared" si="1"/>
        <v>0.6</v>
      </c>
      <c r="Q35" s="3">
        <f t="shared" si="1"/>
        <v>9.5500000000000007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5.0837500000000011</v>
      </c>
      <c r="C36" s="18">
        <f t="shared" si="2"/>
        <v>8.4324999999999992</v>
      </c>
      <c r="D36" s="18">
        <f t="shared" si="2"/>
        <v>8.3091666666666679</v>
      </c>
      <c r="E36" s="18">
        <f t="shared" si="2"/>
        <v>6.0545833333333361</v>
      </c>
      <c r="F36" s="18">
        <f t="shared" si="2"/>
        <v>6.015416666666666</v>
      </c>
      <c r="G36" s="18">
        <f t="shared" si="2"/>
        <v>62.748333333333335</v>
      </c>
      <c r="H36" s="18">
        <f t="shared" si="2"/>
        <v>29.454999999999998</v>
      </c>
      <c r="I36" s="18">
        <f t="shared" si="2"/>
        <v>7.5858333333333334</v>
      </c>
      <c r="J36" s="18">
        <f t="shared" si="2"/>
        <v>0.3083333333333334</v>
      </c>
      <c r="K36" s="18">
        <f t="shared" si="2"/>
        <v>113.47583333333334</v>
      </c>
      <c r="L36" s="18">
        <f t="shared" si="2"/>
        <v>13.598333333333334</v>
      </c>
      <c r="M36" s="18">
        <f t="shared" si="2"/>
        <v>14.929583333333333</v>
      </c>
      <c r="N36" s="18">
        <f t="shared" si="2"/>
        <v>91.812499999999986</v>
      </c>
      <c r="O36" s="18">
        <f t="shared" si="2"/>
        <v>0</v>
      </c>
      <c r="P36" s="18">
        <f t="shared" si="2"/>
        <v>0.39208333333333334</v>
      </c>
      <c r="Q36" s="18">
        <f t="shared" si="2"/>
        <v>9.3312499999999954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1.7951742376377431</v>
      </c>
      <c r="C37" s="18">
        <f t="shared" ref="C37:Q37" si="3">STDEV(C9:C32)</f>
        <v>3.2165904849430369</v>
      </c>
      <c r="D37" s="18">
        <f t="shared" si="3"/>
        <v>1.6032464799157631</v>
      </c>
      <c r="E37" s="18">
        <f t="shared" si="3"/>
        <v>1.194545499039416</v>
      </c>
      <c r="F37" s="18">
        <f t="shared" si="3"/>
        <v>10.164529963754251</v>
      </c>
      <c r="G37" s="18">
        <f t="shared" si="3"/>
        <v>15.104346240811608</v>
      </c>
      <c r="H37" s="18">
        <f t="shared" si="3"/>
        <v>5.0820297211799819</v>
      </c>
      <c r="I37" s="18">
        <f t="shared" si="3"/>
        <v>2.74666583122261</v>
      </c>
      <c r="J37" s="18">
        <f t="shared" si="3"/>
        <v>0.12599746949379806</v>
      </c>
      <c r="K37" s="18">
        <f t="shared" si="3"/>
        <v>56.228372763429505</v>
      </c>
      <c r="L37" s="18">
        <f t="shared" si="3"/>
        <v>3.387348156926282</v>
      </c>
      <c r="M37" s="18">
        <f t="shared" si="3"/>
        <v>8.5121439996639161</v>
      </c>
      <c r="N37" s="18">
        <f t="shared" si="3"/>
        <v>157.6081886873406</v>
      </c>
      <c r="O37" s="18">
        <f t="shared" si="3"/>
        <v>0</v>
      </c>
      <c r="P37" s="18">
        <f t="shared" si="3"/>
        <v>0.1179527969945629</v>
      </c>
      <c r="Q37" s="18">
        <f t="shared" si="3"/>
        <v>4.6933116147389549E-2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L14" sqref="L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26/10/2025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661</v>
      </c>
      <c r="B9" s="41">
        <v>3.79</v>
      </c>
      <c r="C9" s="41">
        <v>6.15</v>
      </c>
      <c r="D9" s="41">
        <v>6.24</v>
      </c>
      <c r="E9" s="41">
        <v>6.16</v>
      </c>
      <c r="F9" s="41">
        <v>2</v>
      </c>
      <c r="G9" s="41">
        <v>80.7</v>
      </c>
      <c r="H9" s="41">
        <v>39.51</v>
      </c>
      <c r="I9" s="41">
        <v>10.119999999999999</v>
      </c>
      <c r="J9" s="41">
        <v>0.17</v>
      </c>
      <c r="K9" s="41">
        <v>228.53</v>
      </c>
      <c r="L9" s="41">
        <v>19.38</v>
      </c>
      <c r="M9" s="41">
        <v>30.8</v>
      </c>
      <c r="N9" s="41">
        <v>2.4</v>
      </c>
      <c r="O9" s="41">
        <v>0</v>
      </c>
      <c r="P9" s="41">
        <v>0.5</v>
      </c>
      <c r="Q9" s="41">
        <v>9.32</v>
      </c>
      <c r="R9" s="38"/>
      <c r="S9" s="38"/>
      <c r="T9" s="38"/>
      <c r="U9" s="38"/>
    </row>
    <row r="10" spans="1:21" customFormat="1">
      <c r="A10" s="40" t="s">
        <v>662</v>
      </c>
      <c r="B10" s="41">
        <v>3.77</v>
      </c>
      <c r="C10" s="41">
        <v>5.53</v>
      </c>
      <c r="D10" s="41">
        <v>5.85</v>
      </c>
      <c r="E10" s="41">
        <v>5.85</v>
      </c>
      <c r="F10" s="41">
        <v>2</v>
      </c>
      <c r="G10" s="41">
        <v>72.849999999999994</v>
      </c>
      <c r="H10" s="41">
        <v>37.700000000000003</v>
      </c>
      <c r="I10" s="41">
        <v>9.7200000000000006</v>
      </c>
      <c r="J10" s="41">
        <v>0.13</v>
      </c>
      <c r="K10" s="41">
        <v>225.84</v>
      </c>
      <c r="L10" s="41">
        <v>19.670000000000002</v>
      </c>
      <c r="M10" s="41">
        <v>31.5</v>
      </c>
      <c r="N10" s="41">
        <v>2.4</v>
      </c>
      <c r="O10" s="41">
        <v>0</v>
      </c>
      <c r="P10" s="41">
        <v>0.49</v>
      </c>
      <c r="Q10" s="41">
        <v>9.32</v>
      </c>
      <c r="R10" s="38"/>
      <c r="S10" s="38"/>
      <c r="T10" s="38"/>
      <c r="U10" s="38"/>
    </row>
    <row r="11" spans="1:21" customFormat="1">
      <c r="A11" s="40" t="s">
        <v>663</v>
      </c>
      <c r="B11" s="41">
        <v>4.12</v>
      </c>
      <c r="C11" s="41">
        <v>5.38</v>
      </c>
      <c r="D11" s="41">
        <v>6.06</v>
      </c>
      <c r="E11" s="41">
        <v>4.8</v>
      </c>
      <c r="F11" s="41">
        <v>2</v>
      </c>
      <c r="G11" s="41">
        <v>71.11</v>
      </c>
      <c r="H11" s="41">
        <v>36.450000000000003</v>
      </c>
      <c r="I11" s="41">
        <v>9.11</v>
      </c>
      <c r="J11" s="41">
        <v>0.1</v>
      </c>
      <c r="K11" s="41">
        <v>185.3</v>
      </c>
      <c r="L11" s="41">
        <v>17.57</v>
      </c>
      <c r="M11" s="41">
        <v>26.3</v>
      </c>
      <c r="N11" s="41">
        <v>2.2999999999999998</v>
      </c>
      <c r="O11" s="41">
        <v>0</v>
      </c>
      <c r="P11" s="41">
        <v>0.46</v>
      </c>
      <c r="Q11" s="41">
        <v>9.32</v>
      </c>
      <c r="R11" s="38"/>
      <c r="S11" s="38"/>
      <c r="T11" s="38"/>
      <c r="U11" s="38"/>
    </row>
    <row r="12" spans="1:21" customFormat="1">
      <c r="A12" s="40" t="s">
        <v>664</v>
      </c>
      <c r="B12" s="41">
        <v>4.6100000000000003</v>
      </c>
      <c r="C12" s="41">
        <v>5.5</v>
      </c>
      <c r="D12" s="41">
        <v>6.57</v>
      </c>
      <c r="E12" s="41">
        <v>4.8499999999999996</v>
      </c>
      <c r="F12" s="41">
        <v>2</v>
      </c>
      <c r="G12" s="41">
        <v>62.51</v>
      </c>
      <c r="H12" s="41">
        <v>34.700000000000003</v>
      </c>
      <c r="I12" s="41">
        <v>8.76</v>
      </c>
      <c r="J12" s="41">
        <v>0.12</v>
      </c>
      <c r="K12" s="41">
        <v>193.58</v>
      </c>
      <c r="L12" s="41">
        <v>18.649999999999999</v>
      </c>
      <c r="M12" s="41">
        <v>29.13</v>
      </c>
      <c r="N12" s="41">
        <v>2.1</v>
      </c>
      <c r="O12" s="41">
        <v>0</v>
      </c>
      <c r="P12" s="41">
        <v>0.45</v>
      </c>
      <c r="Q12" s="41">
        <v>9.49</v>
      </c>
      <c r="R12" s="38"/>
      <c r="S12" s="38"/>
      <c r="T12" s="38"/>
      <c r="U12" s="38"/>
    </row>
    <row r="13" spans="1:21" customFormat="1">
      <c r="A13" s="40" t="s">
        <v>665</v>
      </c>
      <c r="B13" s="41">
        <v>5.56</v>
      </c>
      <c r="C13" s="41">
        <v>5.98</v>
      </c>
      <c r="D13" s="41">
        <v>7.58</v>
      </c>
      <c r="E13" s="41">
        <v>5.08</v>
      </c>
      <c r="F13" s="41">
        <v>2</v>
      </c>
      <c r="G13" s="41">
        <v>60.14</v>
      </c>
      <c r="H13" s="41">
        <v>32.58</v>
      </c>
      <c r="I13" s="41">
        <v>8.59</v>
      </c>
      <c r="J13" s="41">
        <v>0.23</v>
      </c>
      <c r="K13" s="41">
        <v>152.07</v>
      </c>
      <c r="L13" s="41">
        <v>16.28</v>
      </c>
      <c r="M13" s="41">
        <v>22.98</v>
      </c>
      <c r="N13" s="41">
        <v>2.2000000000000002</v>
      </c>
      <c r="O13" s="41">
        <v>0</v>
      </c>
      <c r="P13" s="41">
        <v>0.44</v>
      </c>
      <c r="Q13" s="41">
        <v>9.6300000000000008</v>
      </c>
      <c r="R13" s="38"/>
      <c r="S13" s="38"/>
      <c r="T13" s="38"/>
      <c r="U13" s="38"/>
    </row>
    <row r="14" spans="1:21" customFormat="1">
      <c r="A14" s="40" t="s">
        <v>666</v>
      </c>
      <c r="B14" s="41">
        <v>5.97</v>
      </c>
      <c r="C14" s="41">
        <v>6.32</v>
      </c>
      <c r="D14" s="41">
        <v>8.07</v>
      </c>
      <c r="E14" s="41">
        <v>5.24</v>
      </c>
      <c r="F14" s="41">
        <v>2</v>
      </c>
      <c r="G14" s="41">
        <v>60.14</v>
      </c>
      <c r="H14" s="41">
        <v>32.58</v>
      </c>
      <c r="I14" s="41">
        <v>8.5</v>
      </c>
      <c r="J14" s="41">
        <v>0.41</v>
      </c>
      <c r="K14" s="41">
        <v>43.29</v>
      </c>
      <c r="L14" s="41">
        <v>8.2200000000000006</v>
      </c>
      <c r="M14" s="41">
        <v>2.41</v>
      </c>
      <c r="N14" s="41">
        <v>2.9</v>
      </c>
      <c r="O14" s="41">
        <v>0</v>
      </c>
      <c r="P14" s="41">
        <v>0.44</v>
      </c>
      <c r="Q14" s="41">
        <v>9.32</v>
      </c>
      <c r="R14" s="38"/>
      <c r="S14" s="38"/>
      <c r="T14" s="38"/>
      <c r="U14" s="38"/>
    </row>
    <row r="15" spans="1:21" customFormat="1">
      <c r="A15" s="40" t="s">
        <v>667</v>
      </c>
      <c r="B15" s="41">
        <v>5.89</v>
      </c>
      <c r="C15" s="41">
        <v>7.03</v>
      </c>
      <c r="D15" s="41">
        <v>8.2899999999999991</v>
      </c>
      <c r="E15" s="41">
        <v>6.01</v>
      </c>
      <c r="F15" s="41">
        <v>2</v>
      </c>
      <c r="G15" s="41">
        <v>65.28</v>
      </c>
      <c r="H15" s="41">
        <v>41.38</v>
      </c>
      <c r="I15" s="41">
        <v>8.51</v>
      </c>
      <c r="J15" s="41">
        <v>0.47</v>
      </c>
      <c r="K15" s="41">
        <v>35.159999999999997</v>
      </c>
      <c r="L15" s="41">
        <v>10.68</v>
      </c>
      <c r="M15" s="41">
        <v>8.5</v>
      </c>
      <c r="N15" s="41">
        <v>23.4</v>
      </c>
      <c r="O15" s="41">
        <v>0</v>
      </c>
      <c r="P15" s="41">
        <v>0.44</v>
      </c>
      <c r="Q15" s="41">
        <v>9.32</v>
      </c>
      <c r="R15" s="38"/>
      <c r="S15" s="38"/>
      <c r="T15" s="38"/>
      <c r="U15" s="38"/>
    </row>
    <row r="16" spans="1:21" customFormat="1">
      <c r="A16" s="40" t="s">
        <v>668</v>
      </c>
      <c r="B16" s="41">
        <v>5.81</v>
      </c>
      <c r="C16" s="41">
        <v>6.95</v>
      </c>
      <c r="D16" s="41">
        <v>8.2899999999999991</v>
      </c>
      <c r="E16" s="41">
        <v>6.46</v>
      </c>
      <c r="F16" s="41">
        <v>2</v>
      </c>
      <c r="G16" s="41">
        <v>77.81</v>
      </c>
      <c r="H16" s="41">
        <v>46.79</v>
      </c>
      <c r="I16" s="41">
        <v>8.98</v>
      </c>
      <c r="J16" s="41">
        <v>0.49</v>
      </c>
      <c r="K16" s="41">
        <v>38.270000000000003</v>
      </c>
      <c r="L16" s="41">
        <v>11.77</v>
      </c>
      <c r="M16" s="41">
        <v>10.56</v>
      </c>
      <c r="N16" s="41">
        <v>50.7</v>
      </c>
      <c r="O16" s="41">
        <v>0</v>
      </c>
      <c r="P16" s="41">
        <v>0.45</v>
      </c>
      <c r="Q16" s="41">
        <v>9.6199999999999992</v>
      </c>
      <c r="R16" s="38"/>
      <c r="S16" s="38"/>
      <c r="T16" s="38"/>
      <c r="U16" s="38"/>
    </row>
    <row r="17" spans="1:21" customFormat="1">
      <c r="A17" s="40" t="s">
        <v>669</v>
      </c>
      <c r="B17" s="41">
        <v>5.95</v>
      </c>
      <c r="C17" s="41">
        <v>6.96</v>
      </c>
      <c r="D17" s="41">
        <v>8.41</v>
      </c>
      <c r="E17" s="41">
        <v>6.27</v>
      </c>
      <c r="F17" s="41">
        <v>2</v>
      </c>
      <c r="G17" s="41">
        <v>92.97</v>
      </c>
      <c r="H17" s="41">
        <v>46.92</v>
      </c>
      <c r="I17" s="41">
        <v>9.15</v>
      </c>
      <c r="J17" s="41">
        <v>0.57999999999999996</v>
      </c>
      <c r="K17" s="41">
        <v>45.1</v>
      </c>
      <c r="L17" s="41">
        <v>10.43</v>
      </c>
      <c r="M17" s="41">
        <v>5.14</v>
      </c>
      <c r="N17" s="41">
        <v>126</v>
      </c>
      <c r="O17" s="41">
        <v>0</v>
      </c>
      <c r="P17" s="41">
        <v>0.47</v>
      </c>
      <c r="Q17" s="41">
        <v>9.36</v>
      </c>
      <c r="R17" s="38"/>
      <c r="S17" s="38"/>
      <c r="T17" s="38"/>
      <c r="U17" s="38"/>
    </row>
    <row r="18" spans="1:21" customFormat="1">
      <c r="A18" s="40" t="s">
        <v>670</v>
      </c>
      <c r="B18" s="41">
        <v>5.71</v>
      </c>
      <c r="C18" s="41">
        <v>6.82</v>
      </c>
      <c r="D18" s="41">
        <v>8.15</v>
      </c>
      <c r="E18" s="41">
        <v>6.46</v>
      </c>
      <c r="F18" s="41">
        <v>2</v>
      </c>
      <c r="G18" s="41">
        <v>92.97</v>
      </c>
      <c r="H18" s="41">
        <v>46.92</v>
      </c>
      <c r="I18" s="41">
        <v>9.06</v>
      </c>
      <c r="J18" s="41">
        <v>0.4</v>
      </c>
      <c r="K18" s="41">
        <v>69.95</v>
      </c>
      <c r="L18" s="41">
        <v>13.15</v>
      </c>
      <c r="M18" s="41">
        <v>11.39</v>
      </c>
      <c r="N18" s="41">
        <v>231.3</v>
      </c>
      <c r="O18" s="41">
        <v>0</v>
      </c>
      <c r="P18" s="41">
        <v>0.48</v>
      </c>
      <c r="Q18" s="41">
        <v>9.32</v>
      </c>
      <c r="R18" s="38"/>
      <c r="S18" s="38"/>
      <c r="T18" s="38"/>
      <c r="U18" s="38"/>
    </row>
    <row r="19" spans="1:21" customFormat="1">
      <c r="A19" s="40" t="s">
        <v>671</v>
      </c>
      <c r="B19" s="41">
        <v>4.87</v>
      </c>
      <c r="C19" s="41">
        <v>6.66</v>
      </c>
      <c r="D19" s="41">
        <v>7.37</v>
      </c>
      <c r="E19" s="41">
        <v>6.53</v>
      </c>
      <c r="F19" s="41">
        <v>2.19</v>
      </c>
      <c r="G19" s="41">
        <v>91.6</v>
      </c>
      <c r="H19" s="41">
        <v>46.41</v>
      </c>
      <c r="I19" s="41">
        <v>8.9</v>
      </c>
      <c r="J19" s="41">
        <v>0.43</v>
      </c>
      <c r="K19" s="41">
        <v>104.08</v>
      </c>
      <c r="L19" s="41">
        <v>14.28</v>
      </c>
      <c r="M19" s="41">
        <v>13.49</v>
      </c>
      <c r="N19" s="41">
        <v>416.5</v>
      </c>
      <c r="O19" s="41">
        <v>0</v>
      </c>
      <c r="P19" s="41">
        <v>0.47</v>
      </c>
      <c r="Q19" s="41">
        <v>9.32</v>
      </c>
      <c r="R19" s="38"/>
      <c r="S19" s="38"/>
      <c r="T19" s="38"/>
      <c r="U19" s="38"/>
    </row>
    <row r="20" spans="1:21" customFormat="1">
      <c r="A20" s="40" t="s">
        <v>672</v>
      </c>
      <c r="B20" s="41">
        <v>3.81</v>
      </c>
      <c r="C20" s="41">
        <v>6.76</v>
      </c>
      <c r="D20" s="41">
        <v>6.59</v>
      </c>
      <c r="E20" s="41">
        <v>6.36</v>
      </c>
      <c r="F20" s="41">
        <v>2.69</v>
      </c>
      <c r="G20" s="41">
        <v>83.97</v>
      </c>
      <c r="H20" s="41">
        <v>46.16</v>
      </c>
      <c r="I20" s="41">
        <v>8.35</v>
      </c>
      <c r="J20" s="41">
        <v>0.24</v>
      </c>
      <c r="K20" s="41">
        <v>145.4</v>
      </c>
      <c r="L20" s="41">
        <v>18.53</v>
      </c>
      <c r="M20" s="41">
        <v>25.03</v>
      </c>
      <c r="N20" s="41">
        <v>310.89999999999998</v>
      </c>
      <c r="O20" s="41">
        <v>0</v>
      </c>
      <c r="P20" s="41">
        <v>0.45</v>
      </c>
      <c r="Q20" s="41">
        <v>9.33</v>
      </c>
      <c r="R20" s="38"/>
      <c r="S20" s="38"/>
      <c r="T20" s="38"/>
      <c r="U20" s="38"/>
    </row>
    <row r="21" spans="1:21" customFormat="1">
      <c r="A21" s="40" t="s">
        <v>673</v>
      </c>
      <c r="B21" s="41">
        <v>3.3</v>
      </c>
      <c r="C21" s="41">
        <v>5.94</v>
      </c>
      <c r="D21" s="41">
        <v>5.75</v>
      </c>
      <c r="E21" s="41">
        <v>5.38</v>
      </c>
      <c r="F21" s="41">
        <v>2.2200000000000002</v>
      </c>
      <c r="G21" s="41">
        <v>64.459999999999994</v>
      </c>
      <c r="H21" s="41">
        <v>36.81</v>
      </c>
      <c r="I21" s="41">
        <v>7.83</v>
      </c>
      <c r="J21" s="41">
        <v>0.31</v>
      </c>
      <c r="K21" s="41">
        <v>181.74</v>
      </c>
      <c r="L21" s="41">
        <v>19.82</v>
      </c>
      <c r="M21" s="41">
        <v>25.64</v>
      </c>
      <c r="N21" s="41">
        <v>521.29999999999995</v>
      </c>
      <c r="O21" s="41">
        <v>0</v>
      </c>
      <c r="P21" s="41">
        <v>0.42</v>
      </c>
      <c r="Q21" s="41">
        <v>9.32</v>
      </c>
      <c r="R21" s="38"/>
      <c r="S21" s="38"/>
      <c r="T21" s="38"/>
      <c r="U21" s="38"/>
    </row>
    <row r="22" spans="1:21" customFormat="1">
      <c r="A22" s="40" t="s">
        <v>674</v>
      </c>
      <c r="B22" s="41">
        <v>2.97</v>
      </c>
      <c r="C22" s="41">
        <v>5.58</v>
      </c>
      <c r="D22" s="41">
        <v>5.29</v>
      </c>
      <c r="E22" s="41">
        <v>5.05</v>
      </c>
      <c r="F22" s="41">
        <v>2.5</v>
      </c>
      <c r="G22" s="41">
        <v>44.32</v>
      </c>
      <c r="H22" s="41">
        <v>26.5</v>
      </c>
      <c r="I22" s="41">
        <v>7.1</v>
      </c>
      <c r="J22" s="41">
        <v>0.28999999999999998</v>
      </c>
      <c r="K22" s="41">
        <v>180.21</v>
      </c>
      <c r="L22" s="41">
        <v>20.67</v>
      </c>
      <c r="M22" s="41">
        <v>25.64</v>
      </c>
      <c r="N22" s="41">
        <v>357.9</v>
      </c>
      <c r="O22" s="41">
        <v>0</v>
      </c>
      <c r="P22" s="41">
        <v>0.38</v>
      </c>
      <c r="Q22" s="41">
        <v>9.32</v>
      </c>
      <c r="R22" s="38"/>
      <c r="S22" s="38"/>
      <c r="T22" s="38"/>
      <c r="U22" s="38"/>
    </row>
    <row r="23" spans="1:21" customFormat="1">
      <c r="A23" s="40" t="s">
        <v>675</v>
      </c>
      <c r="B23" s="41">
        <v>2.82</v>
      </c>
      <c r="C23" s="41">
        <v>6.48</v>
      </c>
      <c r="D23" s="41">
        <v>5.65</v>
      </c>
      <c r="E23" s="41">
        <v>7.74</v>
      </c>
      <c r="F23" s="41">
        <v>2.6</v>
      </c>
      <c r="G23" s="41">
        <v>24.88</v>
      </c>
      <c r="H23" s="41">
        <v>15.81</v>
      </c>
      <c r="I23" s="41">
        <v>6.25</v>
      </c>
      <c r="J23" s="41">
        <v>0.32</v>
      </c>
      <c r="K23" s="41">
        <v>309.43</v>
      </c>
      <c r="L23" s="41">
        <v>19.41</v>
      </c>
      <c r="M23" s="41">
        <v>29.56</v>
      </c>
      <c r="N23" s="41">
        <v>354.2</v>
      </c>
      <c r="O23" s="41">
        <v>0</v>
      </c>
      <c r="P23" s="41">
        <v>0.35</v>
      </c>
      <c r="Q23" s="41">
        <v>9.32</v>
      </c>
      <c r="R23" s="38"/>
      <c r="S23" s="38"/>
      <c r="T23" s="38"/>
      <c r="U23" s="38"/>
    </row>
    <row r="24" spans="1:21" customFormat="1">
      <c r="A24" s="40" t="s">
        <v>676</v>
      </c>
      <c r="B24" s="41">
        <v>4.05</v>
      </c>
      <c r="C24" s="41">
        <v>7.55</v>
      </c>
      <c r="D24" s="41">
        <v>7.2</v>
      </c>
      <c r="E24" s="41">
        <v>9.6199999999999992</v>
      </c>
      <c r="F24" s="41">
        <v>2.06</v>
      </c>
      <c r="G24" s="41">
        <v>50.09</v>
      </c>
      <c r="H24" s="41">
        <v>18.59</v>
      </c>
      <c r="I24" s="41">
        <v>6.37</v>
      </c>
      <c r="J24" s="41">
        <v>0.38</v>
      </c>
      <c r="K24" s="41">
        <v>317.31</v>
      </c>
      <c r="L24" s="41">
        <v>22.61</v>
      </c>
      <c r="M24" s="41">
        <v>38.01</v>
      </c>
      <c r="N24" s="41">
        <v>39.799999999999997</v>
      </c>
      <c r="O24" s="41">
        <v>0</v>
      </c>
      <c r="P24" s="41">
        <v>0.36</v>
      </c>
      <c r="Q24" s="41">
        <v>9.32</v>
      </c>
      <c r="R24" s="38"/>
      <c r="S24" s="38"/>
      <c r="T24" s="38"/>
      <c r="U24" s="38"/>
    </row>
    <row r="25" spans="1:21" customFormat="1">
      <c r="A25" s="40" t="s">
        <v>677</v>
      </c>
      <c r="B25" s="41">
        <v>4.8</v>
      </c>
      <c r="C25" s="41">
        <v>9.07</v>
      </c>
      <c r="D25" s="41">
        <v>8.59</v>
      </c>
      <c r="E25" s="41">
        <v>8.4600000000000009</v>
      </c>
      <c r="F25" s="41">
        <v>2</v>
      </c>
      <c r="G25" s="41">
        <v>54.59</v>
      </c>
      <c r="H25" s="41">
        <v>18.59</v>
      </c>
      <c r="I25" s="41">
        <v>6.71</v>
      </c>
      <c r="J25" s="41">
        <v>0.89</v>
      </c>
      <c r="K25" s="41">
        <v>41.98</v>
      </c>
      <c r="L25" s="41">
        <v>11.95</v>
      </c>
      <c r="M25" s="41">
        <v>10.84</v>
      </c>
      <c r="N25" s="41">
        <v>38.1</v>
      </c>
      <c r="O25" s="41">
        <v>0</v>
      </c>
      <c r="P25" s="41">
        <v>0.36</v>
      </c>
      <c r="Q25" s="41">
        <v>9.32</v>
      </c>
      <c r="R25" s="38"/>
      <c r="S25" s="38"/>
      <c r="T25" s="38"/>
      <c r="U25" s="38"/>
    </row>
    <row r="26" spans="1:21" customFormat="1">
      <c r="A26" s="40" t="s">
        <v>678</v>
      </c>
      <c r="B26" s="41">
        <v>5.89</v>
      </c>
      <c r="C26" s="41">
        <v>7.97</v>
      </c>
      <c r="D26" s="41">
        <v>8.64</v>
      </c>
      <c r="E26" s="41">
        <v>5.97</v>
      </c>
      <c r="F26" s="41">
        <v>2</v>
      </c>
      <c r="G26" s="41">
        <v>54.59</v>
      </c>
      <c r="H26" s="41">
        <v>18.54</v>
      </c>
      <c r="I26" s="41">
        <v>6.29</v>
      </c>
      <c r="J26" s="41">
        <v>0.52</v>
      </c>
      <c r="K26" s="41">
        <v>45.73</v>
      </c>
      <c r="L26" s="41">
        <v>7.31</v>
      </c>
      <c r="M26" s="41">
        <v>0.22</v>
      </c>
      <c r="N26" s="41">
        <v>8.1999999999999993</v>
      </c>
      <c r="O26" s="41">
        <v>0</v>
      </c>
      <c r="P26" s="41">
        <v>0.36</v>
      </c>
      <c r="Q26" s="41">
        <v>9.32</v>
      </c>
      <c r="R26" s="38"/>
      <c r="S26" s="38"/>
      <c r="T26" s="38"/>
      <c r="U26" s="38"/>
    </row>
    <row r="27" spans="1:21" customFormat="1">
      <c r="A27" s="40" t="s">
        <v>679</v>
      </c>
      <c r="B27" s="41">
        <v>7.69</v>
      </c>
      <c r="C27" s="41">
        <v>7.9</v>
      </c>
      <c r="D27" s="41">
        <v>10.16</v>
      </c>
      <c r="E27" s="41">
        <v>6.11</v>
      </c>
      <c r="F27" s="41">
        <v>2</v>
      </c>
      <c r="G27" s="41">
        <v>59.67</v>
      </c>
      <c r="H27" s="41">
        <v>17.36</v>
      </c>
      <c r="I27" s="41">
        <v>6.27</v>
      </c>
      <c r="J27" s="41">
        <v>0.35</v>
      </c>
      <c r="K27" s="41">
        <v>47.5</v>
      </c>
      <c r="L27" s="41">
        <v>9.59</v>
      </c>
      <c r="M27" s="41">
        <v>5.91</v>
      </c>
      <c r="N27" s="41">
        <v>2.4</v>
      </c>
      <c r="O27" s="41">
        <v>0</v>
      </c>
      <c r="P27" s="41">
        <v>0.39</v>
      </c>
      <c r="Q27" s="41">
        <v>9.32</v>
      </c>
      <c r="R27" s="38"/>
      <c r="S27" s="38"/>
      <c r="T27" s="38"/>
      <c r="U27" s="38"/>
    </row>
    <row r="28" spans="1:21" customFormat="1">
      <c r="A28" s="40" t="s">
        <v>680</v>
      </c>
      <c r="B28" s="41">
        <v>9.44</v>
      </c>
      <c r="C28" s="41">
        <v>7.63</v>
      </c>
      <c r="D28" s="41">
        <v>11.55</v>
      </c>
      <c r="E28" s="41">
        <v>5.72</v>
      </c>
      <c r="F28" s="41">
        <v>2</v>
      </c>
      <c r="G28" s="41">
        <v>62.61</v>
      </c>
      <c r="H28" s="41">
        <v>18.329999999999998</v>
      </c>
      <c r="I28" s="41">
        <v>6.51</v>
      </c>
      <c r="J28" s="41">
        <v>0.34</v>
      </c>
      <c r="K28" s="41">
        <v>44.11</v>
      </c>
      <c r="L28" s="41">
        <v>7.82</v>
      </c>
      <c r="M28" s="41">
        <v>1.42</v>
      </c>
      <c r="N28" s="41">
        <v>2.2999999999999998</v>
      </c>
      <c r="O28" s="41">
        <v>0</v>
      </c>
      <c r="P28" s="41">
        <v>0.4</v>
      </c>
      <c r="Q28" s="41">
        <v>9.32</v>
      </c>
      <c r="R28" s="38"/>
      <c r="S28" s="38"/>
      <c r="T28" s="38"/>
      <c r="U28" s="38"/>
    </row>
    <row r="29" spans="1:21" customFormat="1">
      <c r="A29" s="40" t="s">
        <v>681</v>
      </c>
      <c r="B29" s="41">
        <v>11.09</v>
      </c>
      <c r="C29" s="41">
        <v>8.59</v>
      </c>
      <c r="D29" s="41">
        <v>13.18</v>
      </c>
      <c r="E29" s="41">
        <v>5.97</v>
      </c>
      <c r="F29" s="41">
        <v>2</v>
      </c>
      <c r="G29" s="41">
        <v>68.709999999999994</v>
      </c>
      <c r="H29" s="41">
        <v>19.09</v>
      </c>
      <c r="I29" s="41">
        <v>6.64</v>
      </c>
      <c r="J29" s="41">
        <v>0.33</v>
      </c>
      <c r="K29" s="41">
        <v>58.93</v>
      </c>
      <c r="L29" s="41">
        <v>8.15</v>
      </c>
      <c r="M29" s="41">
        <v>2.41</v>
      </c>
      <c r="N29" s="41">
        <v>2.2000000000000002</v>
      </c>
      <c r="O29" s="41">
        <v>0</v>
      </c>
      <c r="P29" s="41">
        <v>0.45</v>
      </c>
      <c r="Q29" s="41">
        <v>9.32</v>
      </c>
      <c r="R29" s="38"/>
      <c r="S29" s="38"/>
      <c r="T29" s="38"/>
      <c r="U29" s="38"/>
    </row>
    <row r="30" spans="1:21" customFormat="1">
      <c r="A30" s="40" t="s">
        <v>682</v>
      </c>
      <c r="B30" s="41">
        <v>12</v>
      </c>
      <c r="C30" s="41">
        <v>8.3000000000000007</v>
      </c>
      <c r="D30" s="41">
        <v>13.83</v>
      </c>
      <c r="E30" s="41">
        <v>5.94</v>
      </c>
      <c r="F30" s="41">
        <v>2</v>
      </c>
      <c r="G30" s="41">
        <v>68.709999999999994</v>
      </c>
      <c r="H30" s="41">
        <v>19.09</v>
      </c>
      <c r="I30" s="41">
        <v>6.84</v>
      </c>
      <c r="J30" s="41">
        <v>0.4</v>
      </c>
      <c r="K30" s="41">
        <v>49.41</v>
      </c>
      <c r="L30" s="41">
        <v>7.28</v>
      </c>
      <c r="M30" s="41">
        <v>0.25</v>
      </c>
      <c r="N30" s="41">
        <v>2.2000000000000002</v>
      </c>
      <c r="O30" s="41">
        <v>0</v>
      </c>
      <c r="P30" s="41">
        <v>0.44</v>
      </c>
      <c r="Q30" s="41">
        <v>9.32</v>
      </c>
      <c r="R30" s="38"/>
      <c r="S30" s="38"/>
      <c r="T30" s="38"/>
      <c r="U30" s="38"/>
    </row>
    <row r="31" spans="1:21" customFormat="1">
      <c r="A31" s="40" t="s">
        <v>683</v>
      </c>
      <c r="B31" s="41">
        <v>14.18</v>
      </c>
      <c r="C31" s="41">
        <v>9.33</v>
      </c>
      <c r="D31" s="41">
        <v>16.239999999999998</v>
      </c>
      <c r="E31" s="41">
        <v>5.66</v>
      </c>
      <c r="F31" s="41">
        <v>2</v>
      </c>
      <c r="G31" s="41">
        <v>68.09</v>
      </c>
      <c r="H31" s="41">
        <v>19.27</v>
      </c>
      <c r="I31" s="41">
        <v>6.89</v>
      </c>
      <c r="J31" s="41">
        <v>0.34</v>
      </c>
      <c r="K31" s="41">
        <v>45.44</v>
      </c>
      <c r="L31" s="41">
        <v>9.34</v>
      </c>
      <c r="M31" s="41">
        <v>5.21</v>
      </c>
      <c r="N31" s="41">
        <v>2.4</v>
      </c>
      <c r="O31" s="41">
        <v>0</v>
      </c>
      <c r="P31" s="41">
        <v>0.43</v>
      </c>
      <c r="Q31" s="41">
        <v>9.32</v>
      </c>
      <c r="R31" s="38"/>
      <c r="S31" s="38"/>
      <c r="T31" s="38"/>
      <c r="U31" s="38"/>
    </row>
    <row r="32" spans="1:21" customFormat="1">
      <c r="A32" s="40" t="s">
        <v>684</v>
      </c>
      <c r="B32" s="41">
        <v>14.14</v>
      </c>
      <c r="C32" s="41">
        <v>8.06</v>
      </c>
      <c r="D32" s="41">
        <v>15.45</v>
      </c>
      <c r="E32" s="41">
        <v>5.43</v>
      </c>
      <c r="F32" s="41">
        <v>2</v>
      </c>
      <c r="G32" s="41">
        <v>68.09</v>
      </c>
      <c r="H32" s="41">
        <v>19.27</v>
      </c>
      <c r="I32" s="41">
        <v>6.87</v>
      </c>
      <c r="J32" s="41">
        <v>0.4</v>
      </c>
      <c r="K32" s="41">
        <v>40.950000000000003</v>
      </c>
      <c r="L32" s="41">
        <v>9.2899999999999991</v>
      </c>
      <c r="M32" s="41">
        <v>5.15</v>
      </c>
      <c r="N32" s="41">
        <v>2.1</v>
      </c>
      <c r="O32" s="41">
        <v>0</v>
      </c>
      <c r="P32" s="41">
        <v>0.44</v>
      </c>
      <c r="Q32" s="41">
        <v>9.34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2.82</v>
      </c>
      <c r="C34" s="18">
        <f t="shared" si="0"/>
        <v>5.38</v>
      </c>
      <c r="D34" s="18">
        <f t="shared" si="0"/>
        <v>5.29</v>
      </c>
      <c r="E34" s="18">
        <f t="shared" si="0"/>
        <v>4.8</v>
      </c>
      <c r="F34" s="18">
        <f t="shared" si="0"/>
        <v>2</v>
      </c>
      <c r="G34" s="18">
        <f t="shared" si="0"/>
        <v>24.88</v>
      </c>
      <c r="H34" s="18">
        <f t="shared" si="0"/>
        <v>15.81</v>
      </c>
      <c r="I34" s="18">
        <f t="shared" si="0"/>
        <v>6.25</v>
      </c>
      <c r="J34" s="18">
        <f t="shared" si="0"/>
        <v>0.1</v>
      </c>
      <c r="K34" s="18">
        <f t="shared" si="0"/>
        <v>35.159999999999997</v>
      </c>
      <c r="L34" s="18">
        <f t="shared" si="0"/>
        <v>7.28</v>
      </c>
      <c r="M34" s="18">
        <f t="shared" si="0"/>
        <v>0.22</v>
      </c>
      <c r="N34" s="18">
        <f t="shared" si="0"/>
        <v>2.1</v>
      </c>
      <c r="O34" s="18">
        <f t="shared" si="0"/>
        <v>0</v>
      </c>
      <c r="P34" s="18">
        <f t="shared" si="0"/>
        <v>0.35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14.18</v>
      </c>
      <c r="C35" s="3">
        <f t="shared" si="1"/>
        <v>9.33</v>
      </c>
      <c r="D35" s="3">
        <f t="shared" si="1"/>
        <v>16.239999999999998</v>
      </c>
      <c r="E35" s="3">
        <f t="shared" si="1"/>
        <v>9.6199999999999992</v>
      </c>
      <c r="F35" s="3">
        <f t="shared" si="1"/>
        <v>2.69</v>
      </c>
      <c r="G35" s="3">
        <f t="shared" si="1"/>
        <v>92.97</v>
      </c>
      <c r="H35" s="3">
        <f t="shared" si="1"/>
        <v>46.92</v>
      </c>
      <c r="I35" s="3">
        <f t="shared" si="1"/>
        <v>10.119999999999999</v>
      </c>
      <c r="J35" s="3">
        <f t="shared" si="1"/>
        <v>0.89</v>
      </c>
      <c r="K35" s="3">
        <f t="shared" si="1"/>
        <v>317.31</v>
      </c>
      <c r="L35" s="3">
        <f t="shared" si="1"/>
        <v>22.61</v>
      </c>
      <c r="M35" s="3">
        <f t="shared" si="1"/>
        <v>38.01</v>
      </c>
      <c r="N35" s="3">
        <f t="shared" si="1"/>
        <v>521.29999999999995</v>
      </c>
      <c r="O35" s="3">
        <f t="shared" si="1"/>
        <v>0</v>
      </c>
      <c r="P35" s="3">
        <f t="shared" si="1"/>
        <v>0.5</v>
      </c>
      <c r="Q35" s="3">
        <f t="shared" si="1"/>
        <v>9.6300000000000008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6.3429166666666648</v>
      </c>
      <c r="C36" s="18">
        <f t="shared" si="2"/>
        <v>7.0183333333333344</v>
      </c>
      <c r="D36" s="18">
        <f t="shared" si="2"/>
        <v>8.7083333333333357</v>
      </c>
      <c r="E36" s="18">
        <f t="shared" si="2"/>
        <v>6.13</v>
      </c>
      <c r="F36" s="18">
        <f t="shared" si="2"/>
        <v>2.0941666666666667</v>
      </c>
      <c r="G36" s="18">
        <f t="shared" si="2"/>
        <v>66.702500000000001</v>
      </c>
      <c r="H36" s="18">
        <f t="shared" si="2"/>
        <v>30.639583333333338</v>
      </c>
      <c r="I36" s="18">
        <f t="shared" si="2"/>
        <v>7.8466666666666667</v>
      </c>
      <c r="J36" s="18">
        <f t="shared" si="2"/>
        <v>0.36000000000000004</v>
      </c>
      <c r="K36" s="18">
        <f t="shared" si="2"/>
        <v>117.88791666666667</v>
      </c>
      <c r="L36" s="18">
        <f t="shared" si="2"/>
        <v>13.827083333333327</v>
      </c>
      <c r="M36" s="18">
        <f t="shared" si="2"/>
        <v>15.312083333333334</v>
      </c>
      <c r="N36" s="18">
        <f t="shared" si="2"/>
        <v>104.42499999999997</v>
      </c>
      <c r="O36" s="18">
        <f t="shared" si="2"/>
        <v>0</v>
      </c>
      <c r="P36" s="18">
        <f t="shared" si="2"/>
        <v>0.42999999999999994</v>
      </c>
      <c r="Q36" s="18">
        <f t="shared" si="2"/>
        <v>9.3554166666666649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3.3654981919041589</v>
      </c>
      <c r="C37" s="18">
        <f t="shared" ref="C37:Q37" si="3">STDEV(C9:C32)</f>
        <v>1.1492782864520341</v>
      </c>
      <c r="D37" s="18">
        <f t="shared" si="3"/>
        <v>3.1293028347994722</v>
      </c>
      <c r="E37" s="18">
        <f t="shared" si="3"/>
        <v>1.1178900933766083</v>
      </c>
      <c r="F37" s="18">
        <f t="shared" si="3"/>
        <v>0.20444871083555119</v>
      </c>
      <c r="G37" s="18">
        <f t="shared" si="3"/>
        <v>15.718882372595068</v>
      </c>
      <c r="H37" s="18">
        <f t="shared" si="3"/>
        <v>11.697832009901834</v>
      </c>
      <c r="I37" s="18">
        <f t="shared" si="3"/>
        <v>1.2503761752809281</v>
      </c>
      <c r="J37" s="18">
        <f t="shared" si="3"/>
        <v>0.16847138835912825</v>
      </c>
      <c r="K37" s="18">
        <f t="shared" si="3"/>
        <v>90.34893108191666</v>
      </c>
      <c r="L37" s="18">
        <f t="shared" si="3"/>
        <v>5.0864401826704144</v>
      </c>
      <c r="M37" s="18">
        <f t="shared" si="3"/>
        <v>12.129362139279916</v>
      </c>
      <c r="N37" s="18">
        <f t="shared" si="3"/>
        <v>162.77309693851907</v>
      </c>
      <c r="O37" s="18">
        <f t="shared" si="3"/>
        <v>0</v>
      </c>
      <c r="P37" s="18">
        <f t="shared" si="3"/>
        <v>4.3439112810221288E-2</v>
      </c>
      <c r="Q37" s="18">
        <f t="shared" si="3"/>
        <v>9.0167919035477301E-2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96"/>
  <sheetViews>
    <sheetView zoomScale="85" zoomScaleNormal="85" workbookViewId="0">
      <pane xSplit="1" ySplit="8" topLeftCell="B27" activePane="bottomRight" state="frozen"/>
      <selection activeCell="G19" sqref="G19"/>
      <selection pane="topRight" activeCell="G19" sqref="G19"/>
      <selection pane="bottomLeft" activeCell="G19" sqref="G19"/>
      <selection pane="bottomRight" activeCell="T18" sqref="T18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27/10/2025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685</v>
      </c>
      <c r="B9" s="41">
        <v>14.83</v>
      </c>
      <c r="C9" s="41">
        <v>7.88</v>
      </c>
      <c r="D9" s="41">
        <v>15.89</v>
      </c>
      <c r="E9" s="41">
        <v>5.28</v>
      </c>
      <c r="F9" s="41">
        <v>2</v>
      </c>
      <c r="G9" s="41">
        <v>64.59</v>
      </c>
      <c r="H9" s="41">
        <v>18.96</v>
      </c>
      <c r="I9" s="41">
        <v>6.91</v>
      </c>
      <c r="J9" s="41">
        <v>0.33</v>
      </c>
      <c r="K9" s="41">
        <v>44.26</v>
      </c>
      <c r="L9" s="41">
        <v>9.19</v>
      </c>
      <c r="M9" s="41">
        <v>4.91</v>
      </c>
      <c r="N9" s="41">
        <v>2.1</v>
      </c>
      <c r="O9" s="41">
        <v>0</v>
      </c>
      <c r="P9" s="41">
        <v>0.43</v>
      </c>
      <c r="Q9" s="41">
        <v>9.6300000000000008</v>
      </c>
      <c r="R9" s="38"/>
      <c r="S9" s="38"/>
      <c r="T9" s="38"/>
      <c r="U9" s="38"/>
    </row>
    <row r="10" spans="1:21" customFormat="1">
      <c r="A10" s="40" t="s">
        <v>686</v>
      </c>
      <c r="B10" s="41">
        <v>14.94</v>
      </c>
      <c r="C10" s="41">
        <v>7.75</v>
      </c>
      <c r="D10" s="41">
        <v>15.96</v>
      </c>
      <c r="E10" s="41">
        <v>5.27</v>
      </c>
      <c r="F10" s="41">
        <v>2</v>
      </c>
      <c r="G10" s="41">
        <v>60.14</v>
      </c>
      <c r="H10" s="41">
        <v>17.97</v>
      </c>
      <c r="I10" s="41">
        <v>6.95</v>
      </c>
      <c r="J10" s="41">
        <v>0.33</v>
      </c>
      <c r="K10" s="41">
        <v>49.1</v>
      </c>
      <c r="L10" s="41">
        <v>9.31</v>
      </c>
      <c r="M10" s="41">
        <v>5.23</v>
      </c>
      <c r="N10" s="41">
        <v>2.1</v>
      </c>
      <c r="O10" s="41">
        <v>0</v>
      </c>
      <c r="P10" s="41">
        <v>0.4</v>
      </c>
      <c r="Q10" s="41">
        <v>9.74</v>
      </c>
      <c r="R10" s="38"/>
      <c r="S10" s="38"/>
      <c r="T10" s="38"/>
      <c r="U10" s="38"/>
    </row>
    <row r="11" spans="1:21" customFormat="1">
      <c r="A11" s="40" t="s">
        <v>687</v>
      </c>
      <c r="B11" s="41">
        <v>14.11</v>
      </c>
      <c r="C11" s="41">
        <v>7.7</v>
      </c>
      <c r="D11" s="41">
        <v>15.34</v>
      </c>
      <c r="E11" s="41">
        <v>6.43</v>
      </c>
      <c r="F11" s="41">
        <v>2</v>
      </c>
      <c r="G11" s="41">
        <v>58.83</v>
      </c>
      <c r="H11" s="41">
        <v>19.03</v>
      </c>
      <c r="I11" s="41">
        <v>6.82</v>
      </c>
      <c r="J11" s="41">
        <v>0.34</v>
      </c>
      <c r="K11" s="41">
        <v>62.8</v>
      </c>
      <c r="L11" s="41">
        <v>9.86</v>
      </c>
      <c r="M11" s="41">
        <v>6.79</v>
      </c>
      <c r="N11" s="41">
        <v>2.1</v>
      </c>
      <c r="O11" s="41">
        <v>0</v>
      </c>
      <c r="P11" s="41">
        <v>0.38</v>
      </c>
      <c r="Q11" s="41">
        <v>9.42</v>
      </c>
      <c r="R11" s="38"/>
      <c r="S11" s="38"/>
      <c r="T11" s="38"/>
      <c r="U11" s="38"/>
    </row>
    <row r="12" spans="1:21" customFormat="1">
      <c r="A12" s="40" t="s">
        <v>688</v>
      </c>
      <c r="B12" s="41">
        <v>12.6</v>
      </c>
      <c r="C12" s="41">
        <v>7.38</v>
      </c>
      <c r="D12" s="41">
        <v>13.96</v>
      </c>
      <c r="E12" s="41">
        <v>6.72</v>
      </c>
      <c r="F12" s="41">
        <v>2</v>
      </c>
      <c r="G12" s="41">
        <v>60.61</v>
      </c>
      <c r="H12" s="41">
        <v>20.9</v>
      </c>
      <c r="I12" s="41">
        <v>6.76</v>
      </c>
      <c r="J12" s="41">
        <v>0.36</v>
      </c>
      <c r="K12" s="41">
        <v>74.959999999999994</v>
      </c>
      <c r="L12" s="41">
        <v>10.050000000000001</v>
      </c>
      <c r="M12" s="41">
        <v>7.26</v>
      </c>
      <c r="N12" s="41">
        <v>2.1</v>
      </c>
      <c r="O12" s="41">
        <v>0</v>
      </c>
      <c r="P12" s="41">
        <v>0.37</v>
      </c>
      <c r="Q12" s="41">
        <v>9.42</v>
      </c>
      <c r="R12" s="38"/>
      <c r="S12" s="38"/>
      <c r="T12" s="38"/>
      <c r="U12" s="38"/>
    </row>
    <row r="13" spans="1:21" customFormat="1">
      <c r="A13" s="40" t="s">
        <v>689</v>
      </c>
      <c r="B13" s="41">
        <v>10.95</v>
      </c>
      <c r="C13" s="41">
        <v>7.07</v>
      </c>
      <c r="D13" s="41">
        <v>12.48</v>
      </c>
      <c r="E13" s="41">
        <v>6.64</v>
      </c>
      <c r="F13" s="41">
        <v>2</v>
      </c>
      <c r="G13" s="41">
        <v>60.61</v>
      </c>
      <c r="H13" s="41">
        <v>20.9</v>
      </c>
      <c r="I13" s="41">
        <v>6.61</v>
      </c>
      <c r="J13" s="41">
        <v>0.38</v>
      </c>
      <c r="K13" s="41">
        <v>50.36</v>
      </c>
      <c r="L13" s="41">
        <v>8.4600000000000009</v>
      </c>
      <c r="M13" s="41">
        <v>3.15</v>
      </c>
      <c r="N13" s="41">
        <v>2.1</v>
      </c>
      <c r="O13" s="41">
        <v>0</v>
      </c>
      <c r="P13" s="41">
        <v>0.36</v>
      </c>
      <c r="Q13" s="41">
        <v>9.86</v>
      </c>
      <c r="R13" s="38"/>
      <c r="S13" s="38"/>
      <c r="T13" s="38"/>
      <c r="U13" s="38"/>
    </row>
    <row r="14" spans="1:21" customFormat="1">
      <c r="A14" s="40" t="s">
        <v>690</v>
      </c>
      <c r="B14" s="41">
        <v>9.86</v>
      </c>
      <c r="C14" s="41">
        <v>6.97</v>
      </c>
      <c r="D14" s="41">
        <v>11.55</v>
      </c>
      <c r="E14" s="41">
        <v>6.86</v>
      </c>
      <c r="F14" s="41">
        <v>2</v>
      </c>
      <c r="G14" s="41">
        <v>56.27</v>
      </c>
      <c r="H14" s="41">
        <v>23.44</v>
      </c>
      <c r="I14" s="41">
        <v>6.48</v>
      </c>
      <c r="J14" s="41">
        <v>0.43</v>
      </c>
      <c r="K14" s="41">
        <v>91.64</v>
      </c>
      <c r="L14" s="41">
        <v>11.78</v>
      </c>
      <c r="M14" s="41">
        <v>11.67</v>
      </c>
      <c r="N14" s="41">
        <v>2.2999999999999998</v>
      </c>
      <c r="O14" s="41">
        <v>0</v>
      </c>
      <c r="P14" s="41">
        <v>0.36</v>
      </c>
      <c r="Q14" s="41">
        <v>9.3800000000000008</v>
      </c>
      <c r="R14" s="38"/>
      <c r="S14" s="38"/>
      <c r="T14" s="38"/>
      <c r="U14" s="38"/>
    </row>
    <row r="15" spans="1:21" customFormat="1">
      <c r="A15" s="40" t="s">
        <v>691</v>
      </c>
      <c r="B15" s="41">
        <v>9.3699999999999992</v>
      </c>
      <c r="C15" s="41">
        <v>6.83</v>
      </c>
      <c r="D15" s="41">
        <v>10.95</v>
      </c>
      <c r="E15" s="41">
        <v>6.86</v>
      </c>
      <c r="F15" s="41">
        <v>2</v>
      </c>
      <c r="G15" s="41">
        <v>60.5</v>
      </c>
      <c r="H15" s="41">
        <v>24.52</v>
      </c>
      <c r="I15" s="41">
        <v>6.47</v>
      </c>
      <c r="J15" s="41">
        <v>0.15</v>
      </c>
      <c r="K15" s="41">
        <v>148.46</v>
      </c>
      <c r="L15" s="41">
        <v>15.17</v>
      </c>
      <c r="M15" s="41">
        <v>19.78</v>
      </c>
      <c r="N15" s="41">
        <v>40.700000000000003</v>
      </c>
      <c r="O15" s="41">
        <v>0</v>
      </c>
      <c r="P15" s="41">
        <v>0.39</v>
      </c>
      <c r="Q15" s="41">
        <v>9.41</v>
      </c>
      <c r="R15" s="38"/>
      <c r="S15" s="38"/>
      <c r="T15" s="38"/>
      <c r="U15" s="38"/>
    </row>
    <row r="16" spans="1:21" customFormat="1">
      <c r="A16" s="40" t="s">
        <v>692</v>
      </c>
      <c r="B16" s="41">
        <v>9.9499999999999993</v>
      </c>
      <c r="C16" s="41">
        <v>6.9</v>
      </c>
      <c r="D16" s="41">
        <v>11.58</v>
      </c>
      <c r="E16" s="41">
        <v>7.18</v>
      </c>
      <c r="F16" s="41">
        <v>2</v>
      </c>
      <c r="G16" s="41">
        <v>72.81</v>
      </c>
      <c r="H16" s="41">
        <v>37.270000000000003</v>
      </c>
      <c r="I16" s="41">
        <v>6.69</v>
      </c>
      <c r="J16" s="41">
        <v>0.37</v>
      </c>
      <c r="K16" s="41">
        <v>58.44</v>
      </c>
      <c r="L16" s="41">
        <v>10.14</v>
      </c>
      <c r="M16" s="41">
        <v>5.81</v>
      </c>
      <c r="N16" s="41">
        <v>155.30000000000001</v>
      </c>
      <c r="O16" s="41">
        <v>0</v>
      </c>
      <c r="P16" s="41">
        <v>0.41</v>
      </c>
      <c r="Q16" s="41">
        <v>9.32</v>
      </c>
      <c r="R16" s="38"/>
      <c r="S16" s="38"/>
      <c r="T16" s="38"/>
      <c r="U16" s="38"/>
    </row>
    <row r="17" spans="1:21" customFormat="1">
      <c r="A17" s="40" t="s">
        <v>693</v>
      </c>
      <c r="B17" s="41">
        <v>9.9600000000000009</v>
      </c>
      <c r="C17" s="41">
        <v>7.05</v>
      </c>
      <c r="D17" s="41">
        <v>11.57</v>
      </c>
      <c r="E17" s="41">
        <v>7.3</v>
      </c>
      <c r="F17" s="41">
        <v>2</v>
      </c>
      <c r="G17" s="41">
        <v>72.81</v>
      </c>
      <c r="H17" s="41">
        <v>37.270000000000003</v>
      </c>
      <c r="I17" s="41">
        <v>6.82</v>
      </c>
      <c r="J17" s="41">
        <v>0.43</v>
      </c>
      <c r="K17" s="41">
        <v>66.349999999999994</v>
      </c>
      <c r="L17" s="41">
        <v>12.55</v>
      </c>
      <c r="M17" s="41">
        <v>6.61</v>
      </c>
      <c r="N17" s="41">
        <v>285.2</v>
      </c>
      <c r="O17" s="41">
        <v>0</v>
      </c>
      <c r="P17" s="41">
        <v>0.41</v>
      </c>
      <c r="Q17" s="41">
        <v>11.18</v>
      </c>
      <c r="R17" s="38"/>
      <c r="S17" s="38"/>
      <c r="T17" s="38"/>
      <c r="U17" s="38"/>
    </row>
    <row r="18" spans="1:21" customFormat="1">
      <c r="A18" s="40" t="s">
        <v>694</v>
      </c>
      <c r="B18" s="41">
        <v>9.6199999999999992</v>
      </c>
      <c r="C18" s="41">
        <v>7.13</v>
      </c>
      <c r="D18" s="41">
        <v>11.44</v>
      </c>
      <c r="E18" s="41">
        <v>7</v>
      </c>
      <c r="F18" s="41">
        <v>2</v>
      </c>
      <c r="G18" s="41">
        <v>67.98</v>
      </c>
      <c r="H18" s="41">
        <v>31.98</v>
      </c>
      <c r="I18" s="41">
        <v>6.69</v>
      </c>
      <c r="J18" s="41">
        <v>0.33</v>
      </c>
      <c r="K18" s="41">
        <v>127.33</v>
      </c>
      <c r="L18" s="41">
        <v>17.53</v>
      </c>
      <c r="M18" s="41">
        <v>17.600000000000001</v>
      </c>
      <c r="N18" s="41">
        <v>447.9</v>
      </c>
      <c r="O18" s="41">
        <v>0</v>
      </c>
      <c r="P18" s="41">
        <v>0.4</v>
      </c>
      <c r="Q18" s="41">
        <v>9.8699999999999992</v>
      </c>
      <c r="R18" s="38"/>
      <c r="S18" s="38"/>
      <c r="T18" s="38"/>
      <c r="U18" s="38"/>
    </row>
    <row r="19" spans="1:21" customFormat="1">
      <c r="A19" s="40" t="s">
        <v>695</v>
      </c>
      <c r="B19" s="41">
        <v>7.96</v>
      </c>
      <c r="C19" s="41">
        <v>7.23</v>
      </c>
      <c r="D19" s="41">
        <v>10.15</v>
      </c>
      <c r="E19" s="41">
        <v>7.04</v>
      </c>
      <c r="F19" s="41">
        <v>2</v>
      </c>
      <c r="G19" s="41">
        <v>61.34</v>
      </c>
      <c r="H19" s="41">
        <v>28.57</v>
      </c>
      <c r="I19" s="41">
        <v>6.31</v>
      </c>
      <c r="J19" s="41">
        <v>0.48</v>
      </c>
      <c r="K19" s="41">
        <v>118.16</v>
      </c>
      <c r="L19" s="41">
        <v>16.739999999999998</v>
      </c>
      <c r="M19" s="41">
        <v>13.45</v>
      </c>
      <c r="N19" s="41">
        <v>452.2</v>
      </c>
      <c r="O19" s="41">
        <v>0</v>
      </c>
      <c r="P19" s="41">
        <v>0.36</v>
      </c>
      <c r="Q19" s="41">
        <v>9.7100000000000009</v>
      </c>
      <c r="R19" s="38"/>
      <c r="S19" s="38"/>
      <c r="T19" s="38"/>
      <c r="U19" s="38"/>
    </row>
    <row r="20" spans="1:21" customFormat="1">
      <c r="A20" s="40" t="s">
        <v>696</v>
      </c>
      <c r="B20" s="41">
        <v>6.6</v>
      </c>
      <c r="C20" s="41">
        <v>7.09</v>
      </c>
      <c r="D20" s="41">
        <v>9</v>
      </c>
      <c r="E20" s="41">
        <v>6.73</v>
      </c>
      <c r="F20" s="41">
        <v>2</v>
      </c>
      <c r="G20" s="41">
        <v>47.65</v>
      </c>
      <c r="H20" s="41">
        <v>25.05</v>
      </c>
      <c r="I20" s="41">
        <v>5.98</v>
      </c>
      <c r="J20" s="41">
        <v>0.24</v>
      </c>
      <c r="K20" s="41">
        <v>157.46</v>
      </c>
      <c r="L20" s="41">
        <v>19.79</v>
      </c>
      <c r="M20" s="41">
        <v>20.399999999999999</v>
      </c>
      <c r="N20" s="41">
        <v>588</v>
      </c>
      <c r="O20" s="41">
        <v>0</v>
      </c>
      <c r="P20" s="41">
        <v>0.3</v>
      </c>
      <c r="Q20" s="41">
        <v>10</v>
      </c>
      <c r="R20" s="38"/>
      <c r="S20" s="38"/>
      <c r="T20" s="38"/>
      <c r="U20" s="38"/>
    </row>
    <row r="21" spans="1:21" customFormat="1">
      <c r="A21" s="40" t="s">
        <v>697</v>
      </c>
      <c r="B21" s="41">
        <v>4.95</v>
      </c>
      <c r="C21" s="41">
        <v>6.64</v>
      </c>
      <c r="D21" s="41">
        <v>7.44</v>
      </c>
      <c r="E21" s="41">
        <v>8.2200000000000006</v>
      </c>
      <c r="F21" s="41">
        <v>2</v>
      </c>
      <c r="G21" s="41">
        <v>60.14</v>
      </c>
      <c r="H21" s="41">
        <v>29.86</v>
      </c>
      <c r="I21" s="41">
        <v>6.13</v>
      </c>
      <c r="J21" s="41">
        <v>0.42</v>
      </c>
      <c r="K21" s="41">
        <v>120.16</v>
      </c>
      <c r="L21" s="41">
        <v>18.28</v>
      </c>
      <c r="M21" s="41">
        <v>16.350000000000001</v>
      </c>
      <c r="N21" s="41">
        <v>490.6</v>
      </c>
      <c r="O21" s="41">
        <v>0</v>
      </c>
      <c r="P21" s="41">
        <v>0.3</v>
      </c>
      <c r="Q21" s="41">
        <v>9.4</v>
      </c>
      <c r="R21" s="38"/>
      <c r="S21" s="38"/>
      <c r="T21" s="38"/>
      <c r="U21" s="38"/>
    </row>
    <row r="22" spans="1:21" customFormat="1">
      <c r="A22" s="40" t="s">
        <v>698</v>
      </c>
      <c r="B22" s="41">
        <v>4.26</v>
      </c>
      <c r="C22" s="41">
        <v>6.43</v>
      </c>
      <c r="D22" s="41">
        <v>6.78</v>
      </c>
      <c r="E22" s="41">
        <v>8.5500000000000007</v>
      </c>
      <c r="F22" s="41">
        <v>2</v>
      </c>
      <c r="G22" s="41">
        <v>85.81</v>
      </c>
      <c r="H22" s="41">
        <v>42.5</v>
      </c>
      <c r="I22" s="41">
        <v>8.14</v>
      </c>
      <c r="J22" s="41">
        <v>0.51</v>
      </c>
      <c r="K22" s="41">
        <v>111.95</v>
      </c>
      <c r="L22" s="41">
        <v>18.11</v>
      </c>
      <c r="M22" s="41">
        <v>13.52</v>
      </c>
      <c r="N22" s="41">
        <v>599.5</v>
      </c>
      <c r="O22" s="41">
        <v>0</v>
      </c>
      <c r="P22" s="41">
        <v>0.34</v>
      </c>
      <c r="Q22" s="41">
        <v>9.32</v>
      </c>
      <c r="R22" s="38"/>
      <c r="S22" s="38"/>
      <c r="T22" s="38"/>
      <c r="U22" s="38"/>
    </row>
    <row r="23" spans="1:21" customFormat="1">
      <c r="A23" s="40" t="s">
        <v>699</v>
      </c>
      <c r="B23" s="41">
        <v>3.76</v>
      </c>
      <c r="C23" s="41">
        <v>6.14</v>
      </c>
      <c r="D23" s="41">
        <v>6.22</v>
      </c>
      <c r="E23" s="41">
        <v>7.9</v>
      </c>
      <c r="F23" s="41">
        <v>2</v>
      </c>
      <c r="G23" s="41">
        <v>85.81</v>
      </c>
      <c r="H23" s="41">
        <v>42.5</v>
      </c>
      <c r="I23" s="41">
        <v>8.32</v>
      </c>
      <c r="J23" s="41">
        <v>0.39</v>
      </c>
      <c r="K23" s="41">
        <v>141.43</v>
      </c>
      <c r="L23" s="41">
        <v>15.88</v>
      </c>
      <c r="M23" s="41">
        <v>19.010000000000002</v>
      </c>
      <c r="N23" s="41">
        <v>121.7</v>
      </c>
      <c r="O23" s="41">
        <v>0</v>
      </c>
      <c r="P23" s="41">
        <v>0.31</v>
      </c>
      <c r="Q23" s="41">
        <v>10.02</v>
      </c>
      <c r="R23" s="38"/>
      <c r="S23" s="38"/>
      <c r="T23" s="38"/>
      <c r="U23" s="38"/>
    </row>
    <row r="24" spans="1:21" customFormat="1">
      <c r="A24" s="40" t="s">
        <v>700</v>
      </c>
      <c r="B24" s="41">
        <v>3.54</v>
      </c>
      <c r="C24" s="41">
        <v>5.96</v>
      </c>
      <c r="D24" s="41">
        <v>5.95</v>
      </c>
      <c r="E24" s="41">
        <v>7.67</v>
      </c>
      <c r="F24" s="41">
        <v>2</v>
      </c>
      <c r="G24" s="41">
        <v>48.15</v>
      </c>
      <c r="H24" s="41">
        <v>24.57</v>
      </c>
      <c r="I24" s="41">
        <v>8.94</v>
      </c>
      <c r="J24" s="41">
        <v>0.41</v>
      </c>
      <c r="K24" s="41">
        <v>119.35</v>
      </c>
      <c r="L24" s="41">
        <v>12.53</v>
      </c>
      <c r="M24" s="41">
        <v>12.54</v>
      </c>
      <c r="N24" s="41">
        <v>58.8</v>
      </c>
      <c r="O24" s="41">
        <v>0</v>
      </c>
      <c r="P24" s="41">
        <v>0.3</v>
      </c>
      <c r="Q24" s="41">
        <v>10.83</v>
      </c>
      <c r="R24" s="38"/>
      <c r="S24" s="38"/>
      <c r="T24" s="38"/>
      <c r="U24" s="38"/>
    </row>
    <row r="25" spans="1:21" customFormat="1">
      <c r="A25" s="40" t="s">
        <v>701</v>
      </c>
      <c r="B25" s="41">
        <v>4.01</v>
      </c>
      <c r="C25" s="41">
        <v>7.17</v>
      </c>
      <c r="D25" s="41">
        <v>6.88</v>
      </c>
      <c r="E25" s="41">
        <v>6.92</v>
      </c>
      <c r="F25" s="41">
        <v>2</v>
      </c>
      <c r="G25" s="41">
        <v>38.01</v>
      </c>
      <c r="H25" s="41">
        <v>16.989999999999998</v>
      </c>
      <c r="I25" s="41">
        <v>8.8800000000000008</v>
      </c>
      <c r="J25" s="41">
        <v>0.51</v>
      </c>
      <c r="K25" s="41">
        <v>70.22</v>
      </c>
      <c r="L25" s="41">
        <v>10.77</v>
      </c>
      <c r="M25" s="41">
        <v>8.4700000000000006</v>
      </c>
      <c r="N25" s="41">
        <v>27</v>
      </c>
      <c r="O25" s="41">
        <v>0</v>
      </c>
      <c r="P25" s="41">
        <v>0.31</v>
      </c>
      <c r="Q25" s="41">
        <v>9.4499999999999993</v>
      </c>
      <c r="R25" s="38"/>
      <c r="S25" s="38"/>
      <c r="T25" s="38"/>
      <c r="U25" s="38"/>
    </row>
    <row r="26" spans="1:21" customFormat="1">
      <c r="A26" s="40" t="s">
        <v>702</v>
      </c>
      <c r="B26" s="41">
        <v>4.57</v>
      </c>
      <c r="C26" s="41">
        <v>8.08</v>
      </c>
      <c r="D26" s="41">
        <v>7.76</v>
      </c>
      <c r="E26" s="41">
        <v>6.51</v>
      </c>
      <c r="F26" s="41">
        <v>2</v>
      </c>
      <c r="G26" s="41">
        <v>30.21</v>
      </c>
      <c r="H26" s="41">
        <v>10.97</v>
      </c>
      <c r="I26" s="41">
        <v>8.86</v>
      </c>
      <c r="J26" s="41">
        <v>0.33</v>
      </c>
      <c r="K26" s="41">
        <v>77.44</v>
      </c>
      <c r="L26" s="41">
        <v>10.27</v>
      </c>
      <c r="M26" s="41">
        <v>7.85</v>
      </c>
      <c r="N26" s="41">
        <v>7.5</v>
      </c>
      <c r="O26" s="41">
        <v>0</v>
      </c>
      <c r="P26" s="41">
        <v>0.34</v>
      </c>
      <c r="Q26" s="41">
        <v>9.36</v>
      </c>
      <c r="R26" s="38"/>
      <c r="S26" s="38"/>
      <c r="T26" s="38"/>
      <c r="U26" s="38"/>
    </row>
    <row r="27" spans="1:21" customFormat="1">
      <c r="A27" s="40" t="s">
        <v>703</v>
      </c>
      <c r="B27" s="41">
        <v>5.43</v>
      </c>
      <c r="C27" s="41">
        <v>8.73</v>
      </c>
      <c r="D27" s="41">
        <v>8.81</v>
      </c>
      <c r="E27" s="41">
        <v>6.58</v>
      </c>
      <c r="F27" s="41">
        <v>2</v>
      </c>
      <c r="G27" s="41">
        <v>33.68</v>
      </c>
      <c r="H27" s="41">
        <v>14.65</v>
      </c>
      <c r="I27" s="41">
        <v>8.73</v>
      </c>
      <c r="J27" s="41">
        <v>0.28999999999999998</v>
      </c>
      <c r="K27" s="41">
        <v>70.27</v>
      </c>
      <c r="L27" s="41">
        <v>10.16</v>
      </c>
      <c r="M27" s="41">
        <v>7.5</v>
      </c>
      <c r="N27" s="41">
        <v>2.4</v>
      </c>
      <c r="O27" s="41">
        <v>0</v>
      </c>
      <c r="P27" s="41">
        <v>0.37</v>
      </c>
      <c r="Q27" s="41">
        <v>10.63</v>
      </c>
      <c r="R27" s="38"/>
      <c r="S27" s="38"/>
      <c r="T27" s="38"/>
      <c r="U27" s="38"/>
    </row>
    <row r="28" spans="1:21" customFormat="1">
      <c r="A28" s="40" t="s">
        <v>704</v>
      </c>
      <c r="B28" s="41">
        <v>5.7</v>
      </c>
      <c r="C28" s="41">
        <v>8.59</v>
      </c>
      <c r="D28" s="41">
        <v>9.06</v>
      </c>
      <c r="E28" s="41">
        <v>6.9</v>
      </c>
      <c r="F28" s="41">
        <v>2</v>
      </c>
      <c r="G28" s="41">
        <v>44.66</v>
      </c>
      <c r="H28" s="41">
        <v>14.83</v>
      </c>
      <c r="I28" s="41">
        <v>8.64</v>
      </c>
      <c r="J28" s="41">
        <v>0.38</v>
      </c>
      <c r="K28" s="41">
        <v>70.48</v>
      </c>
      <c r="L28" s="41">
        <v>10.94</v>
      </c>
      <c r="M28" s="41">
        <v>9.34</v>
      </c>
      <c r="N28" s="41">
        <v>2.4</v>
      </c>
      <c r="O28" s="41">
        <v>0</v>
      </c>
      <c r="P28" s="41">
        <v>0.37</v>
      </c>
      <c r="Q28" s="41">
        <v>9.81</v>
      </c>
      <c r="R28" s="38"/>
      <c r="S28" s="38"/>
      <c r="T28" s="38"/>
      <c r="U28" s="38"/>
    </row>
    <row r="29" spans="1:21" customFormat="1">
      <c r="A29" s="40" t="s">
        <v>705</v>
      </c>
      <c r="B29" s="41">
        <v>5.39</v>
      </c>
      <c r="C29" s="41">
        <v>7.21</v>
      </c>
      <c r="D29" s="41">
        <v>8.09</v>
      </c>
      <c r="E29" s="41">
        <v>7.03</v>
      </c>
      <c r="F29" s="41">
        <v>2</v>
      </c>
      <c r="G29" s="41">
        <v>51.47</v>
      </c>
      <c r="H29" s="41">
        <v>14.83</v>
      </c>
      <c r="I29" s="41">
        <v>8.42</v>
      </c>
      <c r="J29" s="41">
        <v>0.48</v>
      </c>
      <c r="K29" s="41">
        <v>94.07</v>
      </c>
      <c r="L29" s="41">
        <v>11.07</v>
      </c>
      <c r="M29" s="41">
        <v>9.85</v>
      </c>
      <c r="N29" s="41">
        <v>2.6</v>
      </c>
      <c r="O29" s="41">
        <v>0</v>
      </c>
      <c r="P29" s="41">
        <v>0.37</v>
      </c>
      <c r="Q29" s="41">
        <v>11.59</v>
      </c>
      <c r="R29" s="38"/>
      <c r="S29" s="38"/>
      <c r="T29" s="38"/>
      <c r="U29" s="38"/>
    </row>
    <row r="30" spans="1:21" customFormat="1">
      <c r="A30" s="40" t="s">
        <v>706</v>
      </c>
      <c r="B30" s="41">
        <v>5.21</v>
      </c>
      <c r="C30" s="41">
        <v>7.03</v>
      </c>
      <c r="D30" s="41">
        <v>7.85</v>
      </c>
      <c r="E30" s="41">
        <v>7.03</v>
      </c>
      <c r="F30" s="41">
        <v>2</v>
      </c>
      <c r="G30" s="41">
        <v>51.47</v>
      </c>
      <c r="H30" s="41">
        <v>15.72</v>
      </c>
      <c r="I30" s="41">
        <v>8.2200000000000006</v>
      </c>
      <c r="J30" s="41">
        <v>0.28999999999999998</v>
      </c>
      <c r="K30" s="41">
        <v>124.9</v>
      </c>
      <c r="L30" s="41">
        <v>13.66</v>
      </c>
      <c r="M30" s="41">
        <v>16.329999999999998</v>
      </c>
      <c r="N30" s="41">
        <v>2.8</v>
      </c>
      <c r="O30" s="41">
        <v>0</v>
      </c>
      <c r="P30" s="41">
        <v>0.32</v>
      </c>
      <c r="Q30" s="41">
        <v>9.32</v>
      </c>
      <c r="R30" s="38"/>
      <c r="S30" s="38"/>
      <c r="T30" s="38"/>
      <c r="U30" s="38"/>
    </row>
    <row r="31" spans="1:21" customFormat="1">
      <c r="A31" s="40" t="s">
        <v>707</v>
      </c>
      <c r="B31" s="41">
        <v>4.87</v>
      </c>
      <c r="C31" s="41">
        <v>6.64</v>
      </c>
      <c r="D31" s="41">
        <v>7.37</v>
      </c>
      <c r="E31" s="41">
        <v>7.18</v>
      </c>
      <c r="F31" s="41">
        <v>2</v>
      </c>
      <c r="G31" s="41">
        <v>38.590000000000003</v>
      </c>
      <c r="H31" s="41">
        <v>15.72</v>
      </c>
      <c r="I31" s="41">
        <v>7.56</v>
      </c>
      <c r="J31" s="41">
        <v>0.32</v>
      </c>
      <c r="K31" s="41">
        <v>142.4</v>
      </c>
      <c r="L31" s="41">
        <v>14.59</v>
      </c>
      <c r="M31" s="41">
        <v>18.739999999999998</v>
      </c>
      <c r="N31" s="41">
        <v>2.5</v>
      </c>
      <c r="O31" s="41">
        <v>0</v>
      </c>
      <c r="P31" s="41">
        <v>0.31</v>
      </c>
      <c r="Q31" s="41">
        <v>11.97</v>
      </c>
      <c r="R31" s="38"/>
      <c r="S31" s="38"/>
      <c r="T31" s="38"/>
      <c r="U31" s="38"/>
    </row>
    <row r="32" spans="1:21" customFormat="1">
      <c r="A32" s="40" t="s">
        <v>708</v>
      </c>
      <c r="B32" s="41">
        <v>4.7300000000000004</v>
      </c>
      <c r="C32" s="41">
        <v>6.31</v>
      </c>
      <c r="D32" s="41">
        <v>7.07</v>
      </c>
      <c r="E32" s="41">
        <v>7.32</v>
      </c>
      <c r="F32" s="41">
        <v>2</v>
      </c>
      <c r="G32" s="41">
        <v>32.81</v>
      </c>
      <c r="H32" s="41">
        <v>10.67</v>
      </c>
      <c r="I32" s="41">
        <v>6.97</v>
      </c>
      <c r="J32" s="41">
        <v>0.39</v>
      </c>
      <c r="K32" s="41">
        <v>76.7</v>
      </c>
      <c r="L32" s="41">
        <v>11.46</v>
      </c>
      <c r="M32" s="41">
        <v>10.77</v>
      </c>
      <c r="N32" s="41">
        <v>2.4</v>
      </c>
      <c r="O32" s="41">
        <v>0</v>
      </c>
      <c r="P32" s="41">
        <v>0.28000000000000003</v>
      </c>
      <c r="Q32" s="41">
        <v>9.9499999999999993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3.54</v>
      </c>
      <c r="C34" s="18">
        <f t="shared" si="0"/>
        <v>5.96</v>
      </c>
      <c r="D34" s="18">
        <f t="shared" si="0"/>
        <v>5.95</v>
      </c>
      <c r="E34" s="18">
        <f t="shared" si="0"/>
        <v>5.27</v>
      </c>
      <c r="F34" s="18">
        <f t="shared" si="0"/>
        <v>2</v>
      </c>
      <c r="G34" s="18">
        <f t="shared" si="0"/>
        <v>30.21</v>
      </c>
      <c r="H34" s="18">
        <f t="shared" si="0"/>
        <v>10.67</v>
      </c>
      <c r="I34" s="18">
        <f t="shared" si="0"/>
        <v>5.98</v>
      </c>
      <c r="J34" s="18">
        <f t="shared" si="0"/>
        <v>0.15</v>
      </c>
      <c r="K34" s="18">
        <f t="shared" si="0"/>
        <v>44.26</v>
      </c>
      <c r="L34" s="18">
        <f t="shared" si="0"/>
        <v>8.4600000000000009</v>
      </c>
      <c r="M34" s="18">
        <f t="shared" si="0"/>
        <v>3.15</v>
      </c>
      <c r="N34" s="18">
        <f t="shared" si="0"/>
        <v>2.1</v>
      </c>
      <c r="O34" s="18">
        <f t="shared" si="0"/>
        <v>0</v>
      </c>
      <c r="P34" s="18">
        <f t="shared" si="0"/>
        <v>0.28000000000000003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14.94</v>
      </c>
      <c r="C35" s="3">
        <f t="shared" si="1"/>
        <v>8.73</v>
      </c>
      <c r="D35" s="3">
        <f t="shared" si="1"/>
        <v>15.96</v>
      </c>
      <c r="E35" s="3">
        <f t="shared" si="1"/>
        <v>8.5500000000000007</v>
      </c>
      <c r="F35" s="3">
        <f t="shared" si="1"/>
        <v>2</v>
      </c>
      <c r="G35" s="3">
        <f t="shared" si="1"/>
        <v>85.81</v>
      </c>
      <c r="H35" s="3">
        <f t="shared" si="1"/>
        <v>42.5</v>
      </c>
      <c r="I35" s="3">
        <f t="shared" si="1"/>
        <v>8.94</v>
      </c>
      <c r="J35" s="3">
        <f t="shared" si="1"/>
        <v>0.51</v>
      </c>
      <c r="K35" s="3">
        <f t="shared" si="1"/>
        <v>157.46</v>
      </c>
      <c r="L35" s="3">
        <f t="shared" si="1"/>
        <v>19.79</v>
      </c>
      <c r="M35" s="3">
        <f t="shared" si="1"/>
        <v>20.399999999999999</v>
      </c>
      <c r="N35" s="3">
        <f t="shared" si="1"/>
        <v>599.5</v>
      </c>
      <c r="O35" s="3">
        <f t="shared" si="1"/>
        <v>0</v>
      </c>
      <c r="P35" s="3">
        <f t="shared" si="1"/>
        <v>0.43</v>
      </c>
      <c r="Q35" s="3">
        <f t="shared" si="1"/>
        <v>11.97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7.7987499999999974</v>
      </c>
      <c r="C36" s="18">
        <f t="shared" si="2"/>
        <v>7.1629166666666668</v>
      </c>
      <c r="D36" s="18">
        <f t="shared" si="2"/>
        <v>9.9645833333333318</v>
      </c>
      <c r="E36" s="18">
        <f t="shared" si="2"/>
        <v>6.9633333333333347</v>
      </c>
      <c r="F36" s="18">
        <f t="shared" si="2"/>
        <v>2</v>
      </c>
      <c r="G36" s="18">
        <f t="shared" si="2"/>
        <v>56.039583333333347</v>
      </c>
      <c r="H36" s="18">
        <f t="shared" si="2"/>
        <v>23.319583333333338</v>
      </c>
      <c r="I36" s="18">
        <f t="shared" si="2"/>
        <v>7.3874999999999993</v>
      </c>
      <c r="J36" s="18">
        <f t="shared" si="2"/>
        <v>0.37041666666666662</v>
      </c>
      <c r="K36" s="18">
        <f t="shared" si="2"/>
        <v>94.528750000000002</v>
      </c>
      <c r="L36" s="18">
        <f t="shared" si="2"/>
        <v>12.845416666666665</v>
      </c>
      <c r="M36" s="18">
        <f t="shared" si="2"/>
        <v>11.372083333333331</v>
      </c>
      <c r="N36" s="18">
        <f t="shared" si="2"/>
        <v>137.59583333333333</v>
      </c>
      <c r="O36" s="18">
        <f t="shared" si="2"/>
        <v>0</v>
      </c>
      <c r="P36" s="18">
        <f t="shared" si="2"/>
        <v>0.35374999999999995</v>
      </c>
      <c r="Q36" s="18">
        <f t="shared" si="2"/>
        <v>9.9412500000000019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3.6973954552054558</v>
      </c>
      <c r="C37" s="18">
        <f t="shared" ref="C37:Q37" si="3">STDEV(C9:C32)</f>
        <v>0.69476601733287147</v>
      </c>
      <c r="D37" s="18">
        <f t="shared" si="3"/>
        <v>3.0950914563528511</v>
      </c>
      <c r="E37" s="18">
        <f t="shared" si="3"/>
        <v>0.73447210659240758</v>
      </c>
      <c r="F37" s="18">
        <f t="shared" si="3"/>
        <v>0</v>
      </c>
      <c r="G37" s="18">
        <f t="shared" si="3"/>
        <v>15.211750743698255</v>
      </c>
      <c r="H37" s="18">
        <f t="shared" si="3"/>
        <v>9.4213017097318854</v>
      </c>
      <c r="I37" s="18">
        <f t="shared" si="3"/>
        <v>0.99999239127541084</v>
      </c>
      <c r="J37" s="18">
        <f t="shared" si="3"/>
        <v>8.4363559342452751E-2</v>
      </c>
      <c r="K37" s="18">
        <f t="shared" si="3"/>
        <v>34.827218280422201</v>
      </c>
      <c r="L37" s="18">
        <f t="shared" si="3"/>
        <v>3.3507000944859979</v>
      </c>
      <c r="M37" s="18">
        <f t="shared" si="3"/>
        <v>5.2939095269668339</v>
      </c>
      <c r="N37" s="18">
        <f t="shared" si="3"/>
        <v>210.87620617250812</v>
      </c>
      <c r="O37" s="18">
        <f t="shared" si="3"/>
        <v>0</v>
      </c>
      <c r="P37" s="18">
        <f t="shared" si="3"/>
        <v>4.2201638130167009E-2</v>
      </c>
      <c r="Q37" s="18">
        <f t="shared" si="3"/>
        <v>0.75276483134133454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96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V15" sqref="V15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28/10/2025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709</v>
      </c>
      <c r="B9" s="41">
        <v>4.6900000000000004</v>
      </c>
      <c r="C9" s="41">
        <v>6.07</v>
      </c>
      <c r="D9" s="41">
        <v>6.9</v>
      </c>
      <c r="E9" s="41">
        <v>7.23</v>
      </c>
      <c r="F9" s="41">
        <v>2</v>
      </c>
      <c r="G9" s="41">
        <v>30.84</v>
      </c>
      <c r="H9" s="41">
        <v>10.4</v>
      </c>
      <c r="I9" s="41">
        <v>6.44</v>
      </c>
      <c r="J9" s="41">
        <v>0.27</v>
      </c>
      <c r="K9" s="41">
        <v>82.14</v>
      </c>
      <c r="L9" s="41">
        <v>11.64</v>
      </c>
      <c r="M9" s="41">
        <v>11.28</v>
      </c>
      <c r="N9" s="41">
        <v>2.4</v>
      </c>
      <c r="O9" s="41">
        <v>0</v>
      </c>
      <c r="P9" s="41">
        <v>0.26</v>
      </c>
      <c r="Q9" s="41">
        <v>9.32</v>
      </c>
      <c r="R9" s="38"/>
      <c r="S9" s="38"/>
      <c r="T9" s="38"/>
      <c r="U9" s="38"/>
    </row>
    <row r="10" spans="1:21" customFormat="1">
      <c r="A10" s="40" t="s">
        <v>710</v>
      </c>
      <c r="B10" s="41">
        <v>4.62</v>
      </c>
      <c r="C10" s="41">
        <v>5.94</v>
      </c>
      <c r="D10" s="41">
        <v>6.8</v>
      </c>
      <c r="E10" s="41">
        <v>7.58</v>
      </c>
      <c r="F10" s="41">
        <v>2</v>
      </c>
      <c r="G10" s="41">
        <v>22.23</v>
      </c>
      <c r="H10" s="41">
        <v>9</v>
      </c>
      <c r="I10" s="41">
        <v>5.92</v>
      </c>
      <c r="J10" s="41">
        <v>0.36</v>
      </c>
      <c r="K10" s="41">
        <v>61.06</v>
      </c>
      <c r="L10" s="41">
        <v>9.56</v>
      </c>
      <c r="M10" s="41">
        <v>5.95</v>
      </c>
      <c r="N10" s="41">
        <v>2.4</v>
      </c>
      <c r="O10" s="41">
        <v>0</v>
      </c>
      <c r="P10" s="41">
        <v>0.25</v>
      </c>
      <c r="Q10" s="41">
        <v>9.32</v>
      </c>
      <c r="R10" s="38"/>
      <c r="S10" s="38"/>
      <c r="T10" s="38"/>
      <c r="U10" s="38"/>
    </row>
    <row r="11" spans="1:21" customFormat="1">
      <c r="A11" s="40" t="s">
        <v>711</v>
      </c>
      <c r="B11" s="41">
        <v>5</v>
      </c>
      <c r="C11" s="41">
        <v>5.73</v>
      </c>
      <c r="D11" s="41">
        <v>6.98</v>
      </c>
      <c r="E11" s="41">
        <v>6.58</v>
      </c>
      <c r="F11" s="41">
        <v>2</v>
      </c>
      <c r="G11" s="41">
        <v>19.29</v>
      </c>
      <c r="H11" s="41">
        <v>7.11</v>
      </c>
      <c r="I11" s="41">
        <v>5.52</v>
      </c>
      <c r="J11" s="41">
        <v>0.67</v>
      </c>
      <c r="K11" s="41">
        <v>39.369999999999997</v>
      </c>
      <c r="L11" s="41">
        <v>6.96</v>
      </c>
      <c r="M11" s="41">
        <v>0.09</v>
      </c>
      <c r="N11" s="41">
        <v>2.4</v>
      </c>
      <c r="O11" s="41">
        <v>0</v>
      </c>
      <c r="P11" s="41">
        <v>0.26</v>
      </c>
      <c r="Q11" s="41">
        <v>21.39</v>
      </c>
      <c r="R11" s="38"/>
      <c r="S11" s="38"/>
      <c r="T11" s="38"/>
      <c r="U11" s="38"/>
    </row>
    <row r="12" spans="1:21" customFormat="1">
      <c r="A12" s="40" t="s">
        <v>712</v>
      </c>
      <c r="B12" s="41">
        <v>5.53</v>
      </c>
      <c r="C12" s="41">
        <v>5.72</v>
      </c>
      <c r="D12" s="41">
        <v>7.43</v>
      </c>
      <c r="E12" s="41">
        <v>6.23</v>
      </c>
      <c r="F12" s="41">
        <v>2</v>
      </c>
      <c r="G12" s="41">
        <v>18.38</v>
      </c>
      <c r="H12" s="41">
        <v>9.59</v>
      </c>
      <c r="I12" s="41">
        <v>5.32</v>
      </c>
      <c r="J12" s="41">
        <v>0.67</v>
      </c>
      <c r="K12" s="41">
        <v>36.67</v>
      </c>
      <c r="L12" s="41">
        <v>8.1999999999999993</v>
      </c>
      <c r="M12" s="41">
        <v>2.41</v>
      </c>
      <c r="N12" s="41">
        <v>2.4</v>
      </c>
      <c r="O12" s="41">
        <v>0</v>
      </c>
      <c r="P12" s="41">
        <v>0.24</v>
      </c>
      <c r="Q12" s="41">
        <v>18.14</v>
      </c>
      <c r="R12" s="38"/>
      <c r="S12" s="38"/>
      <c r="T12" s="38"/>
      <c r="U12" s="38"/>
    </row>
    <row r="13" spans="1:21" customFormat="1">
      <c r="A13" s="40" t="s">
        <v>713</v>
      </c>
      <c r="B13" s="41">
        <v>6.14</v>
      </c>
      <c r="C13" s="41">
        <v>5.84</v>
      </c>
      <c r="D13" s="41">
        <v>7.96</v>
      </c>
      <c r="E13" s="41">
        <v>6.55</v>
      </c>
      <c r="F13" s="41">
        <v>2</v>
      </c>
      <c r="G13" s="41">
        <v>23.73</v>
      </c>
      <c r="H13" s="41">
        <v>9.59</v>
      </c>
      <c r="I13" s="41">
        <v>5.26</v>
      </c>
      <c r="J13" s="41">
        <v>0.51</v>
      </c>
      <c r="K13" s="41">
        <v>46.79</v>
      </c>
      <c r="L13" s="41">
        <v>8.4600000000000009</v>
      </c>
      <c r="M13" s="41">
        <v>3.11</v>
      </c>
      <c r="N13" s="41">
        <v>2.4</v>
      </c>
      <c r="O13" s="41">
        <v>0</v>
      </c>
      <c r="P13" s="41">
        <v>0.24</v>
      </c>
      <c r="Q13" s="41">
        <v>9.35</v>
      </c>
      <c r="R13" s="38"/>
      <c r="S13" s="38"/>
      <c r="T13" s="38"/>
      <c r="U13" s="38"/>
    </row>
    <row r="14" spans="1:21" customFormat="1">
      <c r="A14" s="40" t="s">
        <v>714</v>
      </c>
      <c r="B14" s="41">
        <v>6.71</v>
      </c>
      <c r="C14" s="41">
        <v>6.04</v>
      </c>
      <c r="D14" s="41">
        <v>8.5399999999999991</v>
      </c>
      <c r="E14" s="41">
        <v>6.44</v>
      </c>
      <c r="F14" s="41">
        <v>2</v>
      </c>
      <c r="G14" s="41">
        <v>23.73</v>
      </c>
      <c r="H14" s="41">
        <v>8.99</v>
      </c>
      <c r="I14" s="41">
        <v>5.17</v>
      </c>
      <c r="J14" s="41">
        <v>0.6</v>
      </c>
      <c r="K14" s="41">
        <v>42.73</v>
      </c>
      <c r="L14" s="41">
        <v>7.9</v>
      </c>
      <c r="M14" s="41">
        <v>1.71</v>
      </c>
      <c r="N14" s="41">
        <v>2.5</v>
      </c>
      <c r="O14" s="41">
        <v>0</v>
      </c>
      <c r="P14" s="41">
        <v>0.24</v>
      </c>
      <c r="Q14" s="41">
        <v>9.4</v>
      </c>
      <c r="R14" s="38"/>
      <c r="S14" s="38"/>
      <c r="T14" s="38"/>
      <c r="U14" s="38"/>
    </row>
    <row r="15" spans="1:21" customFormat="1">
      <c r="A15" s="40" t="s">
        <v>715</v>
      </c>
      <c r="B15" s="41">
        <v>6.97</v>
      </c>
      <c r="C15" s="41">
        <v>6.36</v>
      </c>
      <c r="D15" s="41">
        <v>8.8699999999999992</v>
      </c>
      <c r="E15" s="41">
        <v>6.51</v>
      </c>
      <c r="F15" s="41">
        <v>2</v>
      </c>
      <c r="G15" s="41">
        <v>18.18</v>
      </c>
      <c r="H15" s="41">
        <v>10.18</v>
      </c>
      <c r="I15" s="41">
        <v>5.16</v>
      </c>
      <c r="J15" s="41">
        <v>0.75</v>
      </c>
      <c r="K15" s="41">
        <v>39.15</v>
      </c>
      <c r="L15" s="41">
        <v>7.97</v>
      </c>
      <c r="M15" s="41">
        <v>1.71</v>
      </c>
      <c r="N15" s="41">
        <v>12.7</v>
      </c>
      <c r="O15" s="41">
        <v>0</v>
      </c>
      <c r="P15" s="41">
        <v>0.24</v>
      </c>
      <c r="Q15" s="41">
        <v>9.59</v>
      </c>
      <c r="R15" s="38"/>
      <c r="S15" s="38"/>
      <c r="T15" s="38"/>
      <c r="U15" s="38"/>
    </row>
    <row r="16" spans="1:21" customFormat="1">
      <c r="A16" s="40" t="s">
        <v>716</v>
      </c>
      <c r="B16" s="41">
        <v>6.9</v>
      </c>
      <c r="C16" s="41">
        <v>6.74</v>
      </c>
      <c r="D16" s="41">
        <v>9.0399999999999991</v>
      </c>
      <c r="E16" s="41">
        <v>6.56</v>
      </c>
      <c r="F16" s="41">
        <v>2</v>
      </c>
      <c r="G16" s="41">
        <v>17.53</v>
      </c>
      <c r="H16" s="41">
        <v>10.18</v>
      </c>
      <c r="I16" s="41">
        <v>5.26</v>
      </c>
      <c r="J16" s="41">
        <v>0.87</v>
      </c>
      <c r="K16" s="41">
        <v>38.799999999999997</v>
      </c>
      <c r="L16" s="41">
        <v>8.8000000000000007</v>
      </c>
      <c r="M16" s="41">
        <v>3.57</v>
      </c>
      <c r="N16" s="41">
        <v>33.700000000000003</v>
      </c>
      <c r="O16" s="41">
        <v>0</v>
      </c>
      <c r="P16" s="41">
        <v>0.24</v>
      </c>
      <c r="Q16" s="41">
        <v>9.6199999999999992</v>
      </c>
      <c r="R16" s="38"/>
      <c r="S16" s="38"/>
      <c r="T16" s="38"/>
      <c r="U16" s="38"/>
    </row>
    <row r="17" spans="1:21" customFormat="1">
      <c r="A17" s="40" t="s">
        <v>717</v>
      </c>
      <c r="B17" s="41">
        <v>7.1</v>
      </c>
      <c r="C17" s="41">
        <v>6.95</v>
      </c>
      <c r="D17" s="41">
        <v>9.32</v>
      </c>
      <c r="E17" s="41">
        <v>6.4</v>
      </c>
      <c r="F17" s="41">
        <v>2</v>
      </c>
      <c r="G17" s="41">
        <v>30.27</v>
      </c>
      <c r="H17" s="41">
        <v>11.15</v>
      </c>
      <c r="I17" s="41">
        <v>5.61</v>
      </c>
      <c r="J17" s="41">
        <v>0.77</v>
      </c>
      <c r="K17" s="41">
        <v>67.27</v>
      </c>
      <c r="L17" s="41">
        <v>10.039999999999999</v>
      </c>
      <c r="M17" s="41">
        <v>5.53</v>
      </c>
      <c r="N17" s="41">
        <v>77.3</v>
      </c>
      <c r="O17" s="41">
        <v>0</v>
      </c>
      <c r="P17" s="41">
        <v>0.28000000000000003</v>
      </c>
      <c r="Q17" s="41">
        <v>9.49</v>
      </c>
      <c r="R17" s="38"/>
      <c r="S17" s="38"/>
      <c r="T17" s="38"/>
      <c r="U17" s="38"/>
    </row>
    <row r="18" spans="1:21" customFormat="1">
      <c r="A18" s="40" t="s">
        <v>718</v>
      </c>
      <c r="B18" s="41">
        <v>6.82</v>
      </c>
      <c r="C18" s="41">
        <v>7.07</v>
      </c>
      <c r="D18" s="41">
        <v>9.07</v>
      </c>
      <c r="E18" s="41">
        <v>6.88</v>
      </c>
      <c r="F18" s="41">
        <v>2</v>
      </c>
      <c r="G18" s="41">
        <v>39.06</v>
      </c>
      <c r="H18" s="41">
        <v>11.15</v>
      </c>
      <c r="I18" s="41">
        <v>6</v>
      </c>
      <c r="J18" s="41">
        <v>0.62</v>
      </c>
      <c r="K18" s="41">
        <v>88.97</v>
      </c>
      <c r="L18" s="41">
        <v>11.36</v>
      </c>
      <c r="M18" s="41">
        <v>9.07</v>
      </c>
      <c r="N18" s="41">
        <v>66.900000000000006</v>
      </c>
      <c r="O18" s="41">
        <v>0</v>
      </c>
      <c r="P18" s="41">
        <v>0.33</v>
      </c>
      <c r="Q18" s="41">
        <v>9.39</v>
      </c>
      <c r="R18" s="38"/>
      <c r="S18" s="38"/>
      <c r="T18" s="38"/>
      <c r="U18" s="38"/>
    </row>
    <row r="19" spans="1:21" customFormat="1">
      <c r="A19" s="40" t="s">
        <v>719</v>
      </c>
      <c r="B19" s="41">
        <v>6.5</v>
      </c>
      <c r="C19" s="41">
        <v>7.18</v>
      </c>
      <c r="D19" s="41">
        <v>8.93</v>
      </c>
      <c r="E19" s="41">
        <v>6.58</v>
      </c>
      <c r="F19" s="41">
        <v>2</v>
      </c>
      <c r="G19" s="41">
        <v>51.84</v>
      </c>
      <c r="H19" s="41">
        <v>16.5</v>
      </c>
      <c r="I19" s="41">
        <v>6.65</v>
      </c>
      <c r="J19" s="41">
        <v>0.76</v>
      </c>
      <c r="K19" s="41">
        <v>60.93</v>
      </c>
      <c r="L19" s="41">
        <v>10.41</v>
      </c>
      <c r="M19" s="41">
        <v>5.43</v>
      </c>
      <c r="N19" s="41">
        <v>139.80000000000001</v>
      </c>
      <c r="O19" s="41">
        <v>0</v>
      </c>
      <c r="P19" s="41">
        <v>0.35</v>
      </c>
      <c r="Q19" s="41">
        <v>9.52</v>
      </c>
      <c r="R19" s="38"/>
      <c r="S19" s="38"/>
      <c r="T19" s="38"/>
      <c r="U19" s="38"/>
    </row>
    <row r="20" spans="1:21" customFormat="1">
      <c r="A20" s="40" t="s">
        <v>720</v>
      </c>
      <c r="B20" s="41">
        <v>5.84</v>
      </c>
      <c r="C20" s="41">
        <v>7.22</v>
      </c>
      <c r="D20" s="41">
        <v>8.4600000000000009</v>
      </c>
      <c r="E20" s="41">
        <v>7.22</v>
      </c>
      <c r="F20" s="41">
        <v>2</v>
      </c>
      <c r="G20" s="41">
        <v>51.84</v>
      </c>
      <c r="H20" s="41">
        <v>18.34</v>
      </c>
      <c r="I20" s="41">
        <v>6.85</v>
      </c>
      <c r="J20" s="41">
        <v>0.68</v>
      </c>
      <c r="K20" s="41">
        <v>73.08</v>
      </c>
      <c r="L20" s="41">
        <v>11.77</v>
      </c>
      <c r="M20" s="41">
        <v>9.9499999999999993</v>
      </c>
      <c r="N20" s="41">
        <v>232.4</v>
      </c>
      <c r="O20" s="41">
        <v>0</v>
      </c>
      <c r="P20" s="41">
        <v>0.39</v>
      </c>
      <c r="Q20" s="41">
        <v>9.4700000000000006</v>
      </c>
      <c r="R20" s="38"/>
      <c r="S20" s="38"/>
      <c r="T20" s="38"/>
      <c r="U20" s="38"/>
    </row>
    <row r="21" spans="1:21" customFormat="1">
      <c r="A21" s="40" t="s">
        <v>721</v>
      </c>
      <c r="B21" s="41">
        <v>4.9000000000000004</v>
      </c>
      <c r="C21" s="41">
        <v>7.22</v>
      </c>
      <c r="D21" s="41">
        <v>7.65</v>
      </c>
      <c r="E21" s="41">
        <v>6.87</v>
      </c>
      <c r="F21" s="41">
        <v>2</v>
      </c>
      <c r="G21" s="41">
        <v>48.79</v>
      </c>
      <c r="H21" s="41">
        <v>18.34</v>
      </c>
      <c r="I21" s="41">
        <v>6.87</v>
      </c>
      <c r="J21" s="41">
        <v>0.79</v>
      </c>
      <c r="K21" s="41">
        <v>57.48</v>
      </c>
      <c r="L21" s="41">
        <v>9.34</v>
      </c>
      <c r="M21" s="41">
        <v>3.98</v>
      </c>
      <c r="N21" s="41">
        <v>94.2</v>
      </c>
      <c r="O21" s="41">
        <v>0</v>
      </c>
      <c r="P21" s="41">
        <v>0.4</v>
      </c>
      <c r="Q21" s="41">
        <v>9.39</v>
      </c>
      <c r="R21" s="38"/>
      <c r="S21" s="38"/>
      <c r="T21" s="38"/>
      <c r="U21" s="38"/>
    </row>
    <row r="22" spans="1:21" customFormat="1">
      <c r="A22" s="40" t="s">
        <v>722</v>
      </c>
      <c r="B22" s="41">
        <v>4.3099999999999996</v>
      </c>
      <c r="C22" s="41">
        <v>7.83</v>
      </c>
      <c r="D22" s="41">
        <v>7.5</v>
      </c>
      <c r="E22" s="41">
        <v>8.08</v>
      </c>
      <c r="F22" s="41">
        <v>2.21</v>
      </c>
      <c r="G22" s="41">
        <v>57.95</v>
      </c>
      <c r="H22" s="41">
        <v>21.6</v>
      </c>
      <c r="I22" s="41">
        <v>8.0500000000000007</v>
      </c>
      <c r="J22" s="41">
        <v>1.01</v>
      </c>
      <c r="K22" s="41">
        <v>68.36</v>
      </c>
      <c r="L22" s="41">
        <v>10.16</v>
      </c>
      <c r="M22" s="41">
        <v>6.88</v>
      </c>
      <c r="N22" s="41">
        <v>151.19999999999999</v>
      </c>
      <c r="O22" s="41">
        <v>0</v>
      </c>
      <c r="P22" s="41">
        <v>0.41</v>
      </c>
      <c r="Q22" s="41">
        <v>9.42</v>
      </c>
      <c r="R22" s="38"/>
      <c r="S22" s="38"/>
      <c r="T22" s="38"/>
      <c r="U22" s="38"/>
    </row>
    <row r="23" spans="1:21" customFormat="1">
      <c r="A23" s="40" t="s">
        <v>723</v>
      </c>
      <c r="B23" s="41">
        <v>4.03</v>
      </c>
      <c r="C23" s="41">
        <v>7.23</v>
      </c>
      <c r="D23" s="41">
        <v>7</v>
      </c>
      <c r="E23" s="41">
        <v>7.76</v>
      </c>
      <c r="F23" s="41">
        <v>2.09</v>
      </c>
      <c r="G23" s="41">
        <v>57.95</v>
      </c>
      <c r="H23" s="41">
        <v>21.6</v>
      </c>
      <c r="I23" s="41">
        <v>9.0500000000000007</v>
      </c>
      <c r="J23" s="41">
        <v>1.08</v>
      </c>
      <c r="K23" s="41">
        <v>63.35</v>
      </c>
      <c r="L23" s="41">
        <v>11.42</v>
      </c>
      <c r="M23" s="41">
        <v>8.65</v>
      </c>
      <c r="N23" s="41">
        <v>91.4</v>
      </c>
      <c r="O23" s="41">
        <v>0</v>
      </c>
      <c r="P23" s="41">
        <v>0.33</v>
      </c>
      <c r="Q23" s="41">
        <v>9.4700000000000006</v>
      </c>
      <c r="R23" s="38"/>
      <c r="S23" s="38"/>
      <c r="T23" s="38"/>
      <c r="U23" s="38"/>
    </row>
    <row r="24" spans="1:21" customFormat="1">
      <c r="A24" s="40" t="s">
        <v>724</v>
      </c>
      <c r="B24" s="41">
        <v>4.83</v>
      </c>
      <c r="C24" s="41">
        <v>7.51</v>
      </c>
      <c r="D24" s="41">
        <v>7.55</v>
      </c>
      <c r="E24" s="41">
        <v>6.61</v>
      </c>
      <c r="F24" s="41">
        <v>2.04</v>
      </c>
      <c r="G24" s="41">
        <v>56.93</v>
      </c>
      <c r="H24" s="41">
        <v>21.08</v>
      </c>
      <c r="I24" s="41">
        <v>8.36</v>
      </c>
      <c r="J24" s="41">
        <v>1.21</v>
      </c>
      <c r="K24" s="41">
        <v>48.3</v>
      </c>
      <c r="L24" s="41">
        <v>8.9</v>
      </c>
      <c r="M24" s="41">
        <v>3.16</v>
      </c>
      <c r="N24" s="41">
        <v>47.2</v>
      </c>
      <c r="O24" s="41">
        <v>0</v>
      </c>
      <c r="P24" s="41">
        <v>0.3</v>
      </c>
      <c r="Q24" s="41">
        <v>9.34</v>
      </c>
      <c r="R24" s="38"/>
      <c r="S24" s="38"/>
      <c r="T24" s="38"/>
      <c r="U24" s="38"/>
    </row>
    <row r="25" spans="1:21" customFormat="1">
      <c r="A25" s="40" t="s">
        <v>725</v>
      </c>
      <c r="B25" s="41">
        <v>3.28</v>
      </c>
      <c r="C25" s="41">
        <v>7.07</v>
      </c>
      <c r="D25" s="41">
        <v>6.33</v>
      </c>
      <c r="E25" s="41">
        <v>6.42</v>
      </c>
      <c r="F25" s="41">
        <v>2</v>
      </c>
      <c r="G25" s="41">
        <v>55.98</v>
      </c>
      <c r="H25" s="41">
        <v>17.190000000000001</v>
      </c>
      <c r="I25" s="41">
        <v>7.57</v>
      </c>
      <c r="J25" s="41">
        <v>0.95</v>
      </c>
      <c r="K25" s="41">
        <v>72.77</v>
      </c>
      <c r="L25" s="41">
        <v>10.4</v>
      </c>
      <c r="M25" s="41">
        <v>7.87</v>
      </c>
      <c r="N25" s="41">
        <v>39.200000000000003</v>
      </c>
      <c r="O25" s="41">
        <v>0</v>
      </c>
      <c r="P25" s="41">
        <v>0.27</v>
      </c>
      <c r="Q25" s="41">
        <v>9.33</v>
      </c>
      <c r="R25" s="38"/>
      <c r="S25" s="38"/>
      <c r="T25" s="38"/>
      <c r="U25" s="38"/>
    </row>
    <row r="26" spans="1:21" customFormat="1">
      <c r="A26" s="40" t="s">
        <v>726</v>
      </c>
      <c r="B26" s="41">
        <v>2.91</v>
      </c>
      <c r="C26" s="41">
        <v>6.87</v>
      </c>
      <c r="D26" s="41">
        <v>5.86</v>
      </c>
      <c r="E26" s="41">
        <v>6.62</v>
      </c>
      <c r="F26" s="41">
        <v>2</v>
      </c>
      <c r="G26" s="41">
        <v>51.19</v>
      </c>
      <c r="H26" s="41">
        <v>16.579999999999998</v>
      </c>
      <c r="I26" s="41">
        <v>6.91</v>
      </c>
      <c r="J26" s="41">
        <v>0.5</v>
      </c>
      <c r="K26" s="41">
        <v>74.989999999999995</v>
      </c>
      <c r="L26" s="41">
        <v>10.97</v>
      </c>
      <c r="M26" s="41">
        <v>9.4700000000000006</v>
      </c>
      <c r="N26" s="41">
        <v>4.8</v>
      </c>
      <c r="O26" s="41">
        <v>0</v>
      </c>
      <c r="P26" s="41">
        <v>0.23</v>
      </c>
      <c r="Q26" s="41">
        <v>9.33</v>
      </c>
      <c r="R26" s="38"/>
      <c r="S26" s="38"/>
      <c r="T26" s="38"/>
      <c r="U26" s="38"/>
    </row>
    <row r="27" spans="1:21" customFormat="1">
      <c r="A27" s="40" t="s">
        <v>727</v>
      </c>
      <c r="B27" s="41">
        <v>3.91</v>
      </c>
      <c r="C27" s="41">
        <v>7.12</v>
      </c>
      <c r="D27" s="41">
        <v>6.85</v>
      </c>
      <c r="E27" s="41">
        <v>6.52</v>
      </c>
      <c r="F27" s="41">
        <v>2</v>
      </c>
      <c r="G27" s="41">
        <v>51.19</v>
      </c>
      <c r="H27" s="41">
        <v>14.8</v>
      </c>
      <c r="I27" s="41">
        <v>6.54</v>
      </c>
      <c r="J27" s="41">
        <v>0.71</v>
      </c>
      <c r="K27" s="41">
        <v>43.23</v>
      </c>
      <c r="L27" s="41">
        <v>7.54</v>
      </c>
      <c r="M27" s="41">
        <v>0.82</v>
      </c>
      <c r="N27" s="41">
        <v>2.8</v>
      </c>
      <c r="O27" s="41">
        <v>0</v>
      </c>
      <c r="P27" s="41">
        <v>0.25</v>
      </c>
      <c r="Q27" s="41">
        <v>9.34</v>
      </c>
      <c r="R27" s="38"/>
      <c r="S27" s="38"/>
      <c r="T27" s="38"/>
      <c r="U27" s="38"/>
    </row>
    <row r="28" spans="1:21" customFormat="1">
      <c r="A28" s="40" t="s">
        <v>728</v>
      </c>
      <c r="B28" s="41">
        <v>3.88</v>
      </c>
      <c r="C28" s="41">
        <v>6.94</v>
      </c>
      <c r="D28" s="41">
        <v>6.74</v>
      </c>
      <c r="E28" s="41">
        <v>6.62</v>
      </c>
      <c r="F28" s="41">
        <v>2</v>
      </c>
      <c r="G28" s="41">
        <v>45.1</v>
      </c>
      <c r="H28" s="41">
        <v>14.8</v>
      </c>
      <c r="I28" s="41">
        <v>6.48</v>
      </c>
      <c r="J28" s="41">
        <v>0.56999999999999995</v>
      </c>
      <c r="K28" s="41">
        <v>78.150000000000006</v>
      </c>
      <c r="L28" s="41">
        <v>11.36</v>
      </c>
      <c r="M28" s="41">
        <v>10.61</v>
      </c>
      <c r="N28" s="41">
        <v>2.8</v>
      </c>
      <c r="O28" s="41">
        <v>0</v>
      </c>
      <c r="P28" s="41">
        <v>0.26</v>
      </c>
      <c r="Q28" s="41">
        <v>9.36</v>
      </c>
      <c r="R28" s="38"/>
      <c r="S28" s="38"/>
      <c r="T28" s="38"/>
      <c r="U28" s="38"/>
    </row>
    <row r="29" spans="1:21" customFormat="1">
      <c r="A29" s="40" t="s">
        <v>729</v>
      </c>
      <c r="B29" s="41">
        <v>3.93</v>
      </c>
      <c r="C29" s="41">
        <v>6.22</v>
      </c>
      <c r="D29" s="41">
        <v>6.28</v>
      </c>
      <c r="E29" s="41">
        <v>6.32</v>
      </c>
      <c r="F29" s="41">
        <v>2</v>
      </c>
      <c r="G29" s="41">
        <v>44.03</v>
      </c>
      <c r="H29" s="41">
        <v>13.81</v>
      </c>
      <c r="I29" s="41">
        <v>6.27</v>
      </c>
      <c r="J29" s="41">
        <v>0.56000000000000005</v>
      </c>
      <c r="K29" s="41">
        <v>71.13</v>
      </c>
      <c r="L29" s="41">
        <v>10.56</v>
      </c>
      <c r="M29" s="41">
        <v>8.61</v>
      </c>
      <c r="N29" s="41">
        <v>2.4</v>
      </c>
      <c r="O29" s="41">
        <v>0</v>
      </c>
      <c r="P29" s="41">
        <v>0.24</v>
      </c>
      <c r="Q29" s="41">
        <v>9.41</v>
      </c>
      <c r="R29" s="38"/>
      <c r="S29" s="38"/>
      <c r="T29" s="38"/>
      <c r="U29" s="38"/>
    </row>
    <row r="30" spans="1:21" customFormat="1">
      <c r="A30" s="40" t="s">
        <v>730</v>
      </c>
      <c r="B30" s="41">
        <v>4.5599999999999996</v>
      </c>
      <c r="C30" s="41">
        <v>6.03</v>
      </c>
      <c r="D30" s="41">
        <v>6.8</v>
      </c>
      <c r="E30" s="41">
        <v>6.24</v>
      </c>
      <c r="F30" s="41">
        <v>2</v>
      </c>
      <c r="G30" s="41">
        <v>32.76</v>
      </c>
      <c r="H30" s="41">
        <v>11.32</v>
      </c>
      <c r="I30" s="41">
        <v>5.83</v>
      </c>
      <c r="J30" s="41">
        <v>0.77</v>
      </c>
      <c r="K30" s="41">
        <v>59.61</v>
      </c>
      <c r="L30" s="41">
        <v>9.7799999999999994</v>
      </c>
      <c r="M30" s="41">
        <v>6.5</v>
      </c>
      <c r="N30" s="41">
        <v>2.5</v>
      </c>
      <c r="O30" s="41">
        <v>0</v>
      </c>
      <c r="P30" s="41">
        <v>0.23</v>
      </c>
      <c r="Q30" s="41">
        <v>9.3800000000000008</v>
      </c>
      <c r="R30" s="38"/>
      <c r="S30" s="38"/>
      <c r="T30" s="38"/>
      <c r="U30" s="38"/>
    </row>
    <row r="31" spans="1:21" customFormat="1">
      <c r="A31" s="40" t="s">
        <v>731</v>
      </c>
      <c r="B31" s="41">
        <v>5.44</v>
      </c>
      <c r="C31" s="41">
        <v>6.13</v>
      </c>
      <c r="D31" s="41">
        <v>7.5</v>
      </c>
      <c r="E31" s="41">
        <v>6.26</v>
      </c>
      <c r="F31" s="41">
        <v>2</v>
      </c>
      <c r="G31" s="41">
        <v>28.8</v>
      </c>
      <c r="H31" s="41">
        <v>8.16</v>
      </c>
      <c r="I31" s="41">
        <v>5.38</v>
      </c>
      <c r="J31" s="41">
        <v>0.71</v>
      </c>
      <c r="K31" s="41">
        <v>65.98</v>
      </c>
      <c r="L31" s="41">
        <v>9.18</v>
      </c>
      <c r="M31" s="41">
        <v>5.13</v>
      </c>
      <c r="N31" s="41">
        <v>2.4</v>
      </c>
      <c r="O31" s="41">
        <v>0</v>
      </c>
      <c r="P31" s="41">
        <v>0.22</v>
      </c>
      <c r="Q31" s="41">
        <v>9.3699999999999992</v>
      </c>
      <c r="R31" s="38"/>
      <c r="S31" s="38"/>
      <c r="T31" s="38"/>
      <c r="U31" s="38"/>
    </row>
    <row r="32" spans="1:21" customFormat="1">
      <c r="A32" s="40" t="s">
        <v>732</v>
      </c>
      <c r="B32" s="41">
        <v>6.04</v>
      </c>
      <c r="C32" s="41">
        <v>6.04</v>
      </c>
      <c r="D32" s="41">
        <v>7.95</v>
      </c>
      <c r="E32" s="41">
        <v>5.99</v>
      </c>
      <c r="F32" s="41">
        <v>2</v>
      </c>
      <c r="G32" s="41">
        <v>23.71</v>
      </c>
      <c r="H32" s="41">
        <v>7.26</v>
      </c>
      <c r="I32" s="41">
        <v>5.33</v>
      </c>
      <c r="J32" s="41">
        <v>0.66</v>
      </c>
      <c r="K32" s="41">
        <v>60.03</v>
      </c>
      <c r="L32" s="41">
        <v>9.6199999999999992</v>
      </c>
      <c r="M32" s="41">
        <v>6.14</v>
      </c>
      <c r="N32" s="41">
        <v>2.4</v>
      </c>
      <c r="O32" s="41">
        <v>0</v>
      </c>
      <c r="P32" s="41">
        <v>0.22</v>
      </c>
      <c r="Q32" s="41">
        <v>9.3800000000000008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2.91</v>
      </c>
      <c r="C34" s="18">
        <f t="shared" si="0"/>
        <v>5.72</v>
      </c>
      <c r="D34" s="18">
        <f t="shared" si="0"/>
        <v>5.86</v>
      </c>
      <c r="E34" s="18">
        <f t="shared" si="0"/>
        <v>5.99</v>
      </c>
      <c r="F34" s="18">
        <f t="shared" si="0"/>
        <v>2</v>
      </c>
      <c r="G34" s="18">
        <f t="shared" si="0"/>
        <v>17.53</v>
      </c>
      <c r="H34" s="18">
        <f t="shared" si="0"/>
        <v>7.11</v>
      </c>
      <c r="I34" s="18">
        <f t="shared" si="0"/>
        <v>5.16</v>
      </c>
      <c r="J34" s="18">
        <f t="shared" si="0"/>
        <v>0.27</v>
      </c>
      <c r="K34" s="18">
        <f t="shared" si="0"/>
        <v>36.67</v>
      </c>
      <c r="L34" s="18">
        <f t="shared" si="0"/>
        <v>6.96</v>
      </c>
      <c r="M34" s="18">
        <f t="shared" si="0"/>
        <v>0.09</v>
      </c>
      <c r="N34" s="18">
        <f t="shared" si="0"/>
        <v>2.4</v>
      </c>
      <c r="O34" s="18">
        <f t="shared" si="0"/>
        <v>0</v>
      </c>
      <c r="P34" s="18">
        <f t="shared" si="0"/>
        <v>0.22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7.1</v>
      </c>
      <c r="C35" s="3">
        <f t="shared" si="1"/>
        <v>7.83</v>
      </c>
      <c r="D35" s="3">
        <f t="shared" si="1"/>
        <v>9.32</v>
      </c>
      <c r="E35" s="3">
        <f t="shared" si="1"/>
        <v>8.08</v>
      </c>
      <c r="F35" s="3">
        <f t="shared" si="1"/>
        <v>2.21</v>
      </c>
      <c r="G35" s="3">
        <f t="shared" si="1"/>
        <v>57.95</v>
      </c>
      <c r="H35" s="3">
        <f t="shared" si="1"/>
        <v>21.6</v>
      </c>
      <c r="I35" s="3">
        <f t="shared" si="1"/>
        <v>9.0500000000000007</v>
      </c>
      <c r="J35" s="3">
        <f t="shared" si="1"/>
        <v>1.21</v>
      </c>
      <c r="K35" s="3">
        <f t="shared" si="1"/>
        <v>88.97</v>
      </c>
      <c r="L35" s="3">
        <f t="shared" si="1"/>
        <v>11.77</v>
      </c>
      <c r="M35" s="3">
        <f t="shared" si="1"/>
        <v>11.28</v>
      </c>
      <c r="N35" s="3">
        <f t="shared" si="1"/>
        <v>232.4</v>
      </c>
      <c r="O35" s="3">
        <f t="shared" si="1"/>
        <v>0</v>
      </c>
      <c r="P35" s="3">
        <f t="shared" si="1"/>
        <v>0.41</v>
      </c>
      <c r="Q35" s="3">
        <f t="shared" si="1"/>
        <v>21.39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5.2016666666666671</v>
      </c>
      <c r="C36" s="18">
        <f t="shared" si="2"/>
        <v>6.6279166666666676</v>
      </c>
      <c r="D36" s="18">
        <f t="shared" si="2"/>
        <v>7.5962500000000022</v>
      </c>
      <c r="E36" s="18">
        <f t="shared" si="2"/>
        <v>6.7112500000000006</v>
      </c>
      <c r="F36" s="18">
        <f t="shared" si="2"/>
        <v>2.0141666666666667</v>
      </c>
      <c r="G36" s="18">
        <f t="shared" si="2"/>
        <v>37.554166666666667</v>
      </c>
      <c r="H36" s="18">
        <f t="shared" si="2"/>
        <v>13.280000000000001</v>
      </c>
      <c r="I36" s="18">
        <f t="shared" si="2"/>
        <v>6.325000000000002</v>
      </c>
      <c r="J36" s="18">
        <f t="shared" si="2"/>
        <v>0.7104166666666667</v>
      </c>
      <c r="K36" s="18">
        <f t="shared" si="2"/>
        <v>60.014166666666675</v>
      </c>
      <c r="L36" s="18">
        <f t="shared" si="2"/>
        <v>9.6791666666666654</v>
      </c>
      <c r="M36" s="18">
        <f t="shared" si="2"/>
        <v>5.7345833333333331</v>
      </c>
      <c r="N36" s="18">
        <f t="shared" si="2"/>
        <v>42.524999999999999</v>
      </c>
      <c r="O36" s="18">
        <f t="shared" si="2"/>
        <v>0</v>
      </c>
      <c r="P36" s="18">
        <f t="shared" si="2"/>
        <v>0.27833333333333332</v>
      </c>
      <c r="Q36" s="18">
        <f t="shared" si="2"/>
        <v>10.271666666666667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1.2471974379685684</v>
      </c>
      <c r="C37" s="18">
        <f t="shared" ref="C37:Q37" si="3">STDEV(C9:C32)</f>
        <v>0.62788796540581115</v>
      </c>
      <c r="D37" s="18">
        <f t="shared" si="3"/>
        <v>0.9935216787201564</v>
      </c>
      <c r="E37" s="18">
        <f t="shared" si="3"/>
        <v>0.51426868717499763</v>
      </c>
      <c r="F37" s="18">
        <f t="shared" si="3"/>
        <v>4.6148782702553848E-2</v>
      </c>
      <c r="G37" s="18">
        <f t="shared" si="3"/>
        <v>14.800650078750685</v>
      </c>
      <c r="H37" s="18">
        <f t="shared" si="3"/>
        <v>4.647806401715334</v>
      </c>
      <c r="I37" s="18">
        <f t="shared" si="3"/>
        <v>1.077965071629017</v>
      </c>
      <c r="J37" s="18">
        <f t="shared" si="3"/>
        <v>0.21334762746496014</v>
      </c>
      <c r="K37" s="18">
        <f t="shared" si="3"/>
        <v>15.129498947612127</v>
      </c>
      <c r="L37" s="18">
        <f t="shared" si="3"/>
        <v>1.3871707730568708</v>
      </c>
      <c r="M37" s="18">
        <f t="shared" si="3"/>
        <v>3.2440487038196002</v>
      </c>
      <c r="N37" s="18">
        <f t="shared" si="3"/>
        <v>61.095607541537426</v>
      </c>
      <c r="O37" s="18">
        <f t="shared" si="3"/>
        <v>0</v>
      </c>
      <c r="P37" s="18">
        <f t="shared" si="3"/>
        <v>5.8433661134856069E-2</v>
      </c>
      <c r="Q37" s="18">
        <f t="shared" si="3"/>
        <v>2.9640273229196885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5"/>
  <sheetViews>
    <sheetView topLeftCell="A22" zoomScale="84" zoomScaleNormal="84" workbookViewId="0">
      <selection activeCell="J16" sqref="J16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3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29/10/2025 01:00</v>
      </c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O2" s="1"/>
      <c r="P2" s="23" t="s">
        <v>7</v>
      </c>
      <c r="Q2" s="3"/>
      <c r="R2" s="27" t="s">
        <v>8</v>
      </c>
    </row>
    <row r="3" spans="1:21">
      <c r="A3" s="3" t="s">
        <v>9</v>
      </c>
      <c r="B3" s="3" t="s">
        <v>10</v>
      </c>
      <c r="D3" s="7" t="s">
        <v>11</v>
      </c>
      <c r="E3" s="7"/>
      <c r="F3" s="7"/>
      <c r="G3" s="10" t="s">
        <v>12</v>
      </c>
      <c r="H3" s="9"/>
      <c r="I3" s="9"/>
      <c r="J3" s="9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</row>
    <row r="4" spans="1:21">
      <c r="A4" s="3" t="s">
        <v>16</v>
      </c>
      <c r="B4" s="3" t="s">
        <v>17</v>
      </c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40" t="s">
        <v>733</v>
      </c>
      <c r="B9" s="41">
        <v>6.28</v>
      </c>
      <c r="C9" s="41">
        <v>6.16</v>
      </c>
      <c r="D9" s="41">
        <v>8.25</v>
      </c>
      <c r="E9" s="41">
        <v>6.61</v>
      </c>
      <c r="F9" s="41">
        <v>2</v>
      </c>
      <c r="G9" s="41">
        <v>23.71</v>
      </c>
      <c r="H9" s="41">
        <v>7.26</v>
      </c>
      <c r="I9" s="41">
        <v>5.17</v>
      </c>
      <c r="J9" s="41">
        <v>0.78</v>
      </c>
      <c r="K9" s="41">
        <v>51.94</v>
      </c>
      <c r="L9" s="41">
        <v>9.0399999999999991</v>
      </c>
      <c r="M9" s="41">
        <v>4.63</v>
      </c>
      <c r="N9" s="41">
        <v>2.4</v>
      </c>
      <c r="O9" s="41">
        <v>0</v>
      </c>
      <c r="P9" s="41">
        <v>0.2</v>
      </c>
      <c r="Q9" s="41">
        <v>9.3699999999999992</v>
      </c>
      <c r="R9" s="38"/>
      <c r="S9" s="38"/>
      <c r="T9" s="38"/>
      <c r="U9" s="38"/>
    </row>
    <row r="10" spans="1:21">
      <c r="A10" s="40" t="s">
        <v>734</v>
      </c>
      <c r="B10" s="41">
        <v>6.38</v>
      </c>
      <c r="C10" s="41">
        <v>6.41</v>
      </c>
      <c r="D10" s="41">
        <v>8.4499999999999993</v>
      </c>
      <c r="E10" s="41">
        <v>6.2</v>
      </c>
      <c r="F10" s="41">
        <v>2</v>
      </c>
      <c r="G10" s="41">
        <v>22.02</v>
      </c>
      <c r="H10" s="41">
        <v>5.67</v>
      </c>
      <c r="I10" s="41">
        <v>4.9800000000000004</v>
      </c>
      <c r="J10" s="41">
        <v>0.62</v>
      </c>
      <c r="K10" s="41">
        <v>76.180000000000007</v>
      </c>
      <c r="L10" s="41">
        <v>11.4</v>
      </c>
      <c r="M10" s="41">
        <v>10.69</v>
      </c>
      <c r="N10" s="41">
        <v>2.2999999999999998</v>
      </c>
      <c r="O10" s="41">
        <v>0</v>
      </c>
      <c r="P10" s="41">
        <v>0.2</v>
      </c>
      <c r="Q10" s="41">
        <v>9.4499999999999993</v>
      </c>
      <c r="R10" s="38"/>
      <c r="S10" s="38"/>
      <c r="T10" s="38"/>
      <c r="U10" s="38"/>
    </row>
    <row r="11" spans="1:21">
      <c r="A11" s="40" t="s">
        <v>735</v>
      </c>
      <c r="B11" s="41">
        <v>6.46</v>
      </c>
      <c r="C11" s="41">
        <v>6.51</v>
      </c>
      <c r="D11" s="41">
        <v>8.44</v>
      </c>
      <c r="E11" s="41">
        <v>6.16</v>
      </c>
      <c r="F11" s="41">
        <v>2</v>
      </c>
      <c r="G11" s="41">
        <v>20.12</v>
      </c>
      <c r="H11" s="41">
        <v>5.67</v>
      </c>
      <c r="I11" s="41">
        <v>5</v>
      </c>
      <c r="J11" s="41">
        <v>0.73</v>
      </c>
      <c r="K11" s="41">
        <v>63.14</v>
      </c>
      <c r="L11" s="41">
        <v>9.64</v>
      </c>
      <c r="M11" s="41">
        <v>6.17</v>
      </c>
      <c r="N11" s="41">
        <v>2.4</v>
      </c>
      <c r="O11" s="41">
        <v>0</v>
      </c>
      <c r="P11" s="41">
        <v>0.19</v>
      </c>
      <c r="Q11" s="41">
        <v>9.49</v>
      </c>
      <c r="R11" s="38"/>
      <c r="S11" s="38"/>
      <c r="T11" s="38"/>
      <c r="U11" s="38"/>
    </row>
    <row r="12" spans="1:21">
      <c r="A12" s="40" t="s">
        <v>736</v>
      </c>
      <c r="B12" s="41">
        <v>6.19</v>
      </c>
      <c r="C12" s="41">
        <v>6.47</v>
      </c>
      <c r="D12" s="41">
        <v>8.24</v>
      </c>
      <c r="E12" s="41">
        <v>6.26</v>
      </c>
      <c r="F12" s="41">
        <v>2</v>
      </c>
      <c r="G12" s="41">
        <v>21.54</v>
      </c>
      <c r="H12" s="41">
        <v>5.21</v>
      </c>
      <c r="I12" s="41">
        <v>5.27</v>
      </c>
      <c r="J12" s="41">
        <v>0.94</v>
      </c>
      <c r="K12" s="41">
        <v>54</v>
      </c>
      <c r="L12" s="41">
        <v>9.19</v>
      </c>
      <c r="M12" s="41">
        <v>4.9800000000000004</v>
      </c>
      <c r="N12" s="41">
        <v>2.4</v>
      </c>
      <c r="O12" s="41">
        <v>0</v>
      </c>
      <c r="P12" s="41">
        <v>0.2</v>
      </c>
      <c r="Q12" s="41">
        <v>9.4</v>
      </c>
      <c r="R12" s="38"/>
      <c r="S12" s="38"/>
      <c r="T12" s="38"/>
      <c r="U12" s="38"/>
    </row>
    <row r="13" spans="1:21">
      <c r="A13" s="40" t="s">
        <v>737</v>
      </c>
      <c r="B13" s="41">
        <v>6.46</v>
      </c>
      <c r="C13" s="41">
        <v>6.31</v>
      </c>
      <c r="D13" s="41">
        <v>8.4700000000000006</v>
      </c>
      <c r="E13" s="41">
        <v>6.24</v>
      </c>
      <c r="F13" s="41">
        <v>2</v>
      </c>
      <c r="G13" s="41">
        <v>21.54</v>
      </c>
      <c r="H13" s="41">
        <v>4.62</v>
      </c>
      <c r="I13" s="41">
        <v>5.31</v>
      </c>
      <c r="J13" s="41">
        <v>0.85</v>
      </c>
      <c r="K13" s="41">
        <v>43.77</v>
      </c>
      <c r="L13" s="41">
        <v>8.7100000000000009</v>
      </c>
      <c r="M13" s="41">
        <v>4.53</v>
      </c>
      <c r="N13" s="41">
        <v>2.4</v>
      </c>
      <c r="O13" s="41">
        <v>0</v>
      </c>
      <c r="P13" s="41">
        <v>0.2</v>
      </c>
      <c r="Q13" s="41">
        <v>9.51</v>
      </c>
      <c r="R13" s="38"/>
      <c r="S13" s="38"/>
      <c r="T13" s="38"/>
      <c r="U13" s="38"/>
    </row>
    <row r="14" spans="1:21">
      <c r="A14" s="40" t="s">
        <v>738</v>
      </c>
      <c r="B14" s="41">
        <v>6.55</v>
      </c>
      <c r="C14" s="41">
        <v>6.29</v>
      </c>
      <c r="D14" s="41">
        <v>8.5399999999999991</v>
      </c>
      <c r="E14" s="41">
        <v>6.03</v>
      </c>
      <c r="F14" s="41">
        <v>2</v>
      </c>
      <c r="G14" s="41">
        <v>20.95</v>
      </c>
      <c r="H14" s="41">
        <v>5.22</v>
      </c>
      <c r="I14" s="41">
        <v>5.27</v>
      </c>
      <c r="J14" s="41">
        <v>0.67</v>
      </c>
      <c r="K14" s="41">
        <v>58.78</v>
      </c>
      <c r="L14" s="41">
        <v>9.76</v>
      </c>
      <c r="M14" s="41">
        <v>6.56</v>
      </c>
      <c r="N14" s="41">
        <v>2.6</v>
      </c>
      <c r="O14" s="41">
        <v>0</v>
      </c>
      <c r="P14" s="41">
        <v>0.2</v>
      </c>
      <c r="Q14" s="41">
        <v>9.36</v>
      </c>
      <c r="R14" s="38"/>
      <c r="S14" s="38"/>
      <c r="T14" s="38"/>
      <c r="U14" s="38"/>
    </row>
    <row r="15" spans="1:21">
      <c r="A15" s="40" t="s">
        <v>739</v>
      </c>
      <c r="B15" s="41">
        <v>6.62</v>
      </c>
      <c r="C15" s="41">
        <v>6.11</v>
      </c>
      <c r="D15" s="41">
        <v>8.5</v>
      </c>
      <c r="E15" s="41">
        <v>6.24</v>
      </c>
      <c r="F15" s="41">
        <v>2</v>
      </c>
      <c r="G15" s="41">
        <v>16.8</v>
      </c>
      <c r="H15" s="41">
        <v>5.22</v>
      </c>
      <c r="I15" s="41">
        <v>5.18</v>
      </c>
      <c r="J15" s="41">
        <v>0.81</v>
      </c>
      <c r="K15" s="41">
        <v>44.9</v>
      </c>
      <c r="L15" s="41">
        <v>9.15</v>
      </c>
      <c r="M15" s="41">
        <v>4.82</v>
      </c>
      <c r="N15" s="41">
        <v>8.8000000000000007</v>
      </c>
      <c r="O15" s="41">
        <v>0</v>
      </c>
      <c r="P15" s="41">
        <v>0.19</v>
      </c>
      <c r="Q15" s="41">
        <v>9.36</v>
      </c>
      <c r="R15" s="38"/>
      <c r="S15" s="38"/>
      <c r="T15" s="38"/>
      <c r="U15" s="38"/>
    </row>
    <row r="16" spans="1:21">
      <c r="A16" s="40" t="s">
        <v>740</v>
      </c>
      <c r="B16" s="41">
        <v>7.28</v>
      </c>
      <c r="C16" s="41">
        <v>6.12</v>
      </c>
      <c r="D16" s="41">
        <v>9.02</v>
      </c>
      <c r="E16" s="41">
        <v>6.08</v>
      </c>
      <c r="F16" s="41">
        <v>2</v>
      </c>
      <c r="G16" s="41">
        <v>18.809999999999999</v>
      </c>
      <c r="H16" s="41">
        <v>9.84</v>
      </c>
      <c r="I16" s="41">
        <v>4.99</v>
      </c>
      <c r="J16" s="41">
        <v>1.1599999999999999</v>
      </c>
      <c r="K16" s="41">
        <v>44.52</v>
      </c>
      <c r="L16" s="41">
        <v>9.32</v>
      </c>
      <c r="M16" s="41">
        <v>4.9400000000000004</v>
      </c>
      <c r="N16" s="41">
        <v>18.2</v>
      </c>
      <c r="O16" s="41">
        <v>0</v>
      </c>
      <c r="P16" s="41">
        <v>0.21</v>
      </c>
      <c r="Q16" s="41">
        <v>9.36</v>
      </c>
      <c r="R16" s="38"/>
      <c r="S16" s="38"/>
      <c r="T16" s="38"/>
      <c r="U16" s="38"/>
    </row>
    <row r="17" spans="1:21">
      <c r="A17" s="40" t="s">
        <v>741</v>
      </c>
      <c r="B17" s="41">
        <v>7.83</v>
      </c>
      <c r="C17" s="41">
        <v>6.39</v>
      </c>
      <c r="D17" s="41">
        <v>9.6199999999999992</v>
      </c>
      <c r="E17" s="41">
        <v>5.74</v>
      </c>
      <c r="F17" s="41">
        <v>2</v>
      </c>
      <c r="G17" s="41">
        <v>18.809999999999999</v>
      </c>
      <c r="H17" s="41">
        <v>9.84</v>
      </c>
      <c r="I17" s="41">
        <v>5.08</v>
      </c>
      <c r="J17" s="41">
        <v>1</v>
      </c>
      <c r="K17" s="41">
        <v>65.38</v>
      </c>
      <c r="L17" s="41">
        <v>10.42</v>
      </c>
      <c r="M17" s="41">
        <v>7.75</v>
      </c>
      <c r="N17" s="41">
        <v>49.3</v>
      </c>
      <c r="O17" s="41">
        <v>0</v>
      </c>
      <c r="P17" s="41">
        <v>0.21</v>
      </c>
      <c r="Q17" s="41">
        <v>9.3800000000000008</v>
      </c>
      <c r="R17" s="38"/>
      <c r="S17" s="38"/>
      <c r="T17" s="38"/>
      <c r="U17" s="38"/>
    </row>
    <row r="18" spans="1:21">
      <c r="A18" s="40" t="s">
        <v>742</v>
      </c>
      <c r="B18" s="41">
        <v>8.3000000000000007</v>
      </c>
      <c r="C18" s="41">
        <v>6.62</v>
      </c>
      <c r="D18" s="41">
        <v>10.08</v>
      </c>
      <c r="E18" s="41">
        <v>5.83</v>
      </c>
      <c r="F18" s="41">
        <v>2</v>
      </c>
      <c r="G18" s="41">
        <v>24.35</v>
      </c>
      <c r="H18" s="41">
        <v>8.33</v>
      </c>
      <c r="I18" s="41">
        <v>5.21</v>
      </c>
      <c r="J18" s="41">
        <v>0.61</v>
      </c>
      <c r="K18" s="41">
        <v>69.209999999999994</v>
      </c>
      <c r="L18" s="41">
        <v>10.28</v>
      </c>
      <c r="M18" s="41">
        <v>6.45</v>
      </c>
      <c r="N18" s="41">
        <v>62.7</v>
      </c>
      <c r="O18" s="41">
        <v>0</v>
      </c>
      <c r="P18" s="41">
        <v>0.21</v>
      </c>
      <c r="Q18" s="41">
        <v>9.36</v>
      </c>
      <c r="R18" s="38"/>
      <c r="S18" s="38"/>
      <c r="T18" s="38"/>
      <c r="U18" s="38"/>
    </row>
    <row r="19" spans="1:21">
      <c r="A19" s="40" t="s">
        <v>743</v>
      </c>
      <c r="B19" s="41">
        <v>8.26</v>
      </c>
      <c r="C19" s="41">
        <v>6.66</v>
      </c>
      <c r="D19" s="41">
        <v>10.09</v>
      </c>
      <c r="E19" s="41">
        <v>6.76</v>
      </c>
      <c r="F19" s="41">
        <v>2</v>
      </c>
      <c r="G19" s="41">
        <v>24.47</v>
      </c>
      <c r="H19" s="41">
        <v>8.85</v>
      </c>
      <c r="I19" s="41">
        <v>5.25</v>
      </c>
      <c r="J19" s="41">
        <v>0.62</v>
      </c>
      <c r="K19" s="41">
        <v>113.48</v>
      </c>
      <c r="L19" s="41">
        <v>13.41</v>
      </c>
      <c r="M19" s="41">
        <v>13.22</v>
      </c>
      <c r="N19" s="41">
        <v>109.2</v>
      </c>
      <c r="O19" s="41">
        <v>0</v>
      </c>
      <c r="P19" s="41">
        <v>0.22</v>
      </c>
      <c r="Q19" s="41">
        <v>9.35</v>
      </c>
      <c r="R19" s="38"/>
      <c r="S19" s="38"/>
      <c r="T19" s="38"/>
      <c r="U19" s="38"/>
    </row>
    <row r="20" spans="1:21">
      <c r="A20" s="40" t="s">
        <v>744</v>
      </c>
      <c r="B20" s="41">
        <v>7.79</v>
      </c>
      <c r="C20" s="41">
        <v>6.81</v>
      </c>
      <c r="D20" s="41">
        <v>9.7200000000000006</v>
      </c>
      <c r="E20" s="41">
        <v>6.66</v>
      </c>
      <c r="F20" s="41">
        <v>2</v>
      </c>
      <c r="G20" s="41">
        <v>24.47</v>
      </c>
      <c r="H20" s="41">
        <v>8.85</v>
      </c>
      <c r="I20" s="41">
        <v>5.17</v>
      </c>
      <c r="J20" s="41">
        <v>0.86</v>
      </c>
      <c r="K20" s="41">
        <v>80.760000000000005</v>
      </c>
      <c r="L20" s="41">
        <v>11.99</v>
      </c>
      <c r="M20" s="41">
        <v>7.85</v>
      </c>
      <c r="N20" s="41">
        <v>279.10000000000002</v>
      </c>
      <c r="O20" s="41">
        <v>0</v>
      </c>
      <c r="P20" s="41">
        <v>0.21</v>
      </c>
      <c r="Q20" s="41">
        <v>9.3699999999999992</v>
      </c>
      <c r="R20" s="38"/>
      <c r="S20" s="38"/>
      <c r="T20" s="38"/>
      <c r="U20" s="38"/>
    </row>
    <row r="21" spans="1:21">
      <c r="A21" s="40" t="s">
        <v>745</v>
      </c>
      <c r="B21" s="41">
        <v>6.66</v>
      </c>
      <c r="C21" s="41">
        <v>6.77</v>
      </c>
      <c r="D21" s="41">
        <v>8.8699999999999992</v>
      </c>
      <c r="E21" s="41">
        <v>6.67</v>
      </c>
      <c r="F21" s="41">
        <v>2</v>
      </c>
      <c r="G21" s="41">
        <v>26.29</v>
      </c>
      <c r="H21" s="41">
        <v>9.4600000000000009</v>
      </c>
      <c r="I21" s="41">
        <v>4.92</v>
      </c>
      <c r="J21" s="41">
        <v>0.7</v>
      </c>
      <c r="K21" s="41">
        <v>133.19</v>
      </c>
      <c r="L21" s="41">
        <v>15.37</v>
      </c>
      <c r="M21" s="41">
        <v>18.03</v>
      </c>
      <c r="N21" s="41">
        <v>415.4</v>
      </c>
      <c r="O21" s="41">
        <v>0</v>
      </c>
      <c r="P21" s="41">
        <v>0.17</v>
      </c>
      <c r="Q21" s="41">
        <v>9.32</v>
      </c>
      <c r="R21" s="38"/>
      <c r="S21" s="38"/>
      <c r="T21" s="38"/>
      <c r="U21" s="38"/>
    </row>
    <row r="22" spans="1:21">
      <c r="A22" s="40" t="s">
        <v>746</v>
      </c>
      <c r="B22" s="41">
        <v>5.3</v>
      </c>
      <c r="C22" s="41">
        <v>6.56</v>
      </c>
      <c r="D22" s="41">
        <v>7.67</v>
      </c>
      <c r="E22" s="41">
        <v>6.54</v>
      </c>
      <c r="F22" s="41">
        <v>2</v>
      </c>
      <c r="G22" s="41">
        <v>26.29</v>
      </c>
      <c r="H22" s="41">
        <v>9.4600000000000009</v>
      </c>
      <c r="I22" s="41">
        <v>4.58</v>
      </c>
      <c r="J22" s="41">
        <v>0.62</v>
      </c>
      <c r="K22" s="41">
        <v>90.25</v>
      </c>
      <c r="L22" s="41">
        <v>12.99</v>
      </c>
      <c r="M22" s="41">
        <v>9.4700000000000006</v>
      </c>
      <c r="N22" s="41">
        <v>225.5</v>
      </c>
      <c r="O22" s="41">
        <v>0</v>
      </c>
      <c r="P22" s="41">
        <v>0.14000000000000001</v>
      </c>
      <c r="Q22" s="41">
        <v>9.39</v>
      </c>
      <c r="R22" s="38"/>
      <c r="S22" s="38"/>
      <c r="T22" s="38"/>
      <c r="U22" s="38"/>
    </row>
    <row r="23" spans="1:21">
      <c r="A23" s="40" t="s">
        <v>747</v>
      </c>
      <c r="B23" s="41">
        <v>4.42</v>
      </c>
      <c r="C23" s="41">
        <v>6.24</v>
      </c>
      <c r="D23" s="41">
        <v>6.8</v>
      </c>
      <c r="E23" s="41">
        <v>6.95</v>
      </c>
      <c r="F23" s="41">
        <v>2</v>
      </c>
      <c r="G23" s="41">
        <v>23.01</v>
      </c>
      <c r="H23" s="41">
        <v>7.46</v>
      </c>
      <c r="I23" s="41">
        <v>4.2699999999999996</v>
      </c>
      <c r="J23" s="41">
        <v>0.82</v>
      </c>
      <c r="K23" s="41">
        <v>80.540000000000006</v>
      </c>
      <c r="L23" s="41">
        <v>12.21</v>
      </c>
      <c r="M23" s="41">
        <v>9.11</v>
      </c>
      <c r="N23" s="41">
        <v>150.80000000000001</v>
      </c>
      <c r="O23" s="41">
        <v>0</v>
      </c>
      <c r="P23" s="41">
        <v>0.23</v>
      </c>
      <c r="Q23" s="41">
        <v>9.49</v>
      </c>
      <c r="R23" s="38"/>
      <c r="S23" s="38"/>
      <c r="T23" s="38"/>
      <c r="U23" s="38"/>
    </row>
    <row r="24" spans="1:21">
      <c r="A24" s="40" t="s">
        <v>748</v>
      </c>
      <c r="B24" s="41">
        <v>3.9</v>
      </c>
      <c r="C24" s="41">
        <v>6.23</v>
      </c>
      <c r="D24" s="41">
        <v>6.33</v>
      </c>
      <c r="E24" s="41">
        <v>6.94</v>
      </c>
      <c r="F24" s="41">
        <v>2</v>
      </c>
      <c r="G24" s="41">
        <v>21.46</v>
      </c>
      <c r="H24" s="41">
        <v>7.46</v>
      </c>
      <c r="I24" s="41">
        <v>3.99</v>
      </c>
      <c r="J24" s="41">
        <v>0.9</v>
      </c>
      <c r="K24" s="41">
        <v>87.25</v>
      </c>
      <c r="L24" s="41">
        <v>11.4</v>
      </c>
      <c r="M24" s="41">
        <v>9.6300000000000008</v>
      </c>
      <c r="N24" s="41">
        <v>50</v>
      </c>
      <c r="O24" s="41">
        <v>0</v>
      </c>
      <c r="P24" s="41">
        <v>0.23</v>
      </c>
      <c r="Q24" s="41">
        <v>9.3800000000000008</v>
      </c>
      <c r="R24" s="38"/>
      <c r="S24" s="38"/>
      <c r="T24" s="38"/>
      <c r="U24" s="38"/>
    </row>
    <row r="25" spans="1:21">
      <c r="A25" s="40" t="s">
        <v>749</v>
      </c>
      <c r="B25" s="41">
        <v>3.59</v>
      </c>
      <c r="C25" s="41">
        <v>6.24</v>
      </c>
      <c r="D25" s="41">
        <v>6.13</v>
      </c>
      <c r="E25" s="41">
        <v>6.34</v>
      </c>
      <c r="F25" s="41">
        <v>2</v>
      </c>
      <c r="G25" s="41">
        <v>21.46</v>
      </c>
      <c r="H25" s="41">
        <v>6.38</v>
      </c>
      <c r="I25" s="41">
        <v>3.82</v>
      </c>
      <c r="J25" s="41">
        <v>0.62</v>
      </c>
      <c r="K25" s="41">
        <v>66.099999999999994</v>
      </c>
      <c r="L25" s="41">
        <v>10.5</v>
      </c>
      <c r="M25" s="41">
        <v>7.82</v>
      </c>
      <c r="N25" s="41">
        <v>23.1</v>
      </c>
      <c r="O25" s="41">
        <v>0</v>
      </c>
      <c r="P25" s="41">
        <v>0.23</v>
      </c>
      <c r="Q25" s="41">
        <v>9.34</v>
      </c>
      <c r="R25" s="38"/>
      <c r="S25" s="38"/>
      <c r="T25" s="38"/>
      <c r="U25" s="38"/>
    </row>
    <row r="26" spans="1:21">
      <c r="A26" s="40" t="s">
        <v>750</v>
      </c>
      <c r="B26" s="41">
        <v>3.95</v>
      </c>
      <c r="C26" s="41">
        <v>6.33</v>
      </c>
      <c r="D26" s="41">
        <v>6.31</v>
      </c>
      <c r="E26" s="41">
        <v>6.38</v>
      </c>
      <c r="F26" s="41">
        <v>2</v>
      </c>
      <c r="G26" s="41">
        <v>21.42</v>
      </c>
      <c r="H26" s="41">
        <v>4.88</v>
      </c>
      <c r="I26" s="41">
        <v>3.68</v>
      </c>
      <c r="J26" s="41">
        <v>0.57999999999999996</v>
      </c>
      <c r="K26" s="41">
        <v>62.27</v>
      </c>
      <c r="L26" s="41">
        <v>10.06</v>
      </c>
      <c r="M26" s="41">
        <v>7.14</v>
      </c>
      <c r="N26" s="41">
        <v>5.4</v>
      </c>
      <c r="O26" s="41">
        <v>0</v>
      </c>
      <c r="P26" s="41">
        <v>0.24</v>
      </c>
      <c r="Q26" s="41">
        <v>9.32</v>
      </c>
      <c r="R26" s="38"/>
      <c r="S26" s="38"/>
      <c r="T26" s="38"/>
      <c r="U26" s="38"/>
    </row>
    <row r="27" spans="1:21">
      <c r="A27" s="40" t="s">
        <v>751</v>
      </c>
      <c r="B27" s="41">
        <v>4.1900000000000004</v>
      </c>
      <c r="C27" s="41">
        <v>6.25</v>
      </c>
      <c r="D27" s="41">
        <v>6.58</v>
      </c>
      <c r="E27" s="41">
        <v>5.77</v>
      </c>
      <c r="F27" s="41">
        <v>2</v>
      </c>
      <c r="G27" s="41">
        <v>20.59</v>
      </c>
      <c r="H27" s="41">
        <v>4.88</v>
      </c>
      <c r="I27" s="41">
        <v>3.89</v>
      </c>
      <c r="J27" s="41">
        <v>0.53</v>
      </c>
      <c r="K27" s="41">
        <v>69.7</v>
      </c>
      <c r="L27" s="41">
        <v>10.16</v>
      </c>
      <c r="M27" s="41">
        <v>7.5</v>
      </c>
      <c r="N27" s="41">
        <v>2.7</v>
      </c>
      <c r="O27" s="41">
        <v>0</v>
      </c>
      <c r="P27" s="41">
        <v>0.25</v>
      </c>
      <c r="Q27" s="41">
        <v>9.32</v>
      </c>
      <c r="R27" s="38"/>
      <c r="S27" s="38"/>
      <c r="T27" s="38"/>
      <c r="U27" s="38"/>
    </row>
    <row r="28" spans="1:21">
      <c r="A28" s="40" t="s">
        <v>752</v>
      </c>
      <c r="B28" s="41">
        <v>4.7</v>
      </c>
      <c r="C28" s="41">
        <v>6.4</v>
      </c>
      <c r="D28" s="41">
        <v>7.11</v>
      </c>
      <c r="E28" s="41">
        <v>6.13</v>
      </c>
      <c r="F28" s="41">
        <v>2</v>
      </c>
      <c r="G28" s="41">
        <v>21.07</v>
      </c>
      <c r="H28" s="41">
        <v>5.38</v>
      </c>
      <c r="I28" s="41">
        <v>4.0999999999999996</v>
      </c>
      <c r="J28" s="41">
        <v>0.57999999999999996</v>
      </c>
      <c r="K28" s="41">
        <v>77.75</v>
      </c>
      <c r="L28" s="41">
        <v>10.58</v>
      </c>
      <c r="M28" s="41">
        <v>8.57</v>
      </c>
      <c r="N28" s="41">
        <v>2.4</v>
      </c>
      <c r="O28" s="41">
        <v>0</v>
      </c>
      <c r="P28" s="41">
        <v>0.28000000000000003</v>
      </c>
      <c r="Q28" s="41">
        <v>9.36</v>
      </c>
      <c r="R28" s="38"/>
      <c r="S28" s="38"/>
      <c r="T28" s="38"/>
      <c r="U28" s="38"/>
    </row>
    <row r="29" spans="1:21">
      <c r="A29" s="40" t="s">
        <v>753</v>
      </c>
      <c r="B29" s="41">
        <v>5.4</v>
      </c>
      <c r="C29" s="41">
        <v>6.88</v>
      </c>
      <c r="D29" s="41">
        <v>7.92</v>
      </c>
      <c r="E29" s="41">
        <v>6.08</v>
      </c>
      <c r="F29" s="41">
        <v>2</v>
      </c>
      <c r="G29" s="41">
        <v>21.99</v>
      </c>
      <c r="H29" s="41">
        <v>5.75</v>
      </c>
      <c r="I29" s="41">
        <v>4.3600000000000003</v>
      </c>
      <c r="J29" s="41">
        <v>0.56999999999999995</v>
      </c>
      <c r="K29" s="41">
        <v>83.91</v>
      </c>
      <c r="L29" s="41">
        <v>10.73</v>
      </c>
      <c r="M29" s="41">
        <v>9.0399999999999991</v>
      </c>
      <c r="N29" s="41">
        <v>2.5</v>
      </c>
      <c r="O29" s="41">
        <v>0</v>
      </c>
      <c r="P29" s="41">
        <v>0.28000000000000003</v>
      </c>
      <c r="Q29" s="41">
        <v>9.32</v>
      </c>
      <c r="R29" s="38"/>
      <c r="S29" s="38"/>
      <c r="T29" s="38"/>
      <c r="U29" s="38"/>
    </row>
    <row r="30" spans="1:21">
      <c r="A30" s="40" t="s">
        <v>754</v>
      </c>
      <c r="B30" s="41">
        <v>5.39</v>
      </c>
      <c r="C30" s="41">
        <v>6.44</v>
      </c>
      <c r="D30" s="41">
        <v>7.64</v>
      </c>
      <c r="E30" s="41">
        <v>6</v>
      </c>
      <c r="F30" s="41">
        <v>2</v>
      </c>
      <c r="G30" s="41">
        <v>21.99</v>
      </c>
      <c r="H30" s="41">
        <v>5.75</v>
      </c>
      <c r="I30" s="41">
        <v>4.37</v>
      </c>
      <c r="J30" s="41">
        <v>0.46</v>
      </c>
      <c r="K30" s="41">
        <v>75.510000000000005</v>
      </c>
      <c r="L30" s="41">
        <v>10.68</v>
      </c>
      <c r="M30" s="41">
        <v>8.8000000000000007</v>
      </c>
      <c r="N30" s="41">
        <v>2.4</v>
      </c>
      <c r="O30" s="41">
        <v>0</v>
      </c>
      <c r="P30" s="41">
        <v>0.28000000000000003</v>
      </c>
      <c r="Q30" s="41">
        <v>9.32</v>
      </c>
      <c r="R30" s="38"/>
      <c r="S30" s="38"/>
      <c r="T30" s="38"/>
      <c r="U30" s="38"/>
    </row>
    <row r="31" spans="1:21">
      <c r="A31" s="40" t="s">
        <v>755</v>
      </c>
      <c r="B31" s="41">
        <v>5.58</v>
      </c>
      <c r="C31" s="41">
        <v>6.43</v>
      </c>
      <c r="D31" s="41">
        <v>7.79</v>
      </c>
      <c r="E31" s="41">
        <v>5.95</v>
      </c>
      <c r="F31" s="41">
        <v>2</v>
      </c>
      <c r="G31" s="41">
        <v>20.95</v>
      </c>
      <c r="H31" s="41">
        <v>6.91</v>
      </c>
      <c r="I31" s="41">
        <v>4.38</v>
      </c>
      <c r="J31" s="41">
        <v>0.49</v>
      </c>
      <c r="K31" s="41">
        <v>58.06</v>
      </c>
      <c r="L31" s="41">
        <v>11.16</v>
      </c>
      <c r="M31" s="41">
        <v>10.050000000000001</v>
      </c>
      <c r="N31" s="41">
        <v>2.6</v>
      </c>
      <c r="O31" s="41">
        <v>0</v>
      </c>
      <c r="P31" s="41">
        <v>0.24</v>
      </c>
      <c r="Q31" s="41">
        <v>9.32</v>
      </c>
      <c r="R31" s="38"/>
      <c r="S31" s="38"/>
      <c r="T31" s="38"/>
      <c r="U31" s="38"/>
    </row>
    <row r="32" spans="1:21">
      <c r="A32" s="40" t="s">
        <v>756</v>
      </c>
      <c r="B32" s="41">
        <v>5.63</v>
      </c>
      <c r="C32" s="41">
        <v>6.28</v>
      </c>
      <c r="D32" s="41">
        <v>7.78</v>
      </c>
      <c r="E32" s="41">
        <v>6.42</v>
      </c>
      <c r="F32" s="41">
        <v>2</v>
      </c>
      <c r="G32" s="41">
        <v>22.71</v>
      </c>
      <c r="H32" s="41">
        <v>6.91</v>
      </c>
      <c r="I32" s="41">
        <v>4.21</v>
      </c>
      <c r="J32" s="41">
        <v>0.4</v>
      </c>
      <c r="K32" s="41">
        <v>137.33000000000001</v>
      </c>
      <c r="L32" s="41">
        <v>13.89</v>
      </c>
      <c r="M32" s="41">
        <v>16.97</v>
      </c>
      <c r="N32" s="41">
        <v>2.4</v>
      </c>
      <c r="O32" s="41">
        <v>0</v>
      </c>
      <c r="P32" s="41">
        <v>0.25</v>
      </c>
      <c r="Q32" s="41">
        <v>9.32</v>
      </c>
      <c r="R32" s="38"/>
      <c r="S32" s="38"/>
      <c r="T32" s="38"/>
      <c r="U32" s="38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3" t="s">
        <v>48</v>
      </c>
      <c r="B34" s="18">
        <f t="shared" ref="B34:Q34" si="0">MIN(B9:B32)</f>
        <v>3.59</v>
      </c>
      <c r="C34" s="18">
        <f t="shared" si="0"/>
        <v>6.11</v>
      </c>
      <c r="D34" s="18">
        <f t="shared" si="0"/>
        <v>6.13</v>
      </c>
      <c r="E34" s="18">
        <f t="shared" si="0"/>
        <v>5.74</v>
      </c>
      <c r="F34" s="18">
        <f t="shared" si="0"/>
        <v>2</v>
      </c>
      <c r="G34" s="18">
        <f t="shared" si="0"/>
        <v>16.8</v>
      </c>
      <c r="H34" s="18">
        <f t="shared" si="0"/>
        <v>4.62</v>
      </c>
      <c r="I34" s="18">
        <f t="shared" si="0"/>
        <v>3.68</v>
      </c>
      <c r="J34" s="18">
        <f t="shared" si="0"/>
        <v>0.4</v>
      </c>
      <c r="K34" s="18">
        <f t="shared" si="0"/>
        <v>43.77</v>
      </c>
      <c r="L34" s="18">
        <f t="shared" si="0"/>
        <v>8.7100000000000009</v>
      </c>
      <c r="M34" s="18">
        <f t="shared" si="0"/>
        <v>4.53</v>
      </c>
      <c r="N34" s="18">
        <f t="shared" si="0"/>
        <v>2.2999999999999998</v>
      </c>
      <c r="O34" s="18">
        <f t="shared" si="0"/>
        <v>0</v>
      </c>
      <c r="P34" s="18">
        <f t="shared" si="0"/>
        <v>0.14000000000000001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8.3000000000000007</v>
      </c>
      <c r="C35" s="3">
        <f t="shared" si="1"/>
        <v>6.88</v>
      </c>
      <c r="D35" s="3">
        <f t="shared" si="1"/>
        <v>10.09</v>
      </c>
      <c r="E35" s="3">
        <f t="shared" si="1"/>
        <v>6.95</v>
      </c>
      <c r="F35" s="3">
        <f t="shared" si="1"/>
        <v>2</v>
      </c>
      <c r="G35" s="3">
        <f t="shared" si="1"/>
        <v>26.29</v>
      </c>
      <c r="H35" s="3">
        <f t="shared" si="1"/>
        <v>9.84</v>
      </c>
      <c r="I35" s="3">
        <f t="shared" si="1"/>
        <v>5.31</v>
      </c>
      <c r="J35" s="3">
        <f t="shared" si="1"/>
        <v>1.1599999999999999</v>
      </c>
      <c r="K35" s="3">
        <f t="shared" si="1"/>
        <v>137.33000000000001</v>
      </c>
      <c r="L35" s="3">
        <f t="shared" si="1"/>
        <v>15.37</v>
      </c>
      <c r="M35" s="3">
        <f t="shared" si="1"/>
        <v>18.03</v>
      </c>
      <c r="N35" s="3">
        <f t="shared" si="1"/>
        <v>415.4</v>
      </c>
      <c r="O35" s="3">
        <f t="shared" si="1"/>
        <v>0</v>
      </c>
      <c r="P35" s="3">
        <f t="shared" si="1"/>
        <v>0.28000000000000003</v>
      </c>
      <c r="Q35" s="3">
        <f t="shared" si="1"/>
        <v>9.51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5.9629166666666675</v>
      </c>
      <c r="C36" s="18">
        <f t="shared" si="2"/>
        <v>6.4129166666666668</v>
      </c>
      <c r="D36" s="18">
        <f t="shared" si="2"/>
        <v>8.0979166666666682</v>
      </c>
      <c r="E36" s="18">
        <f t="shared" si="2"/>
        <v>6.2908333333333326</v>
      </c>
      <c r="F36" s="18">
        <f t="shared" si="2"/>
        <v>2</v>
      </c>
      <c r="G36" s="18">
        <f t="shared" si="2"/>
        <v>21.950833333333335</v>
      </c>
      <c r="H36" s="18">
        <f t="shared" si="2"/>
        <v>6.8858333333333315</v>
      </c>
      <c r="I36" s="18">
        <f t="shared" si="2"/>
        <v>4.6854166666666659</v>
      </c>
      <c r="J36" s="18">
        <f t="shared" si="2"/>
        <v>0.70499999999999974</v>
      </c>
      <c r="K36" s="18">
        <f t="shared" si="2"/>
        <v>74.496666666666655</v>
      </c>
      <c r="L36" s="18">
        <f t="shared" si="2"/>
        <v>10.918333333333335</v>
      </c>
      <c r="M36" s="18">
        <f t="shared" si="2"/>
        <v>8.5299999999999994</v>
      </c>
      <c r="N36" s="18">
        <f t="shared" si="2"/>
        <v>59.458333333333336</v>
      </c>
      <c r="O36" s="18">
        <f t="shared" si="2"/>
        <v>0</v>
      </c>
      <c r="P36" s="18">
        <f t="shared" si="2"/>
        <v>0.2191666666666667</v>
      </c>
      <c r="Q36" s="18">
        <f t="shared" si="2"/>
        <v>9.3733333333333295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1.3796517492741995</v>
      </c>
      <c r="C37" s="18">
        <f t="shared" ref="C37:Q37" si="3">STDEV(C9:C32)</f>
        <v>0.2141612388642819</v>
      </c>
      <c r="D37" s="18">
        <f t="shared" si="3"/>
        <v>1.1581656379497318</v>
      </c>
      <c r="E37" s="18">
        <f t="shared" si="3"/>
        <v>0.34573069019820551</v>
      </c>
      <c r="F37" s="18">
        <f t="shared" si="3"/>
        <v>0</v>
      </c>
      <c r="G37" s="18">
        <f t="shared" si="3"/>
        <v>2.2481952504304359</v>
      </c>
      <c r="H37" s="18">
        <f t="shared" si="3"/>
        <v>1.7558372626054068</v>
      </c>
      <c r="I37" s="18">
        <f t="shared" si="3"/>
        <v>0.54366693101940977</v>
      </c>
      <c r="J37" s="18">
        <f t="shared" si="3"/>
        <v>0.18432013737917644</v>
      </c>
      <c r="K37" s="18">
        <f t="shared" si="3"/>
        <v>24.803648340808554</v>
      </c>
      <c r="L37" s="18">
        <f t="shared" si="3"/>
        <v>1.6796290135587637</v>
      </c>
      <c r="M37" s="18">
        <f t="shared" si="3"/>
        <v>3.5017374569478084</v>
      </c>
      <c r="N37" s="18">
        <f t="shared" si="3"/>
        <v>106.53196261203026</v>
      </c>
      <c r="O37" s="18">
        <f t="shared" si="3"/>
        <v>0</v>
      </c>
      <c r="P37" s="18">
        <f t="shared" si="3"/>
        <v>3.4124664886606017E-2</v>
      </c>
      <c r="Q37" s="18">
        <f t="shared" si="3"/>
        <v>5.7230781218157209E-2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7"/>
      <c r="O41" s="37"/>
      <c r="P41" s="37"/>
      <c r="Q41" s="37"/>
      <c r="R41" s="37"/>
      <c r="S41" s="37"/>
      <c r="T41" s="37"/>
      <c r="U41" s="37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19" t="s">
        <v>56</v>
      </c>
      <c r="C43" s="3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20"/>
      <c r="E44" s="20"/>
      <c r="F44" s="20"/>
      <c r="G44" s="20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96"/>
  <sheetViews>
    <sheetView topLeftCell="A16" zoomScale="85" zoomScaleNormal="85" workbookViewId="0">
      <selection activeCell="I12" sqref="I12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30/10/2025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757</v>
      </c>
      <c r="B9" s="41">
        <v>6.06</v>
      </c>
      <c r="C9" s="41">
        <v>6.35</v>
      </c>
      <c r="D9" s="41">
        <v>8.17</v>
      </c>
      <c r="E9" s="41">
        <v>6.73</v>
      </c>
      <c r="F9" s="41">
        <v>2</v>
      </c>
      <c r="G9" s="41">
        <v>22.71</v>
      </c>
      <c r="H9" s="41">
        <v>6.32</v>
      </c>
      <c r="I9" s="41">
        <v>4.3099999999999996</v>
      </c>
      <c r="J9" s="41">
        <v>0.33</v>
      </c>
      <c r="K9" s="41">
        <v>122.16</v>
      </c>
      <c r="L9" s="41">
        <v>13.57</v>
      </c>
      <c r="M9" s="41">
        <v>16.02</v>
      </c>
      <c r="N9" s="41">
        <v>2.5</v>
      </c>
      <c r="O9" s="41">
        <v>0</v>
      </c>
      <c r="P9" s="41">
        <v>0.24</v>
      </c>
      <c r="Q9" s="41">
        <v>9.32</v>
      </c>
      <c r="R9" s="38"/>
      <c r="S9" s="38"/>
      <c r="T9" s="38"/>
      <c r="U9" s="38"/>
    </row>
    <row r="10" spans="1:21" customFormat="1">
      <c r="A10" s="40" t="s">
        <v>758</v>
      </c>
      <c r="B10" s="41">
        <v>6.38</v>
      </c>
      <c r="C10" s="41">
        <v>6.47</v>
      </c>
      <c r="D10" s="41">
        <v>8.4600000000000009</v>
      </c>
      <c r="E10" s="41">
        <v>6.6</v>
      </c>
      <c r="F10" s="41">
        <v>2</v>
      </c>
      <c r="G10" s="41">
        <v>18.399999999999999</v>
      </c>
      <c r="H10" s="41">
        <v>6.32</v>
      </c>
      <c r="I10" s="41">
        <v>4.53</v>
      </c>
      <c r="J10" s="41">
        <v>0.35</v>
      </c>
      <c r="K10" s="41">
        <v>112.53</v>
      </c>
      <c r="L10" s="41">
        <v>13.24</v>
      </c>
      <c r="M10" s="41">
        <v>15.25</v>
      </c>
      <c r="N10" s="41">
        <v>2.5</v>
      </c>
      <c r="O10" s="41">
        <v>0</v>
      </c>
      <c r="P10" s="41">
        <v>0.24</v>
      </c>
      <c r="Q10" s="41">
        <v>9.32</v>
      </c>
      <c r="R10" s="38"/>
      <c r="S10" s="38"/>
      <c r="T10" s="38"/>
      <c r="U10" s="38"/>
    </row>
    <row r="11" spans="1:21" customFormat="1">
      <c r="A11" s="40" t="s">
        <v>759</v>
      </c>
      <c r="B11" s="41">
        <v>6.18</v>
      </c>
      <c r="C11" s="41">
        <v>6.07</v>
      </c>
      <c r="D11" s="41">
        <v>8.1300000000000008</v>
      </c>
      <c r="E11" s="41">
        <v>6.96</v>
      </c>
      <c r="F11" s="41">
        <v>2</v>
      </c>
      <c r="G11" s="41">
        <v>18.399999999999999</v>
      </c>
      <c r="H11" s="41">
        <v>6.08</v>
      </c>
      <c r="I11" s="41">
        <v>4.37</v>
      </c>
      <c r="J11" s="41">
        <v>0.27</v>
      </c>
      <c r="K11" s="41">
        <v>155.52000000000001</v>
      </c>
      <c r="L11" s="41">
        <v>15.37</v>
      </c>
      <c r="M11" s="41">
        <v>20.69</v>
      </c>
      <c r="N11" s="41">
        <v>2.4</v>
      </c>
      <c r="O11" s="41">
        <v>0</v>
      </c>
      <c r="P11" s="41">
        <v>0.25</v>
      </c>
      <c r="Q11" s="41">
        <v>9.32</v>
      </c>
      <c r="R11" s="38"/>
      <c r="S11" s="38"/>
      <c r="T11" s="38"/>
      <c r="U11" s="38"/>
    </row>
    <row r="12" spans="1:21" customFormat="1">
      <c r="A12" s="40" t="s">
        <v>760</v>
      </c>
      <c r="B12" s="41">
        <v>6.28</v>
      </c>
      <c r="C12" s="41">
        <v>5.54</v>
      </c>
      <c r="D12" s="41">
        <v>7.85</v>
      </c>
      <c r="E12" s="41">
        <v>6.45</v>
      </c>
      <c r="F12" s="41">
        <v>2</v>
      </c>
      <c r="G12" s="41">
        <v>15.61</v>
      </c>
      <c r="H12" s="41">
        <v>4.25</v>
      </c>
      <c r="I12" s="41">
        <v>4.34</v>
      </c>
      <c r="J12" s="41">
        <v>0.27</v>
      </c>
      <c r="K12" s="41">
        <v>127.53</v>
      </c>
      <c r="L12" s="41">
        <v>14.32</v>
      </c>
      <c r="M12" s="41">
        <v>17.989999999999998</v>
      </c>
      <c r="N12" s="41">
        <v>2.4</v>
      </c>
      <c r="O12" s="41">
        <v>0</v>
      </c>
      <c r="P12" s="41">
        <v>0.24</v>
      </c>
      <c r="Q12" s="41">
        <v>9.32</v>
      </c>
      <c r="R12" s="38"/>
      <c r="S12" s="38"/>
      <c r="T12" s="38"/>
      <c r="U12" s="38"/>
    </row>
    <row r="13" spans="1:21" customFormat="1">
      <c r="A13" s="40" t="s">
        <v>761</v>
      </c>
      <c r="B13" s="41">
        <v>6.58</v>
      </c>
      <c r="C13" s="41">
        <v>5.53</v>
      </c>
      <c r="D13" s="41">
        <v>8.16</v>
      </c>
      <c r="E13" s="41">
        <v>6.09</v>
      </c>
      <c r="F13" s="41">
        <v>2</v>
      </c>
      <c r="G13" s="41">
        <v>14.05</v>
      </c>
      <c r="H13" s="41">
        <v>3.07</v>
      </c>
      <c r="I13" s="41">
        <v>4.17</v>
      </c>
      <c r="J13" s="41">
        <v>0.22</v>
      </c>
      <c r="K13" s="41">
        <v>141.38999999999999</v>
      </c>
      <c r="L13" s="41">
        <v>15.37</v>
      </c>
      <c r="M13" s="41">
        <v>20.66</v>
      </c>
      <c r="N13" s="41">
        <v>2.2999999999999998</v>
      </c>
      <c r="O13" s="41">
        <v>0</v>
      </c>
      <c r="P13" s="41">
        <v>0.24</v>
      </c>
      <c r="Q13" s="41">
        <v>9.32</v>
      </c>
      <c r="R13" s="38"/>
      <c r="S13" s="38"/>
      <c r="T13" s="38"/>
      <c r="U13" s="38"/>
    </row>
    <row r="14" spans="1:21" customFormat="1">
      <c r="A14" s="40" t="s">
        <v>762</v>
      </c>
      <c r="B14" s="41">
        <v>6.68</v>
      </c>
      <c r="C14" s="41">
        <v>5.71</v>
      </c>
      <c r="D14" s="41">
        <v>8.34</v>
      </c>
      <c r="E14" s="41">
        <v>6.27</v>
      </c>
      <c r="F14" s="41">
        <v>2</v>
      </c>
      <c r="G14" s="41">
        <v>12.96</v>
      </c>
      <c r="H14" s="41">
        <v>2.94</v>
      </c>
      <c r="I14" s="41">
        <v>4.0199999999999996</v>
      </c>
      <c r="J14" s="41">
        <v>0.36</v>
      </c>
      <c r="K14" s="41">
        <v>138.5</v>
      </c>
      <c r="L14" s="41">
        <v>13.46</v>
      </c>
      <c r="M14" s="41">
        <v>15.44</v>
      </c>
      <c r="N14" s="41">
        <v>3.9</v>
      </c>
      <c r="O14" s="41">
        <v>0</v>
      </c>
      <c r="P14" s="41">
        <v>0.23</v>
      </c>
      <c r="Q14" s="41">
        <v>9.32</v>
      </c>
      <c r="R14" s="38"/>
      <c r="S14" s="38"/>
      <c r="T14" s="38"/>
      <c r="U14" s="38"/>
    </row>
    <row r="15" spans="1:21" customFormat="1">
      <c r="A15" s="40" t="s">
        <v>763</v>
      </c>
      <c r="B15" s="41">
        <v>6.72</v>
      </c>
      <c r="C15" s="41">
        <v>5.81</v>
      </c>
      <c r="D15" s="41">
        <v>8.42</v>
      </c>
      <c r="E15" s="41">
        <v>6.44</v>
      </c>
      <c r="F15" s="41">
        <v>2</v>
      </c>
      <c r="G15" s="41">
        <v>9.84</v>
      </c>
      <c r="H15" s="41">
        <v>2.72</v>
      </c>
      <c r="I15" s="41">
        <v>3.93</v>
      </c>
      <c r="J15" s="41">
        <v>0.26</v>
      </c>
      <c r="K15" s="41">
        <v>141.58000000000001</v>
      </c>
      <c r="L15" s="41">
        <v>13.89</v>
      </c>
      <c r="M15" s="41">
        <v>16.93</v>
      </c>
      <c r="N15" s="41">
        <v>9.6999999999999993</v>
      </c>
      <c r="O15" s="41">
        <v>0.4</v>
      </c>
      <c r="P15" s="41">
        <v>0.23</v>
      </c>
      <c r="Q15" s="41">
        <v>9.32</v>
      </c>
      <c r="R15" s="38"/>
      <c r="S15" s="38"/>
      <c r="T15" s="38"/>
      <c r="U15" s="38"/>
    </row>
    <row r="16" spans="1:21" customFormat="1">
      <c r="A16" s="40" t="s">
        <v>764</v>
      </c>
      <c r="B16" s="41">
        <v>6.73</v>
      </c>
      <c r="C16" s="41">
        <v>5.93</v>
      </c>
      <c r="D16" s="41">
        <v>8.4600000000000009</v>
      </c>
      <c r="E16" s="41">
        <v>6.41</v>
      </c>
      <c r="F16" s="41">
        <v>2</v>
      </c>
      <c r="G16" s="41">
        <v>7.87</v>
      </c>
      <c r="H16" s="41">
        <v>2.72</v>
      </c>
      <c r="I16" s="41">
        <v>3.84</v>
      </c>
      <c r="J16" s="41">
        <v>0.32</v>
      </c>
      <c r="K16" s="41">
        <v>143.57</v>
      </c>
      <c r="L16" s="41">
        <v>15.18</v>
      </c>
      <c r="M16" s="41">
        <v>19.7</v>
      </c>
      <c r="N16" s="41">
        <v>38.1</v>
      </c>
      <c r="O16" s="41">
        <v>0.2</v>
      </c>
      <c r="P16" s="41">
        <v>0.22</v>
      </c>
      <c r="Q16" s="41">
        <v>9.32</v>
      </c>
      <c r="R16" s="38"/>
      <c r="S16" s="38"/>
      <c r="T16" s="38"/>
      <c r="U16" s="38"/>
    </row>
    <row r="17" spans="1:21" customFormat="1">
      <c r="A17" s="40" t="s">
        <v>765</v>
      </c>
      <c r="B17" s="41">
        <v>6.34</v>
      </c>
      <c r="C17" s="41">
        <v>6.15</v>
      </c>
      <c r="D17" s="41">
        <v>8.26</v>
      </c>
      <c r="E17" s="41">
        <v>6.17</v>
      </c>
      <c r="F17" s="41">
        <v>2</v>
      </c>
      <c r="G17" s="41">
        <v>7.87</v>
      </c>
      <c r="H17" s="41">
        <v>3.92</v>
      </c>
      <c r="I17" s="41">
        <v>3.85</v>
      </c>
      <c r="J17" s="41">
        <v>0.27</v>
      </c>
      <c r="K17" s="41">
        <v>153.84</v>
      </c>
      <c r="L17" s="41">
        <v>15.17</v>
      </c>
      <c r="M17" s="41">
        <v>19.510000000000002</v>
      </c>
      <c r="N17" s="41">
        <v>44.9</v>
      </c>
      <c r="O17" s="41">
        <v>0.4</v>
      </c>
      <c r="P17" s="41">
        <v>0.17</v>
      </c>
      <c r="Q17" s="41">
        <v>9.32</v>
      </c>
      <c r="R17" s="38"/>
      <c r="S17" s="38"/>
      <c r="T17" s="38"/>
      <c r="U17" s="38"/>
    </row>
    <row r="18" spans="1:21" customFormat="1">
      <c r="A18" s="40" t="s">
        <v>766</v>
      </c>
      <c r="B18" s="41">
        <v>5.66</v>
      </c>
      <c r="C18" s="41">
        <v>5.96</v>
      </c>
      <c r="D18" s="41">
        <v>7.65</v>
      </c>
      <c r="E18" s="41">
        <v>6.26</v>
      </c>
      <c r="F18" s="41">
        <v>2</v>
      </c>
      <c r="G18" s="41">
        <v>9.82</v>
      </c>
      <c r="H18" s="41">
        <v>3.92</v>
      </c>
      <c r="I18" s="41">
        <v>3.69</v>
      </c>
      <c r="J18" s="41">
        <v>0.33</v>
      </c>
      <c r="K18" s="41">
        <v>131.07</v>
      </c>
      <c r="L18" s="41">
        <v>14.34</v>
      </c>
      <c r="M18" s="41">
        <v>17.11</v>
      </c>
      <c r="N18" s="41">
        <v>99</v>
      </c>
      <c r="O18" s="41">
        <v>0</v>
      </c>
      <c r="P18" s="41">
        <v>0.18</v>
      </c>
      <c r="Q18" s="41">
        <v>9.32</v>
      </c>
      <c r="R18" s="38"/>
      <c r="S18" s="38"/>
      <c r="T18" s="38"/>
      <c r="U18" s="38"/>
    </row>
    <row r="19" spans="1:21" customFormat="1">
      <c r="A19" s="40" t="s">
        <v>767</v>
      </c>
      <c r="B19" s="41">
        <v>5.12</v>
      </c>
      <c r="C19" s="41">
        <v>5.85</v>
      </c>
      <c r="D19" s="41">
        <v>7.13</v>
      </c>
      <c r="E19" s="41">
        <v>6.64</v>
      </c>
      <c r="F19" s="41">
        <v>2</v>
      </c>
      <c r="G19" s="41">
        <v>10.91</v>
      </c>
      <c r="H19" s="41">
        <v>5.0199999999999996</v>
      </c>
      <c r="I19" s="41">
        <v>3.57</v>
      </c>
      <c r="J19" s="41">
        <v>0.28999999999999998</v>
      </c>
      <c r="K19" s="41">
        <v>121.87</v>
      </c>
      <c r="L19" s="41">
        <v>13.85</v>
      </c>
      <c r="M19" s="41">
        <v>15.8</v>
      </c>
      <c r="N19" s="41">
        <v>104.6</v>
      </c>
      <c r="O19" s="41">
        <v>0</v>
      </c>
      <c r="P19" s="41">
        <v>0.18</v>
      </c>
      <c r="Q19" s="41">
        <v>9.32</v>
      </c>
      <c r="R19" s="38"/>
      <c r="S19" s="38"/>
      <c r="T19" s="38"/>
      <c r="U19" s="38"/>
    </row>
    <row r="20" spans="1:21" customFormat="1">
      <c r="A20" s="40" t="s">
        <v>768</v>
      </c>
      <c r="B20" s="41">
        <v>4.8499999999999996</v>
      </c>
      <c r="C20" s="41">
        <v>5.62</v>
      </c>
      <c r="D20" s="41">
        <v>6.81</v>
      </c>
      <c r="E20" s="41">
        <v>7.03</v>
      </c>
      <c r="F20" s="41">
        <v>2</v>
      </c>
      <c r="G20" s="41">
        <v>11.44</v>
      </c>
      <c r="H20" s="41">
        <v>5.0199999999999996</v>
      </c>
      <c r="I20" s="41">
        <v>3.48</v>
      </c>
      <c r="J20" s="41">
        <v>0.32</v>
      </c>
      <c r="K20" s="41">
        <v>149.97</v>
      </c>
      <c r="L20" s="41">
        <v>16.899999999999999</v>
      </c>
      <c r="M20" s="41">
        <v>23.59</v>
      </c>
      <c r="N20" s="41">
        <v>91.2</v>
      </c>
      <c r="O20" s="41">
        <v>0</v>
      </c>
      <c r="P20" s="41">
        <v>0.19</v>
      </c>
      <c r="Q20" s="41">
        <v>9.32</v>
      </c>
      <c r="R20" s="38"/>
      <c r="S20" s="38"/>
      <c r="T20" s="38"/>
      <c r="U20" s="38"/>
    </row>
    <row r="21" spans="1:21" customFormat="1">
      <c r="A21" s="40" t="s">
        <v>769</v>
      </c>
      <c r="B21" s="41">
        <v>4.4800000000000004</v>
      </c>
      <c r="C21" s="41">
        <v>5.61</v>
      </c>
      <c r="D21" s="41">
        <v>6.46</v>
      </c>
      <c r="E21" s="41">
        <v>7.09</v>
      </c>
      <c r="F21" s="41">
        <v>2</v>
      </c>
      <c r="G21" s="41">
        <v>12.19</v>
      </c>
      <c r="H21" s="41">
        <v>7.03</v>
      </c>
      <c r="I21" s="41">
        <v>3.42</v>
      </c>
      <c r="J21" s="41">
        <v>0.3</v>
      </c>
      <c r="K21" s="41">
        <v>204.24</v>
      </c>
      <c r="L21" s="41">
        <v>19.52</v>
      </c>
      <c r="M21" s="41">
        <v>30.28</v>
      </c>
      <c r="N21" s="41">
        <v>70.599999999999994</v>
      </c>
      <c r="O21" s="41">
        <v>0</v>
      </c>
      <c r="P21" s="41">
        <v>0.22</v>
      </c>
      <c r="Q21" s="41">
        <v>9.32</v>
      </c>
      <c r="R21" s="38"/>
      <c r="S21" s="38"/>
      <c r="T21" s="38"/>
      <c r="U21" s="38"/>
    </row>
    <row r="22" spans="1:21" customFormat="1">
      <c r="A22" s="40" t="s">
        <v>770</v>
      </c>
      <c r="B22" s="41">
        <v>4.37</v>
      </c>
      <c r="C22" s="41">
        <v>5.33</v>
      </c>
      <c r="D22" s="41">
        <v>6.27</v>
      </c>
      <c r="E22" s="41">
        <v>6.65</v>
      </c>
      <c r="F22" s="41">
        <v>2</v>
      </c>
      <c r="G22" s="41">
        <v>12.19</v>
      </c>
      <c r="H22" s="41">
        <v>7.03</v>
      </c>
      <c r="I22" s="41">
        <v>3.33</v>
      </c>
      <c r="J22" s="41">
        <v>0.12</v>
      </c>
      <c r="K22" s="41">
        <v>258.70999999999998</v>
      </c>
      <c r="L22" s="41">
        <v>20.45</v>
      </c>
      <c r="M22" s="41">
        <v>32</v>
      </c>
      <c r="N22" s="41">
        <v>84.3</v>
      </c>
      <c r="O22" s="41">
        <v>0</v>
      </c>
      <c r="P22" s="41">
        <v>0.22</v>
      </c>
      <c r="Q22" s="41">
        <v>9.32</v>
      </c>
      <c r="R22" s="38"/>
      <c r="S22" s="38"/>
      <c r="T22" s="38"/>
      <c r="U22" s="38"/>
    </row>
    <row r="23" spans="1:21" customFormat="1">
      <c r="A23" s="40" t="s">
        <v>771</v>
      </c>
      <c r="B23" s="41">
        <v>4.3</v>
      </c>
      <c r="C23" s="41">
        <v>5.42</v>
      </c>
      <c r="D23" s="41">
        <v>6.28</v>
      </c>
      <c r="E23" s="41">
        <v>6.37</v>
      </c>
      <c r="F23" s="41">
        <v>2</v>
      </c>
      <c r="G23" s="41">
        <v>14.45</v>
      </c>
      <c r="H23" s="41">
        <v>5.13</v>
      </c>
      <c r="I23" s="41">
        <v>3.39</v>
      </c>
      <c r="J23" s="41">
        <v>0.1</v>
      </c>
      <c r="K23" s="41">
        <v>240.16</v>
      </c>
      <c r="L23" s="41">
        <v>19.46</v>
      </c>
      <c r="M23" s="41">
        <v>30.51</v>
      </c>
      <c r="N23" s="41">
        <v>40.200000000000003</v>
      </c>
      <c r="O23" s="41">
        <v>0</v>
      </c>
      <c r="P23" s="41">
        <v>0.22</v>
      </c>
      <c r="Q23" s="41">
        <v>9.32</v>
      </c>
      <c r="R23" s="38"/>
      <c r="S23" s="38"/>
      <c r="T23" s="38"/>
      <c r="U23" s="38"/>
    </row>
    <row r="24" spans="1:21" customFormat="1">
      <c r="A24" s="40" t="s">
        <v>772</v>
      </c>
      <c r="B24" s="41">
        <v>4.46</v>
      </c>
      <c r="C24" s="41">
        <v>5.61</v>
      </c>
      <c r="D24" s="41">
        <v>6.48</v>
      </c>
      <c r="E24" s="41">
        <v>6.36</v>
      </c>
      <c r="F24" s="41">
        <v>2</v>
      </c>
      <c r="G24" s="41">
        <v>14.45</v>
      </c>
      <c r="H24" s="41">
        <v>3.94</v>
      </c>
      <c r="I24" s="41">
        <v>3.43</v>
      </c>
      <c r="J24" s="41">
        <v>0.12</v>
      </c>
      <c r="K24" s="41">
        <v>254.32</v>
      </c>
      <c r="L24" s="41">
        <v>21.81</v>
      </c>
      <c r="M24" s="41">
        <v>36.619999999999997</v>
      </c>
      <c r="N24" s="41">
        <v>14.2</v>
      </c>
      <c r="O24" s="41">
        <v>0</v>
      </c>
      <c r="P24" s="41">
        <v>0.22</v>
      </c>
      <c r="Q24" s="41">
        <v>9.32</v>
      </c>
      <c r="R24" s="38"/>
      <c r="S24" s="38"/>
      <c r="T24" s="38"/>
      <c r="U24" s="38"/>
    </row>
    <row r="25" spans="1:21" customFormat="1">
      <c r="A25" s="40" t="s">
        <v>773</v>
      </c>
      <c r="B25" s="41">
        <v>4.58</v>
      </c>
      <c r="C25" s="41">
        <v>5.56</v>
      </c>
      <c r="D25" s="41">
        <v>6.56</v>
      </c>
      <c r="E25" s="41">
        <v>6.54</v>
      </c>
      <c r="F25" s="41">
        <v>2</v>
      </c>
      <c r="G25" s="41">
        <v>13.55</v>
      </c>
      <c r="H25" s="41">
        <v>4.9400000000000004</v>
      </c>
      <c r="I25" s="41">
        <v>3.52</v>
      </c>
      <c r="J25" s="41">
        <v>0.32</v>
      </c>
      <c r="K25" s="41">
        <v>271.86</v>
      </c>
      <c r="L25" s="41">
        <v>22.43</v>
      </c>
      <c r="M25" s="41">
        <v>38.090000000000003</v>
      </c>
      <c r="N25" s="41">
        <v>10.1</v>
      </c>
      <c r="O25" s="41">
        <v>0</v>
      </c>
      <c r="P25" s="41">
        <v>0.22</v>
      </c>
      <c r="Q25" s="41">
        <v>9.32</v>
      </c>
      <c r="R25" s="38"/>
      <c r="S25" s="38"/>
      <c r="T25" s="38"/>
      <c r="U25" s="38"/>
    </row>
    <row r="26" spans="1:21" customFormat="1">
      <c r="A26" s="40" t="s">
        <v>774</v>
      </c>
      <c r="B26" s="41">
        <v>4.4400000000000004</v>
      </c>
      <c r="C26" s="41">
        <v>5.72</v>
      </c>
      <c r="D26" s="41">
        <v>6.5</v>
      </c>
      <c r="E26" s="41">
        <v>6.14</v>
      </c>
      <c r="F26" s="41">
        <v>2</v>
      </c>
      <c r="G26" s="41">
        <v>13.78</v>
      </c>
      <c r="H26" s="41">
        <v>4.9400000000000004</v>
      </c>
      <c r="I26" s="41">
        <v>3.48</v>
      </c>
      <c r="J26" s="41">
        <v>0.38</v>
      </c>
      <c r="K26" s="41">
        <v>272.39</v>
      </c>
      <c r="L26" s="41">
        <v>22.74</v>
      </c>
      <c r="M26" s="41">
        <v>39.72</v>
      </c>
      <c r="N26" s="41">
        <v>4.5</v>
      </c>
      <c r="O26" s="41">
        <v>0</v>
      </c>
      <c r="P26" s="41">
        <v>0.21</v>
      </c>
      <c r="Q26" s="41">
        <v>9.32</v>
      </c>
      <c r="R26" s="38"/>
      <c r="S26" s="38"/>
      <c r="T26" s="38"/>
      <c r="U26" s="38"/>
    </row>
    <row r="27" spans="1:21" customFormat="1">
      <c r="A27" s="40" t="s">
        <v>775</v>
      </c>
      <c r="B27" s="41">
        <v>3.99</v>
      </c>
      <c r="C27" s="41">
        <v>5.73</v>
      </c>
      <c r="D27" s="41">
        <v>6.19</v>
      </c>
      <c r="E27" s="41">
        <v>7.58</v>
      </c>
      <c r="F27" s="41">
        <v>2</v>
      </c>
      <c r="G27" s="41">
        <v>13.78</v>
      </c>
      <c r="H27" s="41">
        <v>5.65</v>
      </c>
      <c r="I27" s="41">
        <v>3.42</v>
      </c>
      <c r="J27" s="41">
        <v>0.39</v>
      </c>
      <c r="K27" s="41">
        <v>269.60000000000002</v>
      </c>
      <c r="L27" s="41">
        <v>23.09</v>
      </c>
      <c r="M27" s="41">
        <v>39.869999999999997</v>
      </c>
      <c r="N27" s="41">
        <v>2.5</v>
      </c>
      <c r="O27" s="41">
        <v>0</v>
      </c>
      <c r="P27" s="41">
        <v>0.19</v>
      </c>
      <c r="Q27" s="41">
        <v>9.32</v>
      </c>
      <c r="R27" s="38"/>
      <c r="S27" s="38"/>
      <c r="T27" s="38"/>
      <c r="U27" s="38"/>
    </row>
    <row r="28" spans="1:21" customFormat="1">
      <c r="A28" s="40" t="s">
        <v>776</v>
      </c>
      <c r="B28" s="41">
        <v>3.38</v>
      </c>
      <c r="C28" s="41">
        <v>5.6</v>
      </c>
      <c r="D28" s="41">
        <v>5.64</v>
      </c>
      <c r="E28" s="41">
        <v>7.48</v>
      </c>
      <c r="F28" s="41">
        <v>2</v>
      </c>
      <c r="G28" s="41">
        <v>13.8</v>
      </c>
      <c r="H28" s="41">
        <v>5.65</v>
      </c>
      <c r="I28" s="41">
        <v>3.34</v>
      </c>
      <c r="J28" s="41">
        <v>0.37</v>
      </c>
      <c r="K28" s="41">
        <v>269.64999999999998</v>
      </c>
      <c r="L28" s="41">
        <v>23.35</v>
      </c>
      <c r="M28" s="41">
        <v>40.51</v>
      </c>
      <c r="N28" s="41">
        <v>2.4</v>
      </c>
      <c r="O28" s="41">
        <v>0</v>
      </c>
      <c r="P28" s="41">
        <v>0.19</v>
      </c>
      <c r="Q28" s="41">
        <v>9.32</v>
      </c>
      <c r="R28" s="38"/>
      <c r="S28" s="38"/>
      <c r="T28" s="38"/>
      <c r="U28" s="38"/>
    </row>
    <row r="29" spans="1:21" customFormat="1">
      <c r="A29" s="40" t="s">
        <v>777</v>
      </c>
      <c r="B29" s="41">
        <v>3.13</v>
      </c>
      <c r="C29" s="41">
        <v>5.32</v>
      </c>
      <c r="D29" s="41">
        <v>5.29</v>
      </c>
      <c r="E29" s="41">
        <v>7.63</v>
      </c>
      <c r="F29" s="41">
        <v>2</v>
      </c>
      <c r="G29" s="41">
        <v>13.8</v>
      </c>
      <c r="H29" s="41">
        <v>5.37</v>
      </c>
      <c r="I29" s="41">
        <v>3.32</v>
      </c>
      <c r="J29" s="41">
        <v>0.43</v>
      </c>
      <c r="K29" s="41">
        <v>269.3</v>
      </c>
      <c r="L29" s="41">
        <v>22.26</v>
      </c>
      <c r="M29" s="41">
        <v>37.79</v>
      </c>
      <c r="N29" s="41">
        <v>2.6</v>
      </c>
      <c r="O29" s="41">
        <v>0</v>
      </c>
      <c r="P29" s="41">
        <v>0.19</v>
      </c>
      <c r="Q29" s="41">
        <v>9.32</v>
      </c>
      <c r="R29" s="38"/>
      <c r="S29" s="38"/>
      <c r="T29" s="38"/>
      <c r="U29" s="38"/>
    </row>
    <row r="30" spans="1:21" customFormat="1">
      <c r="A30" s="40" t="s">
        <v>778</v>
      </c>
      <c r="B30" s="41">
        <v>2.98</v>
      </c>
      <c r="C30" s="41">
        <v>5.0999999999999996</v>
      </c>
      <c r="D30" s="41">
        <v>5.05</v>
      </c>
      <c r="E30" s="41">
        <v>7.77</v>
      </c>
      <c r="F30" s="41">
        <v>2</v>
      </c>
      <c r="G30" s="41">
        <v>13.33</v>
      </c>
      <c r="H30" s="41">
        <v>6.75</v>
      </c>
      <c r="I30" s="41">
        <v>3.29</v>
      </c>
      <c r="J30" s="41">
        <v>0.4</v>
      </c>
      <c r="K30" s="41">
        <v>268.89999999999998</v>
      </c>
      <c r="L30" s="41">
        <v>23.37</v>
      </c>
      <c r="M30" s="41">
        <v>40.590000000000003</v>
      </c>
      <c r="N30" s="41">
        <v>2.5</v>
      </c>
      <c r="O30" s="41">
        <v>0</v>
      </c>
      <c r="P30" s="41">
        <v>0.19</v>
      </c>
      <c r="Q30" s="41">
        <v>9.32</v>
      </c>
      <c r="R30" s="38"/>
      <c r="S30" s="38"/>
      <c r="T30" s="38"/>
      <c r="U30" s="38"/>
    </row>
    <row r="31" spans="1:21" customFormat="1">
      <c r="A31" s="40" t="s">
        <v>779</v>
      </c>
      <c r="B31" s="41">
        <v>2.94</v>
      </c>
      <c r="C31" s="41">
        <v>4.99</v>
      </c>
      <c r="D31" s="41">
        <v>4.91</v>
      </c>
      <c r="E31" s="41">
        <v>7.62</v>
      </c>
      <c r="F31" s="41">
        <v>2</v>
      </c>
      <c r="G31" s="41">
        <v>13.44</v>
      </c>
      <c r="H31" s="41">
        <v>6.75</v>
      </c>
      <c r="I31" s="41">
        <v>3.21</v>
      </c>
      <c r="J31" s="41">
        <v>0.5</v>
      </c>
      <c r="K31" s="41">
        <v>262.64999999999998</v>
      </c>
      <c r="L31" s="41">
        <v>22.91</v>
      </c>
      <c r="M31" s="41">
        <v>39.369999999999997</v>
      </c>
      <c r="N31" s="41">
        <v>2.7</v>
      </c>
      <c r="O31" s="41">
        <v>0</v>
      </c>
      <c r="P31" s="41">
        <v>0.21</v>
      </c>
      <c r="Q31" s="41">
        <v>9.32</v>
      </c>
      <c r="R31" s="38"/>
      <c r="S31" s="38"/>
      <c r="T31" s="38"/>
      <c r="U31" s="38"/>
    </row>
    <row r="32" spans="1:21" customFormat="1">
      <c r="A32" s="40" t="s">
        <v>780</v>
      </c>
      <c r="B32" s="41">
        <v>3.34</v>
      </c>
      <c r="C32" s="41">
        <v>4.87</v>
      </c>
      <c r="D32" s="41">
        <v>5.22</v>
      </c>
      <c r="E32" s="41">
        <v>7.54</v>
      </c>
      <c r="F32" s="41">
        <v>2</v>
      </c>
      <c r="G32" s="41">
        <v>14.17</v>
      </c>
      <c r="H32" s="41">
        <v>4.95</v>
      </c>
      <c r="I32" s="41">
        <v>3.13</v>
      </c>
      <c r="J32" s="41">
        <v>0.53</v>
      </c>
      <c r="K32" s="41">
        <v>263.92</v>
      </c>
      <c r="L32" s="41">
        <v>22.61</v>
      </c>
      <c r="M32" s="41">
        <v>38.700000000000003</v>
      </c>
      <c r="N32" s="41">
        <v>2.6</v>
      </c>
      <c r="O32" s="41">
        <v>0</v>
      </c>
      <c r="P32" s="41">
        <v>0.21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2.94</v>
      </c>
      <c r="C34" s="18">
        <f t="shared" si="0"/>
        <v>4.87</v>
      </c>
      <c r="D34" s="18">
        <f t="shared" si="0"/>
        <v>4.91</v>
      </c>
      <c r="E34" s="18">
        <f t="shared" si="0"/>
        <v>6.09</v>
      </c>
      <c r="F34" s="18">
        <f t="shared" si="0"/>
        <v>2</v>
      </c>
      <c r="G34" s="18">
        <f t="shared" si="0"/>
        <v>7.87</v>
      </c>
      <c r="H34" s="18">
        <f t="shared" si="0"/>
        <v>2.72</v>
      </c>
      <c r="I34" s="18">
        <f t="shared" si="0"/>
        <v>3.13</v>
      </c>
      <c r="J34" s="18">
        <f t="shared" si="0"/>
        <v>0.1</v>
      </c>
      <c r="K34" s="18">
        <f t="shared" si="0"/>
        <v>112.53</v>
      </c>
      <c r="L34" s="18">
        <f t="shared" si="0"/>
        <v>13.24</v>
      </c>
      <c r="M34" s="18">
        <f t="shared" si="0"/>
        <v>15.25</v>
      </c>
      <c r="N34" s="18">
        <f t="shared" si="0"/>
        <v>2.2999999999999998</v>
      </c>
      <c r="O34" s="18">
        <f t="shared" si="0"/>
        <v>0</v>
      </c>
      <c r="P34" s="18">
        <f t="shared" si="0"/>
        <v>0.17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6.73</v>
      </c>
      <c r="C35" s="3">
        <f t="shared" si="1"/>
        <v>6.47</v>
      </c>
      <c r="D35" s="3">
        <f t="shared" si="1"/>
        <v>8.4600000000000009</v>
      </c>
      <c r="E35" s="3">
        <f t="shared" si="1"/>
        <v>7.77</v>
      </c>
      <c r="F35" s="3">
        <f t="shared" si="1"/>
        <v>2</v>
      </c>
      <c r="G35" s="3">
        <f t="shared" si="1"/>
        <v>22.71</v>
      </c>
      <c r="H35" s="3">
        <f t="shared" si="1"/>
        <v>7.03</v>
      </c>
      <c r="I35" s="3">
        <f t="shared" si="1"/>
        <v>4.53</v>
      </c>
      <c r="J35" s="3">
        <f t="shared" si="1"/>
        <v>0.53</v>
      </c>
      <c r="K35" s="3">
        <f t="shared" si="1"/>
        <v>272.39</v>
      </c>
      <c r="L35" s="3">
        <f t="shared" si="1"/>
        <v>23.37</v>
      </c>
      <c r="M35" s="3">
        <f t="shared" si="1"/>
        <v>40.590000000000003</v>
      </c>
      <c r="N35" s="3">
        <f t="shared" si="1"/>
        <v>104.6</v>
      </c>
      <c r="O35" s="3">
        <f t="shared" si="1"/>
        <v>0.4</v>
      </c>
      <c r="P35" s="3">
        <f t="shared" si="1"/>
        <v>0.25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4.9987499999999994</v>
      </c>
      <c r="C36" s="18">
        <f t="shared" si="2"/>
        <v>5.6604166666666673</v>
      </c>
      <c r="D36" s="18">
        <f t="shared" si="2"/>
        <v>6.9454166666666666</v>
      </c>
      <c r="E36" s="18">
        <f t="shared" si="2"/>
        <v>6.7841666666666676</v>
      </c>
      <c r="F36" s="18">
        <f t="shared" si="2"/>
        <v>2</v>
      </c>
      <c r="G36" s="18">
        <f t="shared" si="2"/>
        <v>13.450416666666667</v>
      </c>
      <c r="H36" s="18">
        <f t="shared" si="2"/>
        <v>5.0179166666666672</v>
      </c>
      <c r="I36" s="18">
        <f t="shared" si="2"/>
        <v>3.6824999999999997</v>
      </c>
      <c r="J36" s="18">
        <f t="shared" si="2"/>
        <v>0.31458333333333327</v>
      </c>
      <c r="K36" s="18">
        <f t="shared" si="2"/>
        <v>197.71791666666664</v>
      </c>
      <c r="L36" s="18">
        <f t="shared" si="2"/>
        <v>18.2775</v>
      </c>
      <c r="M36" s="18">
        <f t="shared" si="2"/>
        <v>27.614166666666666</v>
      </c>
      <c r="N36" s="18">
        <f t="shared" si="2"/>
        <v>26.779166666666669</v>
      </c>
      <c r="O36" s="18">
        <f t="shared" si="2"/>
        <v>4.1666666666666664E-2</v>
      </c>
      <c r="P36" s="18">
        <f t="shared" si="2"/>
        <v>0.21250000000000011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1.3147468346151094</v>
      </c>
      <c r="C37" s="18">
        <f t="shared" ref="C37:Q37" si="3">STDEV(C9:C32)</f>
        <v>0.38970980470608885</v>
      </c>
      <c r="D37" s="18">
        <f t="shared" si="3"/>
        <v>1.2087794029216123</v>
      </c>
      <c r="E37" s="18">
        <f t="shared" si="3"/>
        <v>0.54889546535206313</v>
      </c>
      <c r="F37" s="18">
        <f t="shared" si="3"/>
        <v>0</v>
      </c>
      <c r="G37" s="18">
        <f t="shared" si="3"/>
        <v>3.2649169097445858</v>
      </c>
      <c r="H37" s="18">
        <f t="shared" si="3"/>
        <v>1.3578082696395133</v>
      </c>
      <c r="I37" s="18">
        <f t="shared" si="3"/>
        <v>0.41422793557254728</v>
      </c>
      <c r="J37" s="18">
        <f t="shared" si="3"/>
        <v>0.10607541069269173</v>
      </c>
      <c r="K37" s="18">
        <f t="shared" si="3"/>
        <v>64.541100014821438</v>
      </c>
      <c r="L37" s="18">
        <f t="shared" si="3"/>
        <v>3.9947359383808156</v>
      </c>
      <c r="M37" s="18">
        <f t="shared" si="3"/>
        <v>10.118120171113873</v>
      </c>
      <c r="N37" s="18">
        <f t="shared" si="3"/>
        <v>35.828528579121524</v>
      </c>
      <c r="O37" s="18">
        <f t="shared" si="3"/>
        <v>0.11764599317505434</v>
      </c>
      <c r="P37" s="18">
        <f t="shared" si="3"/>
        <v>2.2698400633179319E-2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96"/>
  <sheetViews>
    <sheetView topLeftCell="A22" zoomScale="85" zoomScaleNormal="85" workbookViewId="0">
      <selection activeCell="R14" sqref="R14"/>
    </sheetView>
  </sheetViews>
  <sheetFormatPr defaultColWidth="8.85546875" defaultRowHeight="15"/>
  <cols>
    <col min="1" max="1" width="18.28515625" style="1" customWidth="1"/>
    <col min="2" max="2" width="14.42578125" style="1" customWidth="1"/>
    <col min="3" max="12" width="9.140625" style="1" customWidth="1"/>
    <col min="13" max="13" width="10" style="1" customWidth="1"/>
    <col min="14" max="16" width="9.140625" style="1" customWidth="1"/>
    <col min="17" max="17" width="16.42578125" style="1" customWidth="1"/>
    <col min="18" max="19" width="9.140625" style="1" customWidth="1"/>
    <col min="20" max="20" width="11.42578125" style="1" customWidth="1"/>
    <col min="21" max="16384" width="8.85546875" style="1"/>
  </cols>
  <sheetData>
    <row r="1" spans="1:21">
      <c r="A1" s="3" t="s">
        <v>0</v>
      </c>
      <c r="B1" s="4" t="s">
        <v>1</v>
      </c>
      <c r="C1" s="3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3" t="s">
        <v>2</v>
      </c>
      <c r="B2" s="6" t="str">
        <f>$A$9</f>
        <v>31/10/2025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>
      <c r="A4" s="3" t="s">
        <v>16</v>
      </c>
      <c r="B4" s="3" t="s">
        <v>17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 customFormat="1">
      <c r="A9" s="40" t="s">
        <v>781</v>
      </c>
      <c r="B9" s="41">
        <v>3.8</v>
      </c>
      <c r="C9" s="41">
        <v>4.97</v>
      </c>
      <c r="D9" s="41">
        <v>5.64</v>
      </c>
      <c r="E9" s="41">
        <v>7.19</v>
      </c>
      <c r="F9" s="41">
        <v>2</v>
      </c>
      <c r="G9" s="41">
        <v>14.17</v>
      </c>
      <c r="H9" s="41">
        <v>7.42</v>
      </c>
      <c r="I9" s="41">
        <v>3.11</v>
      </c>
      <c r="J9" s="41">
        <v>0.55000000000000004</v>
      </c>
      <c r="K9" s="41">
        <v>259.19</v>
      </c>
      <c r="L9" s="41">
        <v>22.56</v>
      </c>
      <c r="M9" s="41">
        <v>38.6</v>
      </c>
      <c r="N9" s="41">
        <v>2.4</v>
      </c>
      <c r="O9" s="41">
        <v>0</v>
      </c>
      <c r="P9" s="41">
        <v>0.21</v>
      </c>
      <c r="Q9" s="41">
        <v>9.32</v>
      </c>
      <c r="R9" s="38"/>
      <c r="S9" s="38"/>
      <c r="T9" s="38"/>
      <c r="U9" s="38"/>
    </row>
    <row r="10" spans="1:21" customFormat="1">
      <c r="A10" s="40" t="s">
        <v>782</v>
      </c>
      <c r="B10" s="41">
        <v>4.1399999999999997</v>
      </c>
      <c r="C10" s="41">
        <v>5.17</v>
      </c>
      <c r="D10" s="41">
        <v>6.02</v>
      </c>
      <c r="E10" s="41">
        <v>7.05</v>
      </c>
      <c r="F10" s="41">
        <v>2</v>
      </c>
      <c r="G10" s="41">
        <v>10.18</v>
      </c>
      <c r="H10" s="41">
        <v>7.73</v>
      </c>
      <c r="I10" s="41">
        <v>3.16</v>
      </c>
      <c r="J10" s="41">
        <v>0.63</v>
      </c>
      <c r="K10" s="41">
        <v>255.73</v>
      </c>
      <c r="L10" s="41">
        <v>22.43</v>
      </c>
      <c r="M10" s="41">
        <v>38.33</v>
      </c>
      <c r="N10" s="41">
        <v>2.4</v>
      </c>
      <c r="O10" s="41">
        <v>0</v>
      </c>
      <c r="P10" s="41">
        <v>0.22</v>
      </c>
      <c r="Q10" s="41">
        <v>9.32</v>
      </c>
      <c r="R10" s="38"/>
      <c r="S10" s="38"/>
      <c r="T10" s="38"/>
      <c r="U10" s="38"/>
    </row>
    <row r="11" spans="1:21" customFormat="1">
      <c r="A11" s="40" t="s">
        <v>783</v>
      </c>
      <c r="B11" s="41">
        <v>4.3099999999999996</v>
      </c>
      <c r="C11" s="41">
        <v>5.22</v>
      </c>
      <c r="D11" s="41">
        <v>6.19</v>
      </c>
      <c r="E11" s="41">
        <v>6.98</v>
      </c>
      <c r="F11" s="41">
        <v>2</v>
      </c>
      <c r="G11" s="41">
        <v>10.67</v>
      </c>
      <c r="H11" s="41">
        <v>7.73</v>
      </c>
      <c r="I11" s="41">
        <v>3.14</v>
      </c>
      <c r="J11" s="41">
        <v>0.57999999999999996</v>
      </c>
      <c r="K11" s="41">
        <v>257.02</v>
      </c>
      <c r="L11" s="41">
        <v>22.49</v>
      </c>
      <c r="M11" s="41">
        <v>38.450000000000003</v>
      </c>
      <c r="N11" s="41">
        <v>2.4</v>
      </c>
      <c r="O11" s="41">
        <v>0</v>
      </c>
      <c r="P11" s="41">
        <v>0.21</v>
      </c>
      <c r="Q11" s="41">
        <v>9.32</v>
      </c>
      <c r="R11" s="38"/>
      <c r="S11" s="38"/>
      <c r="T11" s="38"/>
      <c r="U11" s="38"/>
    </row>
    <row r="12" spans="1:21" customFormat="1">
      <c r="A12" s="40" t="s">
        <v>784</v>
      </c>
      <c r="B12" s="41">
        <v>4.37</v>
      </c>
      <c r="C12" s="41">
        <v>5.37</v>
      </c>
      <c r="D12" s="41">
        <v>6.28</v>
      </c>
      <c r="E12" s="41">
        <v>7.1</v>
      </c>
      <c r="F12" s="41">
        <v>2</v>
      </c>
      <c r="G12" s="41">
        <v>10.67</v>
      </c>
      <c r="H12" s="41">
        <v>5.57</v>
      </c>
      <c r="I12" s="41">
        <v>3.11</v>
      </c>
      <c r="J12" s="41">
        <v>0.7</v>
      </c>
      <c r="K12" s="41">
        <v>255.02</v>
      </c>
      <c r="L12" s="41">
        <v>22.49</v>
      </c>
      <c r="M12" s="41">
        <v>38.47</v>
      </c>
      <c r="N12" s="41">
        <v>2.4</v>
      </c>
      <c r="O12" s="41">
        <v>0</v>
      </c>
      <c r="P12" s="41">
        <v>0.2</v>
      </c>
      <c r="Q12" s="41">
        <v>9.32</v>
      </c>
      <c r="R12" s="38"/>
      <c r="S12" s="38"/>
      <c r="T12" s="38"/>
      <c r="U12" s="38"/>
    </row>
    <row r="13" spans="1:21" customFormat="1">
      <c r="A13" s="40" t="s">
        <v>785</v>
      </c>
      <c r="B13" s="41">
        <v>4.08</v>
      </c>
      <c r="C13" s="41">
        <v>5.36</v>
      </c>
      <c r="D13" s="41">
        <v>6.07</v>
      </c>
      <c r="E13" s="41">
        <v>7.3</v>
      </c>
      <c r="F13" s="41">
        <v>2</v>
      </c>
      <c r="G13" s="41">
        <v>8.82</v>
      </c>
      <c r="H13" s="41">
        <v>5.16</v>
      </c>
      <c r="I13" s="41">
        <v>3.04</v>
      </c>
      <c r="J13" s="41">
        <v>0.64</v>
      </c>
      <c r="K13" s="41">
        <v>254.94</v>
      </c>
      <c r="L13" s="41">
        <v>22.07</v>
      </c>
      <c r="M13" s="41">
        <v>37.35</v>
      </c>
      <c r="N13" s="41">
        <v>2.5</v>
      </c>
      <c r="O13" s="41">
        <v>0</v>
      </c>
      <c r="P13" s="41">
        <v>0.18</v>
      </c>
      <c r="Q13" s="41">
        <v>9.32</v>
      </c>
      <c r="R13" s="38"/>
      <c r="S13" s="38"/>
      <c r="T13" s="38"/>
      <c r="U13" s="38"/>
    </row>
    <row r="14" spans="1:21" customFormat="1">
      <c r="A14" s="40" t="s">
        <v>786</v>
      </c>
      <c r="B14" s="41">
        <v>3.7</v>
      </c>
      <c r="C14" s="41">
        <v>5.25</v>
      </c>
      <c r="D14" s="41">
        <v>5.71</v>
      </c>
      <c r="E14" s="41">
        <v>7.36</v>
      </c>
      <c r="F14" s="41">
        <v>2</v>
      </c>
      <c r="G14" s="41">
        <v>9.4700000000000006</v>
      </c>
      <c r="H14" s="41">
        <v>5.96</v>
      </c>
      <c r="I14" s="41">
        <v>3.01</v>
      </c>
      <c r="J14" s="41">
        <v>0.65</v>
      </c>
      <c r="K14" s="41">
        <v>255.63</v>
      </c>
      <c r="L14" s="41">
        <v>22.36</v>
      </c>
      <c r="M14" s="41">
        <v>38.06</v>
      </c>
      <c r="N14" s="41">
        <v>3.2</v>
      </c>
      <c r="O14" s="41">
        <v>0</v>
      </c>
      <c r="P14" s="41">
        <v>0.18</v>
      </c>
      <c r="Q14" s="41">
        <v>9.32</v>
      </c>
      <c r="R14" s="38"/>
      <c r="S14" s="38"/>
      <c r="T14" s="38"/>
      <c r="U14" s="38"/>
    </row>
    <row r="15" spans="1:21" customFormat="1">
      <c r="A15" s="40" t="s">
        <v>787</v>
      </c>
      <c r="B15" s="41">
        <v>3.56</v>
      </c>
      <c r="C15" s="41">
        <v>5.1100000000000003</v>
      </c>
      <c r="D15" s="41">
        <v>5.53</v>
      </c>
      <c r="E15" s="41">
        <v>7.3</v>
      </c>
      <c r="F15" s="41">
        <v>2</v>
      </c>
      <c r="G15" s="41">
        <v>9.4700000000000006</v>
      </c>
      <c r="H15" s="41">
        <v>5.96</v>
      </c>
      <c r="I15" s="41">
        <v>2.95</v>
      </c>
      <c r="J15" s="41">
        <v>0.76</v>
      </c>
      <c r="K15" s="41">
        <v>257</v>
      </c>
      <c r="L15" s="41">
        <v>22.72</v>
      </c>
      <c r="M15" s="41">
        <v>38.65</v>
      </c>
      <c r="N15" s="41">
        <v>14.9</v>
      </c>
      <c r="O15" s="41">
        <v>0</v>
      </c>
      <c r="P15" s="41">
        <v>0.17</v>
      </c>
      <c r="Q15" s="41">
        <v>9.32</v>
      </c>
      <c r="R15" s="38"/>
      <c r="S15" s="38"/>
      <c r="T15" s="38"/>
      <c r="U15" s="38"/>
    </row>
    <row r="16" spans="1:21" customFormat="1">
      <c r="A16" s="40" t="s">
        <v>788</v>
      </c>
      <c r="B16" s="41">
        <v>3.38</v>
      </c>
      <c r="C16" s="41">
        <v>5.01</v>
      </c>
      <c r="D16" s="41">
        <v>5.32</v>
      </c>
      <c r="E16" s="41">
        <v>7.38</v>
      </c>
      <c r="F16" s="41">
        <v>2</v>
      </c>
      <c r="G16" s="41">
        <v>7.83</v>
      </c>
      <c r="H16" s="41">
        <v>4.55</v>
      </c>
      <c r="I16" s="41">
        <v>2.95</v>
      </c>
      <c r="J16" s="41">
        <v>0.74</v>
      </c>
      <c r="K16" s="41">
        <v>253.12</v>
      </c>
      <c r="L16" s="41">
        <v>22.32</v>
      </c>
      <c r="M16" s="41">
        <v>37.659999999999997</v>
      </c>
      <c r="N16" s="41">
        <v>24.2</v>
      </c>
      <c r="O16" s="41">
        <v>0</v>
      </c>
      <c r="P16" s="41">
        <v>0.18</v>
      </c>
      <c r="Q16" s="41">
        <v>9.32</v>
      </c>
      <c r="R16" s="38"/>
      <c r="S16" s="38"/>
      <c r="T16" s="38"/>
      <c r="U16" s="38"/>
    </row>
    <row r="17" spans="1:21" customFormat="1">
      <c r="A17" s="40" t="s">
        <v>789</v>
      </c>
      <c r="B17" s="41">
        <v>3.48</v>
      </c>
      <c r="C17" s="41">
        <v>4.95</v>
      </c>
      <c r="D17" s="41">
        <v>5.31</v>
      </c>
      <c r="E17" s="41">
        <v>7.2</v>
      </c>
      <c r="F17" s="41">
        <v>2</v>
      </c>
      <c r="G17" s="41">
        <v>9.35</v>
      </c>
      <c r="H17" s="41">
        <v>3.45</v>
      </c>
      <c r="I17" s="41">
        <v>3.1</v>
      </c>
      <c r="J17" s="41">
        <v>0.67</v>
      </c>
      <c r="K17" s="41">
        <v>256.31</v>
      </c>
      <c r="L17" s="41">
        <v>22.65</v>
      </c>
      <c r="M17" s="41">
        <v>38.369999999999997</v>
      </c>
      <c r="N17" s="41">
        <v>34.1</v>
      </c>
      <c r="O17" s="41">
        <v>0</v>
      </c>
      <c r="P17" s="41">
        <v>0.21</v>
      </c>
      <c r="Q17" s="41">
        <v>9.32</v>
      </c>
      <c r="R17" s="38"/>
      <c r="S17" s="38"/>
      <c r="T17" s="38"/>
      <c r="U17" s="38"/>
    </row>
    <row r="18" spans="1:21" customFormat="1">
      <c r="A18" s="40" t="s">
        <v>790</v>
      </c>
      <c r="B18" s="41">
        <v>3.77</v>
      </c>
      <c r="C18" s="41">
        <v>4.9400000000000004</v>
      </c>
      <c r="D18" s="41">
        <v>5.6</v>
      </c>
      <c r="E18" s="41">
        <v>6.86</v>
      </c>
      <c r="F18" s="41">
        <v>2</v>
      </c>
      <c r="G18" s="41">
        <v>9.35</v>
      </c>
      <c r="H18" s="41">
        <v>2.61</v>
      </c>
      <c r="I18" s="41">
        <v>3.32</v>
      </c>
      <c r="J18" s="41">
        <v>0.85</v>
      </c>
      <c r="K18" s="41">
        <v>261.39</v>
      </c>
      <c r="L18" s="41">
        <v>24.34</v>
      </c>
      <c r="M18" s="41">
        <v>40.75</v>
      </c>
      <c r="N18" s="41">
        <v>174.1</v>
      </c>
      <c r="O18" s="41">
        <v>0</v>
      </c>
      <c r="P18" s="41">
        <v>0.21</v>
      </c>
      <c r="Q18" s="41">
        <v>9.32</v>
      </c>
      <c r="R18" s="38"/>
      <c r="S18" s="38"/>
      <c r="T18" s="38"/>
      <c r="U18" s="38"/>
    </row>
    <row r="19" spans="1:21" customFormat="1">
      <c r="A19" s="40" t="s">
        <v>791</v>
      </c>
      <c r="B19" s="41">
        <v>3.78</v>
      </c>
      <c r="C19" s="41">
        <v>5.24</v>
      </c>
      <c r="D19" s="41">
        <v>5.68</v>
      </c>
      <c r="E19" s="41">
        <v>6.4</v>
      </c>
      <c r="F19" s="41">
        <v>2</v>
      </c>
      <c r="G19" s="41">
        <v>10.84</v>
      </c>
      <c r="H19" s="41">
        <v>2.5099999999999998</v>
      </c>
      <c r="I19" s="41">
        <v>3.34</v>
      </c>
      <c r="J19" s="41">
        <v>1.18</v>
      </c>
      <c r="K19" s="41">
        <v>260.54000000000002</v>
      </c>
      <c r="L19" s="41">
        <v>25.63</v>
      </c>
      <c r="M19" s="41">
        <v>39.72</v>
      </c>
      <c r="N19" s="41">
        <v>287.39999999999998</v>
      </c>
      <c r="O19" s="41">
        <v>0</v>
      </c>
      <c r="P19" s="41">
        <v>0.21</v>
      </c>
      <c r="Q19" s="41">
        <v>9.32</v>
      </c>
      <c r="R19" s="38"/>
      <c r="S19" s="38"/>
      <c r="T19" s="38"/>
      <c r="U19" s="38"/>
    </row>
    <row r="20" spans="1:21" customFormat="1">
      <c r="A20" s="40" t="s">
        <v>792</v>
      </c>
      <c r="B20" s="41">
        <v>3.38</v>
      </c>
      <c r="C20" s="41">
        <v>5.29</v>
      </c>
      <c r="D20" s="41">
        <v>5.44</v>
      </c>
      <c r="E20" s="41">
        <v>6.11</v>
      </c>
      <c r="F20" s="41">
        <v>2</v>
      </c>
      <c r="G20" s="41">
        <v>14.9</v>
      </c>
      <c r="H20" s="41">
        <v>8.48</v>
      </c>
      <c r="I20" s="41">
        <v>3.38</v>
      </c>
      <c r="J20" s="41">
        <v>1.05</v>
      </c>
      <c r="K20" s="41">
        <v>269.73</v>
      </c>
      <c r="L20" s="41">
        <v>25.14</v>
      </c>
      <c r="M20" s="41">
        <v>40.840000000000003</v>
      </c>
      <c r="N20" s="41">
        <v>210.3</v>
      </c>
      <c r="O20" s="41">
        <v>0</v>
      </c>
      <c r="P20" s="41">
        <v>0.21</v>
      </c>
      <c r="Q20" s="41">
        <v>9.32</v>
      </c>
      <c r="R20" s="38"/>
      <c r="S20" s="38"/>
      <c r="T20" s="38"/>
      <c r="U20" s="38"/>
    </row>
    <row r="21" spans="1:21" customFormat="1">
      <c r="A21" s="40" t="s">
        <v>793</v>
      </c>
      <c r="B21" s="41">
        <v>3.07</v>
      </c>
      <c r="C21" s="41">
        <v>5.34</v>
      </c>
      <c r="D21" s="41">
        <v>5.25</v>
      </c>
      <c r="E21" s="41">
        <v>6.09</v>
      </c>
      <c r="F21" s="41">
        <v>2</v>
      </c>
      <c r="G21" s="41">
        <v>14.9</v>
      </c>
      <c r="H21" s="41">
        <v>8.48</v>
      </c>
      <c r="I21" s="41">
        <v>3.43</v>
      </c>
      <c r="J21" s="41">
        <v>0.82</v>
      </c>
      <c r="K21" s="41">
        <v>261.58</v>
      </c>
      <c r="L21" s="41">
        <v>23.46</v>
      </c>
      <c r="M21" s="41">
        <v>39.6</v>
      </c>
      <c r="N21" s="41">
        <v>73.2</v>
      </c>
      <c r="O21" s="41">
        <v>0.2</v>
      </c>
      <c r="P21" s="41">
        <v>0.22</v>
      </c>
      <c r="Q21" s="41">
        <v>9.32</v>
      </c>
      <c r="R21" s="38"/>
      <c r="S21" s="38"/>
      <c r="T21" s="38"/>
      <c r="U21" s="38"/>
    </row>
    <row r="22" spans="1:21" customFormat="1">
      <c r="A22" s="40" t="s">
        <v>794</v>
      </c>
      <c r="B22" s="41">
        <v>3.08</v>
      </c>
      <c r="C22" s="41">
        <v>5.46</v>
      </c>
      <c r="D22" s="41">
        <v>5.25</v>
      </c>
      <c r="E22" s="41">
        <v>6.31</v>
      </c>
      <c r="F22" s="41">
        <v>2</v>
      </c>
      <c r="G22" s="41">
        <v>15.95</v>
      </c>
      <c r="H22" s="41">
        <v>6.28</v>
      </c>
      <c r="I22" s="41">
        <v>3.44</v>
      </c>
      <c r="J22" s="41">
        <v>0.63</v>
      </c>
      <c r="K22" s="41">
        <v>257.07</v>
      </c>
      <c r="L22" s="41">
        <v>23.18</v>
      </c>
      <c r="M22" s="41">
        <v>39.380000000000003</v>
      </c>
      <c r="N22" s="41">
        <v>37.1</v>
      </c>
      <c r="O22" s="41">
        <v>7.6</v>
      </c>
      <c r="P22" s="41">
        <v>0.19</v>
      </c>
      <c r="Q22" s="41">
        <v>9.32</v>
      </c>
      <c r="R22" s="38"/>
      <c r="S22" s="38"/>
      <c r="T22" s="38"/>
      <c r="U22" s="38"/>
    </row>
    <row r="23" spans="1:21" customFormat="1">
      <c r="A23" s="40" t="s">
        <v>795</v>
      </c>
      <c r="B23" s="41">
        <v>3.26</v>
      </c>
      <c r="C23" s="41">
        <v>5.67</v>
      </c>
      <c r="D23" s="41">
        <v>5.58</v>
      </c>
      <c r="E23" s="41">
        <v>6.48</v>
      </c>
      <c r="F23" s="41">
        <v>2</v>
      </c>
      <c r="G23" s="41">
        <v>20.09</v>
      </c>
      <c r="H23" s="41">
        <v>6.1</v>
      </c>
      <c r="I23" s="41">
        <v>3.37</v>
      </c>
      <c r="J23" s="41">
        <v>0.9</v>
      </c>
      <c r="K23" s="41">
        <v>310.29000000000002</v>
      </c>
      <c r="L23" s="41">
        <v>22.99</v>
      </c>
      <c r="M23" s="41">
        <v>38.770000000000003</v>
      </c>
      <c r="N23" s="41">
        <v>42.5</v>
      </c>
      <c r="O23" s="41">
        <v>1</v>
      </c>
      <c r="P23" s="41">
        <v>0.19</v>
      </c>
      <c r="Q23" s="41">
        <v>9.32</v>
      </c>
      <c r="R23" s="38"/>
      <c r="S23" s="38"/>
      <c r="T23" s="38"/>
      <c r="U23" s="38"/>
    </row>
    <row r="24" spans="1:21" customFormat="1">
      <c r="A24" s="40" t="s">
        <v>796</v>
      </c>
      <c r="B24" s="41">
        <v>3.2</v>
      </c>
      <c r="C24" s="41">
        <v>5.52</v>
      </c>
      <c r="D24" s="41">
        <v>5.45</v>
      </c>
      <c r="E24" s="41">
        <v>6.6</v>
      </c>
      <c r="F24" s="41">
        <v>2</v>
      </c>
      <c r="G24" s="41">
        <v>20.09</v>
      </c>
      <c r="H24" s="41">
        <v>5.74</v>
      </c>
      <c r="I24" s="41">
        <v>3.42</v>
      </c>
      <c r="J24" s="41">
        <v>0.81</v>
      </c>
      <c r="K24" s="41">
        <v>258.68</v>
      </c>
      <c r="L24" s="41">
        <v>23.12</v>
      </c>
      <c r="M24" s="41">
        <v>38.56</v>
      </c>
      <c r="N24" s="41">
        <v>68.3</v>
      </c>
      <c r="O24" s="41">
        <v>0</v>
      </c>
      <c r="P24" s="41">
        <v>0.2</v>
      </c>
      <c r="Q24" s="41">
        <v>9.32</v>
      </c>
      <c r="R24" s="38"/>
      <c r="S24" s="38"/>
      <c r="T24" s="38"/>
      <c r="U24" s="38"/>
    </row>
    <row r="25" spans="1:21" customFormat="1">
      <c r="A25" s="40" t="s">
        <v>797</v>
      </c>
      <c r="B25" s="41">
        <v>3</v>
      </c>
      <c r="C25" s="41">
        <v>5.28</v>
      </c>
      <c r="D25" s="41">
        <v>5.16</v>
      </c>
      <c r="E25" s="41">
        <v>6.86</v>
      </c>
      <c r="F25" s="41">
        <v>2</v>
      </c>
      <c r="G25" s="41">
        <v>17.649999999999999</v>
      </c>
      <c r="H25" s="41">
        <v>6.59</v>
      </c>
      <c r="I25" s="41">
        <v>3.34</v>
      </c>
      <c r="J25" s="41">
        <v>0.61</v>
      </c>
      <c r="K25" s="41">
        <v>256.64</v>
      </c>
      <c r="L25" s="41">
        <v>23.09</v>
      </c>
      <c r="M25" s="41">
        <v>39.33</v>
      </c>
      <c r="N25" s="41">
        <v>29.3</v>
      </c>
      <c r="O25" s="41">
        <v>0</v>
      </c>
      <c r="P25" s="41">
        <v>0.2</v>
      </c>
      <c r="Q25" s="41">
        <v>9.32</v>
      </c>
      <c r="R25" s="38"/>
      <c r="S25" s="38"/>
      <c r="T25" s="38"/>
      <c r="U25" s="38"/>
    </row>
    <row r="26" spans="1:21" customFormat="1">
      <c r="A26" s="40" t="s">
        <v>798</v>
      </c>
      <c r="B26" s="41">
        <v>3.08</v>
      </c>
      <c r="C26" s="41">
        <v>5.12</v>
      </c>
      <c r="D26" s="41">
        <v>5.1100000000000003</v>
      </c>
      <c r="E26" s="41">
        <v>6.89</v>
      </c>
      <c r="F26" s="41">
        <v>2</v>
      </c>
      <c r="G26" s="41">
        <v>15.81</v>
      </c>
      <c r="H26" s="41">
        <v>7.23</v>
      </c>
      <c r="I26" s="41">
        <v>3.4</v>
      </c>
      <c r="J26" s="41">
        <v>0.4</v>
      </c>
      <c r="K26" s="41">
        <v>256.39999999999998</v>
      </c>
      <c r="L26" s="41">
        <v>22.65</v>
      </c>
      <c r="M26" s="41">
        <v>38.869999999999997</v>
      </c>
      <c r="N26" s="41">
        <v>7.7</v>
      </c>
      <c r="O26" s="41">
        <v>0</v>
      </c>
      <c r="P26" s="41">
        <v>0.21</v>
      </c>
      <c r="Q26" s="41">
        <v>9.32</v>
      </c>
      <c r="R26" s="38"/>
      <c r="S26" s="38"/>
      <c r="T26" s="38"/>
      <c r="U26" s="38"/>
    </row>
    <row r="27" spans="1:21" customFormat="1">
      <c r="A27" s="40" t="s">
        <v>799</v>
      </c>
      <c r="B27" s="41">
        <v>3.4</v>
      </c>
      <c r="C27" s="41">
        <v>4.95</v>
      </c>
      <c r="D27" s="41">
        <v>5.26</v>
      </c>
      <c r="E27" s="41">
        <v>5.74</v>
      </c>
      <c r="F27" s="41">
        <v>2</v>
      </c>
      <c r="G27" s="41">
        <v>15.81</v>
      </c>
      <c r="H27" s="41">
        <v>8.74</v>
      </c>
      <c r="I27" s="41">
        <v>3.62</v>
      </c>
      <c r="J27" s="41">
        <v>0.26</v>
      </c>
      <c r="K27" s="41">
        <v>254.65</v>
      </c>
      <c r="L27" s="41">
        <v>22.68</v>
      </c>
      <c r="M27" s="41">
        <v>38.950000000000003</v>
      </c>
      <c r="N27" s="41">
        <v>2.6</v>
      </c>
      <c r="O27" s="41">
        <v>0</v>
      </c>
      <c r="P27" s="41">
        <v>0.24</v>
      </c>
      <c r="Q27" s="41">
        <v>9.32</v>
      </c>
      <c r="R27" s="38"/>
      <c r="S27" s="38"/>
      <c r="T27" s="38"/>
      <c r="U27" s="38"/>
    </row>
    <row r="28" spans="1:21" customFormat="1">
      <c r="A28" s="40" t="s">
        <v>800</v>
      </c>
      <c r="B28" s="41">
        <v>3.95</v>
      </c>
      <c r="C28" s="41">
        <v>5.12</v>
      </c>
      <c r="D28" s="41">
        <v>5.84</v>
      </c>
      <c r="E28" s="41">
        <v>6.07</v>
      </c>
      <c r="F28" s="41">
        <v>2</v>
      </c>
      <c r="G28" s="41">
        <v>20.440000000000001</v>
      </c>
      <c r="H28" s="41">
        <v>10.73</v>
      </c>
      <c r="I28" s="41">
        <v>3.9</v>
      </c>
      <c r="J28" s="41">
        <v>0.14000000000000001</v>
      </c>
      <c r="K28" s="41">
        <v>245.79</v>
      </c>
      <c r="L28" s="41">
        <v>21.19</v>
      </c>
      <c r="M28" s="41">
        <v>35.19</v>
      </c>
      <c r="N28" s="41">
        <v>2.5</v>
      </c>
      <c r="O28" s="41">
        <v>0</v>
      </c>
      <c r="P28" s="41">
        <v>0.26</v>
      </c>
      <c r="Q28" s="41">
        <v>9.32</v>
      </c>
      <c r="R28" s="38"/>
      <c r="S28" s="38"/>
      <c r="T28" s="38"/>
      <c r="U28" s="38"/>
    </row>
    <row r="29" spans="1:21" customFormat="1">
      <c r="A29" s="40" t="s">
        <v>801</v>
      </c>
      <c r="B29" s="41">
        <v>4.3600000000000003</v>
      </c>
      <c r="C29" s="41">
        <v>5.22</v>
      </c>
      <c r="D29" s="41">
        <v>6.22</v>
      </c>
      <c r="E29" s="41">
        <v>6</v>
      </c>
      <c r="F29" s="41">
        <v>2</v>
      </c>
      <c r="G29" s="41">
        <v>22.63</v>
      </c>
      <c r="H29" s="41">
        <v>10.73</v>
      </c>
      <c r="I29" s="41">
        <v>4.03</v>
      </c>
      <c r="J29" s="41">
        <v>0.39</v>
      </c>
      <c r="K29" s="41">
        <v>260.22000000000003</v>
      </c>
      <c r="L29" s="41">
        <v>22.63</v>
      </c>
      <c r="M29" s="41">
        <v>38.78</v>
      </c>
      <c r="N29" s="41">
        <v>2.5</v>
      </c>
      <c r="O29" s="41">
        <v>0</v>
      </c>
      <c r="P29" s="41">
        <v>0.27</v>
      </c>
      <c r="Q29" s="41">
        <v>9.32</v>
      </c>
      <c r="R29" s="38"/>
      <c r="S29" s="38"/>
      <c r="T29" s="38"/>
      <c r="U29" s="38"/>
    </row>
    <row r="30" spans="1:21" customFormat="1">
      <c r="A30" s="40" t="s">
        <v>802</v>
      </c>
      <c r="B30" s="41">
        <v>4.74</v>
      </c>
      <c r="C30" s="41">
        <v>5.29</v>
      </c>
      <c r="D30" s="41">
        <v>6.57</v>
      </c>
      <c r="E30" s="41">
        <v>5.96</v>
      </c>
      <c r="F30" s="41">
        <v>2</v>
      </c>
      <c r="G30" s="41">
        <v>22.63</v>
      </c>
      <c r="H30" s="41">
        <v>10.6</v>
      </c>
      <c r="I30" s="41">
        <v>4.18</v>
      </c>
      <c r="J30" s="41">
        <v>0.22</v>
      </c>
      <c r="K30" s="41">
        <v>247.86</v>
      </c>
      <c r="L30" s="41">
        <v>21.86</v>
      </c>
      <c r="M30" s="41">
        <v>36.909999999999997</v>
      </c>
      <c r="N30" s="41">
        <v>2.6</v>
      </c>
      <c r="O30" s="41">
        <v>0</v>
      </c>
      <c r="P30" s="41">
        <v>0.27</v>
      </c>
      <c r="Q30" s="41">
        <v>9.32</v>
      </c>
      <c r="R30" s="38"/>
      <c r="S30" s="38"/>
      <c r="T30" s="38"/>
      <c r="U30" s="38"/>
    </row>
    <row r="31" spans="1:21" customFormat="1">
      <c r="A31" s="40" t="s">
        <v>803</v>
      </c>
      <c r="B31" s="41">
        <v>5.17</v>
      </c>
      <c r="C31" s="41">
        <v>5.44</v>
      </c>
      <c r="D31" s="41">
        <v>6.99</v>
      </c>
      <c r="E31" s="41">
        <v>6.07</v>
      </c>
      <c r="F31" s="41">
        <v>2</v>
      </c>
      <c r="G31" s="41">
        <v>21.49</v>
      </c>
      <c r="H31" s="41">
        <v>9.1199999999999992</v>
      </c>
      <c r="I31" s="41">
        <v>4.3099999999999996</v>
      </c>
      <c r="J31" s="41">
        <v>0.14000000000000001</v>
      </c>
      <c r="K31" s="41">
        <v>179.86</v>
      </c>
      <c r="L31" s="41">
        <v>17.05</v>
      </c>
      <c r="M31" s="41">
        <v>24.97</v>
      </c>
      <c r="N31" s="41">
        <v>2.5</v>
      </c>
      <c r="O31" s="41">
        <v>0</v>
      </c>
      <c r="P31" s="41">
        <v>0.28000000000000003</v>
      </c>
      <c r="Q31" s="41">
        <v>9.32</v>
      </c>
      <c r="R31" s="38"/>
      <c r="S31" s="38"/>
      <c r="T31" s="38"/>
      <c r="U31" s="38"/>
    </row>
    <row r="32" spans="1:21" customFormat="1">
      <c r="A32" s="40" t="s">
        <v>804</v>
      </c>
      <c r="B32" s="41">
        <v>5.15</v>
      </c>
      <c r="C32" s="41">
        <v>5.46</v>
      </c>
      <c r="D32" s="41">
        <v>6.98</v>
      </c>
      <c r="E32" s="41">
        <v>6.52</v>
      </c>
      <c r="F32" s="41">
        <v>2</v>
      </c>
      <c r="G32" s="41">
        <v>21.49</v>
      </c>
      <c r="H32" s="41">
        <v>9.14</v>
      </c>
      <c r="I32" s="41">
        <v>4.34</v>
      </c>
      <c r="J32" s="41">
        <v>0.08</v>
      </c>
      <c r="K32" s="41">
        <v>196.98</v>
      </c>
      <c r="L32" s="41">
        <v>18.29</v>
      </c>
      <c r="M32" s="41">
        <v>28.03</v>
      </c>
      <c r="N32" s="41">
        <v>2.2999999999999998</v>
      </c>
      <c r="O32" s="41">
        <v>0</v>
      </c>
      <c r="P32" s="41">
        <v>0.25</v>
      </c>
      <c r="Q32" s="41">
        <v>9.32</v>
      </c>
      <c r="R32" s="38"/>
      <c r="S32" s="38"/>
      <c r="T32" s="38"/>
      <c r="U32" s="38"/>
    </row>
    <row r="34" spans="1:21">
      <c r="A34" s="3" t="s">
        <v>48</v>
      </c>
      <c r="B34" s="18">
        <f t="shared" ref="B34:Q34" si="0">MIN(B9:B32)</f>
        <v>3</v>
      </c>
      <c r="C34" s="18">
        <f t="shared" si="0"/>
        <v>4.9400000000000004</v>
      </c>
      <c r="D34" s="18">
        <f t="shared" si="0"/>
        <v>5.1100000000000003</v>
      </c>
      <c r="E34" s="18">
        <f t="shared" si="0"/>
        <v>5.74</v>
      </c>
      <c r="F34" s="18">
        <f t="shared" si="0"/>
        <v>2</v>
      </c>
      <c r="G34" s="18">
        <f t="shared" si="0"/>
        <v>7.83</v>
      </c>
      <c r="H34" s="18">
        <f t="shared" si="0"/>
        <v>2.5099999999999998</v>
      </c>
      <c r="I34" s="18">
        <f t="shared" si="0"/>
        <v>2.95</v>
      </c>
      <c r="J34" s="18">
        <f t="shared" si="0"/>
        <v>0.08</v>
      </c>
      <c r="K34" s="18">
        <f t="shared" si="0"/>
        <v>179.86</v>
      </c>
      <c r="L34" s="18">
        <f t="shared" si="0"/>
        <v>17.05</v>
      </c>
      <c r="M34" s="18">
        <f t="shared" si="0"/>
        <v>24.97</v>
      </c>
      <c r="N34" s="18">
        <f t="shared" si="0"/>
        <v>2.2999999999999998</v>
      </c>
      <c r="O34" s="18">
        <f t="shared" si="0"/>
        <v>0</v>
      </c>
      <c r="P34" s="18">
        <f t="shared" si="0"/>
        <v>0.17</v>
      </c>
      <c r="Q34" s="18">
        <f t="shared" si="0"/>
        <v>9.32</v>
      </c>
      <c r="R34" s="18"/>
      <c r="S34" s="18"/>
      <c r="T34" s="18"/>
      <c r="U34" s="18"/>
    </row>
    <row r="35" spans="1:21">
      <c r="A35" s="3" t="s">
        <v>49</v>
      </c>
      <c r="B35" s="3">
        <f t="shared" ref="B35:Q35" si="1">MAX(B9:B32)</f>
        <v>5.17</v>
      </c>
      <c r="C35" s="3">
        <f t="shared" si="1"/>
        <v>5.67</v>
      </c>
      <c r="D35" s="3">
        <f t="shared" si="1"/>
        <v>6.99</v>
      </c>
      <c r="E35" s="3">
        <f t="shared" si="1"/>
        <v>7.38</v>
      </c>
      <c r="F35" s="3">
        <f t="shared" si="1"/>
        <v>2</v>
      </c>
      <c r="G35" s="3">
        <f t="shared" si="1"/>
        <v>22.63</v>
      </c>
      <c r="H35" s="3">
        <f t="shared" si="1"/>
        <v>10.73</v>
      </c>
      <c r="I35" s="3">
        <f t="shared" si="1"/>
        <v>4.34</v>
      </c>
      <c r="J35" s="3">
        <f t="shared" si="1"/>
        <v>1.18</v>
      </c>
      <c r="K35" s="3">
        <f t="shared" si="1"/>
        <v>310.29000000000002</v>
      </c>
      <c r="L35" s="3">
        <f t="shared" si="1"/>
        <v>25.63</v>
      </c>
      <c r="M35" s="3">
        <f t="shared" si="1"/>
        <v>40.840000000000003</v>
      </c>
      <c r="N35" s="3">
        <f t="shared" si="1"/>
        <v>287.39999999999998</v>
      </c>
      <c r="O35" s="3">
        <f t="shared" si="1"/>
        <v>7.6</v>
      </c>
      <c r="P35" s="3">
        <f t="shared" si="1"/>
        <v>0.28000000000000003</v>
      </c>
      <c r="Q35" s="3">
        <f t="shared" si="1"/>
        <v>9.32</v>
      </c>
      <c r="R35" s="3"/>
      <c r="S35" s="3"/>
      <c r="T35" s="3"/>
      <c r="U35" s="3"/>
    </row>
    <row r="36" spans="1:21">
      <c r="A36" s="3" t="s">
        <v>50</v>
      </c>
      <c r="B36" s="18">
        <f t="shared" ref="B36:Q36" si="2">AVERAGE(B9:B32)</f>
        <v>3.8004166666666674</v>
      </c>
      <c r="C36" s="18">
        <f t="shared" si="2"/>
        <v>5.239583333333333</v>
      </c>
      <c r="D36" s="18">
        <f t="shared" si="2"/>
        <v>5.7687500000000007</v>
      </c>
      <c r="E36" s="18">
        <f t="shared" si="2"/>
        <v>6.6591666666666676</v>
      </c>
      <c r="F36" s="18">
        <f t="shared" si="2"/>
        <v>2</v>
      </c>
      <c r="G36" s="18">
        <f t="shared" si="2"/>
        <v>14.779166666666669</v>
      </c>
      <c r="H36" s="18">
        <f t="shared" si="2"/>
        <v>6.9420833333333336</v>
      </c>
      <c r="I36" s="18">
        <f t="shared" si="2"/>
        <v>3.4329166666666673</v>
      </c>
      <c r="J36" s="18">
        <f t="shared" si="2"/>
        <v>0.6000000000000002</v>
      </c>
      <c r="K36" s="18">
        <f t="shared" si="2"/>
        <v>253.40166666666661</v>
      </c>
      <c r="L36" s="18">
        <f t="shared" si="2"/>
        <v>22.474583333333328</v>
      </c>
      <c r="M36" s="18">
        <f t="shared" si="2"/>
        <v>37.607916666666675</v>
      </c>
      <c r="N36" s="18">
        <f t="shared" si="2"/>
        <v>43.05833333333333</v>
      </c>
      <c r="O36" s="18">
        <f t="shared" si="2"/>
        <v>0.3666666666666667</v>
      </c>
      <c r="P36" s="18">
        <f t="shared" si="2"/>
        <v>0.21541666666666662</v>
      </c>
      <c r="Q36" s="18">
        <f t="shared" si="2"/>
        <v>9.319999999999995</v>
      </c>
      <c r="R36" s="18"/>
      <c r="S36" s="18"/>
      <c r="T36" s="18"/>
      <c r="U36" s="18"/>
    </row>
    <row r="37" spans="1:21">
      <c r="A37" s="3" t="s">
        <v>51</v>
      </c>
      <c r="B37" s="18">
        <f>STDEV(B9:B32)</f>
        <v>0.63394883325738183</v>
      </c>
      <c r="C37" s="18">
        <f t="shared" ref="C37:Q37" si="3">STDEV(C9:C32)</f>
        <v>0.19599199554788091</v>
      </c>
      <c r="D37" s="18">
        <f t="shared" si="3"/>
        <v>0.54270107473796225</v>
      </c>
      <c r="E37" s="18">
        <f t="shared" si="3"/>
        <v>0.52429593922140749</v>
      </c>
      <c r="F37" s="18">
        <f t="shared" si="3"/>
        <v>0</v>
      </c>
      <c r="G37" s="18">
        <f t="shared" si="3"/>
        <v>5.0368355461381222</v>
      </c>
      <c r="H37" s="18">
        <f t="shared" si="3"/>
        <v>2.3516672701033507</v>
      </c>
      <c r="I37" s="18">
        <f t="shared" si="3"/>
        <v>0.42103887217697022</v>
      </c>
      <c r="J37" s="18">
        <f t="shared" si="3"/>
        <v>0.28670542373662872</v>
      </c>
      <c r="K37" s="18">
        <f t="shared" si="3"/>
        <v>23.365970549286949</v>
      </c>
      <c r="L37" s="18">
        <f t="shared" si="3"/>
        <v>1.7746254452741548</v>
      </c>
      <c r="M37" s="18">
        <f t="shared" si="3"/>
        <v>3.6389439212934898</v>
      </c>
      <c r="N37" s="18">
        <f t="shared" si="3"/>
        <v>74.836139355415639</v>
      </c>
      <c r="O37" s="18">
        <f t="shared" si="3"/>
        <v>1.5544233284591336</v>
      </c>
      <c r="P37" s="18">
        <f t="shared" si="3"/>
        <v>3.092475674455919E-2</v>
      </c>
      <c r="Q37" s="18">
        <f t="shared" si="3"/>
        <v>5.4436872977907584E-15</v>
      </c>
      <c r="R37" s="18"/>
      <c r="S37" s="18"/>
      <c r="T37" s="18"/>
      <c r="U37" s="18"/>
    </row>
    <row r="38" spans="1:21">
      <c r="A38" s="34" t="s">
        <v>52</v>
      </c>
      <c r="B38" s="34">
        <f t="shared" ref="B38:Q38" si="4">COUNT(B9:B32)</f>
        <v>24</v>
      </c>
      <c r="C38" s="34">
        <f t="shared" si="4"/>
        <v>24</v>
      </c>
      <c r="D38" s="34">
        <f t="shared" si="4"/>
        <v>24</v>
      </c>
      <c r="E38" s="34">
        <f t="shared" si="4"/>
        <v>24</v>
      </c>
      <c r="F38" s="34">
        <f t="shared" si="4"/>
        <v>24</v>
      </c>
      <c r="G38" s="34">
        <f t="shared" si="4"/>
        <v>24</v>
      </c>
      <c r="H38" s="34">
        <f t="shared" si="4"/>
        <v>24</v>
      </c>
      <c r="I38" s="34">
        <f t="shared" si="4"/>
        <v>24</v>
      </c>
      <c r="J38" s="34">
        <f t="shared" si="4"/>
        <v>24</v>
      </c>
      <c r="K38" s="34">
        <f t="shared" si="4"/>
        <v>24</v>
      </c>
      <c r="L38" s="34">
        <f t="shared" si="4"/>
        <v>24</v>
      </c>
      <c r="M38" s="34">
        <f t="shared" si="4"/>
        <v>24</v>
      </c>
      <c r="N38" s="34">
        <f t="shared" si="4"/>
        <v>24</v>
      </c>
      <c r="O38" s="34">
        <f t="shared" si="4"/>
        <v>24</v>
      </c>
      <c r="P38" s="34">
        <f t="shared" si="4"/>
        <v>24</v>
      </c>
      <c r="Q38" s="34">
        <f t="shared" si="4"/>
        <v>24</v>
      </c>
      <c r="R38" s="34"/>
      <c r="S38" s="34"/>
      <c r="T38" s="34"/>
      <c r="U38" s="34"/>
    </row>
    <row r="39" spans="1:21">
      <c r="A39" s="3" t="s">
        <v>53</v>
      </c>
      <c r="B39" s="3" t="str">
        <f>IF(B38&gt;=22,"&gt;90%",IF(B38&lt;=22,"&lt;90%"))</f>
        <v>&gt;90%</v>
      </c>
      <c r="C39" s="3" t="str">
        <f t="shared" ref="C39:Q39" si="5">IF(C38&gt;=22,"&gt;90%",IF(C38&lt;=22,"&lt;90%"))</f>
        <v>&gt;90%</v>
      </c>
      <c r="D39" s="3" t="str">
        <f t="shared" si="5"/>
        <v>&gt;90%</v>
      </c>
      <c r="E39" s="3" t="str">
        <f t="shared" si="5"/>
        <v>&gt;90%</v>
      </c>
      <c r="F39" s="3" t="str">
        <f t="shared" si="5"/>
        <v>&gt;90%</v>
      </c>
      <c r="G39" s="3" t="str">
        <f t="shared" si="5"/>
        <v>&gt;90%</v>
      </c>
      <c r="H39" s="3" t="str">
        <f t="shared" si="5"/>
        <v>&gt;90%</v>
      </c>
      <c r="I39" s="3" t="str">
        <f t="shared" si="5"/>
        <v>&gt;90%</v>
      </c>
      <c r="J39" s="3" t="str">
        <f t="shared" si="5"/>
        <v>&gt;90%</v>
      </c>
      <c r="K39" s="3" t="str">
        <f t="shared" si="5"/>
        <v>&gt;90%</v>
      </c>
      <c r="L39" s="3" t="str">
        <f t="shared" si="5"/>
        <v>&gt;90%</v>
      </c>
      <c r="M39" s="3" t="str">
        <f t="shared" si="5"/>
        <v>&gt;90%</v>
      </c>
      <c r="N39" s="3" t="str">
        <f t="shared" si="5"/>
        <v>&gt;90%</v>
      </c>
      <c r="O39" s="3" t="str">
        <f t="shared" si="5"/>
        <v>&gt;90%</v>
      </c>
      <c r="P39" s="3" t="str">
        <f t="shared" si="5"/>
        <v>&gt;90%</v>
      </c>
      <c r="Q39" s="3" t="str">
        <f t="shared" si="5"/>
        <v>&gt;90%</v>
      </c>
      <c r="R39" s="3"/>
      <c r="S39" s="3"/>
      <c r="T39" s="3"/>
      <c r="U39" s="3"/>
    </row>
    <row r="40" spans="1:21">
      <c r="A40" s="3" t="s">
        <v>54</v>
      </c>
      <c r="B40" s="3" t="str">
        <f>IF(B38&gt;=22,"OK",IF(B38&lt;=22,"LESS"))</f>
        <v>OK</v>
      </c>
      <c r="C40" s="3" t="str">
        <f t="shared" ref="C40:Q40" si="6">IF(C38&gt;=22,"OK",IF(C38&lt;=22,"LESS"))</f>
        <v>OK</v>
      </c>
      <c r="D40" s="3" t="str">
        <f t="shared" si="6"/>
        <v>OK</v>
      </c>
      <c r="E40" s="3" t="str">
        <f t="shared" si="6"/>
        <v>OK</v>
      </c>
      <c r="F40" s="3" t="str">
        <f t="shared" si="6"/>
        <v>OK</v>
      </c>
      <c r="G40" s="3" t="str">
        <f t="shared" si="6"/>
        <v>OK</v>
      </c>
      <c r="H40" s="3" t="str">
        <f t="shared" si="6"/>
        <v>OK</v>
      </c>
      <c r="I40" s="3" t="str">
        <f t="shared" si="6"/>
        <v>OK</v>
      </c>
      <c r="J40" s="3" t="str">
        <f t="shared" si="6"/>
        <v>OK</v>
      </c>
      <c r="K40" s="3" t="str">
        <f t="shared" si="6"/>
        <v>OK</v>
      </c>
      <c r="L40" s="3" t="str">
        <f t="shared" si="6"/>
        <v>OK</v>
      </c>
      <c r="M40" s="3" t="str">
        <f t="shared" si="6"/>
        <v>OK</v>
      </c>
      <c r="N40" s="3" t="str">
        <f t="shared" si="6"/>
        <v>OK</v>
      </c>
      <c r="O40" s="3" t="str">
        <f t="shared" si="6"/>
        <v>OK</v>
      </c>
      <c r="P40" s="3" t="str">
        <f t="shared" si="6"/>
        <v>OK</v>
      </c>
      <c r="Q40" s="3" t="str">
        <f t="shared" si="6"/>
        <v>OK</v>
      </c>
      <c r="R40" s="3"/>
      <c r="S40" s="3"/>
      <c r="T40" s="3"/>
      <c r="U40" s="3"/>
    </row>
    <row r="41" spans="1:21">
      <c r="N41" s="37"/>
      <c r="O41" s="37"/>
      <c r="P41" s="37"/>
      <c r="Q41" s="37"/>
      <c r="R41" s="37"/>
      <c r="S41" s="37"/>
      <c r="T41" s="37"/>
      <c r="U41" s="37"/>
    </row>
    <row r="43" spans="1:21">
      <c r="A43" s="3" t="s">
        <v>55</v>
      </c>
      <c r="B43" s="19" t="s">
        <v>56</v>
      </c>
      <c r="C43" s="35"/>
    </row>
    <row r="44" spans="1:21">
      <c r="D44" s="20"/>
      <c r="E44" s="20"/>
      <c r="F44" s="20"/>
      <c r="G44" s="20"/>
      <c r="H44" s="20"/>
      <c r="I44" s="20"/>
    </row>
    <row r="45" spans="1:21" ht="15.75">
      <c r="A45" s="21" t="s">
        <v>57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4"/>
  <sheetViews>
    <sheetView tabSelected="1"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F45" sqref="F45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s="1" customFormat="1">
      <c r="A2" s="3" t="s">
        <v>2</v>
      </c>
      <c r="B2" s="6" t="str">
        <f>$A$9</f>
        <v>01/10/2025 01:00</v>
      </c>
      <c r="C2"/>
      <c r="D2" s="7" t="s">
        <v>3</v>
      </c>
      <c r="E2" s="7"/>
      <c r="F2" s="7"/>
      <c r="G2" s="8" t="s">
        <v>4</v>
      </c>
      <c r="H2" s="9"/>
      <c r="I2" s="9"/>
      <c r="J2" s="9"/>
      <c r="K2" s="3"/>
      <c r="L2" s="7" t="s">
        <v>5</v>
      </c>
      <c r="M2" s="3"/>
      <c r="N2" s="22" t="s">
        <v>6</v>
      </c>
      <c r="P2" s="23" t="s">
        <v>7</v>
      </c>
      <c r="Q2" s="3"/>
      <c r="R2" s="27" t="s">
        <v>8</v>
      </c>
      <c r="S2"/>
      <c r="T2"/>
      <c r="U2"/>
    </row>
    <row r="3" spans="1:21" s="1" customFormat="1">
      <c r="A3" s="3" t="s">
        <v>9</v>
      </c>
      <c r="B3" s="3" t="s">
        <v>10</v>
      </c>
      <c r="C3"/>
      <c r="D3" s="7" t="s">
        <v>11</v>
      </c>
      <c r="E3" s="7"/>
      <c r="F3" s="7"/>
      <c r="G3" s="10" t="s">
        <v>12</v>
      </c>
      <c r="H3" s="9"/>
      <c r="I3" s="9"/>
      <c r="J3" s="9"/>
      <c r="K3"/>
      <c r="L3" s="7" t="s">
        <v>13</v>
      </c>
      <c r="M3" s="3"/>
      <c r="N3" s="24" t="s">
        <v>14</v>
      </c>
      <c r="O3" s="3"/>
      <c r="P3" s="23" t="s">
        <v>15</v>
      </c>
      <c r="Q3" s="3"/>
      <c r="R3" s="28" t="s">
        <v>15</v>
      </c>
      <c r="S3"/>
      <c r="T3"/>
      <c r="U3"/>
    </row>
    <row r="4" spans="1:21" s="1" customFormat="1">
      <c r="A4" s="3" t="s">
        <v>16</v>
      </c>
      <c r="B4" s="3" t="s">
        <v>59</v>
      </c>
      <c r="C4"/>
      <c r="D4" s="7" t="s">
        <v>18</v>
      </c>
      <c r="E4" s="7"/>
      <c r="F4" s="7"/>
      <c r="G4" s="11" t="s">
        <v>19</v>
      </c>
      <c r="H4" s="9"/>
      <c r="I4" s="9"/>
      <c r="J4" s="9"/>
      <c r="K4" s="25"/>
      <c r="L4" s="7" t="s">
        <v>20</v>
      </c>
      <c r="M4" s="3"/>
      <c r="N4" s="26" t="s">
        <v>21</v>
      </c>
      <c r="O4" s="3"/>
      <c r="P4" s="3"/>
      <c r="Q4" s="3"/>
      <c r="R4" s="3"/>
      <c r="S4"/>
      <c r="T4"/>
      <c r="U4"/>
    </row>
    <row r="5" spans="1:21" s="1" customForma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/>
    </row>
    <row r="7" spans="1:21" s="1" customFormat="1">
      <c r="A7" s="12" t="s">
        <v>22</v>
      </c>
      <c r="B7" s="13" t="s">
        <v>23</v>
      </c>
      <c r="C7" s="13" t="s">
        <v>24</v>
      </c>
      <c r="D7" s="13" t="s">
        <v>25</v>
      </c>
      <c r="E7" s="13" t="s">
        <v>26</v>
      </c>
      <c r="F7" s="13" t="s">
        <v>27</v>
      </c>
      <c r="G7" s="13" t="s">
        <v>28</v>
      </c>
      <c r="H7" s="13" t="s">
        <v>29</v>
      </c>
      <c r="I7" s="13" t="s">
        <v>30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35</v>
      </c>
      <c r="O7" s="13" t="s">
        <v>36</v>
      </c>
      <c r="P7" s="13" t="s">
        <v>37</v>
      </c>
      <c r="Q7" s="13" t="s">
        <v>38</v>
      </c>
      <c r="R7" s="3"/>
      <c r="S7" s="3"/>
      <c r="T7" s="3"/>
      <c r="U7" s="3"/>
    </row>
    <row r="8" spans="1:21" s="1" customFormat="1">
      <c r="A8" s="12"/>
      <c r="B8" s="12" t="s">
        <v>39</v>
      </c>
      <c r="C8" s="12" t="s">
        <v>39</v>
      </c>
      <c r="D8" s="12" t="s">
        <v>40</v>
      </c>
      <c r="E8" s="12" t="s">
        <v>39</v>
      </c>
      <c r="F8" s="12" t="s">
        <v>39</v>
      </c>
      <c r="G8" s="12" t="s">
        <v>39</v>
      </c>
      <c r="H8" s="12" t="s">
        <v>39</v>
      </c>
      <c r="I8" s="12" t="s">
        <v>39</v>
      </c>
      <c r="J8" s="12" t="s">
        <v>42</v>
      </c>
      <c r="K8" s="12" t="s">
        <v>43</v>
      </c>
      <c r="L8" s="12" t="s">
        <v>44</v>
      </c>
      <c r="M8" s="12" t="s">
        <v>45</v>
      </c>
      <c r="N8" s="12" t="s">
        <v>46</v>
      </c>
      <c r="O8" s="12" t="s">
        <v>47</v>
      </c>
      <c r="P8" s="12" t="s">
        <v>41</v>
      </c>
      <c r="Q8" s="12" t="s">
        <v>39</v>
      </c>
      <c r="R8" s="3"/>
      <c r="S8" s="3"/>
      <c r="T8" s="3"/>
      <c r="U8" s="3"/>
    </row>
    <row r="9" spans="1:21">
      <c r="A9" s="14" t="str">
        <f>'01'!$B$2</f>
        <v>01/10/2025 01:00</v>
      </c>
      <c r="B9" s="15">
        <f>'01'!B36</f>
        <v>6.3179166666666653</v>
      </c>
      <c r="C9" s="15">
        <f>'01'!C36</f>
        <v>7.0233333333333334</v>
      </c>
      <c r="D9" s="15">
        <f>'01'!D36</f>
        <v>13.255833333333333</v>
      </c>
      <c r="E9" s="15">
        <f>'01'!E36</f>
        <v>6.675416666666667</v>
      </c>
      <c r="F9" s="15">
        <f>'01'!F36</f>
        <v>3.1304166666666671</v>
      </c>
      <c r="G9" s="15">
        <f>'01'!G36</f>
        <v>49.012499999999989</v>
      </c>
      <c r="H9" s="15">
        <f>'01'!H36</f>
        <v>18.88208333333333</v>
      </c>
      <c r="I9" s="15">
        <f>'01'!I36</f>
        <v>7.6662500000000007</v>
      </c>
      <c r="J9" s="15">
        <f>'01'!J36</f>
        <v>0.35499999999999993</v>
      </c>
      <c r="K9" s="15">
        <f>'01'!K36</f>
        <v>270.93333333333334</v>
      </c>
      <c r="L9" s="15">
        <f>'01'!L36</f>
        <v>22.11</v>
      </c>
      <c r="M9" s="15">
        <f>'01'!M36</f>
        <v>35.752083333333339</v>
      </c>
      <c r="N9" s="15">
        <f>'01'!N36</f>
        <v>109.28333333333336</v>
      </c>
      <c r="O9" s="15">
        <f>'01'!O36</f>
        <v>5.8333333333333327E-2</v>
      </c>
      <c r="P9" s="15">
        <f>'01'!P36</f>
        <v>0.40208333333333329</v>
      </c>
      <c r="Q9" s="15">
        <f>'01'!Q36</f>
        <v>11.021666666666667</v>
      </c>
      <c r="R9" s="29"/>
      <c r="S9" s="29"/>
      <c r="T9" s="29"/>
      <c r="U9" s="29"/>
    </row>
    <row r="10" spans="1:21" s="2" customFormat="1">
      <c r="A10" s="14" t="str">
        <f>'02'!$B$2</f>
        <v>02/10/2025 01:00</v>
      </c>
      <c r="B10" s="15">
        <f>'02'!B36</f>
        <v>9.2904166666666654</v>
      </c>
      <c r="C10" s="15">
        <f>'02'!C36</f>
        <v>8.4375000000000018</v>
      </c>
      <c r="D10" s="15">
        <f>'02'!D36</f>
        <v>17.493333333333332</v>
      </c>
      <c r="E10" s="15">
        <f>'02'!E36</f>
        <v>6.9937499999999986</v>
      </c>
      <c r="F10" s="15">
        <f>'02'!F36</f>
        <v>4.4187500000000011</v>
      </c>
      <c r="G10" s="15">
        <f>'02'!G36</f>
        <v>62.8125</v>
      </c>
      <c r="H10" s="15">
        <f>'02'!H36</f>
        <v>25.208333333333332</v>
      </c>
      <c r="I10" s="15">
        <f>'02'!I36</f>
        <v>7.1395833333333316</v>
      </c>
      <c r="J10" s="15">
        <f>'02'!J36</f>
        <v>0.39833333333333337</v>
      </c>
      <c r="K10" s="15">
        <f>'02'!K36</f>
        <v>204.73958333333329</v>
      </c>
      <c r="L10" s="15">
        <f>'02'!L36</f>
        <v>18.913750000000004</v>
      </c>
      <c r="M10" s="15">
        <f>'02'!M36</f>
        <v>27.75375</v>
      </c>
      <c r="N10" s="15">
        <f>'02'!N36</f>
        <v>90.637500000000003</v>
      </c>
      <c r="O10" s="15">
        <f>'02'!O36</f>
        <v>0.5083333333333333</v>
      </c>
      <c r="P10" s="15">
        <f>'02'!P36</f>
        <v>0.42166666666666669</v>
      </c>
      <c r="Q10" s="15">
        <f>'02'!Q36</f>
        <v>11.445833333333331</v>
      </c>
      <c r="R10" s="30"/>
      <c r="S10" s="30"/>
      <c r="T10" s="30"/>
      <c r="U10" s="30"/>
    </row>
    <row r="11" spans="1:21" s="2" customFormat="1">
      <c r="A11" s="14" t="str">
        <f>'03'!$B$2</f>
        <v>03/10/2025 01:00</v>
      </c>
      <c r="B11" s="15">
        <f>'03'!B36</f>
        <v>8.7445833333333329</v>
      </c>
      <c r="C11" s="15">
        <f>'03'!C36</f>
        <v>7.7641666666666653</v>
      </c>
      <c r="D11" s="15">
        <f>'03'!D36</f>
        <v>16.40583333333333</v>
      </c>
      <c r="E11" s="15">
        <f>'03'!E36</f>
        <v>6.7229166666666664</v>
      </c>
      <c r="F11" s="15">
        <f>'03'!F36</f>
        <v>2.4133333333333336</v>
      </c>
      <c r="G11" s="15">
        <f>'03'!G36</f>
        <v>37.812083333333327</v>
      </c>
      <c r="H11" s="15">
        <f>'03'!H36</f>
        <v>17.542916666666663</v>
      </c>
      <c r="I11" s="15">
        <f>'03'!I36</f>
        <v>6.1504166666666675</v>
      </c>
      <c r="J11" s="15">
        <f>'03'!J36</f>
        <v>0.45041666666666663</v>
      </c>
      <c r="K11" s="15">
        <f>'03'!K36</f>
        <v>273.98374999999999</v>
      </c>
      <c r="L11" s="15">
        <f>'03'!L36</f>
        <v>21.950833333333332</v>
      </c>
      <c r="M11" s="15">
        <f>'03'!M36</f>
        <v>36.083750000000002</v>
      </c>
      <c r="N11" s="15">
        <f>'03'!N36</f>
        <v>43.641666666666659</v>
      </c>
      <c r="O11" s="15">
        <f>'03'!O36</f>
        <v>0.74166666666666659</v>
      </c>
      <c r="P11" s="15">
        <f>'03'!P36</f>
        <v>0.37999999999999989</v>
      </c>
      <c r="Q11" s="15">
        <f>'03'!Q36</f>
        <v>10.883749999999999</v>
      </c>
      <c r="R11" s="30"/>
      <c r="S11" s="30"/>
      <c r="T11" s="30"/>
      <c r="U11" s="30"/>
    </row>
    <row r="12" spans="1:21" s="2" customFormat="1">
      <c r="A12" s="14" t="str">
        <f>'04'!$B$2</f>
        <v>04/10/2025 01:00</v>
      </c>
      <c r="B12" s="15">
        <f>'04'!B36</f>
        <v>4.5195833333333333</v>
      </c>
      <c r="C12" s="15">
        <f>'04'!C36</f>
        <v>6.3308333333333335</v>
      </c>
      <c r="D12" s="15">
        <f>'04'!D36</f>
        <v>10.802916666666668</v>
      </c>
      <c r="E12" s="15">
        <f>'04'!E36</f>
        <v>5.7941666666666656</v>
      </c>
      <c r="F12" s="15">
        <f>'04'!F36</f>
        <v>2.4841666666666673</v>
      </c>
      <c r="G12" s="15">
        <f>'04'!G36</f>
        <v>17.589583333333337</v>
      </c>
      <c r="H12" s="15">
        <f>'04'!H36</f>
        <v>6.4166666666666643</v>
      </c>
      <c r="I12" s="15">
        <f>'04'!I36</f>
        <v>6.0666666666666691</v>
      </c>
      <c r="J12" s="15">
        <f>'04'!J36</f>
        <v>0.50041666666666662</v>
      </c>
      <c r="K12" s="15">
        <f>'04'!K36</f>
        <v>257.54916666666662</v>
      </c>
      <c r="L12" s="15">
        <f>'04'!L36</f>
        <v>22.778333333333332</v>
      </c>
      <c r="M12" s="15">
        <f>'04'!M36</f>
        <v>37.165833333333339</v>
      </c>
      <c r="N12" s="15">
        <f>'04'!N36</f>
        <v>102.64166666666665</v>
      </c>
      <c r="O12" s="15">
        <f>'04'!O36</f>
        <v>0.11666666666666665</v>
      </c>
      <c r="P12" s="15">
        <f>'04'!P36</f>
        <v>0.25458333333333338</v>
      </c>
      <c r="Q12" s="15">
        <f>'04'!Q36</f>
        <v>10.276666666666666</v>
      </c>
      <c r="R12" s="30"/>
      <c r="S12" s="30"/>
      <c r="T12" s="30"/>
      <c r="U12" s="30"/>
    </row>
    <row r="13" spans="1:21" s="2" customFormat="1">
      <c r="A13" s="14" t="str">
        <f>'05'!$B$2</f>
        <v>05/10/2025 01:00</v>
      </c>
      <c r="B13" s="15">
        <f>'05'!B36</f>
        <v>4.9712500000000004</v>
      </c>
      <c r="C13" s="15">
        <f>'05'!C36</f>
        <v>6.3691666666666658</v>
      </c>
      <c r="D13" s="15">
        <f>'05'!D36</f>
        <v>11.294166666666669</v>
      </c>
      <c r="E13" s="15">
        <f>'05'!E36</f>
        <v>5.7124999999999995</v>
      </c>
      <c r="F13" s="15">
        <f>'05'!F36</f>
        <v>2.6020833333333333</v>
      </c>
      <c r="G13" s="15">
        <f>'05'!G36</f>
        <v>25.621666666666666</v>
      </c>
      <c r="H13" s="15">
        <f>'05'!H36</f>
        <v>9.8904166666666686</v>
      </c>
      <c r="I13" s="15">
        <f>'05'!I36</f>
        <v>5.7591666666666681</v>
      </c>
      <c r="J13" s="15">
        <f>'05'!J36</f>
        <v>0.36916666666666664</v>
      </c>
      <c r="K13" s="15">
        <f>'05'!K36</f>
        <v>252.26916666666668</v>
      </c>
      <c r="L13" s="15">
        <f>'05'!L36</f>
        <v>22.170416666666668</v>
      </c>
      <c r="M13" s="15">
        <f>'05'!M36</f>
        <v>36.348333333333329</v>
      </c>
      <c r="N13" s="15">
        <f>'05'!N36</f>
        <v>78.05</v>
      </c>
      <c r="O13" s="15">
        <f>'05'!O36</f>
        <v>0.89999999999999991</v>
      </c>
      <c r="P13" s="15">
        <f>'05'!P36</f>
        <v>0.25624999999999998</v>
      </c>
      <c r="Q13" s="15">
        <f>'05'!Q36</f>
        <v>10.115416666666667</v>
      </c>
      <c r="R13" s="30"/>
      <c r="S13" s="30"/>
      <c r="T13" s="30"/>
      <c r="U13" s="30"/>
    </row>
    <row r="14" spans="1:21" s="2" customFormat="1">
      <c r="A14" s="14" t="str">
        <f>'06'!$B$2</f>
        <v>06/10/2025 01:00</v>
      </c>
      <c r="B14" s="16">
        <f>'06'!B36</f>
        <v>5.0004166666666654</v>
      </c>
      <c r="C14" s="16">
        <f>'06'!C36</f>
        <v>6.7862499999999999</v>
      </c>
      <c r="D14" s="16">
        <f>'06'!D36</f>
        <v>11.679999999999998</v>
      </c>
      <c r="E14" s="16">
        <f>'06'!E36</f>
        <v>5.7941666666666682</v>
      </c>
      <c r="F14" s="16">
        <f>'06'!F36</f>
        <v>4.2183333333333337</v>
      </c>
      <c r="G14" s="16">
        <f>'06'!G36</f>
        <v>25.233333333333338</v>
      </c>
      <c r="H14" s="16">
        <f>'06'!H36</f>
        <v>11.025</v>
      </c>
      <c r="I14" s="16">
        <f>'06'!I36</f>
        <v>7.3708333333333336</v>
      </c>
      <c r="J14" s="16">
        <f>'06'!J36</f>
        <v>0.2695833333333334</v>
      </c>
      <c r="K14" s="16">
        <f>'06'!K36</f>
        <v>256.08875</v>
      </c>
      <c r="L14" s="16">
        <f>'06'!L36</f>
        <v>22.313749999999999</v>
      </c>
      <c r="M14" s="16">
        <f>'06'!M36</f>
        <v>36.636249999999997</v>
      </c>
      <c r="N14" s="16">
        <f>'06'!N36</f>
        <v>77.254166666666677</v>
      </c>
      <c r="O14" s="16">
        <f>'06'!O36</f>
        <v>2.5000000000000005E-2</v>
      </c>
      <c r="P14" s="16">
        <f>'06'!P36</f>
        <v>0.37208333333333332</v>
      </c>
      <c r="Q14" s="16">
        <f>'06'!Q36</f>
        <v>10.393749999999999</v>
      </c>
      <c r="R14" s="30"/>
      <c r="S14" s="30"/>
      <c r="T14" s="30"/>
      <c r="U14" s="30"/>
    </row>
    <row r="15" spans="1:21" s="2" customFormat="1">
      <c r="A15" s="14" t="str">
        <f>'07'!$B$2</f>
        <v>07/10/2025 01:00</v>
      </c>
      <c r="B15" s="16">
        <f>'07'!B36</f>
        <v>5.7824999999999998</v>
      </c>
      <c r="C15" s="16">
        <f>'07'!C36</f>
        <v>6.4587499999999993</v>
      </c>
      <c r="D15" s="16">
        <f>'07'!D36</f>
        <v>12.127083333333333</v>
      </c>
      <c r="E15" s="16">
        <f>'07'!E36</f>
        <v>5.7774999999999999</v>
      </c>
      <c r="F15" s="16">
        <f>'07'!F36</f>
        <v>4.1158333333333337</v>
      </c>
      <c r="G15" s="16">
        <f>'07'!G36</f>
        <v>43.087916666666665</v>
      </c>
      <c r="H15" s="16">
        <f>'07'!H36</f>
        <v>20.814583333333335</v>
      </c>
      <c r="I15" s="16">
        <f>'07'!I36</f>
        <v>10.387499999999998</v>
      </c>
      <c r="J15" s="16">
        <f>'07'!J36</f>
        <v>0.26041666666666669</v>
      </c>
      <c r="K15" s="16">
        <f>'07'!K36</f>
        <v>240.00291666666661</v>
      </c>
      <c r="L15" s="16">
        <f>'07'!L36</f>
        <v>21.685416666666669</v>
      </c>
      <c r="M15" s="16">
        <f>'07'!M36</f>
        <v>33.979166666666664</v>
      </c>
      <c r="N15" s="16">
        <f>'07'!N36</f>
        <v>133.28333333333327</v>
      </c>
      <c r="O15" s="16">
        <f>'07'!O36</f>
        <v>0</v>
      </c>
      <c r="P15" s="16">
        <f>'07'!P36</f>
        <v>0.48875000000000007</v>
      </c>
      <c r="Q15" s="16">
        <f>'07'!Q36</f>
        <v>10.729999999999999</v>
      </c>
      <c r="R15" s="30"/>
      <c r="S15" s="30"/>
      <c r="T15" s="30"/>
      <c r="U15" s="30"/>
    </row>
    <row r="16" spans="1:21" s="2" customFormat="1">
      <c r="A16" s="14" t="str">
        <f>'08'!$B$2</f>
        <v>08/10/2025 01:00</v>
      </c>
      <c r="B16" s="16">
        <f>'08'!B36</f>
        <v>5.921666666666666</v>
      </c>
      <c r="C16" s="16">
        <f>'08'!C36</f>
        <v>7.7379166666666679</v>
      </c>
      <c r="D16" s="16">
        <f>'08'!D36</f>
        <v>13.552916666666668</v>
      </c>
      <c r="E16" s="16">
        <f>'08'!E36</f>
        <v>6.1049999999999995</v>
      </c>
      <c r="F16" s="16">
        <f>'08'!F36</f>
        <v>3.5329166666666669</v>
      </c>
      <c r="G16" s="16">
        <f>'08'!G36</f>
        <v>60.441249999999997</v>
      </c>
      <c r="H16" s="16">
        <f>'08'!H36</f>
        <v>24.789583333333329</v>
      </c>
      <c r="I16" s="16">
        <f>'08'!I36</f>
        <v>6.4820833333333354</v>
      </c>
      <c r="J16" s="16">
        <f>'08'!J36</f>
        <v>0.27500000000000002</v>
      </c>
      <c r="K16" s="16">
        <f>'08'!K36</f>
        <v>203.5</v>
      </c>
      <c r="L16" s="16">
        <f>'08'!L36</f>
        <v>19.022499999999997</v>
      </c>
      <c r="M16" s="16">
        <f>'08'!M36</f>
        <v>26.635416666666657</v>
      </c>
      <c r="N16" s="16">
        <f>'08'!N36</f>
        <v>153.32083333333335</v>
      </c>
      <c r="O16" s="16">
        <f>'08'!O36</f>
        <v>0.24166666666666667</v>
      </c>
      <c r="P16" s="16">
        <f>'08'!P36</f>
        <v>0.29499999999999998</v>
      </c>
      <c r="Q16" s="16">
        <f>'08'!Q36</f>
        <v>10.339583333333335</v>
      </c>
      <c r="R16" s="30"/>
      <c r="S16" s="30"/>
      <c r="T16" s="30"/>
      <c r="U16" s="30"/>
    </row>
    <row r="17" spans="1:24" s="2" customFormat="1">
      <c r="A17" s="14" t="str">
        <f>'09'!$B$2</f>
        <v>09/10/2025 01:00</v>
      </c>
      <c r="B17" s="16">
        <f>'09'!B36</f>
        <v>6.4512500000000017</v>
      </c>
      <c r="C17" s="16">
        <f>'09'!C36</f>
        <v>7.390833333333334</v>
      </c>
      <c r="D17" s="16">
        <f>'09'!D36</f>
        <v>13.735833333333334</v>
      </c>
      <c r="E17" s="16">
        <f>'09'!E36</f>
        <v>5.5937499999999991</v>
      </c>
      <c r="F17" s="27" t="s">
        <v>8</v>
      </c>
      <c r="G17" s="16">
        <f>'09'!G36</f>
        <v>64.035833333333315</v>
      </c>
      <c r="H17" s="16">
        <f>'09'!H36</f>
        <v>27.62458333333333</v>
      </c>
      <c r="I17" s="16">
        <f>'09'!I36</f>
        <v>6.9962500000000007</v>
      </c>
      <c r="J17" s="16">
        <f>'09'!J36</f>
        <v>0.4054166666666667</v>
      </c>
      <c r="K17" s="16">
        <f>'09'!K36</f>
        <v>189.48833333333332</v>
      </c>
      <c r="L17" s="16">
        <f>'09'!L36</f>
        <v>18.457916666666669</v>
      </c>
      <c r="M17" s="16">
        <f>'09'!M36</f>
        <v>26.557500000000001</v>
      </c>
      <c r="N17" s="16">
        <f>'09'!N36</f>
        <v>141.86250000000004</v>
      </c>
      <c r="O17" s="16">
        <f>'09'!O36</f>
        <v>0</v>
      </c>
      <c r="P17" s="16">
        <f>'09'!P36</f>
        <v>0.35833333333333339</v>
      </c>
      <c r="Q17" s="16">
        <f>'09'!Q36</f>
        <v>10.139166666666666</v>
      </c>
      <c r="R17" s="30"/>
      <c r="S17" s="30"/>
      <c r="T17" s="30"/>
      <c r="U17" s="30"/>
      <c r="V17" s="31"/>
      <c r="W17" s="31"/>
      <c r="X17" s="31"/>
    </row>
    <row r="18" spans="1:24" s="2" customFormat="1">
      <c r="A18" s="14" t="str">
        <f>'10'!$B$2</f>
        <v>10/10/2025 01:00</v>
      </c>
      <c r="B18" s="16">
        <f>'10'!B36</f>
        <v>7.4033333333333315</v>
      </c>
      <c r="C18" s="16">
        <f>'10'!C36</f>
        <v>7.77</v>
      </c>
      <c r="D18" s="16">
        <f>'10'!D36</f>
        <v>15.114583333333336</v>
      </c>
      <c r="E18" s="16">
        <f>'10'!E36</f>
        <v>5.4041666666666659</v>
      </c>
      <c r="F18" s="27" t="s">
        <v>8</v>
      </c>
      <c r="G18" s="16">
        <f>'10'!G36</f>
        <v>73.212500000000006</v>
      </c>
      <c r="H18" s="16">
        <f>'10'!H36</f>
        <v>28.362500000000001</v>
      </c>
      <c r="I18" s="16">
        <f>'10'!I36</f>
        <v>6.019166666666667</v>
      </c>
      <c r="J18" s="16">
        <f>'10'!J36</f>
        <v>0.3116666666666667</v>
      </c>
      <c r="K18" s="16">
        <f>'10'!K36</f>
        <v>143.14625000000001</v>
      </c>
      <c r="L18" s="16">
        <f>'10'!L36</f>
        <v>14.917500000000002</v>
      </c>
      <c r="M18" s="16">
        <f>'10'!M36</f>
        <v>17.858750000000001</v>
      </c>
      <c r="N18" s="16">
        <f>'10'!N36</f>
        <v>80.999999999999986</v>
      </c>
      <c r="O18" s="16">
        <f>'10'!O36</f>
        <v>0.32500000000000001</v>
      </c>
      <c r="P18" s="16">
        <f>'10'!P36</f>
        <v>0.39208333333333328</v>
      </c>
      <c r="Q18" s="16">
        <f>'10'!Q36</f>
        <v>14.164166666666667</v>
      </c>
      <c r="R18" s="30"/>
      <c r="S18" s="30"/>
      <c r="T18" s="30"/>
      <c r="U18" s="30"/>
    </row>
    <row r="19" spans="1:24" s="2" customFormat="1">
      <c r="A19" s="14" t="str">
        <f>'11'!$B$2</f>
        <v>11/10/2025 01:00</v>
      </c>
      <c r="B19" s="16">
        <f>'11'!B36</f>
        <v>8.5570833333333347</v>
      </c>
      <c r="C19" s="16">
        <f>'11'!C36</f>
        <v>8.9554166666666664</v>
      </c>
      <c r="D19" s="16">
        <f>'11'!D36</f>
        <v>17.201666666666668</v>
      </c>
      <c r="E19" s="16">
        <f>'11'!E36</f>
        <v>6.1229166666666659</v>
      </c>
      <c r="F19" s="27" t="s">
        <v>8</v>
      </c>
      <c r="G19" s="16">
        <f>'11'!G36</f>
        <v>93.344999999999985</v>
      </c>
      <c r="H19" s="16">
        <f>'11'!H36</f>
        <v>30.738749999999992</v>
      </c>
      <c r="I19" s="16">
        <f>'11'!I36</f>
        <v>6.7279166666666663</v>
      </c>
      <c r="J19" s="16">
        <f>'11'!J36</f>
        <v>0.48333333333333323</v>
      </c>
      <c r="K19" s="16">
        <f>'11'!K36</f>
        <v>170.52333333333334</v>
      </c>
      <c r="L19" s="16">
        <f>'11'!L36</f>
        <v>15.945</v>
      </c>
      <c r="M19" s="16">
        <f>'11'!M36</f>
        <v>20.280000000000005</v>
      </c>
      <c r="N19" s="16">
        <f>'11'!N36</f>
        <v>92.5625</v>
      </c>
      <c r="O19" s="16">
        <f>'11'!O36</f>
        <v>0</v>
      </c>
      <c r="P19" s="16">
        <f>'11'!P36</f>
        <v>0.39083333333333342</v>
      </c>
      <c r="Q19" s="16">
        <f>'11'!Q36</f>
        <v>10.341666666666667</v>
      </c>
      <c r="R19" s="30"/>
      <c r="S19" s="30"/>
      <c r="T19" s="30"/>
      <c r="U19" s="30"/>
    </row>
    <row r="20" spans="1:24" s="2" customFormat="1">
      <c r="A20" s="14" t="str">
        <f>'12'!$B$2</f>
        <v>12/10/2025 01:00</v>
      </c>
      <c r="B20" s="16">
        <f>'12'!B36</f>
        <v>9.3949999999999996</v>
      </c>
      <c r="C20" s="16">
        <f>'12'!C36</f>
        <v>8.298333333333332</v>
      </c>
      <c r="D20" s="16">
        <f>'12'!D36</f>
        <v>17.566666666666666</v>
      </c>
      <c r="E20" s="16">
        <f>'12'!E36</f>
        <v>6.2366666666666672</v>
      </c>
      <c r="F20" s="28" t="s">
        <v>15</v>
      </c>
      <c r="G20" s="16">
        <f>'12'!G36</f>
        <v>61.798750000000005</v>
      </c>
      <c r="H20" s="16">
        <f>'12'!H36</f>
        <v>21.290000000000003</v>
      </c>
      <c r="I20" s="16">
        <f>'12'!I36</f>
        <v>6.567916666666668</v>
      </c>
      <c r="J20" s="16">
        <f>'12'!J36</f>
        <v>0.35958333333333342</v>
      </c>
      <c r="K20" s="16">
        <f>'12'!K36</f>
        <v>82.086250000000007</v>
      </c>
      <c r="L20" s="16">
        <f>'12'!L36</f>
        <v>13.241666666666665</v>
      </c>
      <c r="M20" s="16">
        <f>'12'!M36</f>
        <v>12.267083333333334</v>
      </c>
      <c r="N20" s="16">
        <f>'12'!N36</f>
        <v>138.58333333333334</v>
      </c>
      <c r="O20" s="16">
        <f>'12'!O36</f>
        <v>0</v>
      </c>
      <c r="P20" s="16">
        <f>'12'!P36</f>
        <v>0.37999999999999989</v>
      </c>
      <c r="Q20" s="16">
        <f>'12'!Q36</f>
        <v>10</v>
      </c>
      <c r="R20" s="30"/>
      <c r="S20" s="30"/>
      <c r="T20" s="30"/>
      <c r="U20" s="30"/>
    </row>
    <row r="21" spans="1:24" s="2" customFormat="1">
      <c r="A21" s="14" t="str">
        <f>'13'!$B$2</f>
        <v>13/10/2025 01:00</v>
      </c>
      <c r="B21" s="16">
        <f>'13'!B36</f>
        <v>5.9991666666666674</v>
      </c>
      <c r="C21" s="16">
        <f>'13'!C36</f>
        <v>9.2924999999999986</v>
      </c>
      <c r="D21" s="16">
        <f>'13'!D36</f>
        <v>15.148333333333332</v>
      </c>
      <c r="E21" s="16">
        <f>'13'!E36</f>
        <v>5.8083333333333336</v>
      </c>
      <c r="F21" s="28" t="s">
        <v>15</v>
      </c>
      <c r="G21" s="16">
        <f>'13'!G36</f>
        <v>56.582500000000003</v>
      </c>
      <c r="H21" s="16">
        <f>'13'!H36</f>
        <v>19.98875</v>
      </c>
      <c r="I21" s="16">
        <f>'13'!I36</f>
        <v>8.1862500000000029</v>
      </c>
      <c r="J21" s="16">
        <f>'13'!J36</f>
        <v>0.33499999999999996</v>
      </c>
      <c r="K21" s="16">
        <f>'13'!K36</f>
        <v>90.323333333333338</v>
      </c>
      <c r="L21" s="16">
        <f>'13'!L36</f>
        <v>12.832500000000001</v>
      </c>
      <c r="M21" s="16">
        <f>'13'!M36</f>
        <v>11.134166666666664</v>
      </c>
      <c r="N21" s="16">
        <f>'13'!N36</f>
        <v>144.9</v>
      </c>
      <c r="O21" s="16">
        <f>'13'!O36</f>
        <v>0</v>
      </c>
      <c r="P21" s="16">
        <f>'13'!P36</f>
        <v>0.42291666666666666</v>
      </c>
      <c r="Q21" s="16">
        <f>'13'!Q36</f>
        <v>10.002083333333333</v>
      </c>
      <c r="R21" s="30"/>
      <c r="S21" s="30"/>
      <c r="T21" s="30"/>
      <c r="U21" s="30"/>
    </row>
    <row r="22" spans="1:24" s="2" customFormat="1">
      <c r="A22" s="14" t="str">
        <f>'14'!$B$2</f>
        <v>14/10/2025 01:00</v>
      </c>
      <c r="B22" s="16">
        <f>'14'!B36</f>
        <v>5.8341666666666656</v>
      </c>
      <c r="C22" s="16">
        <f>'14'!C36</f>
        <v>9.723749999999999</v>
      </c>
      <c r="D22" s="16">
        <f>'14'!D36</f>
        <v>13.617500000000001</v>
      </c>
      <c r="E22" s="16">
        <f>'14'!E36</f>
        <v>4.2426666666666666</v>
      </c>
      <c r="F22" s="16">
        <f>'14'!F36</f>
        <v>16.31958333333333</v>
      </c>
      <c r="G22" s="16">
        <f>'14'!G36</f>
        <v>53.647500000000001</v>
      </c>
      <c r="H22" s="16">
        <f>'14'!H36</f>
        <v>15.873749999999999</v>
      </c>
      <c r="I22" s="16">
        <f>'14'!I36</f>
        <v>6.6279166666666676</v>
      </c>
      <c r="J22" s="16">
        <f>'14'!J36</f>
        <v>0.32875000000000004</v>
      </c>
      <c r="K22" s="16">
        <f>'14'!K36</f>
        <v>92.54000000000002</v>
      </c>
      <c r="L22" s="16">
        <f>'14'!L36</f>
        <v>12.641666666666667</v>
      </c>
      <c r="M22" s="16">
        <f>'14'!M36</f>
        <v>10.795</v>
      </c>
      <c r="N22" s="16">
        <f>'14'!N36</f>
        <v>154.66666666666671</v>
      </c>
      <c r="O22" s="16">
        <f>'14'!O36</f>
        <v>0</v>
      </c>
      <c r="P22" s="16">
        <f>'14'!P36</f>
        <v>0.43583333333333324</v>
      </c>
      <c r="Q22" s="16">
        <f>'14'!Q36</f>
        <v>10</v>
      </c>
      <c r="R22" s="32"/>
      <c r="S22" s="32"/>
      <c r="T22" s="32"/>
      <c r="U22" s="32"/>
    </row>
    <row r="23" spans="1:24" s="2" customFormat="1">
      <c r="A23" s="14" t="str">
        <f>'15'!$B$2</f>
        <v>15/10/2025 01:00</v>
      </c>
      <c r="B23" s="17">
        <f>'15'!B36</f>
        <v>5.2404166666666665</v>
      </c>
      <c r="C23" s="17">
        <f>'15'!C36</f>
        <v>7.4933333333333323</v>
      </c>
      <c r="D23" s="17">
        <f>'15'!D36</f>
        <v>8.0729166666666661</v>
      </c>
      <c r="E23" s="17">
        <f>'15'!E36</f>
        <v>6.8091666666666661</v>
      </c>
      <c r="F23" s="17">
        <f>'15'!F36</f>
        <v>2.4070833333333335</v>
      </c>
      <c r="G23" s="17">
        <f>'15'!G36</f>
        <v>47.332083333333323</v>
      </c>
      <c r="H23" s="17">
        <f>'15'!H36</f>
        <v>9.5762499999999999</v>
      </c>
      <c r="I23" s="17">
        <f>'15'!I36</f>
        <v>7.6379166666666656</v>
      </c>
      <c r="J23" s="17">
        <f>'15'!J36</f>
        <v>0.30791666666666667</v>
      </c>
      <c r="K23" s="17">
        <f>'15'!K36</f>
        <v>123.23833333333333</v>
      </c>
      <c r="L23" s="17">
        <f>'15'!L36</f>
        <v>14.740416666666668</v>
      </c>
      <c r="M23" s="17">
        <f>'15'!M36</f>
        <v>15.553749999999999</v>
      </c>
      <c r="N23" s="17">
        <f>'15'!N36</f>
        <v>167.57083333333335</v>
      </c>
      <c r="O23" s="17">
        <f>'15'!O36</f>
        <v>0</v>
      </c>
      <c r="P23" s="17">
        <f>'15'!P36</f>
        <v>0.44291666666666668</v>
      </c>
      <c r="Q23" s="17">
        <f>'15'!Q36</f>
        <v>10</v>
      </c>
      <c r="R23" s="32"/>
      <c r="S23" s="32"/>
      <c r="T23" s="32"/>
      <c r="U23" s="30"/>
    </row>
    <row r="24" spans="1:24" s="2" customFormat="1">
      <c r="A24" s="14" t="str">
        <f>'16'!$B$2</f>
        <v>16/10/2025 01:00</v>
      </c>
      <c r="B24" s="16">
        <f>'16'!B36</f>
        <v>4.1608333333333336</v>
      </c>
      <c r="C24" s="16">
        <f>'16'!C36</f>
        <v>8.1674999999999986</v>
      </c>
      <c r="D24" s="16">
        <f>'16'!D36</f>
        <v>7.5329166666666678</v>
      </c>
      <c r="E24" s="16">
        <f>'16'!E36</f>
        <v>6.5024999999999986</v>
      </c>
      <c r="F24" s="16">
        <f>'16'!F36</f>
        <v>7.7004166666666682</v>
      </c>
      <c r="G24" s="16">
        <f>'16'!G36</f>
        <v>47.713333333333338</v>
      </c>
      <c r="H24" s="16">
        <f>'16'!H36</f>
        <v>11.020000000000001</v>
      </c>
      <c r="I24" s="16">
        <f>'16'!I36</f>
        <v>7.4491666666666667</v>
      </c>
      <c r="J24" s="16">
        <f>'16'!J36</f>
        <v>0.26458333333333334</v>
      </c>
      <c r="K24" s="16">
        <f>'16'!K36</f>
        <v>154.11916666666664</v>
      </c>
      <c r="L24" s="16">
        <f>'16'!L36</f>
        <v>15.942916666666669</v>
      </c>
      <c r="M24" s="16">
        <f>'16'!M36</f>
        <v>19.428750000000004</v>
      </c>
      <c r="N24" s="16">
        <f>'16'!N36</f>
        <v>130.27500000000001</v>
      </c>
      <c r="O24" s="16">
        <f>'16'!O36</f>
        <v>0</v>
      </c>
      <c r="P24" s="16">
        <f>'16'!P36</f>
        <v>0.40708333333333324</v>
      </c>
      <c r="Q24" s="16">
        <f>'16'!Q36</f>
        <v>10</v>
      </c>
      <c r="R24" s="32"/>
      <c r="S24" s="32"/>
      <c r="T24" s="32"/>
      <c r="U24" s="30"/>
    </row>
    <row r="25" spans="1:24" s="2" customFormat="1">
      <c r="A25" s="14" t="str">
        <f>'17'!$B$2</f>
        <v>17/10/2025 01:00</v>
      </c>
      <c r="B25" s="16">
        <f>'17'!B36</f>
        <v>5.4570833333333333</v>
      </c>
      <c r="C25" s="16">
        <f>'17'!C36</f>
        <v>7.4512500000000008</v>
      </c>
      <c r="D25" s="16">
        <f>'17'!D36</f>
        <v>8.2208333333333332</v>
      </c>
      <c r="E25" s="16">
        <f>'17'!E36</f>
        <v>7.1570833333333335</v>
      </c>
      <c r="F25" s="16">
        <f>'17'!F36</f>
        <v>3.0554166666666673</v>
      </c>
      <c r="G25" s="16">
        <f>'17'!G36</f>
        <v>51.228750000000012</v>
      </c>
      <c r="H25" s="16">
        <f>'17'!H36</f>
        <v>12.133333333333333</v>
      </c>
      <c r="I25" s="16">
        <f>'17'!I36</f>
        <v>6.8158333333333339</v>
      </c>
      <c r="J25" s="16">
        <f>'17'!J36</f>
        <v>0.28291666666666676</v>
      </c>
      <c r="K25" s="16">
        <f>'17'!K36</f>
        <v>147.32250000000002</v>
      </c>
      <c r="L25" s="16">
        <f>'17'!L36</f>
        <v>16.129583333333333</v>
      </c>
      <c r="M25" s="16">
        <f>'17'!M36</f>
        <v>20.134583333333332</v>
      </c>
      <c r="N25" s="16">
        <f>'17'!N36</f>
        <v>130.23749999999998</v>
      </c>
      <c r="O25" s="16">
        <f>'17'!O36</f>
        <v>0</v>
      </c>
      <c r="P25" s="16">
        <f>'17'!P36</f>
        <v>0.42250000000000004</v>
      </c>
      <c r="Q25" s="16">
        <f>'17'!Q36</f>
        <v>10</v>
      </c>
      <c r="R25" s="32"/>
      <c r="S25" s="32"/>
      <c r="T25" s="32"/>
      <c r="U25" s="30"/>
    </row>
    <row r="26" spans="1:24" s="2" customFormat="1">
      <c r="A26" s="14" t="str">
        <f>'18'!$B$2</f>
        <v>18/10/2025 01:00</v>
      </c>
      <c r="B26" s="16">
        <f>'18'!B36</f>
        <v>5.0687500000000005</v>
      </c>
      <c r="C26" s="16">
        <f>'18'!C36</f>
        <v>12.189166666666665</v>
      </c>
      <c r="D26" s="16">
        <f>'18'!D36</f>
        <v>10.235833333333334</v>
      </c>
      <c r="E26" s="16">
        <f>'18'!E36</f>
        <v>8.7079166666666659</v>
      </c>
      <c r="F26" s="16">
        <f>'18'!F36</f>
        <v>14.369166666666667</v>
      </c>
      <c r="G26" s="16">
        <f>'18'!G36</f>
        <v>50.153750000000002</v>
      </c>
      <c r="H26" s="16">
        <f>'18'!H36</f>
        <v>10.899583333333332</v>
      </c>
      <c r="I26" s="16">
        <f>'18'!I36</f>
        <v>7.6291666666666664</v>
      </c>
      <c r="J26" s="16">
        <f>'18'!J36</f>
        <v>0.31958333333333339</v>
      </c>
      <c r="K26" s="16">
        <f>'18'!K36</f>
        <v>146.15333333333334</v>
      </c>
      <c r="L26" s="16">
        <f>'18'!L36</f>
        <v>16.341249999999999</v>
      </c>
      <c r="M26" s="16">
        <f>'18'!M36</f>
        <v>19.852916666666665</v>
      </c>
      <c r="N26" s="16">
        <f>'18'!N36</f>
        <v>150.61249999999998</v>
      </c>
      <c r="O26" s="16">
        <f>'18'!O36</f>
        <v>0</v>
      </c>
      <c r="P26" s="16">
        <f>'18'!P36</f>
        <v>0.42999999999999994</v>
      </c>
      <c r="Q26" s="16">
        <f>'18'!Q36</f>
        <v>9.6608333333333309</v>
      </c>
      <c r="R26" s="32"/>
      <c r="S26" s="32"/>
      <c r="T26" s="32"/>
      <c r="U26" s="30"/>
    </row>
    <row r="27" spans="1:24" s="2" customFormat="1">
      <c r="A27" s="14" t="str">
        <f>'19'!$B$2</f>
        <v>19/10/2025 01:00</v>
      </c>
      <c r="B27" s="16">
        <f>'19'!B36</f>
        <v>6.2754166666666675</v>
      </c>
      <c r="C27" s="16">
        <f>'19'!C36</f>
        <v>9.3691666666666666</v>
      </c>
      <c r="D27" s="16">
        <f>'19'!D36</f>
        <v>9.8562499999999993</v>
      </c>
      <c r="E27" s="16">
        <f>'19'!E36</f>
        <v>7.0041666666666664</v>
      </c>
      <c r="F27" s="16">
        <f>'19'!F36</f>
        <v>4.6495833333333332</v>
      </c>
      <c r="G27" s="16">
        <f>'19'!G36</f>
        <v>52.764166666666675</v>
      </c>
      <c r="H27" s="16">
        <f>'19'!H36</f>
        <v>14.384166666666667</v>
      </c>
      <c r="I27" s="16">
        <f>'19'!I36</f>
        <v>6.1037500000000025</v>
      </c>
      <c r="J27" s="16">
        <f>'19'!J36</f>
        <v>0.32041666666666674</v>
      </c>
      <c r="K27" s="16">
        <f>'19'!K36</f>
        <v>152.37458333333333</v>
      </c>
      <c r="L27" s="16">
        <f>'19'!L36</f>
        <v>15.563333333333334</v>
      </c>
      <c r="M27" s="16">
        <f>'19'!M36</f>
        <v>17.64916666666667</v>
      </c>
      <c r="N27" s="16">
        <f>'19'!N36</f>
        <v>158.98749999999998</v>
      </c>
      <c r="O27" s="16">
        <f>'19'!O36</f>
        <v>0</v>
      </c>
      <c r="P27" s="16">
        <f>'19'!P36</f>
        <v>0.44666666666666677</v>
      </c>
      <c r="Q27" s="16">
        <f>'19'!Q36</f>
        <v>10.88125</v>
      </c>
      <c r="R27" s="32"/>
      <c r="S27" s="32"/>
      <c r="T27" s="32"/>
      <c r="U27" s="30"/>
    </row>
    <row r="28" spans="1:24" s="2" customFormat="1">
      <c r="A28" s="14" t="str">
        <f>'20'!$B$2</f>
        <v>20/10/2025 01:00</v>
      </c>
      <c r="B28" s="16">
        <f>'20'!B36</f>
        <v>4.282916666666666</v>
      </c>
      <c r="C28" s="16">
        <f>'20'!C36</f>
        <v>7.5041666666666664</v>
      </c>
      <c r="D28" s="16">
        <f>'20'!D36</f>
        <v>7.3104166666666659</v>
      </c>
      <c r="E28" s="16">
        <f>'20'!E36</f>
        <v>6.6862500000000002</v>
      </c>
      <c r="F28" s="16">
        <f>'20'!F36</f>
        <v>2.61625</v>
      </c>
      <c r="G28" s="16">
        <f>'20'!G36</f>
        <v>46.668749999999996</v>
      </c>
      <c r="H28" s="16">
        <f>'20'!H36</f>
        <v>25.052083333333332</v>
      </c>
      <c r="I28" s="16">
        <f>'20'!I36</f>
        <v>5.622916666666665</v>
      </c>
      <c r="J28" s="16">
        <f>'20'!J36</f>
        <v>0.3533333333333335</v>
      </c>
      <c r="K28" s="16">
        <f>'20'!K36</f>
        <v>124.05041666666661</v>
      </c>
      <c r="L28" s="16">
        <f>'20'!L36</f>
        <v>14.734583333333333</v>
      </c>
      <c r="M28" s="16">
        <f>'20'!M36</f>
        <v>16.036666666666665</v>
      </c>
      <c r="N28" s="16">
        <f>'20'!N36</f>
        <v>137.12500000000003</v>
      </c>
      <c r="O28" s="16">
        <f>'20'!O36</f>
        <v>0</v>
      </c>
      <c r="P28" s="16">
        <f>'20'!P36</f>
        <v>0.38833333333333342</v>
      </c>
      <c r="Q28" s="16">
        <f>'20'!Q36</f>
        <v>14.696249999999999</v>
      </c>
      <c r="R28" s="32"/>
      <c r="S28" s="32"/>
      <c r="T28" s="32"/>
      <c r="U28" s="30"/>
    </row>
    <row r="29" spans="1:24" s="2" customFormat="1">
      <c r="A29" s="14" t="str">
        <f>'21'!$B$2</f>
        <v>21/10/2025 01:00</v>
      </c>
      <c r="B29" s="16">
        <f>'21'!B36</f>
        <v>4.2629166666666665</v>
      </c>
      <c r="C29" s="16">
        <f>'21'!C36</f>
        <v>6.8983333333333325</v>
      </c>
      <c r="D29" s="16">
        <f>'21'!D36</f>
        <v>7.0058333333333316</v>
      </c>
      <c r="E29" s="16">
        <f>'21'!E36</f>
        <v>7.1362499999999995</v>
      </c>
      <c r="F29" s="16">
        <f>'21'!F36</f>
        <v>2.7895833333333329</v>
      </c>
      <c r="G29" s="16">
        <f>'21'!G36</f>
        <v>24.495833333333334</v>
      </c>
      <c r="H29" s="16">
        <f>'21'!H36</f>
        <v>14.704166666666666</v>
      </c>
      <c r="I29" s="16">
        <f>'21'!I36</f>
        <v>3.8295833333333342</v>
      </c>
      <c r="J29" s="16">
        <f>'21'!J36</f>
        <v>0.3775</v>
      </c>
      <c r="K29" s="16">
        <f>'21'!K36</f>
        <v>122.39375000000001</v>
      </c>
      <c r="L29" s="16">
        <f>'21'!L36</f>
        <v>13.842499999999999</v>
      </c>
      <c r="M29" s="16">
        <f>'21'!M36</f>
        <v>14.558333333333332</v>
      </c>
      <c r="N29" s="16">
        <f>'21'!N36</f>
        <v>108.45000000000003</v>
      </c>
      <c r="O29" s="16">
        <f>'21'!O36</f>
        <v>0</v>
      </c>
      <c r="P29" s="16">
        <f>'21'!P36</f>
        <v>0.26749999999999996</v>
      </c>
      <c r="Q29" s="16">
        <f>'21'!Q36</f>
        <v>9.6424999999999965</v>
      </c>
      <c r="R29" s="32"/>
      <c r="S29" s="32"/>
      <c r="T29" s="32"/>
      <c r="U29" s="30"/>
    </row>
    <row r="30" spans="1:24" s="2" customFormat="1">
      <c r="A30" s="14" t="str">
        <f>'22'!$B$2</f>
        <v>22/10/2025 01:00</v>
      </c>
      <c r="B30" s="16">
        <f>'22'!B36</f>
        <v>3.3900000000000006</v>
      </c>
      <c r="C30" s="16">
        <f>'22'!C36</f>
        <v>7.4145833333333329</v>
      </c>
      <c r="D30" s="16">
        <f>'22'!D36</f>
        <v>6.5462499999999997</v>
      </c>
      <c r="E30" s="16">
        <f>'22'!E36</f>
        <v>6.7129166666666658</v>
      </c>
      <c r="F30" s="16">
        <f>'22'!F36</f>
        <v>9.0599999999999987</v>
      </c>
      <c r="G30" s="16">
        <f>'22'!G36</f>
        <v>62.750833333333333</v>
      </c>
      <c r="H30" s="16">
        <f>'22'!H36</f>
        <v>35.096250000000005</v>
      </c>
      <c r="I30" s="16">
        <f>'22'!I36</f>
        <v>5.3958333333333321</v>
      </c>
      <c r="J30" s="16">
        <f>'22'!J36</f>
        <v>0.3445833333333333</v>
      </c>
      <c r="K30" s="16">
        <f>'22'!K36</f>
        <v>109.79041666666666</v>
      </c>
      <c r="L30" s="16">
        <f>'22'!L36</f>
        <v>14.15875</v>
      </c>
      <c r="M30" s="16">
        <f>'22'!M36</f>
        <v>14.090000000000002</v>
      </c>
      <c r="N30" s="16">
        <f>'22'!N36</f>
        <v>158.09166666666667</v>
      </c>
      <c r="O30" s="16">
        <f>'22'!O36</f>
        <v>0</v>
      </c>
      <c r="P30" s="16">
        <f>'22'!P36</f>
        <v>0.3708333333333334</v>
      </c>
      <c r="Q30" s="16">
        <f>'22'!Q36</f>
        <v>9.319999999999995</v>
      </c>
      <c r="R30" s="32"/>
      <c r="S30" s="30"/>
      <c r="T30" s="30"/>
      <c r="U30" s="30"/>
    </row>
    <row r="31" spans="1:24" s="2" customFormat="1">
      <c r="A31" s="14" t="str">
        <f>'23'!$B$2</f>
        <v>23/10/2025 01:00</v>
      </c>
      <c r="B31" s="16">
        <f>'23'!B36</f>
        <v>3.5883333333333329</v>
      </c>
      <c r="C31" s="16">
        <f>'23'!C36</f>
        <v>7.083333333333333</v>
      </c>
      <c r="D31" s="16">
        <f>'23'!D36</f>
        <v>6.5412500000000007</v>
      </c>
      <c r="E31" s="16">
        <f>'23'!E36</f>
        <v>6.6262499999999998</v>
      </c>
      <c r="F31" s="16">
        <f>'23'!F36</f>
        <v>3.4287500000000004</v>
      </c>
      <c r="G31" s="16">
        <f>'23'!G36</f>
        <v>63.334999999999987</v>
      </c>
      <c r="H31" s="16">
        <f>'23'!H36</f>
        <v>33.347083333333337</v>
      </c>
      <c r="I31" s="16">
        <f>'23'!I36</f>
        <v>5.388749999999999</v>
      </c>
      <c r="J31" s="16">
        <f>'23'!J36</f>
        <v>0.31791666666666668</v>
      </c>
      <c r="K31" s="16">
        <f>'23'!K36</f>
        <v>125.58208333333333</v>
      </c>
      <c r="L31" s="16">
        <f>'23'!L36</f>
        <v>15.113333333333335</v>
      </c>
      <c r="M31" s="16">
        <f>'23'!M36</f>
        <v>16.145</v>
      </c>
      <c r="N31" s="16">
        <f>'23'!N36</f>
        <v>170.44583333333335</v>
      </c>
      <c r="O31" s="16">
        <f>'23'!O36</f>
        <v>0</v>
      </c>
      <c r="P31" s="16">
        <f>'23'!P36</f>
        <v>0.36458333333333331</v>
      </c>
      <c r="Q31" s="16">
        <f>'23'!Q36</f>
        <v>9.3212499999999956</v>
      </c>
      <c r="R31" s="30"/>
      <c r="S31" s="30"/>
      <c r="T31" s="30"/>
      <c r="U31" s="30"/>
    </row>
    <row r="32" spans="1:24" s="2" customFormat="1">
      <c r="A32" s="14" t="str">
        <f>'24'!$B$2</f>
        <v>24/10/2025 01:00</v>
      </c>
      <c r="B32" s="16">
        <f>'24'!B36</f>
        <v>4.6045833333333333</v>
      </c>
      <c r="C32" s="16">
        <f>'24'!C36</f>
        <v>7.9762500000000029</v>
      </c>
      <c r="D32" s="16">
        <f>'24'!D36</f>
        <v>7.7662499999999985</v>
      </c>
      <c r="E32" s="16">
        <f>'24'!E36</f>
        <v>6.375</v>
      </c>
      <c r="F32" s="16">
        <f>'24'!F36</f>
        <v>6.724166666666668</v>
      </c>
      <c r="G32" s="16">
        <f>'24'!G36</f>
        <v>50.619130434782619</v>
      </c>
      <c r="H32" s="16">
        <f>'24'!H36</f>
        <v>28.459565217391301</v>
      </c>
      <c r="I32" s="16">
        <f>'24'!I36</f>
        <v>4.2795833333333322</v>
      </c>
      <c r="J32" s="16">
        <f>'24'!J36</f>
        <v>0.28833333333333339</v>
      </c>
      <c r="K32" s="16">
        <f>'24'!K36</f>
        <v>136.91416666666669</v>
      </c>
      <c r="L32" s="16">
        <f>'24'!L36</f>
        <v>15.893749999999999</v>
      </c>
      <c r="M32" s="16">
        <f>'24'!M36</f>
        <v>18.522083333333331</v>
      </c>
      <c r="N32" s="16">
        <f>'24'!N36</f>
        <v>159.17500000000001</v>
      </c>
      <c r="O32" s="16">
        <f>'24'!O36</f>
        <v>0</v>
      </c>
      <c r="P32" s="16">
        <f>'24'!P36</f>
        <v>0.33416666666666672</v>
      </c>
      <c r="Q32" s="16">
        <f>'24'!Q36</f>
        <v>9.3704166666666691</v>
      </c>
      <c r="R32" s="30"/>
      <c r="S32" s="30"/>
      <c r="T32" s="30"/>
      <c r="U32" s="30"/>
    </row>
    <row r="33" spans="1:21" s="2" customFormat="1">
      <c r="A33" s="14" t="str">
        <f>'25'!$B$2</f>
        <v>25/10/2025 01:00</v>
      </c>
      <c r="B33" s="16">
        <f>'25'!B36</f>
        <v>5.0837500000000011</v>
      </c>
      <c r="C33" s="16">
        <f>'25'!C36</f>
        <v>8.4324999999999992</v>
      </c>
      <c r="D33" s="16">
        <f>'25'!D36</f>
        <v>8.3091666666666679</v>
      </c>
      <c r="E33" s="16">
        <f>'25'!E36</f>
        <v>6.0545833333333361</v>
      </c>
      <c r="F33" s="16">
        <f>'25'!F36</f>
        <v>6.015416666666666</v>
      </c>
      <c r="G33" s="16">
        <f>'25'!G36</f>
        <v>62.748333333333335</v>
      </c>
      <c r="H33" s="16">
        <f>'25'!H36</f>
        <v>29.454999999999998</v>
      </c>
      <c r="I33" s="16">
        <f>'25'!I36</f>
        <v>7.5858333333333334</v>
      </c>
      <c r="J33" s="16">
        <f>'25'!J36</f>
        <v>0.3083333333333334</v>
      </c>
      <c r="K33" s="16">
        <f>'25'!K36</f>
        <v>113.47583333333334</v>
      </c>
      <c r="L33" s="16">
        <f>'25'!L36</f>
        <v>13.598333333333334</v>
      </c>
      <c r="M33" s="16">
        <f>'25'!M36</f>
        <v>14.929583333333333</v>
      </c>
      <c r="N33" s="16">
        <f>'25'!N36</f>
        <v>91.812499999999986</v>
      </c>
      <c r="O33" s="16">
        <f>'25'!O36</f>
        <v>0</v>
      </c>
      <c r="P33" s="16">
        <f>'25'!P36</f>
        <v>0.39208333333333334</v>
      </c>
      <c r="Q33" s="16">
        <f>'25'!Q36</f>
        <v>9.3312499999999954</v>
      </c>
      <c r="R33" s="30"/>
      <c r="S33" s="30"/>
      <c r="T33" s="30"/>
      <c r="U33" s="30"/>
    </row>
    <row r="34" spans="1:21" s="2" customFormat="1">
      <c r="A34" s="14" t="str">
        <f>'26'!$B$2</f>
        <v>26/10/2025 01:00</v>
      </c>
      <c r="B34" s="16">
        <f>'26'!B36</f>
        <v>6.3429166666666648</v>
      </c>
      <c r="C34" s="16">
        <f>'26'!C36</f>
        <v>7.0183333333333344</v>
      </c>
      <c r="D34" s="16">
        <f>'26'!D36</f>
        <v>8.7083333333333357</v>
      </c>
      <c r="E34" s="16">
        <f>'26'!E36</f>
        <v>6.13</v>
      </c>
      <c r="F34" s="16">
        <f>'26'!F36</f>
        <v>2.0941666666666667</v>
      </c>
      <c r="G34" s="16">
        <f>'26'!G36</f>
        <v>66.702500000000001</v>
      </c>
      <c r="H34" s="16">
        <f>'26'!H36</f>
        <v>30.639583333333338</v>
      </c>
      <c r="I34" s="16">
        <f>'26'!I36</f>
        <v>7.8466666666666667</v>
      </c>
      <c r="J34" s="16">
        <f>'26'!J36</f>
        <v>0.36000000000000004</v>
      </c>
      <c r="K34" s="16">
        <f>'26'!K36</f>
        <v>117.88791666666667</v>
      </c>
      <c r="L34" s="16">
        <f>'26'!L36</f>
        <v>13.827083333333327</v>
      </c>
      <c r="M34" s="16">
        <f>'26'!M36</f>
        <v>15.312083333333334</v>
      </c>
      <c r="N34" s="16">
        <f>'26'!N36</f>
        <v>104.42499999999997</v>
      </c>
      <c r="O34" s="16">
        <f>'26'!O36</f>
        <v>0</v>
      </c>
      <c r="P34" s="16">
        <f>'26'!P36</f>
        <v>0.42999999999999994</v>
      </c>
      <c r="Q34" s="16">
        <f>'26'!Q36</f>
        <v>9.3554166666666649</v>
      </c>
      <c r="R34" s="30"/>
      <c r="S34" s="30"/>
      <c r="T34" s="30"/>
      <c r="U34" s="30"/>
    </row>
    <row r="35" spans="1:21" s="2" customFormat="1">
      <c r="A35" s="14" t="str">
        <f>'27'!$B$2</f>
        <v>27/10/2025 01:00</v>
      </c>
      <c r="B35" s="16">
        <f>'27'!B36</f>
        <v>7.7987499999999974</v>
      </c>
      <c r="C35" s="16">
        <f>'27'!C36</f>
        <v>7.1629166666666668</v>
      </c>
      <c r="D35" s="16">
        <f>'27'!D36</f>
        <v>9.9645833333333318</v>
      </c>
      <c r="E35" s="16">
        <f>'27'!E36</f>
        <v>6.9633333333333347</v>
      </c>
      <c r="F35" s="16">
        <f>'27'!F36</f>
        <v>2</v>
      </c>
      <c r="G35" s="16">
        <f>'27'!G36</f>
        <v>56.039583333333347</v>
      </c>
      <c r="H35" s="16">
        <f>'27'!H36</f>
        <v>23.319583333333338</v>
      </c>
      <c r="I35" s="16">
        <f>'27'!I36</f>
        <v>7.3874999999999993</v>
      </c>
      <c r="J35" s="16">
        <f>'27'!J36</f>
        <v>0.37041666666666662</v>
      </c>
      <c r="K35" s="16">
        <f>'27'!K36</f>
        <v>94.528750000000002</v>
      </c>
      <c r="L35" s="16">
        <f>'27'!L36</f>
        <v>12.845416666666665</v>
      </c>
      <c r="M35" s="16">
        <f>'27'!M36</f>
        <v>11.372083333333331</v>
      </c>
      <c r="N35" s="16">
        <f>'27'!N36</f>
        <v>137.59583333333333</v>
      </c>
      <c r="O35" s="16">
        <f>'27'!O36</f>
        <v>0</v>
      </c>
      <c r="P35" s="16">
        <f>'27'!P36</f>
        <v>0.35374999999999995</v>
      </c>
      <c r="Q35" s="16">
        <f>'27'!Q36</f>
        <v>9.9412500000000019</v>
      </c>
      <c r="R35" s="30"/>
      <c r="S35" s="30"/>
      <c r="T35" s="30"/>
      <c r="U35" s="30"/>
    </row>
    <row r="36" spans="1:21" s="2" customFormat="1">
      <c r="A36" s="14" t="str">
        <f>'28'!$B$2</f>
        <v>28/10/2025 01:00</v>
      </c>
      <c r="B36" s="16">
        <f>'28'!B36</f>
        <v>5.2016666666666671</v>
      </c>
      <c r="C36" s="16">
        <f>'28'!C36</f>
        <v>6.6279166666666676</v>
      </c>
      <c r="D36" s="16">
        <f>'28'!D36</f>
        <v>7.5962500000000022</v>
      </c>
      <c r="E36" s="16">
        <f>'28'!E36</f>
        <v>6.7112500000000006</v>
      </c>
      <c r="F36" s="16">
        <f>'28'!F36</f>
        <v>2.0141666666666667</v>
      </c>
      <c r="G36" s="16">
        <f>'28'!G36</f>
        <v>37.554166666666667</v>
      </c>
      <c r="H36" s="16">
        <f>'28'!H36</f>
        <v>13.280000000000001</v>
      </c>
      <c r="I36" s="16">
        <f>'28'!I36</f>
        <v>6.325000000000002</v>
      </c>
      <c r="J36" s="16">
        <f>'28'!J36</f>
        <v>0.7104166666666667</v>
      </c>
      <c r="K36" s="16">
        <f>'28'!K36</f>
        <v>60.014166666666675</v>
      </c>
      <c r="L36" s="16">
        <f>'28'!L36</f>
        <v>9.6791666666666654</v>
      </c>
      <c r="M36" s="16">
        <f>'28'!M36</f>
        <v>5.7345833333333331</v>
      </c>
      <c r="N36" s="16">
        <f>'28'!N36</f>
        <v>42.524999999999999</v>
      </c>
      <c r="O36" s="16">
        <f>'28'!O36</f>
        <v>0</v>
      </c>
      <c r="P36" s="16">
        <f>'28'!P36</f>
        <v>0.27833333333333332</v>
      </c>
      <c r="Q36" s="16">
        <f>'28'!Q36</f>
        <v>10.271666666666667</v>
      </c>
      <c r="R36" s="30"/>
      <c r="S36" s="30"/>
      <c r="T36" s="30"/>
      <c r="U36" s="30"/>
    </row>
    <row r="37" spans="1:21" s="2" customFormat="1">
      <c r="A37" s="14" t="str">
        <f>'29'!$B$2</f>
        <v>29/10/2025 01:00</v>
      </c>
      <c r="B37" s="16">
        <f>'29'!B36</f>
        <v>5.9629166666666675</v>
      </c>
      <c r="C37" s="16">
        <f>'29'!C36</f>
        <v>6.4129166666666668</v>
      </c>
      <c r="D37" s="16">
        <f>'29'!D36</f>
        <v>8.0979166666666682</v>
      </c>
      <c r="E37" s="16">
        <f>'29'!E36</f>
        <v>6.2908333333333326</v>
      </c>
      <c r="F37" s="16">
        <f>'29'!F36</f>
        <v>2</v>
      </c>
      <c r="G37" s="16">
        <f>'29'!G36</f>
        <v>21.950833333333335</v>
      </c>
      <c r="H37" s="16">
        <f>'29'!H36</f>
        <v>6.8858333333333315</v>
      </c>
      <c r="I37" s="16">
        <f>'29'!I36</f>
        <v>4.6854166666666659</v>
      </c>
      <c r="J37" s="16">
        <f>'29'!J36</f>
        <v>0.70499999999999974</v>
      </c>
      <c r="K37" s="16">
        <f>'29'!K36</f>
        <v>74.496666666666655</v>
      </c>
      <c r="L37" s="16">
        <f>'29'!L36</f>
        <v>10.918333333333335</v>
      </c>
      <c r="M37" s="16">
        <f>'29'!M36</f>
        <v>8.5299999999999994</v>
      </c>
      <c r="N37" s="16">
        <f>'29'!N36</f>
        <v>59.458333333333336</v>
      </c>
      <c r="O37" s="16">
        <f>'29'!O36</f>
        <v>0</v>
      </c>
      <c r="P37" s="16">
        <f>'29'!P36</f>
        <v>0.2191666666666667</v>
      </c>
      <c r="Q37" s="16">
        <f>'29'!Q36</f>
        <v>9.3733333333333295</v>
      </c>
      <c r="R37" s="30"/>
      <c r="S37" s="30"/>
      <c r="T37" s="30"/>
      <c r="U37" s="30"/>
    </row>
    <row r="38" spans="1:21" s="2" customFormat="1">
      <c r="A38" s="14" t="str">
        <f>'30'!$B$2</f>
        <v>30/10/2025 01:00</v>
      </c>
      <c r="B38" s="16">
        <f>'30'!B36</f>
        <v>4.9987499999999994</v>
      </c>
      <c r="C38" s="16">
        <f>'30'!C36</f>
        <v>5.6604166666666673</v>
      </c>
      <c r="D38" s="16">
        <f>'30'!D36</f>
        <v>6.9454166666666666</v>
      </c>
      <c r="E38" s="16">
        <f>'30'!E36</f>
        <v>6.7841666666666676</v>
      </c>
      <c r="F38" s="16">
        <f>'30'!F36</f>
        <v>2</v>
      </c>
      <c r="G38" s="16">
        <f>'30'!G36</f>
        <v>13.450416666666667</v>
      </c>
      <c r="H38" s="16">
        <f>'30'!H36</f>
        <v>5.0179166666666672</v>
      </c>
      <c r="I38" s="16">
        <f>'30'!I36</f>
        <v>3.6824999999999997</v>
      </c>
      <c r="J38" s="16">
        <f>'30'!J36</f>
        <v>0.31458333333333327</v>
      </c>
      <c r="K38" s="16">
        <f>'30'!K36</f>
        <v>197.71791666666664</v>
      </c>
      <c r="L38" s="16">
        <f>'30'!L36</f>
        <v>18.2775</v>
      </c>
      <c r="M38" s="16">
        <f>'30'!M36</f>
        <v>27.614166666666666</v>
      </c>
      <c r="N38" s="16">
        <f>'30'!N36</f>
        <v>26.779166666666669</v>
      </c>
      <c r="O38" s="16">
        <f>'30'!O36</f>
        <v>4.1666666666666664E-2</v>
      </c>
      <c r="P38" s="16">
        <f>'30'!P36</f>
        <v>0.21250000000000011</v>
      </c>
      <c r="Q38" s="16">
        <f>'30'!Q36</f>
        <v>9.319999999999995</v>
      </c>
      <c r="R38" s="30"/>
      <c r="S38" s="30"/>
      <c r="T38" s="30"/>
      <c r="U38" s="30"/>
    </row>
    <row r="39" spans="1:2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1" s="1" customFormat="1">
      <c r="A40" s="3" t="s">
        <v>48</v>
      </c>
      <c r="B40" s="18">
        <f t="shared" ref="B40:Q40" si="0">MIN(B9:B38)</f>
        <v>3.3900000000000006</v>
      </c>
      <c r="C40" s="18">
        <f t="shared" si="0"/>
        <v>5.6604166666666673</v>
      </c>
      <c r="D40" s="18">
        <f t="shared" si="0"/>
        <v>6.5412500000000007</v>
      </c>
      <c r="E40" s="18">
        <f t="shared" si="0"/>
        <v>4.2426666666666666</v>
      </c>
      <c r="F40" s="18">
        <f t="shared" si="0"/>
        <v>2</v>
      </c>
      <c r="G40" s="18">
        <f t="shared" si="0"/>
        <v>13.450416666666667</v>
      </c>
      <c r="H40" s="18">
        <f t="shared" si="0"/>
        <v>5.0179166666666672</v>
      </c>
      <c r="I40" s="18">
        <f t="shared" si="0"/>
        <v>3.6824999999999997</v>
      </c>
      <c r="J40" s="18">
        <f t="shared" si="0"/>
        <v>0.26041666666666669</v>
      </c>
      <c r="K40" s="18">
        <f t="shared" si="0"/>
        <v>60.014166666666675</v>
      </c>
      <c r="L40" s="18">
        <f t="shared" si="0"/>
        <v>9.6791666666666654</v>
      </c>
      <c r="M40" s="18">
        <f t="shared" si="0"/>
        <v>5.7345833333333331</v>
      </c>
      <c r="N40" s="18">
        <f t="shared" si="0"/>
        <v>26.779166666666669</v>
      </c>
      <c r="O40" s="18">
        <f t="shared" si="0"/>
        <v>0</v>
      </c>
      <c r="P40" s="18">
        <f t="shared" si="0"/>
        <v>0.21250000000000011</v>
      </c>
      <c r="Q40" s="18">
        <f t="shared" si="0"/>
        <v>9.319999999999995</v>
      </c>
      <c r="R40" s="18"/>
      <c r="S40" s="18"/>
      <c r="T40" s="18"/>
      <c r="U40" s="18"/>
    </row>
    <row r="41" spans="1:21" s="1" customFormat="1">
      <c r="A41" s="3" t="s">
        <v>49</v>
      </c>
      <c r="B41" s="18">
        <f t="shared" ref="B41:Q41" si="1">MAX(B9:B38)</f>
        <v>9.3949999999999996</v>
      </c>
      <c r="C41" s="18">
        <f t="shared" si="1"/>
        <v>12.189166666666665</v>
      </c>
      <c r="D41" s="18">
        <f t="shared" si="1"/>
        <v>17.566666666666666</v>
      </c>
      <c r="E41" s="18">
        <f t="shared" si="1"/>
        <v>8.7079166666666659</v>
      </c>
      <c r="F41" s="18">
        <f t="shared" si="1"/>
        <v>16.31958333333333</v>
      </c>
      <c r="G41" s="18">
        <f t="shared" si="1"/>
        <v>93.344999999999985</v>
      </c>
      <c r="H41" s="18">
        <f t="shared" si="1"/>
        <v>35.096250000000005</v>
      </c>
      <c r="I41" s="18">
        <f t="shared" si="1"/>
        <v>10.387499999999998</v>
      </c>
      <c r="J41" s="18">
        <f t="shared" si="1"/>
        <v>0.7104166666666667</v>
      </c>
      <c r="K41" s="18">
        <f t="shared" si="1"/>
        <v>273.98374999999999</v>
      </c>
      <c r="L41" s="18">
        <f t="shared" si="1"/>
        <v>22.778333333333332</v>
      </c>
      <c r="M41" s="18">
        <f t="shared" si="1"/>
        <v>37.165833333333339</v>
      </c>
      <c r="N41" s="18">
        <f t="shared" si="1"/>
        <v>170.44583333333335</v>
      </c>
      <c r="O41" s="18">
        <f t="shared" si="1"/>
        <v>0.89999999999999991</v>
      </c>
      <c r="P41" s="18">
        <f t="shared" si="1"/>
        <v>0.48875000000000007</v>
      </c>
      <c r="Q41" s="18">
        <f t="shared" si="1"/>
        <v>14.696249999999999</v>
      </c>
      <c r="R41" s="18"/>
      <c r="S41" s="18"/>
      <c r="T41" s="18"/>
      <c r="U41" s="18"/>
    </row>
    <row r="42" spans="1:21" s="1" customFormat="1">
      <c r="A42" s="3" t="s">
        <v>50</v>
      </c>
      <c r="B42" s="18">
        <f t="shared" ref="B42:Q42" si="2">AVERAGE(B9:B38)</f>
        <v>5.8636111111111102</v>
      </c>
      <c r="C42" s="18">
        <f t="shared" si="2"/>
        <v>7.7066944444444454</v>
      </c>
      <c r="D42" s="18">
        <f t="shared" si="2"/>
        <v>10.923569444444443</v>
      </c>
      <c r="E42" s="18">
        <f t="shared" si="2"/>
        <v>6.3878527777777778</v>
      </c>
      <c r="F42" s="18">
        <f t="shared" si="2"/>
        <v>4.6463833333333326</v>
      </c>
      <c r="G42" s="18">
        <f t="shared" si="2"/>
        <v>49.324679347826084</v>
      </c>
      <c r="H42" s="18">
        <f t="shared" si="2"/>
        <v>19.390610507246372</v>
      </c>
      <c r="I42" s="18">
        <f t="shared" si="2"/>
        <v>6.5271111111111111</v>
      </c>
      <c r="J42" s="18">
        <f t="shared" si="2"/>
        <v>0.36826388888888889</v>
      </c>
      <c r="K42" s="18">
        <f t="shared" si="2"/>
        <v>157.57447222222223</v>
      </c>
      <c r="L42" s="18">
        <f t="shared" si="2"/>
        <v>16.352916666666669</v>
      </c>
      <c r="M42" s="18">
        <f t="shared" si="2"/>
        <v>20.823694444444438</v>
      </c>
      <c r="N42" s="18">
        <f t="shared" si="2"/>
        <v>115.84180555555558</v>
      </c>
      <c r="O42" s="18">
        <f t="shared" si="2"/>
        <v>9.8611111111111108E-2</v>
      </c>
      <c r="P42" s="18">
        <f t="shared" si="2"/>
        <v>0.36702777777777784</v>
      </c>
      <c r="Q42" s="18">
        <f t="shared" si="2"/>
        <v>10.344638888888886</v>
      </c>
      <c r="R42" s="18"/>
      <c r="S42" s="18"/>
      <c r="T42" s="18"/>
      <c r="U42" s="18"/>
    </row>
    <row r="43" spans="1:21" s="1" customFormat="1">
      <c r="A43" s="3" t="s">
        <v>51</v>
      </c>
      <c r="B43" s="18">
        <f t="shared" ref="B43:Q43" si="3">STDEV(B9:B38)</f>
        <v>1.5978730749547672</v>
      </c>
      <c r="C43" s="18">
        <f t="shared" si="3"/>
        <v>1.2922852242188361</v>
      </c>
      <c r="D43" s="18">
        <f t="shared" si="3"/>
        <v>3.5944768599993249</v>
      </c>
      <c r="E43" s="18">
        <f t="shared" si="3"/>
        <v>0.76431386092970333</v>
      </c>
      <c r="F43" s="18">
        <f t="shared" si="3"/>
        <v>3.734634431791199</v>
      </c>
      <c r="G43" s="18">
        <f t="shared" si="3"/>
        <v>17.912378452520187</v>
      </c>
      <c r="H43" s="18">
        <f t="shared" si="3"/>
        <v>8.7654182456488243</v>
      </c>
      <c r="I43" s="18">
        <f t="shared" si="3"/>
        <v>1.3886887788791753</v>
      </c>
      <c r="J43" s="18">
        <f t="shared" si="3"/>
        <v>0.10971161710958159</v>
      </c>
      <c r="K43" s="18">
        <f t="shared" si="3"/>
        <v>63.004166140920404</v>
      </c>
      <c r="L43" s="18">
        <f t="shared" si="3"/>
        <v>3.6328884541250068</v>
      </c>
      <c r="M43" s="18">
        <f t="shared" si="3"/>
        <v>9.3470320119357737</v>
      </c>
      <c r="N43" s="18">
        <f t="shared" si="3"/>
        <v>40.247074905065382</v>
      </c>
      <c r="O43" s="18">
        <f t="shared" si="3"/>
        <v>0.22819762026645804</v>
      </c>
      <c r="P43" s="18">
        <f t="shared" si="3"/>
        <v>7.1730018555282549E-2</v>
      </c>
      <c r="Q43" s="18">
        <f t="shared" si="3"/>
        <v>1.2444393208749691</v>
      </c>
      <c r="R43" s="18"/>
      <c r="S43" s="18"/>
      <c r="T43" s="18"/>
      <c r="U43" s="18"/>
    </row>
    <row r="44" spans="1:21" s="1" customFormat="1">
      <c r="A44" s="3" t="s">
        <v>52</v>
      </c>
      <c r="B44" s="3">
        <f t="shared" ref="B44:Q44" si="4">COUNT(B9:B38)</f>
        <v>30</v>
      </c>
      <c r="C44" s="3">
        <f t="shared" si="4"/>
        <v>30</v>
      </c>
      <c r="D44" s="3">
        <f t="shared" si="4"/>
        <v>30</v>
      </c>
      <c r="E44" s="3">
        <f t="shared" si="4"/>
        <v>30</v>
      </c>
      <c r="F44" s="18">
        <f>COUNT(F9:F38)+3</f>
        <v>28</v>
      </c>
      <c r="G44" s="3">
        <f t="shared" si="4"/>
        <v>30</v>
      </c>
      <c r="H44" s="3">
        <f t="shared" si="4"/>
        <v>30</v>
      </c>
      <c r="I44" s="3">
        <f t="shared" si="4"/>
        <v>30</v>
      </c>
      <c r="J44" s="3">
        <f t="shared" si="4"/>
        <v>30</v>
      </c>
      <c r="K44" s="3">
        <f t="shared" si="4"/>
        <v>30</v>
      </c>
      <c r="L44" s="3">
        <f t="shared" si="4"/>
        <v>30</v>
      </c>
      <c r="M44" s="3">
        <f t="shared" si="4"/>
        <v>30</v>
      </c>
      <c r="N44" s="3">
        <f t="shared" si="4"/>
        <v>30</v>
      </c>
      <c r="O44" s="3">
        <f t="shared" si="4"/>
        <v>30</v>
      </c>
      <c r="P44" s="3">
        <f t="shared" si="4"/>
        <v>30</v>
      </c>
      <c r="Q44" s="3">
        <f t="shared" si="4"/>
        <v>30</v>
      </c>
      <c r="R44" s="3"/>
      <c r="S44" s="3"/>
      <c r="T44" s="3"/>
      <c r="U44" s="3"/>
    </row>
    <row r="45" spans="1:21" s="1" customFormat="1">
      <c r="A45" s="3" t="s">
        <v>53</v>
      </c>
      <c r="B45" s="3" t="str">
        <f>IF(B44&gt;=28,"&gt;90%",IF(B44&lt;=28,"&lt;90%"))</f>
        <v>&gt;90%</v>
      </c>
      <c r="C45" s="3" t="str">
        <f t="shared" ref="C45:Q45" si="5">IF(C44&gt;=28,"&gt;90%",IF(C44&lt;=28,"&lt;90%"))</f>
        <v>&gt;90%</v>
      </c>
      <c r="D45" s="3" t="str">
        <f t="shared" si="5"/>
        <v>&gt;90%</v>
      </c>
      <c r="E45" s="3" t="str">
        <f t="shared" si="5"/>
        <v>&gt;90%</v>
      </c>
      <c r="F45" s="3" t="str">
        <f t="shared" si="5"/>
        <v>&gt;90%</v>
      </c>
      <c r="G45" s="3" t="str">
        <f t="shared" si="5"/>
        <v>&gt;90%</v>
      </c>
      <c r="H45" s="3" t="str">
        <f t="shared" si="5"/>
        <v>&gt;90%</v>
      </c>
      <c r="I45" s="3" t="str">
        <f t="shared" si="5"/>
        <v>&gt;90%</v>
      </c>
      <c r="J45" s="3" t="str">
        <f t="shared" si="5"/>
        <v>&gt;90%</v>
      </c>
      <c r="K45" s="3" t="str">
        <f t="shared" si="5"/>
        <v>&gt;90%</v>
      </c>
      <c r="L45" s="3" t="str">
        <f t="shared" si="5"/>
        <v>&gt;90%</v>
      </c>
      <c r="M45" s="3" t="str">
        <f t="shared" si="5"/>
        <v>&gt;90%</v>
      </c>
      <c r="N45" s="3" t="str">
        <f t="shared" si="5"/>
        <v>&gt;90%</v>
      </c>
      <c r="O45" s="3" t="str">
        <f t="shared" si="5"/>
        <v>&gt;90%</v>
      </c>
      <c r="P45" s="3" t="str">
        <f t="shared" si="5"/>
        <v>&gt;90%</v>
      </c>
      <c r="Q45" s="3" t="str">
        <f t="shared" si="5"/>
        <v>&gt;90%</v>
      </c>
      <c r="R45" s="3"/>
      <c r="S45" s="3"/>
      <c r="T45" s="3"/>
      <c r="U45" s="3"/>
    </row>
    <row r="46" spans="1:21" s="1" customFormat="1">
      <c r="A46" s="3" t="s">
        <v>54</v>
      </c>
      <c r="B46" s="3" t="str">
        <f>IF(B44&gt;=28,"OK",IF(B44&lt;=28,"LESS"))</f>
        <v>OK</v>
      </c>
      <c r="C46" s="3" t="str">
        <f t="shared" ref="C46:Q46" si="6">IF(C44&gt;=28,"OK",IF(C44&lt;=28,"LESS"))</f>
        <v>OK</v>
      </c>
      <c r="D46" s="3" t="str">
        <f t="shared" si="6"/>
        <v>OK</v>
      </c>
      <c r="E46" s="3" t="str">
        <f t="shared" si="6"/>
        <v>OK</v>
      </c>
      <c r="F46" s="3" t="str">
        <f t="shared" si="6"/>
        <v>OK</v>
      </c>
      <c r="G46" s="3" t="str">
        <f t="shared" si="6"/>
        <v>OK</v>
      </c>
      <c r="H46" s="3" t="str">
        <f t="shared" si="6"/>
        <v>OK</v>
      </c>
      <c r="I46" s="3" t="str">
        <f t="shared" si="6"/>
        <v>OK</v>
      </c>
      <c r="J46" s="3" t="str">
        <f t="shared" si="6"/>
        <v>OK</v>
      </c>
      <c r="K46" s="3" t="str">
        <f t="shared" si="6"/>
        <v>OK</v>
      </c>
      <c r="L46" s="3" t="str">
        <f t="shared" si="6"/>
        <v>OK</v>
      </c>
      <c r="M46" s="3" t="str">
        <f t="shared" si="6"/>
        <v>OK</v>
      </c>
      <c r="N46" s="3" t="str">
        <f t="shared" si="6"/>
        <v>OK</v>
      </c>
      <c r="O46" s="3" t="str">
        <f t="shared" si="6"/>
        <v>OK</v>
      </c>
      <c r="P46" s="3" t="str">
        <f t="shared" si="6"/>
        <v>OK</v>
      </c>
      <c r="Q46" s="3" t="str">
        <f t="shared" si="6"/>
        <v>OK</v>
      </c>
      <c r="R46" s="3"/>
      <c r="S46" s="3"/>
      <c r="T46" s="3"/>
      <c r="U46" s="3"/>
    </row>
    <row r="47" spans="1:2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9" spans="1:16">
      <c r="A49" s="3" t="s">
        <v>55</v>
      </c>
      <c r="B49" s="19" t="s">
        <v>56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20"/>
      <c r="E50" s="20"/>
      <c r="F50" s="20"/>
      <c r="G50" s="20"/>
      <c r="H50" s="20"/>
      <c r="I50" s="20"/>
      <c r="J50" s="1"/>
      <c r="K50" s="1"/>
      <c r="L50" s="1"/>
      <c r="M50" s="1"/>
      <c r="N50" s="1"/>
      <c r="O50" s="1"/>
      <c r="P50" s="1"/>
    </row>
    <row r="51" spans="1:16" ht="15.75">
      <c r="A51" s="21" t="s">
        <v>57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</sheetData>
  <mergeCells count="1">
    <mergeCell ref="B51:P5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2018-07-30T12:51:00Z</cp:lastPrinted>
  <dcterms:created xsi:type="dcterms:W3CDTF">2013-08-23T16:44:00Z</dcterms:created>
  <dcterms:modified xsi:type="dcterms:W3CDTF">2025-12-11T17:57:48Z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